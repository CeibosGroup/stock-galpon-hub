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7A6F1BC3-0536-4140-9542-92518DD6AE6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<sst xmlns="http://schemas.openxmlformats.org/spreadsheetml/2006/main" count="8245" uniqueCount="3307">
  <si>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</si>
  <si>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</si>
  <si>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</si>
  <si>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</si>
  <si>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</si>
  <si>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</si>
  <si>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</si>
  <si>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</si>
  <si>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</si>
  <si>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</si>
  <si>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</si>
  <si>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</si>
  <si>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</si>
  <si>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</si>
  <si>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</si>
  <si>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</si>
  <si>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</si>
  <si>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</si>
  <si>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</si>
  <si>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</si>
  <si>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</si>
  <si>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</si>
  <si>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</si>
  <si>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</si>
  <si>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</si>
  <si>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</si>
  <si>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</si>
  <si>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</si>
  <si>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</si>
  <si>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</si>
  <si>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</si>
  <si>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</si>
  <si>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</si>
  <si>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</si>
  <si>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</si>
  <si>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</si>
  <si>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</si>
  <si>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</si>
  <si>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</si>
  <si>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</si>
  <si>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</si>
  <si>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</si>
  <si>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</si>
  <si>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</si>
  <si>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</si>
  <si>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</si>
  <si>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</si>
  <si>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</si>
  <si>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</si>
  <si>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</si>
  <si>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</si>
  <si>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</si>
  <si>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</si>
  <si>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</si>
  <si>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</si>
  <si>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</si>
  <si>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</si>
  <si>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</si>
  <si>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</si>
  <si>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</si>
  <si>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</si>
  <si>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</si>
  <si>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</si>
  <si>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</si>
  <si>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</si>
  <si>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</si>
  <si>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</si>
  <si>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</si>
  <si>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</si>
  <si>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</si>
  <si>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</si>
  <si>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</si>
  <si>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</si>
  <si>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</si>
  <si>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</si>
  <si>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</si>
  <si>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</si>
  <si>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</si>
  <si>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</si>
  <si>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</si>
  <si>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</si>
  <si>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</si>
  <si>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</si>
  <si>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</si>
  <si>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</si>
  <si>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</si>
  <si>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</si>
  <si>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</si>
  <si>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</si>
  <si>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</si>
  <si>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</si>
  <si>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</si>
  <si>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</si>
  <si>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</si>
  <si>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</si>
  <si>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</si>
  <si>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</si>
  <si>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</si>
  <si>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</si>
  <si>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</si>
  <si>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</si>
  <si>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</si>
  <si>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</si>
  <si>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</si>
  <si>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</si>
  <si>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</si>
  <si>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</si>
  <si>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</si>
  <si>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</si>
  <si>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</si>
  <si>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</si>
  <si>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</si>
  <si>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</si>
  <si>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</si>
  <si>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</si>
  <si>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</si>
  <si>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</si>
  <si>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</si>
  <si>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</si>
  <si>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</si>
  <si>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</si>
  <si>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</si>
  <si>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</si>
  <si>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</si>
  <si>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</si>
  <si>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</si>
  <si>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</si>
  <si>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</si>
  <si>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</si>
  <si>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</si>
  <si>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</si>
  <si>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</si>
  <si>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</si>
  <si>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</si>
  <si>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</si>
  <si>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</si>
  <si>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</si>
  <si>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</si>
  <si>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</si>
  <si>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</si>
  <si>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</si>
  <si>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</si>
  <si>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</si>
  <si>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</si>
  <si>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</si>
  <si>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</si>
  <si>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</si>
  <si>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</si>
  <si>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</si>
  <si>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</si>
  <si>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</si>
  <si>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</si>
  <si>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</si>
  <si>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</si>
  <si>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</si>
  <si>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</si>
  <si>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</si>
  <si>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</si>
  <si>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</si>
  <si>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</si>
  <si>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</si>
  <si>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</si>
  <si>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</si>
  <si>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</si>
  <si>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</si>
  <si>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</si>
  <si>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</si>
  <si>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</si>
  <si>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</si>
  <si>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</si>
  <si>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</si>
  <si>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</si>
  <si>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</si>
  <si>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</si>
  <si>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</si>
  <si>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</si>
  <si>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</si>
  <si>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</si>
  <si>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</si>
  <si>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</si>
  <si>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</si>
  <si>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</si>
  <si>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</si>
  <si>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</si>
  <si>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</si>
  <si>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</si>
  <si>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</si>
  <si>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</si>
  <si>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</si>
  <si>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</si>
  <si>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</si>
  <si>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</si>
  <si>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</si>
  <si>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</si>
  <si>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</si>
  <si>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</si>
  <si>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</si>
  <si>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</si>
  <si>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</si>
  <si>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</si>
  <si>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</si>
  <si>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</si>
  <si>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</si>
  <si>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</si>
  <si>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</si>
  <si>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</si>
  <si>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</si>
  <si>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</si>
  <si>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</si>
  <si>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</si>
  <si>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</si>
  <si>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</si>
  <si>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</si>
  <si>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</si>
  <si>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</si>
  <si>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</si>
  <si>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</si>
  <si>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</si>
  <si>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</si>
  <si>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</si>
  <si>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</si>
  <si>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</si>
  <si>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</si>
  <si>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</si>
  <si>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</si>
  <si>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</si>
  <si>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</si>
  <si>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</si>
  <si>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</si>
  <si>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</si>
  <si>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</si>
  <si>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</si>
  <si>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</si>
  <si>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</si>
  <si>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</si>
  <si>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</si>
  <si>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</si>
  <si>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</si>
  <si>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</si>
  <si>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</si>
  <si>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</si>
  <si>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</si>
  <si>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</si>
  <si>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</si>
  <si>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</si>
  <si>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</si>
  <si>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</si>
  <si>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</si>
  <si>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</si>
  <si>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</si>
  <si>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</si>
  <si>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</si>
  <si>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</si>
  <si>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</si>
  <si>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</si>
  <si>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</si>
  <si>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</si>
  <si>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</si>
  <si>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</si>
  <si>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</si>
  <si>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</si>
  <si>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</si>
  <si>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</si>
  <si>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</si>
  <si>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</si>
  <si>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</si>
  <si>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</si>
  <si>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</si>
  <si>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</si>
  <si>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</si>
  <si>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</si>
  <si>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</si>
  <si>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</si>
  <si>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</si>
  <si>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</si>
  <si>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</si>
  <si>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</si>
  <si>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</si>
  <si>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</si>
  <si>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</si>
  <si>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</si>
  <si>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</si>
  <si>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</si>
  <si>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</si>
  <si>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</si>
  <si>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</si>
  <si>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</si>
  <si>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</si>
  <si>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</si>
  <si>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</si>
  <si>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</si>
  <si>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</si>
  <si>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</si>
  <si>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</si>
  <si>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</si>
  <si>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</si>
  <si>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</si>
  <si>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</si>
  <si>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</si>
  <si>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</si>
  <si>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</si>
  <si>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</si>
  <si>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</si>
  <si>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</si>
  <si>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</si>
  <si>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</si>
  <si>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</si>
  <si>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</si>
  <si>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</si>
  <si>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</si>
  <si>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</si>
  <si>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</si>
  <si>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</si>
  <si>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</si>
  <si>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</si>
  <si>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</si>
  <si>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</si>
  <si>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</si>
  <si>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</si>
  <si>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</si>
  <si>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</si>
  <si>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</si>
  <si>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</si>
  <si>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</si>
  <si>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</si>
  <si>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</si>
  <si>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</si>
  <si>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</si>
  <si>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</si>
  <si>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</si>
  <si>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</si>
  <si>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</si>
  <si>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</si>
  <si>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</si>
  <si>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</si>
  <si>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</si>
  <si>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</si>
  <si>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</si>
  <si>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</si>
  <si>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</si>
  <si>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</si>
  <si>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</si>
  <si>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</si>
  <si>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</si>
  <si>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</si>
  <si>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</si>
  <si>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</si>
  <si>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</si>
  <si>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</si>
  <si>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</si>
  <si>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</si>
  <si>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</si>
  <si>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</si>
  <si>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</si>
  <si>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</si>
  <si>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</si>
  <si>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</si>
  <si>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</si>
  <si>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</si>
  <si>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</si>
  <si>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</si>
  <si>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</si>
  <si>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</si>
  <si>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</si>
  <si>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</si>
  <si>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</si>
  <si>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</si>
  <si>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</si>
  <si>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</si>
  <si>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</si>
  <si>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</si>
  <si>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</si>
  <si>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</si>
  <si>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</si>
  <si>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</si>
  <si>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</si>
  <si>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</si>
  <si>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</si>
  <si>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</si>
  <si>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</si>
  <si>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</si>
  <si>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</si>
  <si>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</si>
  <si>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</si>
  <si>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</si>
  <si>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</si>
  <si>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</si>
  <si>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</si>
  <si>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</si>
  <si>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</si>
  <si>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</si>
  <si>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</si>
  <si>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</si>
  <si>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</si>
  <si>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</si>
  <si>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</si>
  <si>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</si>
  <si>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</si>
  <si>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</si>
  <si>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</si>
  <si>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</si>
  <si>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</si>
  <si>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</si>
  <si>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</si>
  <si>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</si>
  <si>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</si>
  <si>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</si>
  <si>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</si>
  <si>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</si>
  <si>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</si>
  <si>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</si>
  <si>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</si>
  <si>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</si>
  <si>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</si>
  <si>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</si>
  <si>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</si>
  <si>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</si>
  <si>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</si>
  <si>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</si>
  <si>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</si>
  <si>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</si>
  <si>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</si>
  <si>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</si>
  <si>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</si>
  <si>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</si>
  <si>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</si>
  <si>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</si>
  <si>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</si>
  <si>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</si>
  <si>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</si>
  <si>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</si>
  <si>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</si>
  <si>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</si>
  <si>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</si>
  <si>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</si>
  <si>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</si>
  <si>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</si>
  <si>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</si>
  <si>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</si>
  <si>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</si>
  <si>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</si>
  <si>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</si>
  <si>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</si>
  <si>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</si>
  <si>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</si>
  <si>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</si>
  <si>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</si>
  <si>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</si>
  <si>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</si>
  <si>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</si>
  <si>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</si>
  <si>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</si>
  <si>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</si>
  <si>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</si>
  <si>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</si>
  <si>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</si>
  <si>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</si>
  <si>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</si>
  <si>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</si>
  <si>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</si>
  <si>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</si>
  <si>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</si>
  <si>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</si>
  <si>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</si>
  <si>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</si>
  <si>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</si>
  <si>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</si>
  <si>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</si>
  <si>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</si>
  <si>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</si>
  <si>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</si>
  <si>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</si>
  <si>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</si>
  <si>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</si>
  <si>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</si>
  <si>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</si>
  <si>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</si>
  <si>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</si>
  <si>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</si>
  <si>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</si>
  <si>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</si>
  <si>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</si>
  <si>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</si>
  <si>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</si>
  <si>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</si>
  <si>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</si>
  <si>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</si>
  <si>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</si>
  <si>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</si>
  <si>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</si>
  <si>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</si>
  <si>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</si>
  <si>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</si>
  <si>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</si>
  <si>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</si>
  <si>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</si>
  <si>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</si>
  <si>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</si>
  <si>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</si>
  <si>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</si>
  <si>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</si>
  <si>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</si>
  <si>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</si>
  <si>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</si>
  <si>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</si>
  <si>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</si>
  <si>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</si>
  <si>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</si>
  <si>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</si>
  <si>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</si>
  <si>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</si>
  <si>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</si>
  <si>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</si>
  <si>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</si>
  <si>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</si>
  <si>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</si>
  <si>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</si>
  <si>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</si>
  <si>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</si>
  <si>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</si>
  <si>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</si>
  <si>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</si>
  <si>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</si>
  <si>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</si>
  <si>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</si>
  <si>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</si>
  <si>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</si>
  <si>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</si>
  <si>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</si>
  <si>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</si>
  <si>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</si>
  <si>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</si>
  <si>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</si>
  <si>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</si>
  <si>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</si>
  <si>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</si>
  <si>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</si>
  <si>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</si>
  <si>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</si>
  <si>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</si>
  <si>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</si>
  <si>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</si>
  <si>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</si>
  <si>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</si>
  <si>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</si>
  <si>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</si>
  <si>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</si>
  <si>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</si>
  <si>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</si>
  <si>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</si>
  <si>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</si>
  <si>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</si>
  <si>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</si>
  <si>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</si>
  <si>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</si>
  <si>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</si>
  <si>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</si>
  <si>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</si>
  <si>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</si>
  <si>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</si>
  <si>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</si>
  <si>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</si>
  <si>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</si>
  <si>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</si>
  <si>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</si>
  <si>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</si>
  <si>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</si>
  <si>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</si>
  <si>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</si>
  <si>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</si>
  <si>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</si>
  <si>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</si>
  <si>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</si>
  <si>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</si>
  <si>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</si>
  <si>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</si>
  <si>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</si>
  <si>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</si>
  <si>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</si>
  <si>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</si>
  <si>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</si>
  <si>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</si>
  <si>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</si>
  <si>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</si>
  <si>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</si>
  <si>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</si>
  <si>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</si>
  <si>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</si>
  <si>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</si>
  <si>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</si>
  <si>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</si>
  <si>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</si>
  <si>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</si>
  <si>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</si>
  <si>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</si>
  <si>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</si>
  <si>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</si>
  <si>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</si>
  <si>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</si>
  <si>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</si>
  <si>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</si>
  <si>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</si>
  <si>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</si>
  <si>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</si>
  <si>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</si>
  <si>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</si>
  <si>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</si>
  <si>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</si>
  <si>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</si>
  <si>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</si>
  <si>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</si>
  <si>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</si>
  <si>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</si>
  <si>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</si>
  <si>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</si>
  <si>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</si>
  <si>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</si>
  <si>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</si>
  <si>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</si>
  <si>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</si>
  <si>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</si>
  <si>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</si>
  <si>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</si>
  <si>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</si>
  <si>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</si>
  <si>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</si>
  <si>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</si>
  <si>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</si>
  <si>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</si>
  <si>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</si>
  <si>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</si>
  <si>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</si>
  <si>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</si>
  <si>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</si>
  <si>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</si>
  <si>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</si>
  <si>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</si>
  <si>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</si>
  <si>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</si>
  <si>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</si>
  <si>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</si>
  <si>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</si>
  <si>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</si>
  <si>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</si>
  <si>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</si>
  <si>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</si>
  <si>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</si>
  <si>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</si>
  <si>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</si>
  <si>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</si>
  <si>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</si>
  <si>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</si>
  <si>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</si>
  <si>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</si>
  <si>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</si>
  <si>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</si>
  <si>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</si>
  <si>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</si>
  <si>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</si>
  <si>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</si>
  <si>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</si>
  <si>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</si>
  <si>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</si>
  <si>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</si>
  <si>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</si>
  <si>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</si>
  <si>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</si>
  <si>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</si>
  <si>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</si>
  <si>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</si>
  <si>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</si>
  <si>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</si>
  <si>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</si>
  <si>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</si>
  <si>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</si>
  <si>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</si>
  <si>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</si>
  <si>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</si>
  <si>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</si>
  <si>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</si>
  <si>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</si>
  <si>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</si>
  <si>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</si>
  <si>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</si>
  <si>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</si>
  <si>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</si>
  <si>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</si>
  <si>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</si>
  <si>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</si>
  <si>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</si>
  <si>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</si>
  <si>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</si>
  <si>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</si>
  <si>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</si>
  <si>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</si>
  <si>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</si>
  <si>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</si>
  <si>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</si>
  <si>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</si>
  <si>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</si>
  <si>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</si>
  <si>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</si>
  <si>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</si>
  <si>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</si>
  <si>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</si>
  <si>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</si>
  <si>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</si>
  <si>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</si>
  <si>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</si>
  <si>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</si>
  <si>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</si>
  <si>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</si>
  <si>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</si>
  <si>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</si>
  <si>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</si>
  <si>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</si>
  <si>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</si>
  <si>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</si>
  <si>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</si>
  <si>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</si>
  <si>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</si>
  <si>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</si>
  <si>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</si>
  <si>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</si>
  <si>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</si>
  <si>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</si>
  <si>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</si>
  <si>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</si>
  <si>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</si>
  <si>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</si>
  <si>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</si>
  <si>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</si>
  <si>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</si>
  <si>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</si>
  <si>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</si>
  <si>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</si>
  <si>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</si>
  <si>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</si>
  <si>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</si>
  <si>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</si>
  <si>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</si>
  <si>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</si>
  <si>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</si>
  <si>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</si>
  <si>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</si>
  <si>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</si>
  <si>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</si>
  <si>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</si>
  <si>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</si>
  <si>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</si>
  <si>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</si>
  <si>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</si>
  <si>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</si>
  <si>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</si>
  <si>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</si>
  <si>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</si>
  <si>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</si>
  <si>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</si>
  <si>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</si>
  <si>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</si>
  <si>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</si>
  <si>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</si>
  <si>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</si>
  <si>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</si>
  <si>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</si>
  <si>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</si>
  <si>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</si>
  <si>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</si>
  <si>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</si>
  <si>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</si>
  <si>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</si>
  <si>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</si>
  <si>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</si>
  <si>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</si>
  <si>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</si>
  <si>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</si>
  <si>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</si>
  <si>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</si>
  <si>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</si>
  <si>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</si>
  <si>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</si>
  <si>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</si>
  <si>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</si>
  <si>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</si>
  <si>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</si>
  <si>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</si>
  <si>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</si>
  <si>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</si>
  <si>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</si>
  <si>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</si>
  <si>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</si>
  <si>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</si>
  <si>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</si>
  <si>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</si>
  <si>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</si>
  <si>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</si>
  <si>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</si>
  <si>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</si>
  <si>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</si>
  <si>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</si>
  <si>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</si>
  <si>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</si>
  <si>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</si>
  <si>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</si>
  <si>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</si>
  <si>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</si>
  <si>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</si>
  <si>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</si>
  <si>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</si>
  <si>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</si>
  <si>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</si>
  <si>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</si>
  <si>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</si>
  <si>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</si>
  <si>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</si>
  <si>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</si>
  <si>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</si>
  <si>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</si>
  <si>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</si>
  <si>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</si>
  <si>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</si>
  <si>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</si>
  <si>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</si>
  <si>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</si>
  <si>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</si>
  <si>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</si>
  <si>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</si>
  <si>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</si>
  <si>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</si>
  <si>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</si>
  <si>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</si>
  <si>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</si>
  <si>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</si>
  <si>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</si>
  <si>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</si>
  <si>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</si>
  <si>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</si>
  <si>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</si>
  <si>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</si>
  <si>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</si>
  <si>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</si>
  <si>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</si>
  <si>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</si>
  <si>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</si>
  <si>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</si>
  <si>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</si>
  <si>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</si>
  <si>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</si>
  <si>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</si>
  <si>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</si>
  <si>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</si>
  <si>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</si>
  <si>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</si>
  <si>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</si>
  <si>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</si>
  <si>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</si>
  <si>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</si>
  <si>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</si>
  <si>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</si>
  <si>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</si>
  <si>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</si>
  <si>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</si>
  <si>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</si>
  <si>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</si>
  <si>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</si>
  <si>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</si>
  <si>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</si>
  <si>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</si>
  <si>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</si>
  <si>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</si>
  <si>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</si>
  <si>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</si>
  <si>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</si>
  <si>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</si>
  <si>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</si>
  <si>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</si>
  <si>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</si>
  <si>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</si>
  <si>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</si>
  <si>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</si>
  <si>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</si>
  <si>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</si>
  <si>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</si>
  <si>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</si>
  <si>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</si>
  <si>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</si>
  <si>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</si>
  <si>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</si>
  <si>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</si>
  <si>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</si>
  <si>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</si>
  <si>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</si>
  <si>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</si>
  <si>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</si>
  <si>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</si>
  <si>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</si>
  <si>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</si>
  <si>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</si>
  <si>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</si>
  <si>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</si>
  <si>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</si>
  <si>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</si>
  <si>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</si>
  <si>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</si>
  <si>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</si>
  <si>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</si>
  <si>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</si>
  <si>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</si>
  <si>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</si>
  <si>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</si>
  <si>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</si>
  <si>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</si>
  <si>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</si>
  <si>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</si>
  <si>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</si>
  <si>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</si>
  <si>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</si>
  <si>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</si>
  <si>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</si>
  <si>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</si>
  <si>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</si>
  <si>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</si>
  <si>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</si>
  <si>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</si>
  <si>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</si>
  <si>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</si>
  <si>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</si>
  <si>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</si>
  <si>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</si>
  <si>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</si>
  <si>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</si>
  <si>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</si>
  <si>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</si>
  <si>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</si>
  <si>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</si>
  <si>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</si>
  <si>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</si>
  <si>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</si>
  <si>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</si>
  <si>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</si>
  <si>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</si>
  <si>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</si>
  <si>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</si>
  <si>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</si>
  <si>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</si>
  <si>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</si>
  <si>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</si>
  <si>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</si>
  <si>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</si>
  <si>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</si>
  <si>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</si>
  <si>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</si>
  <si>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</si>
  <si>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</si>
  <si>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</si>
  <si>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</si>
  <si>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</si>
  <si>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</si>
  <si>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</si>
  <si>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</si>
  <si>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</si>
  <si>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</si>
  <si>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</si>
  <si>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</si>
  <si>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</si>
  <si>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</si>
  <si>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</si>
  <si>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</si>
  <si>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</si>
  <si>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</si>
  <si>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</si>
  <si>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</si>
  <si>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</si>
  <si>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</si>
  <si>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</si>
  <si>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</si>
  <si>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</si>
  <si>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</si>
  <si>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</si>
  <si>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</si>
  <si>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</si>
  <si>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</si>
  <si>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</si>
  <si>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</si>
  <si>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</si>
  <si>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</si>
  <si>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</si>
  <si>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</si>
  <si>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</si>
  <si>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</si>
  <si>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</si>
  <si>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</si>
  <si>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</si>
  <si>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</si>
  <si>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</si>
  <si>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</si>
  <si>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</si>
  <si>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</si>
  <si>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</si>
  <si>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</si>
  <si>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</si>
  <si>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</si>
  <si>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</si>
  <si>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</si>
  <si>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</si>
  <si>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</si>
  <si>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</si>
  <si>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</si>
  <si>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</si>
  <si>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</si>
  <si>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</si>
  <si>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</si>
  <si>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</si>
  <si>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</si>
  <si>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</si>
  <si>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</si>
  <si>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</si>
  <si>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</si>
  <si>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</si>
  <si>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</si>
  <si>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</si>
  <si>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</si>
  <si>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</si>
  <si>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</si>
  <si>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</si>
  <si>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</si>
  <si>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</si>
  <si>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</si>
  <si>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</si>
  <si>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</si>
  <si>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</si>
  <si>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</si>
  <si>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</si>
  <si>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</si>
  <si>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</si>
  <si>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</si>
  <si>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</si>
  <si>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</si>
  <si>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</si>
  <si>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</si>
  <si>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</si>
  <si>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</si>
  <si>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</si>
  <si>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</si>
  <si>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</si>
  <si>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</si>
  <si>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</si>
  <si>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</si>
  <si>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</si>
  <si>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</si>
  <si>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</si>
  <si>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</si>
  <si>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</si>
  <si>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</si>
  <si>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</si>
  <si>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</si>
  <si>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</si>
  <si>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</si>
  <si>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</si>
  <si>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</si>
  <si>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</si>
  <si>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</si>
  <si>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</si>
  <si>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</si>
  <si>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</si>
  <si>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</si>
  <si>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</si>
  <si>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</si>
  <si>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</si>
  <si>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</si>
  <si>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</si>
  <si>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</si>
  <si>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</si>
  <si>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</si>
  <si>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</si>
  <si>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</si>
  <si>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</si>
  <si>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</si>
  <si>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</si>
  <si>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</si>
  <si>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</si>
  <si>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</si>
  <si>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</si>
  <si>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</si>
  <si>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</si>
  <si>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</si>
  <si>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</si>
  <si>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</si>
  <si>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</si>
  <si>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</si>
  <si>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</si>
  <si>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</si>
  <si>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</si>
  <si>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</si>
  <si>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</si>
  <si>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</si>
  <si>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</si>
  <si>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</si>
  <si>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</si>
  <si>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</si>
  <si>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</si>
  <si>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</si>
  <si>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</si>
  <si>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</si>
  <si>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</si>
  <si>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</si>
  <si>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</si>
  <si>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</si>
  <si>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</si>
  <si>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</si>
  <si>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</si>
  <si>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</si>
  <si>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</si>
  <si>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</si>
  <si>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</si>
  <si>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</si>
  <si>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</si>
  <si>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</si>
  <si>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</si>
  <si>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</si>
  <si>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</si>
  <si>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</si>
  <si>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</si>
  <si>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</si>
  <si>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</si>
  <si>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</si>
  <si>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</si>
  <si>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</si>
  <si>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</si>
  <si>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</si>
  <si>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</si>
  <si>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</si>
  <si>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</si>
  <si>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</si>
  <si>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</si>
  <si>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</si>
  <si>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</si>
  <si>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</si>
  <si>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</si>
  <si>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</si>
  <si>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</si>
  <si>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</si>
  <si>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</si>
  <si>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</si>
  <si>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</si>
  <si>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</si>
  <si>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</si>
  <si>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</si>
  <si>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</si>
  <si>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</si>
  <si>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</si>
  <si>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</si>
  <si>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</si>
  <si>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</si>
  <si>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</si>
  <si>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</si>
  <si>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</si>
  <si>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</si>
  <si>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</si>
  <si>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</si>
  <si>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</si>
  <si>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</si>
  <si>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</si>
  <si>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</si>
  <si>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</si>
  <si>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</si>
  <si>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</si>
  <si>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</si>
  <si>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</si>
  <si>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</si>
  <si>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</si>
  <si>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</si>
  <si>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</si>
  <si>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</si>
  <si>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</si>
  <si>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</si>
  <si>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</si>
  <si>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</si>
  <si>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</si>
  <si>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</si>
  <si>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</si>
  <si>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</si>
  <si>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</si>
  <si>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</si>
  <si>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</si>
  <si>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</si>
  <si>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</si>
  <si>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</si>
  <si>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</si>
  <si>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</si>
  <si>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</si>
  <si>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</si>
  <si>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</si>
  <si>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</si>
  <si>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</si>
  <si>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</si>
  <si>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</si>
  <si>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</si>
  <si>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</si>
  <si>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</si>
  <si>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</si>
  <si>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</si>
  <si>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</si>
  <si>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</si>
  <si>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</si>
  <si>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</si>
  <si>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</si>
  <si>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</si>
  <si>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</si>
  <si>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</si>
  <si>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</si>
  <si>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</si>
  <si>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</si>
  <si>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</si>
  <si>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</si>
  <si>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</si>
  <si>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</si>
  <si>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</si>
  <si>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</si>
  <si>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</si>
  <si>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</si>
  <si>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</si>
  <si>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</si>
  <si>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</si>
  <si>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</si>
  <si>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</si>
  <si>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</si>
  <si>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</si>
  <si>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</si>
  <si>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</si>
  <si>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</si>
  <si>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</si>
  <si>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</si>
  <si>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</si>
  <si>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</si>
  <si>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</si>
  <si>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</si>
  <si>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</si>
  <si>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</si>
  <si>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</si>
  <si>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</si>
  <si>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</si>
  <si>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</si>
  <si>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</si>
  <si>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</si>
  <si>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</si>
  <si>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</si>
  <si>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</si>
  <si>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</si>
  <si>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</si>
  <si>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</si>
  <si>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</si>
  <si>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</si>
  <si>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</si>
  <si>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</si>
  <si>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</si>
  <si>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</si>
  <si>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</si>
  <si>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</si>
  <si>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</si>
  <si>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</si>
  <si>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</si>
  <si>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</si>
  <si>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</si>
  <si>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</si>
  <si>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</si>
  <si>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</si>
  <si>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</si>
  <si>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</si>
  <si>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</si>
  <si>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</si>
  <si>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</si>
  <si>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</si>
  <si>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</si>
  <si>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</si>
  <si>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</si>
  <si>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</si>
  <si>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</si>
  <si>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</si>
  <si>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</si>
  <si>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</si>
  <si>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</si>
  <si>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</si>
  <si>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</si>
  <si>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</si>
  <si>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</si>
  <si>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</si>
  <si>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</si>
  <si>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</si>
  <si>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</si>
  <si>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</si>
  <si>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</si>
  <si>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</si>
  <si>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</si>
  <si>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</si>
  <si>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</si>
  <si>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</si>
  <si>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</si>
  <si>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</si>
  <si>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</si>
  <si>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</si>
  <si>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</si>
  <si>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</si>
  <si>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</si>
  <si>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</si>
  <si>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</si>
  <si>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</si>
  <si>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</si>
  <si>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</si>
  <si>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</si>
  <si>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</si>
  <si>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</si>
  <si>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</si>
  <si>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</si>
  <si>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</si>
  <si>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</si>
  <si>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</si>
  <si>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</si>
  <si>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</si>
  <si>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</si>
  <si>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</si>
  <si>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</si>
  <si>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</si>
  <si>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</si>
  <si>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</si>
  <si>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</si>
  <si>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</si>
  <si>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</si>
  <si>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</si>
  <si>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</si>
  <si>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</si>
  <si>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</si>
  <si>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</si>
  <si>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</si>
  <si>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</si>
  <si>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</si>
  <si>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</si>
  <si>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</si>
  <si>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</si>
  <si>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</si>
  <si>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</si>
  <si>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</si>
  <si>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</si>
  <si>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</si>
  <si>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</si>
  <si>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</si>
  <si>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</si>
  <si>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</si>
  <si>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</si>
  <si>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</si>
  <si>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</si>
  <si>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</si>
  <si>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</si>
  <si>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</si>
  <si>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</si>
  <si>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</si>
  <si>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</si>
  <si>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</si>
  <si>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</si>
  <si>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</si>
  <si>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</si>
  <si>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</si>
  <si>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</si>
  <si>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</si>
  <si>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</si>
  <si>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</si>
  <si>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</si>
  <si>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</si>
  <si>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</si>
  <si>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</si>
  <si>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</si>
  <si>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</si>
  <si>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</si>
  <si>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</si>
  <si>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</si>
  <si>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</si>
  <si>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</si>
  <si>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</si>
  <si>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</si>
  <si>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</si>
  <si>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</si>
  <si>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</si>
  <si>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</si>
  <si>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</si>
  <si>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</si>
  <si>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</si>
  <si>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</si>
  <si>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</si>
  <si>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</si>
  <si>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</si>
  <si>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</si>
  <si>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</si>
  <si>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</si>
  <si>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</si>
  <si>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</si>
  <si>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</si>
  <si>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</si>
  <si>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</si>
  <si>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</si>
  <si>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</si>
  <si>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</si>
  <si>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</si>
  <si>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</si>
  <si>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</si>
  <si>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</si>
  <si>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</si>
  <si>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</si>
  <si>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</si>
  <si>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</si>
  <si>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</si>
  <si>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</si>
  <si>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</si>
  <si>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</si>
  <si>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</si>
  <si>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</si>
  <si>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</si>
  <si>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</si>
  <si>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</si>
  <si>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</si>
  <si>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</si>
  <si>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</si>
  <si>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</si>
  <si>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</si>
  <si>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</si>
  <si>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</si>
  <si>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</si>
  <si>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</si>
  <si>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</si>
  <si>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</si>
  <si>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</si>
  <si>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</si>
  <si>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</si>
  <si>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</si>
  <si>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</si>
  <si>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</si>
  <si>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</si>
  <si>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</si>
  <si>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</si>
  <si>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</si>
  <si>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</si>
  <si>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</si>
  <si>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</si>
  <si>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</si>
  <si>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</si>
  <si>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</si>
  <si>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</si>
  <si>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</si>
  <si>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</si>
  <si>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</si>
  <si>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</si>
  <si>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</si>
  <si>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</si>
  <si>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</si>
  <si>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</si>
  <si>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</si>
  <si>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</si>
  <si>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</si>
  <si>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</si>
  <si>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</si>
  <si>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</si>
  <si>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</si>
  <si>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</si>
  <si>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</si>
  <si>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</si>
  <si>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</si>
  <si>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</si>
  <si>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</si>
  <si>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</si>
  <si>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</si>
  <si>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</si>
  <si>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</si>
  <si>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</si>
  <si>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</si>
  <si>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</si>
  <si>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</si>
  <si>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</si>
  <si>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</si>
  <si>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</si>
  <si>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</si>
  <si>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</si>
  <si>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</si>
  <si>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</si>
  <si>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</si>
  <si>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</si>
  <si>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</si>
  <si>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</si>
  <si>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</si>
  <si>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</si>
  <si>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</si>
  <si>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</si>
  <si>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</si>
  <si>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</si>
  <si>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</si>
  <si>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</si>
  <si>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</si>
  <si>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</si>
  <si>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</si>
  <si>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</si>
  <si>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</si>
  <si>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</si>
  <si>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</si>
  <si>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</si>
  <si>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</si>
  <si>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</si>
  <si>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</si>
  <si>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</si>
  <si>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</si>
  <si>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</si>
  <si>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</si>
  <si>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</si>
  <si>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</si>
  <si>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</si>
  <si>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</si>
  <si>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</si>
  <si>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</si>
  <si>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</si>
  <si>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</si>
  <si>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</si>
  <si>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</si>
  <si>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</si>
  <si>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</si>
  <si>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</si>
  <si>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</si>
  <si>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</si>
  <si>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</si>
  <si>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</si>
  <si>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</si>
  <si>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</si>
  <si>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</si>
  <si>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</si>
  <si>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</si>
  <si>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</si>
  <si>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</si>
  <si>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</si>
  <si>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</si>
  <si>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</si>
  <si>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</si>
  <si>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</si>
  <si>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</si>
  <si>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</si>
  <si>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</si>
  <si>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</si>
  <si>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</si>
  <si>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</si>
  <si>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</si>
  <si>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</si>
  <si>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</si>
  <si>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</si>
  <si>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</si>
  <si>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</si>
  <si>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</si>
  <si>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</si>
  <si>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</si>
  <si>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</si>
  <si>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</si>
  <si>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</si>
  <si>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</si>
  <si>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</si>
  <si>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</si>
  <si>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</si>
  <si>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</si>
  <si>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</si>
  <si>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</si>
  <si>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</si>
  <si>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</si>
  <si>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</si>
  <si>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</si>
  <si>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</si>
  <si>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</si>
  <si>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</si>
  <si>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</si>
  <si>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</si>
  <si>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</si>
  <si>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</si>
  <si>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</si>
  <si>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</si>
  <si>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</si>
  <si>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</si>
  <si>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</si>
  <si>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</si>
  <si>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</si>
  <si>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</si>
  <si>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</si>
  <si>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</si>
  <si>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</si>
  <si>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</si>
  <si>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</si>
  <si>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</si>
  <si>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</si>
  <si>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</si>
  <si>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</si>
  <si>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</si>
  <si>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</si>
  <si>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</si>
  <si>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</si>
  <si>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</si>
  <si>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</si>
  <si>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</si>
  <si>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</si>
  <si>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</si>
  <si>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</si>
  <si>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</si>
  <si>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</si>
  <si>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</si>
  <si>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</si>
  <si>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</si>
  <si>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</si>
  <si>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</si>
  <si>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</si>
  <si>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</si>
  <si>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</si>
  <si>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</si>
  <si>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</si>
  <si>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</si>
  <si>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</si>
  <si>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</si>
  <si>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</si>
  <si>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</si>
  <si>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</si>
  <si>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</si>
  <si>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</si>
  <si>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</si>
  <si>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</si>
  <si>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</si>
  <si>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</si>
  <si>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</si>
  <si>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</si>
  <si>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</si>
  <si>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</si>
  <si>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</si>
  <si>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</si>
  <si>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</si>
  <si>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</si>
  <si>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</si>
  <si>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</si>
  <si>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</si>
  <si>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</si>
  <si>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</si>
  <si>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</si>
  <si>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</si>
  <si>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</si>
  <si>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</si>
  <si>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</si>
  <si>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</si>
  <si>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</si>
  <si>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</si>
  <si>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</si>
  <si>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</si>
  <si>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</si>
  <si>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</si>
  <si>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</si>
  <si>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</si>
  <si>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</si>
  <si>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</si>
  <si>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</si>
  <si>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</si>
  <si>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</si>
  <si>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</si>
  <si>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</si>
  <si>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</si>
  <si>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</si>
  <si>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</si>
  <si>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</si>
  <si>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</si>
  <si>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</si>
  <si>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</si>
  <si>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</si>
  <si>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</si>
  <si>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</si>
  <si>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</si>
  <si>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</si>
  <si>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</si>
  <si>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</si>
  <si>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</si>
  <si>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</si>
  <si>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</si>
  <si>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</si>
  <si>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</si>
  <si>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</si>
  <si>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</si>
  <si>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</si>
  <si>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</si>
  <si>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</si>
  <si>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</si>
  <si>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</si>
  <si>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</si>
  <si>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</si>
  <si>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</si>
  <si>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</si>
  <si>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</si>
  <si>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</si>
  <si>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</si>
  <si>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</si>
  <si>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</si>
  <si>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</si>
  <si>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</si>
  <si>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</si>
  <si>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</si>
  <si>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</si>
  <si>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</si>
  <si>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</si>
  <si>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</si>
  <si>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</si>
  <si>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</si>
  <si>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</si>
  <si>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</si>
  <si>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</si>
  <si>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</si>
  <si>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</si>
  <si>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</si>
  <si>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</si>
  <si>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</si>
  <si>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</si>
  <si>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</si>
  <si>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</si>
  <si>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</si>
  <si>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</si>
  <si>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</si>
  <si>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</si>
  <si>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</si>
  <si>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</si>
  <si>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</si>
  <si>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</si>
  <si>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</si>
  <si>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</si>
  <si>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</si>
  <si>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</si>
  <si>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</si>
  <si>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</si>
  <si>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</si>
  <si>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</si>
  <si>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</si>
  <si>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</si>
  <si>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</si>
  <si>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</si>
  <si>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</si>
  <si>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</si>
  <si>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</si>
  <si>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</si>
  <si>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</si>
  <si>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</si>
  <si>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</si>
  <si>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</si>
  <si>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</si>
  <si>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</si>
  <si>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</si>
  <si>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</si>
  <si>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</si>
  <si>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</si>
  <si>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</si>
  <si>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</si>
  <si>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</si>
  <si>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</si>
  <si>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</si>
  <si>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</si>
  <si>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</si>
  <si>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</si>
  <si>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</si>
  <si>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</si>
  <si>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</si>
  <si>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</si>
  <si>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</si>
  <si>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</si>
  <si>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</si>
  <si>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</si>
  <si>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</si>
  <si>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</si>
  <si>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</si>
  <si>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</si>
  <si>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</si>
  <si>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</si>
  <si>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</si>
  <si>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</si>
  <si>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</si>
  <si>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</si>
  <si>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</si>
  <si>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</si>
  <si>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</si>
  <si>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</si>
  <si>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</si>
  <si>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</si>
  <si>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</si>
  <si>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</si>
  <si>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</si>
  <si>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</si>
  <si>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</si>
  <si>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</si>
  <si>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</si>
  <si>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</si>
  <si>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</si>
  <si>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</si>
  <si>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</si>
  <si>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</si>
  <si>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</si>
  <si>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</si>
  <si>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</si>
  <si>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</si>
  <si>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</si>
  <si>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</si>
  <si>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</si>
  <si>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</si>
  <si>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</si>
  <si>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</si>
  <si>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</si>
  <si>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</si>
  <si>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</si>
  <si>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</si>
  <si>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</si>
  <si>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</si>
  <si>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</si>
  <si>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</si>
  <si>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</si>
  <si>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</si>
  <si>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</si>
  <si>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</si>
  <si>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</si>
  <si>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</si>
  <si>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</si>
  <si>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</si>
  <si>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</si>
  <si>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</si>
  <si>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</si>
  <si>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</si>
  <si>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</si>
  <si>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</si>
  <si>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</si>
  <si>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</si>
  <si>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</si>
  <si>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</si>
  <si>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</si>
  <si>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</si>
  <si>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</si>
  <si>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</si>
  <si>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</si>
  <si>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</si>
  <si>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</si>
  <si>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</si>
  <si>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</si>
  <si>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</si>
  <si>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</si>
  <si>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</si>
  <si>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</si>
  <si>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</si>
  <si>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</si>
  <si>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</si>
  <si>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</si>
  <si>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</si>
  <si>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</si>
  <si>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</si>
  <si>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</si>
  <si>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</si>
  <si>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</si>
  <si>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</si>
  <si>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</si>
  <si>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</si>
  <si>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</si>
  <si>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</si>
  <si>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</si>
  <si>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</si>
  <si>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</si>
  <si>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</si>
  <si>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</si>
  <si>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</si>
  <si>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</si>
  <si>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</si>
  <si>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</si>
  <si>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</si>
  <si>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</si>
  <si>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</si>
  <si>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</si>
  <si>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</si>
  <si>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</si>
  <si>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</si>
  <si>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</si>
  <si>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</si>
  <si>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</si>
  <si>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</si>
  <si>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</si>
  <si>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</si>
  <si>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</si>
  <si>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</si>
  <si>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</si>
  <si>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</si>
  <si>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</si>
  <si>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</si>
  <si>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</si>
  <si>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</si>
  <si>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</si>
  <si>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</si>
  <si>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</si>
  <si>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</si>
  <si>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</si>
  <si>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</si>
  <si>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</si>
  <si>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</si>
  <si>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</si>
  <si>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</si>
  <si>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</si>
  <si>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</si>
  <si>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</si>
  <si>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</si>
  <si>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</si>
  <si>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</si>
  <si>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</si>
  <si>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</si>
  <si>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</si>
  <si>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</si>
  <si>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</si>
  <si>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</si>
  <si>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</si>
  <si>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</si>
  <si>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</si>
  <si>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</si>
  <si>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</si>
  <si>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</si>
  <si>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</si>
  <si>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</si>
  <si>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</si>
  <si>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</si>
  <si>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</si>
  <si>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</si>
  <si>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</si>
  <si>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</si>
  <si>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</si>
  <si>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</si>
  <si>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</si>
  <si>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</si>
  <si>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</si>
  <si>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</si>
  <si>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</si>
  <si>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</si>
  <si>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</si>
  <si>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</si>
  <si>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</si>
  <si>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</si>
  <si>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</si>
  <si>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</si>
  <si>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</si>
  <si>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</si>
  <si>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</si>
  <si>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</si>
  <si>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</si>
  <si>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</si>
  <si>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</si>
  <si>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</si>
  <si>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</si>
  <si>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</si>
  <si>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</si>
  <si>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</si>
  <si>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</si>
  <si>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</si>
  <si>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</si>
  <si>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</si>
  <si>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</si>
  <si>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</si>
  <si>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</si>
  <si>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</si>
  <si>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</si>
  <si>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</si>
  <si>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</si>
  <si>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</si>
  <si>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</si>
  <si>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</si>
  <si>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</si>
  <si>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</si>
  <si>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</si>
  <si>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</si>
  <si>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</si>
  <si>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</si>
  <si>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</si>
  <si>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</si>
  <si>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</si>
  <si>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</si>
  <si>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</si>
  <si>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</si>
  <si>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</si>
  <si>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</si>
  <si>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</si>
  <si>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</si>
  <si>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</si>
  <si>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</si>
  <si>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</si>
  <si>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</si>
  <si>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</si>
  <si>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</si>
  <si>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</si>
  <si>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</si>
  <si>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</si>
  <si>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</si>
  <si>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</si>
  <si>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</si>
  <si>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</si>
  <si>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</si>
  <si>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</si>
  <si>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</si>
  <si>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</si>
  <si>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</si>
  <si>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</si>
  <si>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</si>
  <si>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</si>
  <si>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</si>
  <si>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</si>
  <si>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</si>
  <si>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</si>
  <si>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</si>
  <si>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</si>
  <si>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</si>
  <si>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</si>
  <si>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</si>
  <si>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</si>
  <si>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</si>
  <si>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</si>
  <si>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</si>
  <si>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</si>
  <si>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</si>
  <si>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</si>
  <si>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</si>
  <si>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</si>
  <si>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</si>
  <si>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</si>
  <si>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</si>
  <si>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</si>
  <si>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</si>
  <si>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</si>
  <si>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</si>
  <si>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</si>
  <si>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</si>
  <si>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</si>
  <si>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</si>
  <si>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</si>
  <si>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</si>
  <si>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</si>
  <si>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</si>
  <si>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</si>
  <si>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</si>
  <si>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</si>
  <si>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</si>
  <si>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</si>
  <si>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</si>
  <si>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</si>
  <si>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</si>
  <si>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</si>
  <si>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</si>
  <si>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</si>
  <si>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</si>
  <si>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</si>
  <si>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</si>
  <si>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</si>
  <si>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</si>
  <si>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</si>
  <si>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</si>
  <si>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</si>
  <si>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</si>
  <si>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</si>
  <si>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</si>
  <si>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</si>
  <si>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</si>
  <si>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</si>
  <si>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</si>
  <si>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</si>
  <si>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</si>
  <si>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</si>
  <si>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</si>
  <si>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</si>
  <si>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</si>
  <si>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</si>
  <si>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</si>
  <si>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</si>
  <si>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</si>
  <si>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</si>
  <si>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</si>
  <si>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</si>
  <si>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</si>
  <si>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</si>
  <si>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</si>
  <si>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</si>
  <si>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</si>
  <si>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</si>
  <si>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</si>
  <si>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</si>
  <si>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</si>
  <si>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</si>
  <si>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</si>
  <si>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</si>
  <si>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</si>
  <si>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</si>
  <si>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</si>
  <si>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</si>
  <si>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</si>
  <si>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</si>
  <si>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</si>
  <si>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</si>
  <si>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</si>
  <si>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</si>
  <si>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</si>
  <si>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</si>
  <si>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</si>
  <si>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</si>
  <si>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</si>
  <si>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</si>
  <si>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</si>
  <si>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</si>
  <si>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</si>
  <si>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</si>
  <si>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</si>
  <si>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</si>
  <si>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</si>
  <si>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</si>
  <si>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</si>
  <si>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</si>
  <si>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</si>
  <si>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</si>
  <si>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</si>
  <si>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</si>
  <si>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</si>
  <si>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</si>
  <si>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</si>
  <si>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</si>
  <si>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</si>
  <si>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</si>
  <si>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</si>
  <si>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</si>
  <si>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</si>
  <si>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</si>
  <si>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</si>
  <si>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</si>
  <si>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</si>
  <si>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</si>
  <si>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</si>
  <si>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</si>
  <si>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</si>
  <si>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</si>
  <si>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</si>
  <si>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</si>
  <si>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</si>
  <si>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</si>
  <si>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</si>
  <si>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</si>
  <si>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</si>
  <si>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</si>
  <si>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</si>
  <si>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</si>
  <si>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</si>
  <si>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</si>
  <si>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</si>
  <si>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</si>
  <si>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</si>
  <si>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</si>
  <si>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</si>
  <si>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</si>
  <si>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</si>
  <si>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</si>
  <si>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</si>
  <si>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</si>
  <si>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</si>
  <si>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</si>
  <si>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</si>
  <si>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</si>
  <si>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</si>
  <si>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</si>
  <si>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</si>
  <si>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</si>
  <si>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</si>
  <si>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</si>
  <si>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</si>
  <si>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</si>
  <si>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</si>
  <si>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</si>
  <si>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</si>
  <si>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</si>
  <si>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</si>
  <si>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</si>
  <si>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</si>
  <si>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</si>
  <si>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</si>
  <si>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</si>
  <si>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</si>
  <si>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</si>
  <si>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</si>
  <si>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</si>
  <si>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</si>
  <si>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</si>
  <si>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</si>
  <si>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</si>
  <si>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</si>
  <si>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</si>
  <si>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</si>
  <si>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</si>
  <si>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</si>
  <si>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</si>
  <si>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</si>
  <si>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</si>
  <si>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</si>
  <si>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</si>
  <si>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</si>
  <si>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</si>
  <si>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</si>
  <si>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</si>
  <si>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</si>
  <si>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</si>
  <si>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</si>
  <si>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</si>
  <si>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</si>
  <si>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</si>
  <si>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</si>
  <si>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</si>
  <si>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</si>
  <si>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</si>
  <si>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</si>
  <si>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</si>
  <si>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</si>
  <si>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</si>
  <si>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</si>
  <si>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</si>
  <si>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</si>
  <si>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</si>
  <si>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</si>
  <si>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</si>
  <si>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</si>
  <si>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</si>
  <si>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</si>
  <si>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</si>
  <si>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</si>
  <si>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</si>
  <si>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</si>
  <si>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</si>
  <si>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</si>
  <si>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</si>
  <si>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</si>
  <si>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</si>
  <si>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</si>
  <si>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</si>
  <si>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</si>
  <si>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</si>
  <si>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</si>
  <si>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</si>
  <si>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</si>
  <si>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</si>
  <si>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</si>
  <si>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</si>
  <si>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</si>
  <si>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</si>
  <si>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</si>
  <si>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</si>
  <si>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</si>
  <si>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</si>
  <si>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</si>
  <si>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</si>
  <si>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</si>
  <si>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</si>
  <si>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</si>
  <si>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</si>
  <si>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</si>
  <si>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</si>
  <si>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</si>
  <si>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</si>
  <si>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</si>
  <si>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</si>
  <si>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</si>
  <si>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</si>
  <si>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</si>
  <si>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</si>
  <si>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</si>
  <si>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</si>
  <si>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</si>
  <si>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</si>
  <si>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</si>
  <si>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</si>
  <si>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</si>
  <si>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</si>
  <si>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</si>
  <si>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</si>
  <si>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</si>
  <si>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</si>
  <si>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</si>
  <si>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</si>
  <si>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</si>
  <si>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</si>
  <si>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</si>
  <si>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</si>
  <si>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</si>
  <si>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</si>
  <si>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</si>
  <si>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</si>
  <si>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</si>
  <si>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</si>
  <si>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</si>
  <si>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</si>
  <si>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</si>
  <si>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</si>
  <si>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</si>
  <si>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</si>
  <si>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</si>
  <si>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</si>
  <si>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</si>
  <si>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</si>
  <si>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</si>
  <si>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</si>
  <si>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</si>
  <si>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</si>
  <si>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</si>
  <si>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</si>
  <si>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</si>
  <si>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</si>
  <si>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</si>
  <si>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</si>
  <si>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</si>
  <si>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</si>
  <si>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</si>
  <si>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</si>
  <si>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</si>
  <si>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</si>
  <si>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</si>
  <si>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</si>
  <si>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</si>
  <si>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</si>
  <si>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</si>
  <si>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</si>
  <si>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</si>
  <si>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</si>
  <si>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</si>
  <si>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</si>
  <si>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</si>
  <si>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</si>
  <si>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</si>
  <si>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</si>
  <si>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260617-375</t>
  </si>
  <si>
    <t>260727-380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</si>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</sst>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E584" sqref="E584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B483" s="47">
        <v>46265</v>
      </c>
      <c r="C483" t="s">
        <v>765</v>
      </c>
      <c r="D483" t="s">
        <v>766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767</v>
      </c>
      <c r="B484" s="47">
        <v>46260</v>
      </c>
      <c r="C484" t="s">
        <v>768</v>
      </c>
      <c r="D484" t="s">
        <v>769</v>
      </c>
      <c r="E484" t="s">
        <v>33</v>
      </c>
      <c r="F484" t="s">
        <v>34</v>
      </c>
      <c r="G484" t="s">
        <v>770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771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772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773</v>
      </c>
      <c r="B487" s="47">
        <v>46267</v>
      </c>
      <c r="C487" t="s">
        <v>774</v>
      </c>
      <c r="D487" t="s">
        <v>775</v>
      </c>
      <c r="E487" t="s">
        <v>33</v>
      </c>
      <c r="F487" t="s">
        <v>45</v>
      </c>
      <c r="G487" t="s">
        <v>776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Q487" s="33"/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777</v>
      </c>
      <c r="B488" s="47">
        <v>46235</v>
      </c>
      <c r="C488" t="s">
        <v>778</v>
      </c>
      <c r="D488" t="s">
        <v>779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780</v>
      </c>
      <c r="B489" s="47">
        <v>46235</v>
      </c>
      <c r="C489" t="s">
        <v>781</v>
      </c>
      <c r="D489" t="s">
        <v>782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783</v>
      </c>
      <c r="B490" s="47">
        <v>46235</v>
      </c>
      <c r="C490" t="s">
        <v>784</v>
      </c>
      <c r="D490" t="s">
        <v>785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786</v>
      </c>
      <c r="B491" s="47">
        <v>46235</v>
      </c>
      <c r="C491" t="s">
        <v>787</v>
      </c>
      <c r="D491" t="s">
        <v>788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789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790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791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792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793</v>
      </c>
      <c r="B495" s="47">
        <v>46265</v>
      </c>
      <c r="C495" t="s">
        <v>718</v>
      </c>
      <c r="D495" t="s">
        <v>719</v>
      </c>
      <c r="E495" t="s">
        <v>33</v>
      </c>
      <c r="F495" t="s">
        <v>34</v>
      </c>
      <c r="G495" t="s">
        <v>116</v>
      </c>
      <c r="H495" s="20" t="s">
        <v>721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794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795</v>
      </c>
      <c r="B497" s="47">
        <v>46266</v>
      </c>
      <c r="C497" t="s">
        <v>781</v>
      </c>
      <c r="D497" t="s">
        <v>782</v>
      </c>
      <c r="E497" t="s">
        <v>33</v>
      </c>
      <c r="F497" t="s">
        <v>45</v>
      </c>
      <c r="G497" t="s">
        <v>26</v>
      </c>
      <c r="H497" s="20" t="s">
        <v>796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797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798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799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800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801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792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802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803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804</v>
      </c>
      <c r="B504" s="47">
        <v>46267</v>
      </c>
      <c r="C504" t="s">
        <v>759</v>
      </c>
      <c r="D504" t="s">
        <v>760</v>
      </c>
      <c r="E504" t="s">
        <v>24</v>
      </c>
      <c r="F504" t="s">
        <v>630</v>
      </c>
      <c r="G504" t="s">
        <v>26</v>
      </c>
      <c r="H504" s="20" t="s">
        <v>805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806</v>
      </c>
      <c r="B505" s="47">
        <v>46267</v>
      </c>
      <c r="C505" t="s">
        <v>762</v>
      </c>
      <c r="D505" t="s">
        <v>763</v>
      </c>
      <c r="E505" t="s">
        <v>24</v>
      </c>
      <c r="F505" t="s">
        <v>630</v>
      </c>
      <c r="G505" t="s">
        <v>26</v>
      </c>
      <c r="H505" s="20" t="s">
        <v>807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808</v>
      </c>
      <c r="B506" s="47">
        <v>46267</v>
      </c>
      <c r="C506" t="s">
        <v>756</v>
      </c>
      <c r="D506" t="s">
        <v>757</v>
      </c>
      <c r="E506" t="s">
        <v>24</v>
      </c>
      <c r="F506" t="s">
        <v>630</v>
      </c>
      <c r="G506" t="s">
        <v>26</v>
      </c>
      <c r="H506" s="20" t="s">
        <v>809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810</v>
      </c>
      <c r="B507" s="47">
        <v>46267</v>
      </c>
      <c r="C507" s="34" t="s">
        <v>762</v>
      </c>
      <c r="D507" s="34" t="s">
        <v>763</v>
      </c>
      <c r="E507" s="34" t="s">
        <v>24</v>
      </c>
      <c r="F507" s="34" t="s">
        <v>630</v>
      </c>
      <c r="G507" s="34" t="s">
        <v>26</v>
      </c>
      <c r="H507" s="20" t="s">
        <v>807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811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812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813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814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815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816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817</v>
      </c>
      <c r="B514" s="47">
        <v>46267</v>
      </c>
      <c r="C514" t="s">
        <v>749</v>
      </c>
      <c r="D514" t="s">
        <v>750</v>
      </c>
      <c r="E514" t="s">
        <v>33</v>
      </c>
      <c r="G514" t="s">
        <v>300</v>
      </c>
      <c r="H514" s="20" t="s">
        <v>752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818</v>
      </c>
      <c r="B515" s="47">
        <v>46267</v>
      </c>
      <c r="C515" t="s">
        <v>756</v>
      </c>
      <c r="D515" t="s">
        <v>757</v>
      </c>
      <c r="E515" t="s">
        <v>24</v>
      </c>
      <c r="F515" t="s">
        <v>630</v>
      </c>
      <c r="G515" t="s">
        <v>26</v>
      </c>
      <c r="H515" s="20" t="s">
        <v>809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819</v>
      </c>
      <c r="B516" s="47">
        <v>46267</v>
      </c>
      <c r="C516" t="s">
        <v>762</v>
      </c>
      <c r="D516" t="s">
        <v>763</v>
      </c>
      <c r="E516" t="s">
        <v>24</v>
      </c>
      <c r="F516" t="s">
        <v>630</v>
      </c>
      <c r="G516" t="s">
        <v>26</v>
      </c>
      <c r="H516" s="20" t="s">
        <v>807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820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821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822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823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824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825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821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826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823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827</v>
      </c>
      <c r="B522" s="47">
        <v>46267</v>
      </c>
      <c r="C522" t="s">
        <v>768</v>
      </c>
      <c r="D522" t="s">
        <v>769</v>
      </c>
      <c r="E522" t="s">
        <v>33</v>
      </c>
      <c r="F522" t="s">
        <v>34</v>
      </c>
      <c r="G522" t="s">
        <v>770</v>
      </c>
      <c r="H522" s="20" t="s">
        <v>828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829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830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831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832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833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834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835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836</v>
      </c>
      <c r="B529" s="47">
        <v>46268</v>
      </c>
      <c r="C529" s="34" t="s">
        <v>837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838</v>
      </c>
      <c r="B530" s="47">
        <v>46268</v>
      </c>
      <c r="C530" t="s">
        <v>839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840</v>
      </c>
      <c r="B531" s="47">
        <v>46268</v>
      </c>
      <c r="C531" t="s">
        <v>839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841</v>
      </c>
      <c r="B532" s="47">
        <v>46268</v>
      </c>
      <c r="C532" t="s">
        <v>839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842</v>
      </c>
      <c r="B533" s="47">
        <v>46262</v>
      </c>
      <c r="C533" t="s">
        <v>114</v>
      </c>
      <c r="D533" t="s">
        <v>115</v>
      </c>
      <c r="E533" t="s">
        <v>33</v>
      </c>
      <c r="F533" t="s">
        <v>34</v>
      </c>
      <c r="G533" t="s">
        <v>116</v>
      </c>
      <c r="H533" s="20" t="s">
        <v>666</v>
      </c>
      <c r="I533" t="s">
        <v>64</v>
      </c>
      <c r="J533" s="30">
        <v>840</v>
      </c>
      <c r="K533" s="22">
        <f>IF(I533="","",IF(I533="ENTRADA",ABS(J533),-ABS(J533)))</f>
        <v>-840</v>
      </c>
      <c r="L533" t="s">
        <v>36</v>
      </c>
      <c r="N533">
        <v>65192</v>
      </c>
      <c r="O533" t="s">
        <v>212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843</v>
      </c>
      <c r="B534" s="47">
        <v>46262</v>
      </c>
      <c r="C534" t="s">
        <v>121</v>
      </c>
      <c r="D534" t="s">
        <v>122</v>
      </c>
      <c r="E534" t="s">
        <v>33</v>
      </c>
      <c r="F534" t="s">
        <v>34</v>
      </c>
      <c r="G534" t="s">
        <v>116</v>
      </c>
      <c r="H534" s="20" t="s">
        <v>202</v>
      </c>
      <c r="I534" t="s">
        <v>64</v>
      </c>
      <c r="J534" s="30">
        <v>240</v>
      </c>
      <c r="K534" s="22">
        <f>IF(I534="","",IF(I534="ENTRADA",ABS(J534),-ABS(J534)))</f>
        <v>-240</v>
      </c>
      <c r="L534" t="s">
        <v>36</v>
      </c>
      <c r="N534">
        <v>65192</v>
      </c>
      <c r="O534" t="s">
        <v>212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844</v>
      </c>
      <c r="B535" s="47">
        <v>46262</v>
      </c>
      <c r="C535" t="s">
        <v>129</v>
      </c>
      <c r="D535" t="s">
        <v>130</v>
      </c>
      <c r="E535" t="s">
        <v>131</v>
      </c>
      <c r="G535" t="s">
        <v>132</v>
      </c>
      <c r="H535" s="20" t="s">
        <v>220</v>
      </c>
      <c r="I535" t="s">
        <v>64</v>
      </c>
      <c r="J535" s="30">
        <v>30</v>
      </c>
      <c r="K535" s="22">
        <f>IF(I535="","",IF(I535="ENTRADA",ABS(J535),-ABS(J535)))</f>
        <v>-30</v>
      </c>
      <c r="L535" t="s">
        <v>36</v>
      </c>
      <c r="N535">
        <v>65192</v>
      </c>
      <c r="O535" t="s">
        <v>212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845</v>
      </c>
      <c r="B536" s="47">
        <v>46262</v>
      </c>
      <c r="C536" t="s">
        <v>136</v>
      </c>
      <c r="D536" t="s">
        <v>137</v>
      </c>
      <c r="E536" t="s">
        <v>131</v>
      </c>
      <c r="G536" t="s">
        <v>132</v>
      </c>
      <c r="H536" s="20" t="s">
        <v>792</v>
      </c>
      <c r="I536" t="s">
        <v>64</v>
      </c>
      <c r="J536" s="30">
        <v>5</v>
      </c>
      <c r="K536" s="22">
        <f>IF(I536="","",IF(I536="ENTRADA",ABS(J536),-ABS(J536)))</f>
        <v>-5</v>
      </c>
      <c r="L536" t="s">
        <v>36</v>
      </c>
      <c r="N536">
        <v>65192</v>
      </c>
      <c r="O536" t="s">
        <v>212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846</v>
      </c>
      <c r="B537" s="47">
        <v>46262</v>
      </c>
      <c r="C537" t="s">
        <v>114</v>
      </c>
      <c r="D537" t="s">
        <v>115</v>
      </c>
      <c r="E537" t="s">
        <v>33</v>
      </c>
      <c r="F537" t="s">
        <v>34</v>
      </c>
      <c r="G537" t="s">
        <v>116</v>
      </c>
      <c r="H537" s="20" t="s">
        <v>666</v>
      </c>
      <c r="I537" t="s">
        <v>64</v>
      </c>
      <c r="J537" s="30">
        <v>1080</v>
      </c>
      <c r="K537" s="22">
        <f>IF(I537="","",IF(I537="ENTRADA",ABS(J537),-ABS(J537)))</f>
        <v>-1080</v>
      </c>
      <c r="L537" t="s">
        <v>36</v>
      </c>
      <c r="N537">
        <v>65193</v>
      </c>
      <c r="O537" t="s">
        <v>217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847</v>
      </c>
      <c r="B538" s="47">
        <v>46262</v>
      </c>
      <c r="C538" t="s">
        <v>121</v>
      </c>
      <c r="D538" t="s">
        <v>122</v>
      </c>
      <c r="E538" t="s">
        <v>33</v>
      </c>
      <c r="F538" t="s">
        <v>34</v>
      </c>
      <c r="G538" t="s">
        <v>116</v>
      </c>
      <c r="H538" s="20" t="s">
        <v>202</v>
      </c>
      <c r="I538" t="s">
        <v>64</v>
      </c>
      <c r="J538" s="30">
        <v>260</v>
      </c>
      <c r="K538" s="22">
        <f>IF(I538="","",IF(I538="ENTRADA",ABS(J538),-ABS(J538)))</f>
        <v>-260</v>
      </c>
      <c r="L538" t="s">
        <v>36</v>
      </c>
      <c r="N538">
        <v>65193</v>
      </c>
      <c r="O538" t="s">
        <v>217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848</v>
      </c>
      <c r="B539" s="47">
        <v>46262</v>
      </c>
      <c r="C539" t="s">
        <v>129</v>
      </c>
      <c r="D539" t="s">
        <v>130</v>
      </c>
      <c r="E539" t="s">
        <v>131</v>
      </c>
      <c r="G539" t="s">
        <v>132</v>
      </c>
      <c r="H539" s="20" t="s">
        <v>220</v>
      </c>
      <c r="I539" t="s">
        <v>64</v>
      </c>
      <c r="J539" s="30">
        <v>50</v>
      </c>
      <c r="K539" s="22">
        <f>IF(I539="","",IF(I539="ENTRADA",ABS(J539),-ABS(J539)))</f>
        <v>-50</v>
      </c>
      <c r="L539" t="s">
        <v>36</v>
      </c>
      <c r="N539">
        <v>65193</v>
      </c>
      <c r="O539" t="s">
        <v>217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849</v>
      </c>
      <c r="B540" s="47">
        <v>46262</v>
      </c>
      <c r="C540" s="34" t="s">
        <v>136</v>
      </c>
      <c r="D540" s="34" t="s">
        <v>137</v>
      </c>
      <c r="E540" s="34" t="s">
        <v>131</v>
      </c>
      <c r="F540" s="34"/>
      <c r="G540" s="34" t="s">
        <v>132</v>
      </c>
      <c r="H540" s="20" t="s">
        <v>792</v>
      </c>
      <c r="I540" s="34" t="s">
        <v>64</v>
      </c>
      <c r="J540" s="36">
        <v>10</v>
      </c>
      <c r="K540" s="22">
        <f>IF(I540="","",IF(I540="ENTRADA",ABS(J540),-ABS(J540)))</f>
        <v>-10</v>
      </c>
      <c r="L540" s="34" t="s">
        <v>36</v>
      </c>
      <c r="M540" s="34"/>
      <c r="N540">
        <v>65193</v>
      </c>
      <c r="O540" s="34" t="s">
        <v>217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850</v>
      </c>
      <c r="B541" s="47">
        <v>46262</v>
      </c>
      <c r="C541" t="s">
        <v>89</v>
      </c>
      <c r="D541" t="s">
        <v>90</v>
      </c>
      <c r="E541" t="s">
        <v>33</v>
      </c>
      <c r="F541" t="s">
        <v>34</v>
      </c>
      <c r="G541" t="s">
        <v>35</v>
      </c>
      <c r="H541" s="20" t="s">
        <v>374</v>
      </c>
      <c r="I541" t="s">
        <v>64</v>
      </c>
      <c r="J541" s="30">
        <v>200</v>
      </c>
      <c r="K541" s="22">
        <f>IF(I541="","",IF(I541="ENTRADA",ABS(J541),-ABS(J541)))</f>
        <v>-200</v>
      </c>
      <c r="L541" t="s">
        <v>36</v>
      </c>
      <c r="N541">
        <v>65193</v>
      </c>
      <c r="O541" t="s">
        <v>217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851</v>
      </c>
      <c r="B542" s="47">
        <v>46268</v>
      </c>
      <c r="C542" t="s">
        <v>774</v>
      </c>
      <c r="D542" t="s">
        <v>775</v>
      </c>
      <c r="E542" t="s">
        <v>33</v>
      </c>
      <c r="F542" t="s">
        <v>45</v>
      </c>
      <c r="G542" t="s">
        <v>776</v>
      </c>
      <c r="H542" s="20" t="s">
        <v>852</v>
      </c>
      <c r="I542" t="s">
        <v>64</v>
      </c>
      <c r="J542" s="30">
        <v>1000</v>
      </c>
      <c r="K542" s="22">
        <f>IF(I542="","",IF(I542="ENTRADA",ABS(J542),-ABS(J542)))</f>
        <v>-1000</v>
      </c>
      <c r="L542" t="s">
        <v>36</v>
      </c>
      <c r="M542" s="47">
        <v>46084</v>
      </c>
      <c r="N542">
        <v>65190</v>
      </c>
      <c r="O542" t="s">
        <v>212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853</v>
      </c>
      <c r="B543" s="47">
        <v>46269</v>
      </c>
      <c r="C543" t="s">
        <v>43</v>
      </c>
      <c r="D543" t="s">
        <v>62</v>
      </c>
      <c r="E543" t="s">
        <v>33</v>
      </c>
      <c r="F543" t="s">
        <v>45</v>
      </c>
      <c r="G543" t="s">
        <v>35</v>
      </c>
      <c r="H543" s="20" t="s">
        <v>63</v>
      </c>
      <c r="I543" t="s">
        <v>64</v>
      </c>
      <c r="J543" s="30">
        <v>40</v>
      </c>
      <c r="K543" s="22">
        <f>IF(I543="","",IF(I543="ENTRADA",ABS(J543),-ABS(J543)))</f>
        <v>-40</v>
      </c>
      <c r="L543" t="s">
        <v>36</v>
      </c>
      <c r="N543">
        <v>65191</v>
      </c>
      <c r="O543" t="s">
        <v>217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854</v>
      </c>
      <c r="B544" s="47">
        <v>46269</v>
      </c>
      <c r="C544" t="s">
        <v>58</v>
      </c>
      <c r="D544" t="s">
        <v>59</v>
      </c>
      <c r="E544" t="s">
        <v>33</v>
      </c>
      <c r="F544" t="s">
        <v>34</v>
      </c>
      <c r="H544" s="20" t="s">
        <v>67</v>
      </c>
      <c r="I544" t="s">
        <v>64</v>
      </c>
      <c r="J544" s="30">
        <v>80</v>
      </c>
      <c r="K544" s="22">
        <f>IF(I544="","",IF(I544="ENTRADA",ABS(J544),-ABS(J544)))</f>
        <v>-80</v>
      </c>
      <c r="L544" t="s">
        <v>36</v>
      </c>
      <c r="N544">
        <v>65191</v>
      </c>
      <c r="O544" t="s">
        <v>217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855</v>
      </c>
      <c r="B545" s="47">
        <v>46269</v>
      </c>
      <c r="C545" t="s">
        <v>129</v>
      </c>
      <c r="D545" t="s">
        <v>130</v>
      </c>
      <c r="E545" t="s">
        <v>131</v>
      </c>
      <c r="G545" t="s">
        <v>132</v>
      </c>
      <c r="H545" s="20" t="s">
        <v>220</v>
      </c>
      <c r="I545" t="s">
        <v>64</v>
      </c>
      <c r="J545" s="30">
        <v>20</v>
      </c>
      <c r="K545" s="22">
        <f>IF(I545="","",IF(I545="ENTRADA",ABS(J545),-ABS(J545)))</f>
        <v>-20</v>
      </c>
      <c r="L545" t="s">
        <v>36</v>
      </c>
      <c r="N545">
        <v>65191</v>
      </c>
      <c r="O545" t="s">
        <v>217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856</v>
      </c>
      <c r="B546" s="47">
        <v>46269</v>
      </c>
      <c r="C546" t="s">
        <v>136</v>
      </c>
      <c r="D546" t="s">
        <v>137</v>
      </c>
      <c r="E546" t="s">
        <v>131</v>
      </c>
      <c r="G546" t="s">
        <v>132</v>
      </c>
      <c r="H546" s="20" t="s">
        <v>792</v>
      </c>
      <c r="I546" t="s">
        <v>64</v>
      </c>
      <c r="J546" s="30">
        <v>3</v>
      </c>
      <c r="K546" s="22">
        <f>IF(I546="","",IF(I546="ENTRADA",ABS(J546),-ABS(J546)))</f>
        <v>-3</v>
      </c>
      <c r="L546" t="s">
        <v>36</v>
      </c>
      <c r="N546">
        <v>65191</v>
      </c>
      <c r="O546" t="s">
        <v>217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857</v>
      </c>
      <c r="B547" s="47">
        <v>46269</v>
      </c>
      <c r="C547" t="s">
        <v>756</v>
      </c>
      <c r="D547" t="s">
        <v>757</v>
      </c>
      <c r="E547" t="s">
        <v>24</v>
      </c>
      <c r="F547" t="s">
        <v>630</v>
      </c>
      <c r="G547" t="s">
        <v>26</v>
      </c>
      <c r="H547" s="20" t="s">
        <v>809</v>
      </c>
      <c r="I547" t="s">
        <v>64</v>
      </c>
      <c r="J547" s="30">
        <v>281</v>
      </c>
      <c r="K547" s="22">
        <f>IF(I547="","",IF(I547="ENTRADA",ABS(J547),-ABS(J547)))</f>
        <v>-281</v>
      </c>
      <c r="L547" t="s">
        <v>631</v>
      </c>
      <c r="N547">
        <v>65194</v>
      </c>
      <c r="O547" t="s">
        <v>212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858</v>
      </c>
      <c r="B548" s="47">
        <v>46269</v>
      </c>
      <c r="C548" t="s">
        <v>762</v>
      </c>
      <c r="D548" t="s">
        <v>763</v>
      </c>
      <c r="E548" t="s">
        <v>24</v>
      </c>
      <c r="F548" t="s">
        <v>630</v>
      </c>
      <c r="G548" t="s">
        <v>26</v>
      </c>
      <c r="H548" s="20" t="s">
        <v>807</v>
      </c>
      <c r="I548" t="s">
        <v>64</v>
      </c>
      <c r="J548" s="30">
        <v>8</v>
      </c>
      <c r="K548" s="22">
        <f>IF(I548="","",IF(I548="ENTRADA",ABS(J548),-ABS(J548)))</f>
        <v>-8</v>
      </c>
      <c r="L548" t="s">
        <v>631</v>
      </c>
      <c r="N548">
        <v>65194</v>
      </c>
      <c r="O548" t="s">
        <v>212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859</v>
      </c>
      <c r="B549" s="47">
        <v>46269</v>
      </c>
      <c r="C549" t="s">
        <v>628</v>
      </c>
      <c r="D549" t="s">
        <v>629</v>
      </c>
      <c r="E549" t="s">
        <v>24</v>
      </c>
      <c r="F549" t="s">
        <v>630</v>
      </c>
      <c r="G549" t="s">
        <v>157</v>
      </c>
      <c r="H549" s="20" t="s">
        <v>821</v>
      </c>
      <c r="I549" t="s">
        <v>64</v>
      </c>
      <c r="J549" s="30">
        <v>134</v>
      </c>
      <c r="K549" s="22">
        <f>IF(I549="","",IF(I549="ENTRADA",ABS(J549),-ABS(J549)))</f>
        <v>-134</v>
      </c>
      <c r="L549" t="s">
        <v>631</v>
      </c>
      <c r="N549">
        <v>65194</v>
      </c>
      <c r="O549" t="s">
        <v>212</v>
      </c>
      <c r="R549" s="22" t="str">
        <f>IF(H549="","",H549&amp;I549)</f>
        <v>260617-373SALIDA</v>
      </c>
      <c r="S549" s="22" t="str">
        <f>IF(C549="","",C549&amp;I549)</f>
        <v>semilla miaz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860</v>
      </c>
      <c r="B550" s="47">
        <v>46269</v>
      </c>
      <c r="C550" t="s">
        <v>762</v>
      </c>
      <c r="D550" t="s">
        <v>763</v>
      </c>
      <c r="E550" t="s">
        <v>24</v>
      </c>
      <c r="F550" t="s">
        <v>630</v>
      </c>
      <c r="G550" t="s">
        <v>26</v>
      </c>
      <c r="H550" s="20" t="s">
        <v>807</v>
      </c>
      <c r="I550" t="s">
        <v>64</v>
      </c>
      <c r="J550" s="30">
        <v>16</v>
      </c>
      <c r="K550" s="22">
        <f>IF(I550="","",IF(I550="ENTRADA",ABS(J550),-ABS(J550)))</f>
        <v>-16</v>
      </c>
      <c r="L550" t="s">
        <v>631</v>
      </c>
      <c r="N550">
        <v>65194</v>
      </c>
      <c r="O550" t="s">
        <v>212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861</v>
      </c>
      <c r="B551" s="47">
        <v>46269</v>
      </c>
      <c r="C551" s="34" t="s">
        <v>633</v>
      </c>
      <c r="D551" s="34" t="s">
        <v>629</v>
      </c>
      <c r="E551" s="34" t="s">
        <v>24</v>
      </c>
      <c r="F551" s="34" t="s">
        <v>630</v>
      </c>
      <c r="G551" s="34" t="s">
        <v>157</v>
      </c>
      <c r="H551" s="20" t="s">
        <v>823</v>
      </c>
      <c r="I551" s="34" t="s">
        <v>64</v>
      </c>
      <c r="J551" s="36">
        <v>15</v>
      </c>
      <c r="K551" s="22">
        <f>IF(I551="","",IF(I551="ENTRADA",ABS(J551),-ABS(J551)))</f>
        <v>-15</v>
      </c>
      <c r="L551" s="34" t="s">
        <v>631</v>
      </c>
      <c r="M551" s="34"/>
      <c r="N551" s="34">
        <v>65194</v>
      </c>
      <c r="O551" s="34" t="s">
        <v>212</v>
      </c>
      <c r="P551" s="34"/>
      <c r="Q551" s="35"/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862</v>
      </c>
      <c r="B552" s="47">
        <v>46269</v>
      </c>
      <c r="C552" t="s">
        <v>114</v>
      </c>
      <c r="D552" t="s">
        <v>115</v>
      </c>
      <c r="E552" t="s">
        <v>33</v>
      </c>
      <c r="F552" t="s">
        <v>34</v>
      </c>
      <c r="G552" t="s">
        <v>116</v>
      </c>
      <c r="H552" s="20" t="s">
        <v>666</v>
      </c>
      <c r="I552" t="s">
        <v>64</v>
      </c>
      <c r="J552" s="30">
        <v>2700</v>
      </c>
      <c r="K552" s="22">
        <f>IF(I552="","",IF(I552="ENTRADA",ABS(J552),-ABS(J552)))</f>
        <v>-2700</v>
      </c>
      <c r="L552" t="s">
        <v>36</v>
      </c>
      <c r="N552">
        <v>65195</v>
      </c>
      <c r="O552" t="s">
        <v>381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863</v>
      </c>
      <c r="B553" s="47">
        <v>46269</v>
      </c>
      <c r="C553" t="s">
        <v>781</v>
      </c>
      <c r="D553" t="s">
        <v>782</v>
      </c>
      <c r="E553" t="s">
        <v>33</v>
      </c>
      <c r="F553" t="s">
        <v>45</v>
      </c>
      <c r="G553" t="s">
        <v>26</v>
      </c>
      <c r="H553" s="20" t="s">
        <v>796</v>
      </c>
      <c r="I553" t="s">
        <v>64</v>
      </c>
      <c r="J553" s="30">
        <v>150</v>
      </c>
      <c r="K553" s="22">
        <f>IF(I553="","",IF(I553="ENTRADA",ABS(J553),-ABS(J553)))</f>
        <v>-150</v>
      </c>
      <c r="L553" t="s">
        <v>28</v>
      </c>
      <c r="N553">
        <v>65195</v>
      </c>
      <c r="O553" t="s">
        <v>381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864</v>
      </c>
      <c r="B554" s="47">
        <v>46269</v>
      </c>
      <c r="C554" t="s">
        <v>129</v>
      </c>
      <c r="D554" t="s">
        <v>130</v>
      </c>
      <c r="E554" t="s">
        <v>131</v>
      </c>
      <c r="G554" t="s">
        <v>132</v>
      </c>
      <c r="H554" s="20" t="s">
        <v>220</v>
      </c>
      <c r="I554" t="s">
        <v>64</v>
      </c>
      <c r="J554" s="30">
        <v>110</v>
      </c>
      <c r="K554" s="22">
        <f>IF(I554="","",IF(I554="ENTRADA",ABS(J554),-ABS(J554)))</f>
        <v>-110</v>
      </c>
      <c r="L554" t="s">
        <v>36</v>
      </c>
      <c r="N554">
        <v>65191</v>
      </c>
      <c r="O554" t="s">
        <v>381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865</v>
      </c>
      <c r="B555" s="47">
        <v>46269</v>
      </c>
      <c r="C555" t="s">
        <v>136</v>
      </c>
      <c r="D555" t="s">
        <v>137</v>
      </c>
      <c r="E555" t="s">
        <v>131</v>
      </c>
      <c r="G555" t="s">
        <v>132</v>
      </c>
      <c r="H555" s="20" t="s">
        <v>792</v>
      </c>
      <c r="I555" t="s">
        <v>64</v>
      </c>
      <c r="J555" s="30">
        <v>18</v>
      </c>
      <c r="K555" s="22">
        <f>IF(I555="","",IF(I555="ENTRADA",ABS(J555),-ABS(J555)))</f>
        <v>-18</v>
      </c>
      <c r="L555" t="s">
        <v>36</v>
      </c>
      <c r="N555">
        <v>65195</v>
      </c>
      <c r="O555" t="s">
        <v>381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866</v>
      </c>
      <c r="B556" s="47">
        <v>46269</v>
      </c>
      <c r="C556" t="s">
        <v>774</v>
      </c>
      <c r="D556" t="s">
        <v>775</v>
      </c>
      <c r="E556" t="s">
        <v>33</v>
      </c>
      <c r="F556" t="s">
        <v>45</v>
      </c>
      <c r="G556" t="s">
        <v>776</v>
      </c>
      <c r="H556" s="20" t="s">
        <v>852</v>
      </c>
      <c r="I556" t="s">
        <v>64</v>
      </c>
      <c r="J556" s="30">
        <v>900</v>
      </c>
      <c r="K556" s="22">
        <f>IF(I556="","",IF(I556="ENTRADA",ABS(J556),-ABS(J556)))</f>
        <v>-900</v>
      </c>
      <c r="L556" t="s">
        <v>36</v>
      </c>
      <c r="N556">
        <v>65195</v>
      </c>
      <c r="O556" t="s">
        <v>381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867</v>
      </c>
      <c r="B557" s="47">
        <v>46269</v>
      </c>
      <c r="C557" t="s">
        <v>74</v>
      </c>
      <c r="D557" t="s">
        <v>75</v>
      </c>
      <c r="E557" t="s">
        <v>33</v>
      </c>
      <c r="F557" t="s">
        <v>34</v>
      </c>
      <c r="G557" t="s">
        <v>76</v>
      </c>
      <c r="H557" s="20" t="s">
        <v>93</v>
      </c>
      <c r="I557" t="s">
        <v>64</v>
      </c>
      <c r="J557" s="30">
        <v>160</v>
      </c>
      <c r="K557" s="22">
        <f>IF(I557="","",IF(I557="ENTRADA",ABS(J557),-ABS(J557)))</f>
        <v>-160</v>
      </c>
      <c r="L557" t="s">
        <v>36</v>
      </c>
      <c r="N557">
        <v>65196</v>
      </c>
      <c r="O557" t="s">
        <v>217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868</v>
      </c>
      <c r="B558" s="47">
        <v>46269</v>
      </c>
      <c r="C558" t="s">
        <v>114</v>
      </c>
      <c r="D558" t="s">
        <v>115</v>
      </c>
      <c r="E558" t="s">
        <v>33</v>
      </c>
      <c r="F558" t="s">
        <v>34</v>
      </c>
      <c r="G558" t="s">
        <v>116</v>
      </c>
      <c r="H558" s="20" t="s">
        <v>666</v>
      </c>
      <c r="I558" t="s">
        <v>64</v>
      </c>
      <c r="J558" s="30">
        <v>1040</v>
      </c>
      <c r="K558" s="22">
        <f>IF(I558="","",IF(I558="ENTRADA",ABS(J558),-ABS(J558)))</f>
        <v>-1040</v>
      </c>
      <c r="L558" t="s">
        <v>36</v>
      </c>
      <c r="N558">
        <v>65197</v>
      </c>
      <c r="O558" t="s">
        <v>212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869</v>
      </c>
      <c r="B559" s="47">
        <v>46269</v>
      </c>
      <c r="C559" t="s">
        <v>768</v>
      </c>
      <c r="D559" t="s">
        <v>769</v>
      </c>
      <c r="E559" t="s">
        <v>33</v>
      </c>
      <c r="F559" t="s">
        <v>34</v>
      </c>
      <c r="G559" t="s">
        <v>770</v>
      </c>
      <c r="H559" s="20" t="s">
        <v>828</v>
      </c>
      <c r="I559" t="s">
        <v>64</v>
      </c>
      <c r="J559" s="30">
        <v>500</v>
      </c>
      <c r="K559" s="22">
        <f>IF(I559="","",IF(I559="ENTRADA",ABS(J559),-ABS(J559)))</f>
        <v>-500</v>
      </c>
      <c r="L559" t="s">
        <v>36</v>
      </c>
      <c r="N559">
        <v>65197</v>
      </c>
      <c r="O559" t="s">
        <v>212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870</v>
      </c>
      <c r="B560" s="47">
        <v>46269</v>
      </c>
      <c r="C560" t="s">
        <v>129</v>
      </c>
      <c r="D560" t="s">
        <v>130</v>
      </c>
      <c r="E560" t="s">
        <v>131</v>
      </c>
      <c r="G560" t="s">
        <v>132</v>
      </c>
      <c r="H560" s="20" t="s">
        <v>220</v>
      </c>
      <c r="I560" t="s">
        <v>64</v>
      </c>
      <c r="J560" s="30">
        <v>80</v>
      </c>
      <c r="K560" s="22">
        <f>IF(I560="","",IF(I560="ENTRADA",ABS(J560),-ABS(J560)))</f>
        <v>-80</v>
      </c>
      <c r="L560" t="s">
        <v>36</v>
      </c>
      <c r="N560">
        <v>65197</v>
      </c>
      <c r="O560" t="s">
        <v>212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871</v>
      </c>
      <c r="B561" s="47">
        <v>46269</v>
      </c>
      <c r="C561" t="s">
        <v>781</v>
      </c>
      <c r="D561" t="s">
        <v>782</v>
      </c>
      <c r="E561" t="s">
        <v>33</v>
      </c>
      <c r="F561" t="s">
        <v>45</v>
      </c>
      <c r="G561" t="s">
        <v>26</v>
      </c>
      <c r="H561" s="20" t="s">
        <v>796</v>
      </c>
      <c r="I561" t="s">
        <v>64</v>
      </c>
      <c r="J561" s="30">
        <v>40</v>
      </c>
      <c r="K561" s="22">
        <f>IF(I561="","",IF(I561="ENTRADA",ABS(J561),-ABS(J561)))</f>
        <v>-40</v>
      </c>
      <c r="L561" t="s">
        <v>28</v>
      </c>
      <c r="N561">
        <v>65197</v>
      </c>
      <c r="O561" t="s">
        <v>212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872</v>
      </c>
      <c r="B562" s="47">
        <v>46269</v>
      </c>
      <c r="C562" s="34" t="s">
        <v>774</v>
      </c>
      <c r="D562" s="34" t="s">
        <v>775</v>
      </c>
      <c r="E562" s="34" t="s">
        <v>33</v>
      </c>
      <c r="F562" s="34" t="s">
        <v>45</v>
      </c>
      <c r="G562" s="34" t="s">
        <v>776</v>
      </c>
      <c r="H562" s="20" t="s">
        <v>852</v>
      </c>
      <c r="I562" s="34" t="s">
        <v>64</v>
      </c>
      <c r="J562" s="36">
        <v>200</v>
      </c>
      <c r="K562" s="22">
        <f>IF(I562="","",IF(I562="ENTRADA",ABS(J562),-ABS(J562)))</f>
        <v>-200</v>
      </c>
      <c r="L562" s="34" t="s">
        <v>36</v>
      </c>
      <c r="M562" s="34"/>
      <c r="N562" s="34">
        <v>65197</v>
      </c>
      <c r="O562" s="34" t="s">
        <v>212</v>
      </c>
      <c r="P562" s="34"/>
      <c r="Q562" s="35"/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873</v>
      </c>
      <c r="B563" s="47">
        <v>46269</v>
      </c>
      <c r="C563" t="s">
        <v>89</v>
      </c>
      <c r="D563" t="s">
        <v>90</v>
      </c>
      <c r="E563" t="s">
        <v>33</v>
      </c>
      <c r="F563" t="s">
        <v>34</v>
      </c>
      <c r="G563" t="s">
        <v>35</v>
      </c>
      <c r="H563" s="20" t="s">
        <v>374</v>
      </c>
      <c r="I563" t="s">
        <v>64</v>
      </c>
      <c r="J563" s="30">
        <v>80</v>
      </c>
      <c r="K563" s="22">
        <f>IF(I563="","",IF(I563="ENTRADA",ABS(J563),-ABS(J563)))</f>
        <v>-80</v>
      </c>
      <c r="L563" t="s">
        <v>36</v>
      </c>
      <c r="N563">
        <v>65197</v>
      </c>
      <c r="O563" t="s">
        <v>212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874</v>
      </c>
      <c r="B564" s="47">
        <v>46269</v>
      </c>
      <c r="C564" t="s">
        <v>121</v>
      </c>
      <c r="D564" t="s">
        <v>122</v>
      </c>
      <c r="E564" t="s">
        <v>33</v>
      </c>
      <c r="F564" t="s">
        <v>34</v>
      </c>
      <c r="G564" t="s">
        <v>116</v>
      </c>
      <c r="H564" s="20" t="s">
        <v>202</v>
      </c>
      <c r="I564" t="s">
        <v>64</v>
      </c>
      <c r="J564" s="30">
        <v>330</v>
      </c>
      <c r="K564" s="22">
        <f>IF(I564="","",IF(I564="ENTRADA",ABS(J564),-ABS(J564)))</f>
        <v>-330</v>
      </c>
      <c r="L564" t="s">
        <v>36</v>
      </c>
      <c r="N564">
        <v>65197</v>
      </c>
      <c r="O564" t="s">
        <v>212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875</v>
      </c>
      <c r="B565" s="47">
        <v>46269</v>
      </c>
      <c r="C565" t="s">
        <v>136</v>
      </c>
      <c r="D565" t="s">
        <v>137</v>
      </c>
      <c r="E565" t="s">
        <v>131</v>
      </c>
      <c r="G565" t="s">
        <v>132</v>
      </c>
      <c r="H565" s="20" t="s">
        <v>792</v>
      </c>
      <c r="I565" t="s">
        <v>64</v>
      </c>
      <c r="J565" s="30">
        <v>15</v>
      </c>
      <c r="K565" s="22">
        <f>IF(I565="","",IF(I565="ENTRADA",ABS(J565),-ABS(J565)))</f>
        <v>-15</v>
      </c>
      <c r="L565" t="s">
        <v>36</v>
      </c>
      <c r="N565">
        <v>65197</v>
      </c>
      <c r="O565" t="s">
        <v>212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876</v>
      </c>
      <c r="B566" s="47">
        <v>46273</v>
      </c>
      <c r="C566" t="s">
        <v>781</v>
      </c>
      <c r="D566" t="s">
        <v>782</v>
      </c>
      <c r="E566" t="s">
        <v>33</v>
      </c>
      <c r="F566" t="s">
        <v>45</v>
      </c>
      <c r="G566" t="s">
        <v>26</v>
      </c>
      <c r="H566" s="20" t="s">
        <v>796</v>
      </c>
      <c r="I566" t="s">
        <v>64</v>
      </c>
      <c r="J566" s="30">
        <v>140</v>
      </c>
      <c r="K566" s="22">
        <f>IF(I566="","",IF(I566="ENTRADA",ABS(J566),-ABS(J566)))</f>
        <v>-140</v>
      </c>
      <c r="L566" t="s">
        <v>28</v>
      </c>
      <c r="N566">
        <v>65198</v>
      </c>
      <c r="O566" t="s">
        <v>65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877</v>
      </c>
      <c r="B567" s="47">
        <v>46273</v>
      </c>
      <c r="C567" t="s">
        <v>114</v>
      </c>
      <c r="D567" t="s">
        <v>115</v>
      </c>
      <c r="E567" t="s">
        <v>33</v>
      </c>
      <c r="F567" t="s">
        <v>34</v>
      </c>
      <c r="G567" t="s">
        <v>116</v>
      </c>
      <c r="H567" s="20" t="s">
        <v>666</v>
      </c>
      <c r="I567" t="s">
        <v>64</v>
      </c>
      <c r="J567" s="30">
        <v>2500</v>
      </c>
      <c r="K567" s="22">
        <f>IF(I567="","",IF(I567="ENTRADA",ABS(J567),-ABS(J567)))</f>
        <v>-2500</v>
      </c>
      <c r="L567" t="s">
        <v>36</v>
      </c>
      <c r="N567">
        <v>65198</v>
      </c>
      <c r="O567" t="s">
        <v>65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878</v>
      </c>
      <c r="B568" s="47">
        <v>46273</v>
      </c>
      <c r="C568" t="s">
        <v>74</v>
      </c>
      <c r="D568" t="s">
        <v>75</v>
      </c>
      <c r="E568" t="s">
        <v>33</v>
      </c>
      <c r="F568" t="s">
        <v>34</v>
      </c>
      <c r="G568" t="s">
        <v>76</v>
      </c>
      <c r="H568" s="20" t="s">
        <v>93</v>
      </c>
      <c r="I568" t="s">
        <v>64</v>
      </c>
      <c r="J568" s="30">
        <v>1000</v>
      </c>
      <c r="K568" s="22">
        <f>IF(I568="","",IF(I568="ENTRADA",ABS(J568),-ABS(J568)))</f>
        <v>-1000</v>
      </c>
      <c r="L568" t="s">
        <v>36</v>
      </c>
      <c r="N568">
        <v>65198</v>
      </c>
      <c r="O568" t="s">
        <v>65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879</v>
      </c>
      <c r="B569" s="47">
        <v>46273</v>
      </c>
      <c r="C569" t="s">
        <v>136</v>
      </c>
      <c r="D569" t="s">
        <v>137</v>
      </c>
      <c r="E569" t="s">
        <v>131</v>
      </c>
      <c r="G569" t="s">
        <v>132</v>
      </c>
      <c r="H569" s="20" t="s">
        <v>792</v>
      </c>
      <c r="I569" t="s">
        <v>64</v>
      </c>
      <c r="J569" s="30">
        <v>60</v>
      </c>
      <c r="K569" s="22">
        <f>IF(I569="","",IF(I569="ENTRADA",ABS(J569),-ABS(J569)))</f>
        <v>-60</v>
      </c>
      <c r="L569" t="s">
        <v>36</v>
      </c>
      <c r="N569">
        <v>65198</v>
      </c>
      <c r="O569" t="s">
        <v>65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880</v>
      </c>
      <c r="B570" s="47">
        <v>46273</v>
      </c>
      <c r="C570" t="s">
        <v>655</v>
      </c>
      <c r="E570" t="s">
        <v>131</v>
      </c>
      <c r="G570" t="s">
        <v>132</v>
      </c>
      <c r="H570" s="20" t="s">
        <v>657</v>
      </c>
      <c r="I570" t="s">
        <v>64</v>
      </c>
      <c r="J570" s="30">
        <v>60</v>
      </c>
      <c r="K570" s="22">
        <f>IF(I570="","",IF(I570="ENTRADA",ABS(J570),-ABS(J570)))</f>
        <v>-60</v>
      </c>
      <c r="L570" t="s">
        <v>36</v>
      </c>
      <c r="N570">
        <v>65198</v>
      </c>
      <c r="O570" t="s">
        <v>65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881</v>
      </c>
      <c r="B571" s="47">
        <v>46273</v>
      </c>
      <c r="C571" t="s">
        <v>129</v>
      </c>
      <c r="D571" t="s">
        <v>130</v>
      </c>
      <c r="E571" t="s">
        <v>131</v>
      </c>
      <c r="G571" t="s">
        <v>132</v>
      </c>
      <c r="H571" s="20" t="s">
        <v>220</v>
      </c>
      <c r="I571" t="s">
        <v>64</v>
      </c>
      <c r="J571" s="30">
        <v>60</v>
      </c>
      <c r="K571" s="22">
        <f>IF(I571="","",IF(I571="ENTRADA",ABS(J571),-ABS(J571)))</f>
        <v>-60</v>
      </c>
      <c r="L571" t="s">
        <v>36</v>
      </c>
      <c r="N571">
        <v>65198</v>
      </c>
      <c r="O571" t="s">
        <v>65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882</v>
      </c>
      <c r="B572" s="47">
        <v>46273</v>
      </c>
      <c r="C572" t="s">
        <v>774</v>
      </c>
      <c r="D572" t="s">
        <v>775</v>
      </c>
      <c r="E572" t="s">
        <v>33</v>
      </c>
      <c r="F572" t="s">
        <v>45</v>
      </c>
      <c r="G572" t="s">
        <v>776</v>
      </c>
      <c r="H572" s="20" t="s">
        <v>852</v>
      </c>
      <c r="I572" t="s">
        <v>64</v>
      </c>
      <c r="J572" s="30">
        <v>60</v>
      </c>
      <c r="K572" s="22">
        <f>IF(I572="","",IF(I572="ENTRADA",ABS(J572),-ABS(J572)))</f>
        <v>-60</v>
      </c>
      <c r="L572" t="s">
        <v>36</v>
      </c>
      <c r="N572">
        <v>65198</v>
      </c>
      <c r="O572" t="s">
        <v>65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883</v>
      </c>
      <c r="B573" s="47">
        <v>46272</v>
      </c>
      <c r="C573" s="34" t="s">
        <v>633</v>
      </c>
      <c r="D573" s="34" t="s">
        <v>629</v>
      </c>
      <c r="E573" s="34" t="s">
        <v>24</v>
      </c>
      <c r="F573" s="34" t="s">
        <v>630</v>
      </c>
      <c r="G573" s="34" t="s">
        <v>157</v>
      </c>
      <c r="H573" s="20" t="s">
        <v>823</v>
      </c>
      <c r="I573" s="34" t="s">
        <v>64</v>
      </c>
      <c r="J573" s="36">
        <v>12</v>
      </c>
      <c r="K573" s="22">
        <f>IF(I573="","",IF(I573="ENTRADA",ABS(J573),-ABS(J573)))</f>
        <v>-12</v>
      </c>
      <c r="L573" s="34" t="s">
        <v>631</v>
      </c>
      <c r="M573" s="34"/>
      <c r="N573" s="34">
        <v>65199</v>
      </c>
      <c r="O573" s="34" t="s">
        <v>381</v>
      </c>
      <c r="P573" s="34"/>
      <c r="Q573" s="35"/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884</v>
      </c>
      <c r="B574" s="47">
        <v>46273</v>
      </c>
      <c r="C574" t="s">
        <v>136</v>
      </c>
      <c r="D574" t="s">
        <v>137</v>
      </c>
      <c r="E574" t="s">
        <v>131</v>
      </c>
      <c r="G574" t="s">
        <v>132</v>
      </c>
      <c r="H574" s="20" t="s">
        <v>792</v>
      </c>
      <c r="I574" t="s">
        <v>64</v>
      </c>
      <c r="J574" s="30">
        <v>8</v>
      </c>
      <c r="K574" s="22">
        <f>IF(I574="","",IF(I574="ENTRADA",ABS(J574),-ABS(J574)))</f>
        <v>-8</v>
      </c>
      <c r="L574" t="s">
        <v>36</v>
      </c>
      <c r="N574">
        <v>65200</v>
      </c>
      <c r="O574" t="s">
        <v>217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885</v>
      </c>
      <c r="B575" s="47">
        <v>46273</v>
      </c>
      <c r="C575" t="s">
        <v>513</v>
      </c>
      <c r="D575" t="s">
        <v>514</v>
      </c>
      <c r="E575" t="s">
        <v>515</v>
      </c>
      <c r="G575" t="s">
        <v>116</v>
      </c>
      <c r="H575" s="20" t="s">
        <v>662</v>
      </c>
      <c r="I575" t="s">
        <v>64</v>
      </c>
      <c r="J575" s="30">
        <v>200</v>
      </c>
      <c r="K575" s="22">
        <f>IF(I575="","",IF(I575="ENTRADA",ABS(J575),-ABS(J575)))</f>
        <v>-200</v>
      </c>
      <c r="L575" t="s">
        <v>36</v>
      </c>
      <c r="N575">
        <v>65200</v>
      </c>
      <c r="O575" t="s">
        <v>217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886</v>
      </c>
      <c r="B576" s="47">
        <v>46273</v>
      </c>
      <c r="C576" t="s">
        <v>129</v>
      </c>
      <c r="D576" t="s">
        <v>130</v>
      </c>
      <c r="E576" t="s">
        <v>131</v>
      </c>
      <c r="G576" t="s">
        <v>132</v>
      </c>
      <c r="H576" s="20" t="s">
        <v>220</v>
      </c>
      <c r="I576" t="s">
        <v>64</v>
      </c>
      <c r="J576" s="30">
        <v>40</v>
      </c>
      <c r="K576" s="22">
        <f>IF(I576="","",IF(I576="ENTRADA",ABS(J576),-ABS(J576)))</f>
        <v>-40</v>
      </c>
      <c r="L576" t="s">
        <v>36</v>
      </c>
      <c r="N576">
        <v>65200</v>
      </c>
      <c r="O576" t="s">
        <v>217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887</v>
      </c>
      <c r="B577" s="47">
        <v>46273</v>
      </c>
      <c r="C577" t="s">
        <v>129</v>
      </c>
      <c r="D577" t="s">
        <v>130</v>
      </c>
      <c r="E577" t="s">
        <v>131</v>
      </c>
      <c r="G577" t="s">
        <v>132</v>
      </c>
      <c r="H577" s="20" t="s">
        <v>220</v>
      </c>
      <c r="I577" t="s">
        <v>64</v>
      </c>
      <c r="J577" s="30">
        <v>80</v>
      </c>
      <c r="K577" s="22">
        <f>IF(I577="","",IF(I577="ENTRADA",ABS(J577),-ABS(J577)))</f>
        <v>-80</v>
      </c>
      <c r="L577" t="s">
        <v>36</v>
      </c>
      <c r="N577">
        <v>65201</v>
      </c>
      <c r="O577" t="s">
        <v>381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888</v>
      </c>
      <c r="B578" s="47">
        <v>46273</v>
      </c>
      <c r="C578" t="s">
        <v>136</v>
      </c>
      <c r="D578" t="s">
        <v>137</v>
      </c>
      <c r="E578" t="s">
        <v>131</v>
      </c>
      <c r="G578" t="s">
        <v>132</v>
      </c>
      <c r="H578" s="20" t="s">
        <v>210</v>
      </c>
      <c r="I578" t="s">
        <v>64</v>
      </c>
      <c r="J578" s="30">
        <v>15</v>
      </c>
      <c r="K578" s="22">
        <f>IF(I578="","",IF(I578="ENTRADA",ABS(J578),-ABS(J578)))</f>
        <v>-15</v>
      </c>
      <c r="L578" t="s">
        <v>36</v>
      </c>
      <c r="N578">
        <v>65201</v>
      </c>
      <c r="O578" t="s">
        <v>381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889</v>
      </c>
      <c r="B579" s="47">
        <v>46273</v>
      </c>
      <c r="C579" t="s">
        <v>114</v>
      </c>
      <c r="D579" t="s">
        <v>115</v>
      </c>
      <c r="E579" t="s">
        <v>33</v>
      </c>
      <c r="F579" t="s">
        <v>34</v>
      </c>
      <c r="G579" t="s">
        <v>116</v>
      </c>
      <c r="H579" s="20" t="s">
        <v>666</v>
      </c>
      <c r="I579" t="s">
        <v>64</v>
      </c>
      <c r="J579" s="30">
        <v>2200</v>
      </c>
      <c r="K579" s="22">
        <f>IF(I579="","",IF(I579="ENTRADA",ABS(J579),-ABS(J579)))</f>
        <v>-2200</v>
      </c>
      <c r="L579" t="s">
        <v>36</v>
      </c>
      <c r="N579">
        <v>65201</v>
      </c>
      <c r="O579" t="s">
        <v>381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890</v>
      </c>
      <c r="B580" s="47">
        <v>46273</v>
      </c>
      <c r="C580" t="s">
        <v>121</v>
      </c>
      <c r="D580" t="s">
        <v>122</v>
      </c>
      <c r="E580" t="s">
        <v>33</v>
      </c>
      <c r="F580" t="s">
        <v>34</v>
      </c>
      <c r="G580" t="s">
        <v>116</v>
      </c>
      <c r="H580" s="20" t="s">
        <v>202</v>
      </c>
      <c r="I580" t="s">
        <v>64</v>
      </c>
      <c r="J580" s="30">
        <v>640</v>
      </c>
      <c r="K580" s="22">
        <f>IF(I580="","",IF(I580="ENTRADA",ABS(J580),-ABS(J580)))</f>
        <v>-640</v>
      </c>
      <c r="L580" t="s">
        <v>36</v>
      </c>
      <c r="N580">
        <v>65201</v>
      </c>
      <c r="O580" t="s">
        <v>381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891</v>
      </c>
      <c r="B581" s="47">
        <v>46273</v>
      </c>
      <c r="C581" t="s">
        <v>89</v>
      </c>
      <c r="D581" t="s">
        <v>90</v>
      </c>
      <c r="E581" t="s">
        <v>33</v>
      </c>
      <c r="F581" t="s">
        <v>34</v>
      </c>
      <c r="G581" t="s">
        <v>35</v>
      </c>
      <c r="H581" s="20" t="s">
        <v>374</v>
      </c>
      <c r="I581" t="s">
        <v>64</v>
      </c>
      <c r="J581" s="30">
        <v>100</v>
      </c>
      <c r="K581" s="22">
        <f>IF(I581="","",IF(I581="ENTRADA",ABS(J581),-ABS(J581)))</f>
        <v>-100</v>
      </c>
      <c r="L581" t="s">
        <v>36</v>
      </c>
      <c r="N581">
        <v>65201</v>
      </c>
      <c r="O581" t="s">
        <v>381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892</v>
      </c>
      <c r="B582" s="47">
        <v>46273</v>
      </c>
      <c r="C582" t="s">
        <v>749</v>
      </c>
      <c r="D582" t="s">
        <v>750</v>
      </c>
      <c r="E582" t="s">
        <v>33</v>
      </c>
      <c r="G582" t="s">
        <v>300</v>
      </c>
      <c r="H582" s="20" t="s">
        <v>752</v>
      </c>
      <c r="I582" t="s">
        <v>64</v>
      </c>
      <c r="J582" s="30">
        <v>60</v>
      </c>
      <c r="K582" s="22">
        <f>IF(I582="","",IF(I582="ENTRADA",ABS(J582),-ABS(J582)))</f>
        <v>-60</v>
      </c>
      <c r="L582" t="s">
        <v>36</v>
      </c>
      <c r="N582">
        <v>65201</v>
      </c>
      <c r="O582" t="s">
        <v>381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893</v>
      </c>
      <c r="B583" s="47">
        <v>46273</v>
      </c>
      <c r="C583" t="s">
        <v>114</v>
      </c>
      <c r="D583" t="s">
        <v>115</v>
      </c>
      <c r="E583" t="s">
        <v>33</v>
      </c>
      <c r="F583" t="s">
        <v>34</v>
      </c>
      <c r="G583" t="s">
        <v>116</v>
      </c>
      <c r="H583" s="20" t="s">
        <v>666</v>
      </c>
      <c r="I583" t="s">
        <v>64</v>
      </c>
      <c r="J583" s="30">
        <v>8160</v>
      </c>
      <c r="K583" s="22">
        <f>IF(I583="","",IF(I583="ENTRADA",ABS(J583),-ABS(J583)))</f>
        <v>-8160</v>
      </c>
      <c r="L583" t="s">
        <v>36</v>
      </c>
      <c r="N583">
        <v>65202</v>
      </c>
      <c r="O583" t="s">
        <v>212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894</v>
      </c>
      <c r="B584" s="47">
        <v>46273</v>
      </c>
      <c r="C584" s="34" t="s">
        <v>121</v>
      </c>
      <c r="D584" s="34" t="s">
        <v>122</v>
      </c>
      <c r="E584" s="34" t="s">
        <v>33</v>
      </c>
      <c r="F584" s="34" t="s">
        <v>34</v>
      </c>
      <c r="G584" s="34" t="s">
        <v>116</v>
      </c>
      <c r="H584" s="20" t="s">
        <v>202</v>
      </c>
      <c r="I584" s="34" t="s">
        <v>64</v>
      </c>
      <c r="J584" s="36">
        <v>2000</v>
      </c>
      <c r="K584" s="22">
        <f>IF(I584="","",IF(I584="ENTRADA",ABS(J584),-ABS(J584)))</f>
        <v>-2000</v>
      </c>
      <c r="L584" s="34" t="s">
        <v>36</v>
      </c>
      <c r="M584" s="34"/>
      <c r="N584" s="34">
        <v>65202</v>
      </c>
      <c r="O584" s="34" t="s">
        <v>212</v>
      </c>
      <c r="P584" s="34"/>
      <c r="Q584" s="35"/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895</v>
      </c>
      <c r="B585" s="47">
        <v>46273</v>
      </c>
      <c r="C585" t="s">
        <v>89</v>
      </c>
      <c r="D585" t="s">
        <v>90</v>
      </c>
      <c r="E585" t="s">
        <v>33</v>
      </c>
      <c r="F585" t="s">
        <v>34</v>
      </c>
      <c r="G585" t="s">
        <v>35</v>
      </c>
      <c r="H585" s="20" t="s">
        <v>374</v>
      </c>
      <c r="I585" t="s">
        <v>64</v>
      </c>
      <c r="J585" s="30">
        <v>200</v>
      </c>
      <c r="K585" s="22">
        <f>IF(I585="","",IF(I585="ENTRADA",ABS(J585),-ABS(J585)))</f>
        <v>-200</v>
      </c>
      <c r="L585" t="s">
        <v>36</v>
      </c>
      <c r="N585">
        <v>65202</v>
      </c>
      <c r="O585" t="s">
        <v>212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896</v>
      </c>
      <c r="B586" s="47">
        <v>46273</v>
      </c>
      <c r="C586" t="s">
        <v>114</v>
      </c>
      <c r="D586" t="s">
        <v>115</v>
      </c>
      <c r="E586" t="s">
        <v>33</v>
      </c>
      <c r="F586" t="s">
        <v>34</v>
      </c>
      <c r="G586" t="s">
        <v>116</v>
      </c>
      <c r="H586" s="20" t="s">
        <v>666</v>
      </c>
      <c r="I586" t="s">
        <v>64</v>
      </c>
      <c r="J586" s="30">
        <v>7500</v>
      </c>
      <c r="K586" s="22">
        <f>IF(I586="","",IF(I586="ENTRADA",ABS(J586),-ABS(J586)))</f>
        <v>-7500</v>
      </c>
      <c r="L586" t="s">
        <v>36</v>
      </c>
      <c r="N586">
        <v>65203</v>
      </c>
      <c r="O586" t="s">
        <v>236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897</v>
      </c>
      <c r="B587" s="47">
        <v>46273</v>
      </c>
      <c r="C587" t="s">
        <v>121</v>
      </c>
      <c r="D587" t="s">
        <v>122</v>
      </c>
      <c r="E587" t="s">
        <v>33</v>
      </c>
      <c r="F587" t="s">
        <v>34</v>
      </c>
      <c r="G587" t="s">
        <v>116</v>
      </c>
      <c r="H587" s="20" t="s">
        <v>202</v>
      </c>
      <c r="I587" t="s">
        <v>64</v>
      </c>
      <c r="J587" s="30">
        <v>2000</v>
      </c>
      <c r="K587" s="22">
        <f>IF(I587="","",IF(I587="ENTRADA",ABS(J587),-ABS(J587)))</f>
        <v>-2000</v>
      </c>
      <c r="L587" t="s">
        <v>36</v>
      </c>
      <c r="N587">
        <v>65203</v>
      </c>
      <c r="O587" t="s">
        <v>236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898</v>
      </c>
      <c r="B588" s="47">
        <v>46273</v>
      </c>
      <c r="C588" t="s">
        <v>129</v>
      </c>
      <c r="D588" t="s">
        <v>130</v>
      </c>
      <c r="E588" t="s">
        <v>131</v>
      </c>
      <c r="G588" t="s">
        <v>132</v>
      </c>
      <c r="H588" s="20" t="s">
        <v>220</v>
      </c>
      <c r="I588" t="s">
        <v>64</v>
      </c>
      <c r="J588" s="30">
        <v>210</v>
      </c>
      <c r="K588" s="22">
        <f>IF(I588="","",IF(I588="ENTRADA",ABS(J588),-ABS(J588)))</f>
        <v>-210</v>
      </c>
      <c r="L588" t="s">
        <v>36</v>
      </c>
      <c r="N588">
        <v>65203</v>
      </c>
      <c r="O588" t="s">
        <v>236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899</v>
      </c>
      <c r="B589" s="47">
        <v>46273</v>
      </c>
      <c r="C589" t="s">
        <v>136</v>
      </c>
      <c r="D589" t="s">
        <v>137</v>
      </c>
      <c r="E589" t="s">
        <v>131</v>
      </c>
      <c r="G589" t="s">
        <v>132</v>
      </c>
      <c r="H589" s="20" t="s">
        <v>210</v>
      </c>
      <c r="I589" t="s">
        <v>64</v>
      </c>
      <c r="J589" s="30">
        <v>45</v>
      </c>
      <c r="K589" s="22">
        <f>IF(I589="","",IF(I589="ENTRADA",ABS(J589),-ABS(J589)))</f>
        <v>-45</v>
      </c>
      <c r="L589" t="s">
        <v>36</v>
      </c>
      <c r="N589">
        <v>65203</v>
      </c>
      <c r="O589" t="s">
        <v>236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900</v>
      </c>
      <c r="B590" s="47">
        <v>46273</v>
      </c>
      <c r="C590" t="s">
        <v>74</v>
      </c>
      <c r="D590" t="s">
        <v>75</v>
      </c>
      <c r="E590" t="s">
        <v>33</v>
      </c>
      <c r="F590" t="s">
        <v>34</v>
      </c>
      <c r="G590" t="s">
        <v>76</v>
      </c>
      <c r="H590" s="20" t="s">
        <v>93</v>
      </c>
      <c r="I590" t="s">
        <v>64</v>
      </c>
      <c r="J590" s="30">
        <v>780</v>
      </c>
      <c r="K590" s="22">
        <f>IF(I590="","",IF(I590="ENTRADA",ABS(J590),-ABS(J590)))</f>
        <v>-780</v>
      </c>
      <c r="L590" t="s">
        <v>36</v>
      </c>
      <c r="N590">
        <v>65203</v>
      </c>
      <c r="O590" t="s">
        <v>236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901</v>
      </c>
      <c r="B591" s="47">
        <v>46273</v>
      </c>
      <c r="C591" t="s">
        <v>774</v>
      </c>
      <c r="D591" t="s">
        <v>775</v>
      </c>
      <c r="E591" t="s">
        <v>33</v>
      </c>
      <c r="F591" t="s">
        <v>45</v>
      </c>
      <c r="G591" t="s">
        <v>776</v>
      </c>
      <c r="H591" s="20" t="s">
        <v>852</v>
      </c>
      <c r="I591" t="s">
        <v>64</v>
      </c>
      <c r="J591" s="30">
        <v>190</v>
      </c>
      <c r="K591" s="22">
        <f>IF(I591="","",IF(I591="ENTRADA",ABS(J591),-ABS(J591)))</f>
        <v>-190</v>
      </c>
      <c r="L591" t="s">
        <v>36</v>
      </c>
      <c r="N591">
        <v>65203</v>
      </c>
      <c r="O591" t="s">
        <v>236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902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903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904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905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906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907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908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909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910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911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912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913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914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915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916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917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918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919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920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921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922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923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924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925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926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927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928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929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930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931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932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933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934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935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936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937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938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939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940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941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942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943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944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945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946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947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948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949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950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951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952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953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954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955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956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957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958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959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960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961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962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963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964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965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966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967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968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969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970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971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972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973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974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975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976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977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978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979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980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981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982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983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984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985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986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987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988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989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990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991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992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993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994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995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996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997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998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999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1000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1001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1002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1003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1004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1005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1006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1007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1008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1009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1010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1011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1012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1013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1014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1015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1016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1017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1018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1019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1020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1021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1022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1023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1024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1025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1026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1027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1028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1029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1030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1031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1032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1033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1034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1035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1036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1037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1038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1039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1040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1041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1042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1043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1044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1045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1046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1047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1048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1049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1050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1051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1052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1053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1054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1055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1056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1057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1058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1059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1060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1061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1062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1063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1064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1065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1066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1067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1068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1069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1070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1071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1072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1073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1074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1075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1076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1077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1078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1079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1080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1081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1082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1083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1084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1085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1086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1087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1088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1089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1090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1091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1092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1093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1094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1095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1096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1097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1098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1099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1100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1101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1102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1103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1104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1105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1106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1107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1108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1109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1110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1111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1112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1113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1114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1115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1116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1117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1118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1119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1120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1121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1122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1123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1124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1125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1126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1127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1128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1129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1130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1131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1132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1133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1134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1135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1136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1137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1138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1139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1140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1141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1142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1143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1144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1145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1146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1147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1148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1149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1150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1151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1152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1153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1154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1155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1156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1157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1158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1159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1160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1161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1162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1163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1164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1165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1166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1167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1168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1169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1170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1171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1172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1173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1174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1175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1176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1177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1178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1179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1180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1181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1182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1183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1184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1185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1186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1187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1188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1189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1190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1191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1192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1193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1194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1195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1196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1197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1198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1199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1200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1201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1202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1203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1204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1205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1206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1207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1208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1209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1210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1211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1212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1213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1214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1215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1216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1217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1218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1219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1220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1221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1222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1223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1224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1225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1226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1227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1228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1229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1230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1231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1232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1233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1234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1235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1236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1237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1238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1239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1240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1241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1242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1243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1244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1245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1246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1247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1248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1249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1250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1251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1252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1253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1254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1255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1256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1257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1258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1259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1260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1261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1262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1263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1264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1265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1266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1267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1268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1269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1270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1271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1272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1273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1274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1275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1276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1277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1278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1279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1280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1281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1282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1283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1284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1285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1286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1287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1288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1289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1290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1291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1292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1293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1294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1295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1296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1297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1298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1299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1300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1301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1302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1303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1304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1305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1306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1307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1308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1309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1310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1311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1312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1313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1314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1315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1316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1317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1318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1319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1320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1321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1322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1323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1324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1325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1326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1327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1328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1329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1330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1331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1332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1333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1334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1335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1336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1337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1338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1339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1340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1341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1342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1343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1344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1345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1346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1347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1348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1349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1350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1351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1352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1353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1354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1355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1356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1357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1358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1359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1360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1361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1362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1363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1364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1365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1366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1367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1368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1369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1370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1371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1372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1373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1374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1375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1376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1377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1378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1379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1380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1381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1382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1383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1384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1385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1386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1387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1388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1389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1390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1391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1392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1393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1394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1395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1396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1397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1398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1399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1400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1401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1402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1403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1404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1405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1406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1407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1408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1409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1410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1411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1412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1413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1414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1415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1416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1417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1418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1419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1420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1421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1422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1423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1424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1425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1426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1427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1428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1429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1430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1431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1432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1433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1434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1435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1436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1437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1438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1439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1440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1441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1442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1443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1444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1445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1446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1447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1448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1449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1450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1451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1452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1453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1454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1455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1456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1457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1458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1459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1460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1461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1462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1463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1464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1465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1466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1467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1468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1469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1470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1471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1472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1473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1474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1475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1476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1477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1478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1479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1480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1481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1482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1483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1484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1485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1486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1487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1488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1489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1490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1491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1492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1493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1494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1495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1496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1497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1498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1499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1500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1501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1502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1503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1504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1505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1506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1507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1508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1509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1510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1511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1512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1513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1514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1515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1516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1517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1518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1519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1520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1521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1522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1523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1524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1525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1526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1527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1528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1529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1530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1531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1532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1533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1534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1535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1536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1537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1538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1539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1540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1541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1542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1543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1544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1545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1546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1547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1548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1549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1550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1551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1552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1553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1554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1555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1556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1557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1558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1559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1560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1561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1562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1563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1564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1565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1566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1567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1568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1569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1570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1571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1572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1573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1574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1575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1576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1577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1578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1579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1580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1581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1582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1583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1584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1585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1586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1587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1588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1589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1590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1591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1592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1593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1594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1595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1596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1597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1598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1599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1600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1601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1602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1603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1604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1605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1606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1607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1608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1609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1610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1611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1612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1613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1614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1615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1616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1617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1618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1619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1620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1621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1622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1623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1624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1625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1626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1627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1628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1629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1630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1631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1632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1633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1634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1635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1636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1637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1638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1639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1640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1641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1642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1643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1644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1645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1646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1647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1648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1649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1650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1651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1652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1653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1654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1655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1656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1657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1658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1659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1660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1661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1662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1663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1664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1665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1666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1667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1668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1669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1670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1671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1672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1673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1674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1675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1676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1677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1678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1679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1680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1681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1682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1683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1684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1685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1686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1687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1688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1689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1690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1691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1692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1693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1694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1695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1696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1697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1698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1699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1700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1701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1702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1703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1704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1705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1706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1707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1708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1709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1710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1711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1712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1713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1714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1715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1716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1717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1718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1719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1720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1721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1722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1723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1724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1725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1726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1727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1728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1729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1730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1731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1732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1733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1734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1735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1736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1737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1738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1739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1740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1741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1742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1743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1744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1745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1746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1747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1748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1749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1750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1751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1752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1753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1754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1755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1756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1757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1758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1759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1760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1761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1762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1763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1764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1765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1766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1767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1768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1769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1770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1771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1772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1773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1774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1775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1776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1777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1778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1779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1780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1781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1782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1783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1784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1785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1786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1787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1788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1789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1790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1791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1792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1793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1794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1795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1796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1797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1798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1799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1800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1801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1802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1803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1804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1805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1806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1807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1808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1809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1810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1811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1812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1813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1814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1815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1816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1817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1818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1819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1820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1821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1822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1823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1824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1825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1826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1827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1828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1829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1830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1831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1832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1833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1834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1835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1836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1837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1838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1839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1840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1841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1842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1843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1844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1845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1846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1847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1848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1849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1850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1851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1852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1853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1854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1855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1856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1857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1858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1859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1860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1861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1862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1863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1864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1865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1866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1867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1868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1869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1870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1871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1872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1873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1874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1875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1876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1877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1878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1879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1880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1881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1882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1883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1884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1885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1886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1887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1888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1889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1890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1891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1892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1893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1894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1895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1896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1897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1898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1899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1900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1901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1902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1903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1904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1905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1906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1907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1908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1909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1910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1911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1912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1913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1914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1915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1916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1917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1918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1919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1920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1921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1922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1923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1924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1925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1926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1927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1928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1929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1930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1931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1932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1933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1934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1935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1936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1937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1938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1939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1940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1941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1942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1943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1944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1945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1946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1947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1948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1949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1950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1951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1952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1953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1954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1955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1956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1957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1958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1959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1960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1961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1962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1963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1964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1965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1966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1967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1968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1969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1970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1971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1972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1973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1974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1975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1976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1977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1978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1979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1980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1981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1982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1983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1984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1985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1986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1987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1988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1989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1990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1991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1992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1993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1994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1995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1996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1997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1998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1999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2000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2001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2002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2003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2004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2005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2006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2007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2008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2009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2010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2011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2012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2013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2014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2015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2016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2017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2018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2019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2020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2021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2022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2023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2024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2025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2026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2027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2028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2029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2030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2031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2032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2033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2034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2035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2036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2037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2038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2039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2040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2041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2042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2043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2044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2045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2046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2047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2048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2049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2050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2051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2052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2053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2054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2055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2056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2057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2058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2059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2060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2061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2062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2063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2064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2065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2066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2067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2068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2069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2070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2071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2072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2073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2074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2075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2076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2077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2078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2079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2080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2081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2082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2083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2084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2085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2086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2087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2088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2089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2090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2091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2092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2093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2094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2095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2096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2097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2098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2099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2100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2101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2102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2103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2104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2105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2106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2107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2108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2109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2110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2111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2112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2113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2114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2115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2116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2117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2118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2119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2120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2121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2122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2123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2124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2125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2126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2127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2128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2129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2130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2131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2132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2133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2134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2135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2136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2137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2138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2139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2140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2141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2142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2143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2144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2145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2146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2147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2148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2149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2150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2151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2152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2153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2154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2155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2156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2157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2158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2159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2160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2161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2162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2163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2164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2165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2166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2167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2168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2169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2170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2171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2172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2173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2174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2175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2176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2177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2178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2179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2180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2181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2182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2183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2184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2185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2186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2187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2188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2189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2190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2191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2192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2193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2194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2195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2196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2197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2198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2199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2200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2201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2202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2203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2204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2205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2206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2207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2208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2209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2210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2211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2212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2213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2214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2215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2216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2217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2218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2219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2220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2221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2222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2223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2224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2225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2226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2227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2228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2229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2230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2231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2232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2233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2234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2235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2236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2237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2238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2239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2240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2241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2242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2243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2244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2245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2246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2247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2248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2249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2250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2251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2252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2253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2254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2255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2256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2257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2258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2259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2260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2261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2262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2263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2264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2265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2266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2267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2268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2269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2270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2271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2272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2273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2274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2275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2276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2277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2278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2279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2280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2281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2282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2283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2284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2285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2286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2287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2288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2289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2290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2291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2292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2293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2294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2295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2296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2297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2298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2299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2300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2301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2302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2303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2304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2305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2306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2307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2308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2309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2310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K219:K2020 A12:A2000 B11996:B11998 B12:P218 L219:P500 Q3:Q500 L501:Q1995 B219:J1995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42" activePane="bottomLeft" state="frozen"/>
      <selection pane="bottomLeft" activeCell="G50" sqref="G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2311</v>
      </c>
      <c r="B1" s="18" t="s">
        <v>2312</v>
      </c>
      <c r="C1" s="18" t="s">
        <v>4</v>
      </c>
      <c r="D1" s="18" t="s">
        <v>5</v>
      </c>
      <c r="E1" s="18" t="s">
        <v>11</v>
      </c>
      <c r="F1" s="18" t="s">
        <v>2313</v>
      </c>
      <c r="G1" s="18" t="s">
        <v>2314</v>
      </c>
      <c r="H1" s="18" t="s">
        <v>2315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1945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1760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8340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5800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29360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4410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10900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2460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5800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12780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12780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865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62" activePane="bottomLeft" state="frozen"/>
      <selection pane="bottomLeft" activeCell="A69" sqref="A69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2316</v>
      </c>
      <c r="B1" s="23" t="s">
        <v>2311</v>
      </c>
      <c r="C1" s="23" t="s">
        <v>2317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2318</v>
      </c>
      <c r="I1" s="18" t="s">
        <v>2319</v>
      </c>
      <c r="J1" s="18" t="s">
        <v>2320</v>
      </c>
      <c r="K1" s="18" t="s">
        <v>2321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436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226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254</v>
      </c>
      <c r="J5" s="5">
        <f>IF(A5="","",SUMIFS(Movimientos!$K:$K,Movimientos!$H:$H,A5))</f>
        <v>1845</v>
      </c>
      <c r="K5" s="13" t="str">
        <f t="shared" ca="1" si="1"/>
        <v>OK</v>
      </c>
    </row>
    <row r="6" spans="1:11">
      <c r="A6" s="16" t="s">
        <v>2322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487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243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169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463</v>
      </c>
      <c r="J9" s="5">
        <f>IF(A9="","",SUMIFS(Movimientos!$K:$K,Movimientos!$H:$H,A9))</f>
        <v>1760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451</v>
      </c>
      <c r="J11" s="5">
        <f>IF(A11="","",SUMIFS(Movimientos!$K:$K,Movimientos!$H:$H,A11))</f>
        <v>8340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235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123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418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479</v>
      </c>
      <c r="J18" s="5">
        <f>IF(A18="","",SUMIFS(Movimientos!$K:$K,Movimientos!$H:$H,A18))</f>
        <v>3130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387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539</v>
      </c>
      <c r="J20" s="5">
        <f>IF(A20="","",SUMIFS(Movimientos!$K:$K,Movimientos!$H:$H,A20))</f>
        <v>10220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387</v>
      </c>
      <c r="J21" s="5">
        <f>IF(A21="","",SUMIFS(Movimientos!$K:$K,Movimientos!$H:$H,A21))</f>
        <v>634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114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145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-100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2323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1300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527</v>
      </c>
      <c r="J40" s="5">
        <f>IF(A40="","",SUMIFS(Movimientos!$K:$K,Movimientos!$H:$H,A40))</f>
        <v>800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2324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12780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360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202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824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2325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295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798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310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821</v>
      </c>
      <c r="B59" s="2" t="str">
        <f>IFERROR(INDEX(Movimientos!$C$2:$C$1995,MATCH(A59&amp;"ENTRADA",Movimientos!$R$2:$R$1995,0)),"-")</f>
        <v>semilla miaz 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-6</v>
      </c>
      <c r="K59" s="13" t="str">
        <f t="shared" ca="1" si="1"/>
        <v>SIN STOCK</v>
      </c>
    </row>
    <row r="60" spans="1:11" ht="14.25">
      <c r="A60" t="s">
        <v>823</v>
      </c>
      <c r="B60" s="2" t="str">
        <f>IFERROR(INDEX(Movimientos!$C$2:$C$1995,MATCH(A60&amp;"ENTRADA",Movimientos!$R$2:$R$1995,0)),"-")</f>
        <v>semilla maiz DK 72-10 RR2C5 refugio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7</v>
      </c>
      <c r="K60" s="13" t="str">
        <f t="shared" ca="1" si="1"/>
        <v>OK</v>
      </c>
    </row>
    <row r="61" spans="1:11" ht="14.25">
      <c r="A61" t="s">
        <v>2326</v>
      </c>
      <c r="B61" s="2" t="str">
        <f>IFERROR(INDEX(Movimientos!$C$2:$C$1995,MATCH(A61&amp;"ENTRADA",Movimientos!$R$2:$R$1995,0)),"-")</f>
        <v>semilla maiz 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845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872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2327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539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589</v>
      </c>
      <c r="J65" s="5">
        <f>IF(A65="","",SUMIFS(Movimientos!$K:$K,Movimientos!$H:$H,A65))</f>
        <v>-4060</v>
      </c>
      <c r="K65" s="13" t="str">
        <f t="shared" ca="1" si="3"/>
        <v>SIN STOCK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170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800</v>
      </c>
      <c r="K67" s="13" t="str">
        <f t="shared" ca="1" si="3"/>
        <v>OK</v>
      </c>
    </row>
    <row r="68" spans="1:11" ht="14.25">
      <c r="A68" t="s">
        <v>835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809</v>
      </c>
      <c r="B69" s="2" t="str">
        <f>IFERROR(INDEX(Movimientos!$C$2:$C$1995,MATCH(A69&amp;"ENTRADA",Movimientos!$R$2:$R$1995,0)),"-")</f>
        <v>semilla comprada maiz illinois 2773</v>
      </c>
      <c r="C69" s="2" t="str">
        <f>IFERROR(INDEX(Movimientos!$D$2:$D$1995,MATCH(A69&amp;"ENTRADA",Movimientos!$R$2:$R$1995,0)),"-")</f>
        <v xml:space="preserve">sem maiz illinois 2773 trecepta Maiz 1era </v>
      </c>
      <c r="D69" s="2" t="str">
        <f>IFERROR(INDEX(Movimientos!$E$2:$E$1995,MATCH(A69&amp;"ENTRADA",Movimientos!$R$2:$R$1995,0)),"-")</f>
        <v>Semilla</v>
      </c>
      <c r="E69" s="2" t="str">
        <f>IFERROR(INDEX(Movimientos!$F$2:$F$1995,MATCH(A69&amp;"ENTRADA",Movimientos!$R$2:$R$1995,0)),"-")</f>
        <v>Maíz</v>
      </c>
      <c r="F69" s="2" t="str">
        <f>IFERROR(INDEX(Movimientos!$G$2:$G$1995,MATCH(A69&amp;"ENTRADA",Movimientos!$R$2:$R$1995,0)),"-")</f>
        <v>ERRO</v>
      </c>
      <c r="G69" s="2" t="str">
        <f>IFERROR(INDEX(Movimientos!$L$2:$L$1995,MATCH(A69&amp;"ENTRADA",Movimientos!$R$2:$R$1995,0)),"-")</f>
        <v>bolsa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-6</v>
      </c>
      <c r="K69" s="13" t="str">
        <f t="shared" ca="1" si="3"/>
        <v>SIN STOCK</v>
      </c>
    </row>
    <row r="70" spans="1:11">
      <c r="A70" s="16" t="s">
        <v>2328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2329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2330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2331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2332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2333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2334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2335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2336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2337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2338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2339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2340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2341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2342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2343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2344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2345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2346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2347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2348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2349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2350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2351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2352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2353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2354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2355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2356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2357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2358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2359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2360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2361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2362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2363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2364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2365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2366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2367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2368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2369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2370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2371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2372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2373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2374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2375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2376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2377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2378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2379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2380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2381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2382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2383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2384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2385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2386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2387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2388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2389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2390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2391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2392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2393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2394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2395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2396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2397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2398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2399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2400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2401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2402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2403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2404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2405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2406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2407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2408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2409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2410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2411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2412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2413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2414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2415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2416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2417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2418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2419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2420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2421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2422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2423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2424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2425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2426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2427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2428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2429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2430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2431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2432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2433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2434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2435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2436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2437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2438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2439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2440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2441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2442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2443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2444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2445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2446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2447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2448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2449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2450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2451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2452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2453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2454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2455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2456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2457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2458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2459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2460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2461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2462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2463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2464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2465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2466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2467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2468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2469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2470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2471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2472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2473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2474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2475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2476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2477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2478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2479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2480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2481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2482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2483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2484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2485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2486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2487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2488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2489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2490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2491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2492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2493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2494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2495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2496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2497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2498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2499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2500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2501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2502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2503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2504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2505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2506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2507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2508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2509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2510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2511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2512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2513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2514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2515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2516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2517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2518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2519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2520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2521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2522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2523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2524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2525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2526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2527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2528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2529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2530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2531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2532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2533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2534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2535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2536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2537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2538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2539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2540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2541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2542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2543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2544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2545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2546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2547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2548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2549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2550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2551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2552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2553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2554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2555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2556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2557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2558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2559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2560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2561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2562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2563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2564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2565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2566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2567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2568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2569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2570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2571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2572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2573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2574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2575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2576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2577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2578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2579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2580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2581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2582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2583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2584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2585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2586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2587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2588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2589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2590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2591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2592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2593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2594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2595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2596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2597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2598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2599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2600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2601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2602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2603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2604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2605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2606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2607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2608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2609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2610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2611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2612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2613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2614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2615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2616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2617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2618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2619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2620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2621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2622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2623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2624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2625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2626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2627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2628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2629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2630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2631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2632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2633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2634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2635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2636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2637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2638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2639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2640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2641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2642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2643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2644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2645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2646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2647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2648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2649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2650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2651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2652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2653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2654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2655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2656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2657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2658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2659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2660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2661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2662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2663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2664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2665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2666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2667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2668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2669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2670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2671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2672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2673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2674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2675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2676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2677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2678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2679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2680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2681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2682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2683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2684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2685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2686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2687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2688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2689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2690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2691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2692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2693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2694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2695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2696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2697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2698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2699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2700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2701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2702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2703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2704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2705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2706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2707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2708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2709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2710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2711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2712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2713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2714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2715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2716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2717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2718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2719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2720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2721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2722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2723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2724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2725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2726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2727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2728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2729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2730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2731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2732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2733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2734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2735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2736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2737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2738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2739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2740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2741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2742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2743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2744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2745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2746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2747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2748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2749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2750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2751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2752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2753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2754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2755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2756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2757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2758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2759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2760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2761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2762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2763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2764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2765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2766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2767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2768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2769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2770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2771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2772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2773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2774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2775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2776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2777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2778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2779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2780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2781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2782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2783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2784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2785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2786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2787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2788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2789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2790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2791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2792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2793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2794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2795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2796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2797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2798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2799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2800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2801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2802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2803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2804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2805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2806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2807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2808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2809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2810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2811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2812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2813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2814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2815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2816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2817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2818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2819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2820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2821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2822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2823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2824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2825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2826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2827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2828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2829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2830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2831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2832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2833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2834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2835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2836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2837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2838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2839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2840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2841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2842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2843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2844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2845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2846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2847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2848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2849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2850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2851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2852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2853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2854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2855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2856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2857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2858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2859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2860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2861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2862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2863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2864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2865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2866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2867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2868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2869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2870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2871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2872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2873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2874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2875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2876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2877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2878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2879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2880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2881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2882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2883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2884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2885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2886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2887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2888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2889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2890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2891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2892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2893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2894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2895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2896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2897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2898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2899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2900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2901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2902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2903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2904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2905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2906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2907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2908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2909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2910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2911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2912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2913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2914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2915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2916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2917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2918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2919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2920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2921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2922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2923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2924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2925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2926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2927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2928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2929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2930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2931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2932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2933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2934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2935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2936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2937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2938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2939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2940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2941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2942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2943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2944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2945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2946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2947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2948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2949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2950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2951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2952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2953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2954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2955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2956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2957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2958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2959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2960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2961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2962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2963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2964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2965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2966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2967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2968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2969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2970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2971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2972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2973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2974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2975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2976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2977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2978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2979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2980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2981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2982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2983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2984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2985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2986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2987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2988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2989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2990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2991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2992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2993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2994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2995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2996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2997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2998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2999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3000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3001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3002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3003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3004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3005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3006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3007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3008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3009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3010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3011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3012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3013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3014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3015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3016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3017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3018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3019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3020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3021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3022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3023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3024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3025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3026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3027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3028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3029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3030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3031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3032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3033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3034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3035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3036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3037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3038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3039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3040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3041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3042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3043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3044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3045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3046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3047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3048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3049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3050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3051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3052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3053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3054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3055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3056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3057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3058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3059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3060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3061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3062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3063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3064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3065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3066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3067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3068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3069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3070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3071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3072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3073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3074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3075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3076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3077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3078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3079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3080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3081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3082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3083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3084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3085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3086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3087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3088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3089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3090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3091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3092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3093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3094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3095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3096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3097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3098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3099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3100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3101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3102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3103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3104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3105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3106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3107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3108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3109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3110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3111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3112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3113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3114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3115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3116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3117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3118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3119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3120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3121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3122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3123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3124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3125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3126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3127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3128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3129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3130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3131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3132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3133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3134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3135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3136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3137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3138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3139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3140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3141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3142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3143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3144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3145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3146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3147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3148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3149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3150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3151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3152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3153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3154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3155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3156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3157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3158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3159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3160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3161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3162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3163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3164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3165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3166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3167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3168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3169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3170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3171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3172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3173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3174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3175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3176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3177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3178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3179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3180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3181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3182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3183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3184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3185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3186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3187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3188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3189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3190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3191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3192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3193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3194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3195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3196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3197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3198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3199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3200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3201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3202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3203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3204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3205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3206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3207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3208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3209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3210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3211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3212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3213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3214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3215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3216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3217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3218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3219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3220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3221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3222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3223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3224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3225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3226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3227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3228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3229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3230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3231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3232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3233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3234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3235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3236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3237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3238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3239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3240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3241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3242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3243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3244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3245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3246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3247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3248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3249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3250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3251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3252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3253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3254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1"/>
  <sheetViews>
    <sheetView showGridLines="0" topLeftCell="A50" workbookViewId="0">
      <selection activeCell="B67" sqref="B6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2311</v>
      </c>
      <c r="B1" s="23" t="s">
        <v>3255</v>
      </c>
      <c r="C1" s="23" t="s">
        <v>4</v>
      </c>
      <c r="D1" s="23" t="s">
        <v>5</v>
      </c>
      <c r="E1" s="23" t="s">
        <v>6</v>
      </c>
      <c r="F1" s="23" t="s">
        <v>3256</v>
      </c>
      <c r="G1" s="23" t="s">
        <v>11</v>
      </c>
      <c r="H1" s="23" t="s">
        <v>3257</v>
      </c>
    </row>
    <row r="2" spans="1:8">
      <c r="A2" t="s">
        <v>22</v>
      </c>
      <c r="B2" t="s">
        <v>23</v>
      </c>
      <c r="C2" s="24" t="s">
        <v>3258</v>
      </c>
      <c r="D2" s="24" t="s">
        <v>3259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3260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3261</v>
      </c>
      <c r="E4" s="24" t="s">
        <v>76</v>
      </c>
      <c r="G4" s="24" t="s">
        <v>3262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3263</v>
      </c>
      <c r="E5" s="10" t="s">
        <v>26</v>
      </c>
      <c r="G5" s="24" t="s">
        <v>3264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3265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3266</v>
      </c>
      <c r="E9" s="24" t="s">
        <v>157</v>
      </c>
      <c r="G9" s="10" t="s">
        <v>3267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3268</v>
      </c>
      <c r="E13" t="s">
        <v>3269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3270</v>
      </c>
    </row>
    <row r="15" spans="1:8">
      <c r="A15" t="s">
        <v>107</v>
      </c>
      <c r="B15" t="s">
        <v>108</v>
      </c>
      <c r="C15" s="24"/>
      <c r="D15" s="24" t="s">
        <v>3271</v>
      </c>
      <c r="E15" t="s">
        <v>258</v>
      </c>
    </row>
    <row r="16" spans="1:8">
      <c r="A16" t="s">
        <v>114</v>
      </c>
      <c r="B16" t="s">
        <v>115</v>
      </c>
      <c r="D16" s="24" t="s">
        <v>3272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770</v>
      </c>
    </row>
    <row r="18" spans="1:5">
      <c r="A18" t="s">
        <v>129</v>
      </c>
      <c r="B18" t="s">
        <v>130</v>
      </c>
      <c r="D18" t="s">
        <v>127</v>
      </c>
      <c r="E18" t="s">
        <v>776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3273</v>
      </c>
    </row>
    <row r="29" spans="1:5">
      <c r="A29" t="s">
        <v>185</v>
      </c>
      <c r="B29" t="s">
        <v>186</v>
      </c>
      <c r="D29" t="s">
        <v>3274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3275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  <c r="B59" t="s">
        <v>766</v>
      </c>
    </row>
    <row r="60" spans="1:2">
      <c r="A60" t="s">
        <v>756</v>
      </c>
      <c r="B60" t="s">
        <v>769</v>
      </c>
    </row>
    <row r="61" spans="1:2">
      <c r="A61" t="s">
        <v>759</v>
      </c>
      <c r="B61" t="s">
        <v>775</v>
      </c>
    </row>
    <row r="62" spans="1:2">
      <c r="A62" t="s">
        <v>762</v>
      </c>
      <c r="B62" t="s">
        <v>779</v>
      </c>
    </row>
    <row r="63" spans="1:2">
      <c r="A63" t="s">
        <v>765</v>
      </c>
      <c r="B63" t="s">
        <v>782</v>
      </c>
    </row>
    <row r="64" spans="1:2">
      <c r="A64" t="s">
        <v>768</v>
      </c>
      <c r="B64" t="s">
        <v>785</v>
      </c>
    </row>
    <row r="65" spans="1:2">
      <c r="A65" t="s">
        <v>774</v>
      </c>
      <c r="B65" t="s">
        <v>788</v>
      </c>
    </row>
    <row r="66" spans="1:2">
      <c r="A66" t="s">
        <v>778</v>
      </c>
      <c r="B66" t="s">
        <v>3276</v>
      </c>
    </row>
    <row r="67" spans="1:2">
      <c r="A67" t="s">
        <v>781</v>
      </c>
    </row>
    <row r="68" spans="1:2">
      <c r="A68" t="s">
        <v>784</v>
      </c>
    </row>
    <row r="69" spans="1:2">
      <c r="A69" t="s">
        <v>787</v>
      </c>
    </row>
    <row r="70" spans="1:2">
      <c r="A70" t="s">
        <v>837</v>
      </c>
    </row>
    <row r="71" spans="1:2">
      <c r="A71" t="s">
        <v>839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3277</v>
      </c>
    </row>
    <row r="2" spans="1:2">
      <c r="B2" t="s">
        <v>3278</v>
      </c>
    </row>
    <row r="3" spans="1:2" ht="18" customHeight="1">
      <c r="A3" s="11" t="s">
        <v>3279</v>
      </c>
      <c r="B3" s="12"/>
    </row>
    <row r="4" spans="1:2" ht="30" customHeight="1">
      <c r="A4" s="25" t="s">
        <v>3280</v>
      </c>
      <c r="B4" s="26" t="s">
        <v>3281</v>
      </c>
    </row>
    <row r="5" spans="1:2" ht="30" customHeight="1">
      <c r="A5" s="25" t="s">
        <v>3282</v>
      </c>
      <c r="B5" s="26" t="s">
        <v>3283</v>
      </c>
    </row>
    <row r="6" spans="1:2" ht="30" customHeight="1">
      <c r="A6" s="25" t="s">
        <v>3284</v>
      </c>
      <c r="B6" s="26" t="s">
        <v>3285</v>
      </c>
    </row>
    <row r="7" spans="1:2" ht="18" customHeight="1">
      <c r="A7" s="27"/>
      <c r="B7" s="27"/>
    </row>
    <row r="8" spans="1:2" ht="18" customHeight="1">
      <c r="A8" s="11" t="s">
        <v>3286</v>
      </c>
      <c r="B8" s="12"/>
    </row>
    <row r="9" spans="1:2" ht="30" customHeight="1">
      <c r="A9" s="25" t="s">
        <v>3287</v>
      </c>
      <c r="B9" s="26" t="s">
        <v>3288</v>
      </c>
    </row>
    <row r="10" spans="1:2" ht="30" customHeight="1">
      <c r="A10" s="25" t="s">
        <v>3289</v>
      </c>
      <c r="B10" s="26" t="s">
        <v>3290</v>
      </c>
    </row>
    <row r="11" spans="1:2" ht="30" customHeight="1">
      <c r="A11" s="25" t="s">
        <v>3291</v>
      </c>
      <c r="B11" s="26" t="s">
        <v>3292</v>
      </c>
    </row>
    <row r="12" spans="1:2" ht="30" customHeight="1">
      <c r="A12" s="25" t="s">
        <v>3293</v>
      </c>
      <c r="B12" s="26" t="s">
        <v>3294</v>
      </c>
    </row>
    <row r="13" spans="1:2" ht="30" customHeight="1">
      <c r="A13" s="25" t="s">
        <v>3295</v>
      </c>
      <c r="B13" s="26" t="s">
        <v>3296</v>
      </c>
    </row>
    <row r="14" spans="1:2" ht="18" customHeight="1">
      <c r="A14" s="27"/>
      <c r="B14" s="27"/>
    </row>
    <row r="15" spans="1:2" ht="18" customHeight="1">
      <c r="A15" s="11" t="s">
        <v>3297</v>
      </c>
      <c r="B15" s="12"/>
    </row>
    <row r="16" spans="1:2" ht="30" customHeight="1">
      <c r="A16" s="25" t="s">
        <v>3298</v>
      </c>
      <c r="B16" s="26" t="s">
        <v>3299</v>
      </c>
    </row>
    <row r="17" spans="1:2" ht="18" customHeight="1">
      <c r="A17" s="27"/>
      <c r="B17" s="27"/>
    </row>
    <row r="18" spans="1:2" ht="18" customHeight="1">
      <c r="A18" s="11" t="s">
        <v>3300</v>
      </c>
      <c r="B18" s="12"/>
    </row>
    <row r="19" spans="1:2" ht="30" customHeight="1">
      <c r="A19" s="25" t="s">
        <v>3301</v>
      </c>
      <c r="B19" s="26" t="s">
        <v>3302</v>
      </c>
    </row>
    <row r="20" spans="1:2" ht="30" customHeight="1">
      <c r="A20" s="25" t="s">
        <v>3303</v>
      </c>
      <c r="B20" s="26" t="s">
        <v>3304</v>
      </c>
    </row>
    <row r="21" spans="1:2" ht="30" customHeight="1">
      <c r="A21" s="25" t="s">
        <v>3305</v>
      </c>
      <c r="B21" s="26" t="s">
        <v>3306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2026-09-09T13:24:37Z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