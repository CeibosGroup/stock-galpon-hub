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9525573-065E-45D7-8164-8790205607B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Movimientos!$C$12004:$C$12004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R231" i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7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5" i="1"/>
  <c r="T11996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6" i="1"/>
  <c r="T616" i="1"/>
  <c r="S627" i="1"/>
  <c r="T627" i="1"/>
  <c r="S638" i="1"/>
  <c r="T638" i="1"/>
  <c r="S649" i="1"/>
  <c r="T649" i="1"/>
  <c r="S660" i="1"/>
  <c r="T660" i="1"/>
  <c r="S671" i="1"/>
  <c r="T671" i="1"/>
  <c r="S682" i="1"/>
  <c r="T682" i="1"/>
  <c r="S693" i="1"/>
  <c r="T693" i="1"/>
  <c r="S704" i="1"/>
  <c r="T704" i="1"/>
  <c r="S715" i="1"/>
  <c r="T715" i="1"/>
  <c r="S726" i="1"/>
  <c r="T726" i="1"/>
  <c r="S737" i="1"/>
  <c r="T737" i="1"/>
  <c r="S748" i="1"/>
  <c r="T748" i="1"/>
  <c r="S759" i="1"/>
  <c r="T759" i="1"/>
  <c r="S770" i="1"/>
  <c r="T770" i="1"/>
  <c r="S781" i="1"/>
  <c r="T781" i="1"/>
  <c r="S792" i="1"/>
  <c r="T792" i="1"/>
  <c r="S803" i="1"/>
  <c r="T803" i="1"/>
  <c r="S814" i="1"/>
  <c r="T814" i="1"/>
  <c r="S825" i="1"/>
  <c r="T825" i="1"/>
  <c r="S836" i="1"/>
  <c r="T836" i="1"/>
  <c r="S847" i="1"/>
  <c r="T847" i="1"/>
  <c r="S858" i="1"/>
  <c r="T858" i="1"/>
  <c r="S869" i="1"/>
  <c r="T869" i="1"/>
  <c r="S880" i="1"/>
  <c r="T880" i="1"/>
  <c r="S891" i="1"/>
  <c r="T891" i="1"/>
  <c r="S902" i="1"/>
  <c r="T902" i="1"/>
  <c r="S913" i="1"/>
  <c r="T913" i="1"/>
  <c r="S924" i="1"/>
  <c r="T924" i="1"/>
  <c r="S935" i="1"/>
  <c r="T935" i="1"/>
  <c r="S946" i="1"/>
  <c r="T946" i="1"/>
  <c r="S957" i="1"/>
  <c r="T957" i="1"/>
  <c r="S968" i="1"/>
  <c r="T968" i="1"/>
  <c r="S979" i="1"/>
  <c r="T979" i="1"/>
  <c r="S990" i="1"/>
  <c r="T990" i="1"/>
  <c r="S1001" i="1"/>
  <c r="T1001" i="1"/>
  <c r="S1012" i="1"/>
  <c r="T1012" i="1"/>
  <c r="S1023" i="1"/>
  <c r="T1023" i="1"/>
  <c r="S1034" i="1"/>
  <c r="T1034" i="1"/>
  <c r="S1045" i="1"/>
  <c r="T1045" i="1"/>
  <c r="S1056" i="1"/>
  <c r="T1056" i="1"/>
  <c r="S1067" i="1"/>
  <c r="T1067" i="1"/>
  <c r="S1078" i="1"/>
  <c r="T1078" i="1"/>
  <c r="S1089" i="1"/>
  <c r="T1089" i="1"/>
  <c r="S1100" i="1"/>
  <c r="T1100" i="1"/>
  <c r="S1111" i="1"/>
  <c r="T1111" i="1"/>
  <c r="S1122" i="1"/>
  <c r="T1122" i="1"/>
  <c r="S1133" i="1"/>
  <c r="T1133" i="1"/>
  <c r="S1144" i="1"/>
  <c r="T1144" i="1"/>
  <c r="S1155" i="1"/>
  <c r="T1155" i="1"/>
  <c r="S1166" i="1"/>
  <c r="T1166" i="1"/>
  <c r="S1177" i="1"/>
  <c r="T1177" i="1"/>
  <c r="S1188" i="1"/>
  <c r="T1188" i="1"/>
  <c r="S1199" i="1"/>
  <c r="T1199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R1196" i="1"/>
  <c r="S1196" i="1"/>
  <c r="T1196" i="1"/>
  <c r="R1197" i="1"/>
  <c r="S1197" i="1"/>
  <c r="T1197" i="1"/>
  <c r="R1198" i="1"/>
  <c r="S1198" i="1"/>
  <c r="T1198" i="1"/>
  <c r="R1200" i="1"/>
  <c r="S1200" i="1"/>
  <c r="T1200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6" i="1"/>
  <c r="R627" i="1"/>
  <c r="R638" i="1"/>
  <c r="R649" i="1"/>
  <c r="R660" i="1"/>
  <c r="R671" i="1"/>
  <c r="R682" i="1"/>
  <c r="R693" i="1"/>
  <c r="H704" i="1"/>
  <c r="R704" i="1"/>
  <c r="H715" i="1"/>
  <c r="R715" i="1"/>
  <c r="H726" i="1"/>
  <c r="R726" i="1"/>
  <c r="H737" i="1"/>
  <c r="R737" i="1"/>
  <c r="H748" i="1"/>
  <c r="R748" i="1"/>
  <c r="H759" i="1"/>
  <c r="R759" i="1"/>
  <c r="H770" i="1"/>
  <c r="R770" i="1"/>
  <c r="H781" i="1"/>
  <c r="R781" i="1"/>
  <c r="H792" i="1"/>
  <c r="R792" i="1"/>
  <c r="H803" i="1"/>
  <c r="R803" i="1"/>
  <c r="H814" i="1"/>
  <c r="R814" i="1"/>
  <c r="H825" i="1"/>
  <c r="R825" i="1"/>
  <c r="H836" i="1"/>
  <c r="R836" i="1"/>
  <c r="H847" i="1"/>
  <c r="R847" i="1"/>
  <c r="H858" i="1"/>
  <c r="R858" i="1"/>
  <c r="H869" i="1"/>
  <c r="R869" i="1"/>
  <c r="H880" i="1"/>
  <c r="R880" i="1"/>
  <c r="H891" i="1"/>
  <c r="R891" i="1"/>
  <c r="H902" i="1"/>
  <c r="R902" i="1"/>
  <c r="H913" i="1"/>
  <c r="R913" i="1"/>
  <c r="H924" i="1"/>
  <c r="R924" i="1"/>
  <c r="H935" i="1"/>
  <c r="R935" i="1"/>
  <c r="H946" i="1"/>
  <c r="R946" i="1"/>
  <c r="H957" i="1"/>
  <c r="R957" i="1"/>
  <c r="H968" i="1"/>
  <c r="R968" i="1"/>
  <c r="H979" i="1"/>
  <c r="R979" i="1"/>
  <c r="H990" i="1"/>
  <c r="R990" i="1"/>
  <c r="H1001" i="1"/>
  <c r="R1001" i="1"/>
  <c r="H1012" i="1"/>
  <c r="R1012" i="1"/>
  <c r="H1023" i="1"/>
  <c r="R1023" i="1"/>
  <c r="H1034" i="1"/>
  <c r="R1034" i="1"/>
  <c r="H1045" i="1"/>
  <c r="R1045" i="1"/>
  <c r="H1056" i="1"/>
  <c r="R1056" i="1"/>
  <c r="H1067" i="1"/>
  <c r="R1067" i="1"/>
  <c r="H1078" i="1"/>
  <c r="R1078" i="1"/>
  <c r="H1089" i="1"/>
  <c r="R1089" i="1"/>
  <c r="H1100" i="1"/>
  <c r="R1100" i="1"/>
  <c r="H1111" i="1"/>
  <c r="R1111" i="1"/>
  <c r="H1122" i="1"/>
  <c r="R1122" i="1"/>
  <c r="H1133" i="1"/>
  <c r="R1133" i="1"/>
  <c r="H1144" i="1"/>
  <c r="R1144" i="1"/>
  <c r="H1155" i="1"/>
  <c r="R1155" i="1"/>
  <c r="H1166" i="1"/>
  <c r="R1166" i="1"/>
  <c r="H1177" i="1"/>
  <c r="R1177" i="1"/>
  <c r="H1188" i="1"/>
  <c r="R1188" i="1"/>
  <c r="H1199" i="1"/>
  <c r="R1199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3" i="1"/>
  <c r="H4" i="1"/>
  <c r="H5" i="1"/>
  <c r="H6" i="1"/>
  <c r="H7" i="1"/>
  <c r="H8" i="1"/>
  <c r="H2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5" i="1"/>
  <c r="R617" i="1"/>
  <c r="R618" i="1"/>
  <c r="R619" i="1"/>
  <c r="H620" i="1"/>
  <c r="R620" i="1"/>
  <c r="H621" i="1"/>
  <c r="R621" i="1"/>
  <c r="H622" i="1"/>
  <c r="R622" i="1"/>
  <c r="R623" i="1"/>
  <c r="H624" i="1"/>
  <c r="R624" i="1"/>
  <c r="H625" i="1"/>
  <c r="R625" i="1"/>
  <c r="H626" i="1"/>
  <c r="R626" i="1"/>
  <c r="R628" i="1"/>
  <c r="H629" i="1"/>
  <c r="R629" i="1"/>
  <c r="R630" i="1"/>
  <c r="R631" i="1"/>
  <c r="R632" i="1"/>
  <c r="R633" i="1"/>
  <c r="R634" i="1"/>
  <c r="R635" i="1"/>
  <c r="R636" i="1"/>
  <c r="R637" i="1"/>
  <c r="R639" i="1"/>
  <c r="R640" i="1"/>
  <c r="R641" i="1"/>
  <c r="R642" i="1"/>
  <c r="R643" i="1"/>
  <c r="R644" i="1"/>
  <c r="R645" i="1"/>
  <c r="R646" i="1"/>
  <c r="R647" i="1"/>
  <c r="R648" i="1"/>
  <c r="R650" i="1"/>
  <c r="R651" i="1"/>
  <c r="R652" i="1"/>
  <c r="R653" i="1"/>
  <c r="R654" i="1"/>
  <c r="R655" i="1"/>
  <c r="R656" i="1"/>
  <c r="R657" i="1"/>
  <c r="R658" i="1"/>
  <c r="R659" i="1"/>
  <c r="R661" i="1"/>
  <c r="H662" i="1"/>
  <c r="R662" i="1"/>
  <c r="R663" i="1"/>
  <c r="R664" i="1"/>
  <c r="R665" i="1"/>
  <c r="R666" i="1"/>
  <c r="R667" i="1"/>
  <c r="R668" i="1"/>
  <c r="R669" i="1"/>
  <c r="R670" i="1"/>
  <c r="R672" i="1"/>
  <c r="R673" i="1"/>
  <c r="R674" i="1"/>
  <c r="R675" i="1"/>
  <c r="R676" i="1"/>
  <c r="R677" i="1"/>
  <c r="R678" i="1"/>
  <c r="R679" i="1"/>
  <c r="R680" i="1"/>
  <c r="R681" i="1"/>
  <c r="R683" i="1"/>
  <c r="R684" i="1"/>
  <c r="R685" i="1"/>
  <c r="R686" i="1"/>
  <c r="R687" i="1"/>
  <c r="R688" i="1"/>
  <c r="R689" i="1"/>
  <c r="R690" i="1"/>
  <c r="R691" i="1"/>
  <c r="R692" i="1"/>
  <c r="R694" i="1"/>
  <c r="R695" i="1"/>
  <c r="R696" i="1"/>
  <c r="H697" i="1"/>
  <c r="R697" i="1"/>
  <c r="R698" i="1"/>
  <c r="R699" i="1"/>
  <c r="H700" i="1"/>
  <c r="R700" i="1"/>
  <c r="H701" i="1"/>
  <c r="R701" i="1"/>
  <c r="H702" i="1"/>
  <c r="R702" i="1"/>
  <c r="H703" i="1"/>
  <c r="R703" i="1"/>
  <c r="H705" i="1"/>
  <c r="R705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6" i="1"/>
  <c r="R716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7" i="1"/>
  <c r="R727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8" i="1"/>
  <c r="R738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9" i="1"/>
  <c r="R749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60" i="1"/>
  <c r="R760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2000" i="1"/>
  <c r="T11903" i="1"/>
  <c r="T11902" i="1"/>
  <c r="T6003" i="1"/>
  <c r="T6004" i="1"/>
  <c r="T11901" i="1"/>
  <c r="T11993" i="1"/>
  <c r="T11994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6001" i="1"/>
  <c r="T2001" i="1"/>
  <c r="T2002" i="1"/>
  <c r="T6183" i="1"/>
  <c r="T6005" i="1"/>
  <c r="T6002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870" i="1"/>
  <c r="T11871" i="1"/>
  <c r="T11989" i="1"/>
  <c r="T11990" i="1"/>
  <c r="T11991" i="1"/>
  <c r="T11992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K74" i="2" l="1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<sst xmlns="http://schemas.openxmlformats.org/spreadsheetml/2006/main" count="9142" uniqueCount="3324">
  <si>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</si>
  <si>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</si>
  <si>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</si>
  <si>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</si>
  <si>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</si>
  <si>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</si>
  <si>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</si>
  <si>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</si>
  <si>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</si>
  <si>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</si>
  <si>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</si>
  <si>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</si>
  <si>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</si>
  <si>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</si>
  <si>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</si>
  <si>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</si>
  <si>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</si>
  <si>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</si>
  <si>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</si>
  <si>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</si>
  <si>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</si>
  <si>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</si>
  <si>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</si>
  <si>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</si>
  <si>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</si>
  <si>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</si>
  <si>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</si>
  <si>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</si>
  <si>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</si>
  <si>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</si>
  <si>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</si>
  <si>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</si>
  <si>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</si>
  <si>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</si>
  <si>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</si>
  <si>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</si>
  <si>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</si>
  <si>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</si>
  <si>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</si>
  <si>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</si>
  <si>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</si>
  <si>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</si>
  <si>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</si>
  <si>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</si>
  <si>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</si>
  <si>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</si>
  <si>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</si>
  <si>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</si>
  <si>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</si>
  <si>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</si>
  <si>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</si>
  <si>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</si>
  <si>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</si>
  <si>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</si>
  <si>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</si>
  <si>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</si>
  <si>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</si>
  <si>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</si>
  <si>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</si>
  <si>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</si>
  <si>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</si>
  <si>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</si>
  <si>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</si>
  <si>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</si>
  <si>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</si>
  <si>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</si>
  <si>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</si>
  <si>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</si>
  <si>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</si>
  <si>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</si>
  <si>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</si>
  <si>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</si>
  <si>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</si>
  <si>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</si>
  <si>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</si>
  <si>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</si>
  <si>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</si>
  <si>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</si>
  <si>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</si>
  <si>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</si>
  <si>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</si>
  <si>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</si>
  <si>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</si>
  <si>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</si>
  <si>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</si>
  <si>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</si>
  <si>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</si>
  <si>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</si>
  <si>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</si>
  <si>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</si>
  <si>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</si>
  <si>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</si>
  <si>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</si>
  <si>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</si>
  <si>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</si>
  <si>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</si>
  <si>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</si>
  <si>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</si>
  <si>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</si>
  <si>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</si>
  <si>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</si>
  <si>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</si>
  <si>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</si>
  <si>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</si>
  <si>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</si>
  <si>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</si>
  <si>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</si>
  <si>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</si>
  <si>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</si>
  <si>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</si>
  <si>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</si>
  <si>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</si>
  <si>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</si>
  <si>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</si>
  <si>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</si>
  <si>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</si>
  <si>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</si>
  <si>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</si>
  <si>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</si>
  <si>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</si>
  <si>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</si>
  <si>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</si>
  <si>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</si>
  <si>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</si>
  <si>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</si>
  <si>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</si>
  <si>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</si>
  <si>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</si>
  <si>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</si>
  <si>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</si>
  <si>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</si>
  <si>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</si>
  <si>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</si>
  <si>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</si>
  <si>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</si>
  <si>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</si>
  <si>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</si>
  <si>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</si>
  <si>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</si>
  <si>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</si>
  <si>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</si>
  <si>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</si>
  <si>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</si>
  <si>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</si>
  <si>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</si>
  <si>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</si>
  <si>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</si>
  <si>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</si>
  <si>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</si>
  <si>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</si>
  <si>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</si>
  <si>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</si>
  <si>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</si>
  <si>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</si>
  <si>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</si>
  <si>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</si>
  <si>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</si>
  <si>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</si>
  <si>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</si>
  <si>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</si>
  <si>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</si>
  <si>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</si>
  <si>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</si>
  <si>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</si>
  <si>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</si>
  <si>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</si>
  <si>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</si>
  <si>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</si>
  <si>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</si>
  <si>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</si>
  <si>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</si>
  <si>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</si>
  <si>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</si>
  <si>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</si>
  <si>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</si>
  <si>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</si>
  <si>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</si>
  <si>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</si>
  <si>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</si>
  <si>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</si>
  <si>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</si>
  <si>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</si>
  <si>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</si>
  <si>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</si>
  <si>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</si>
  <si>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</si>
  <si>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</si>
  <si>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</si>
  <si>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</si>
  <si>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</si>
  <si>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</si>
  <si>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</si>
  <si>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</si>
  <si>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</si>
  <si>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</si>
  <si>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</si>
  <si>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</si>
  <si>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</si>
  <si>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</si>
  <si>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</si>
  <si>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</si>
  <si>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</si>
  <si>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</si>
  <si>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</si>
  <si>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</si>
  <si>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</si>
  <si>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</si>
  <si>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</si>
  <si>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</si>
  <si>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</si>
  <si>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</si>
  <si>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</si>
  <si>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</si>
  <si>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</si>
  <si>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</si>
  <si>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</si>
  <si>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</si>
  <si>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</si>
  <si>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</si>
  <si>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</si>
  <si>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</si>
  <si>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</si>
  <si>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</si>
  <si>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</si>
  <si>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</si>
  <si>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</si>
  <si>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</si>
  <si>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</si>
  <si>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</si>
  <si>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</si>
  <si>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</si>
  <si>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</si>
  <si>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</si>
  <si>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</si>
  <si>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</si>
  <si>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</si>
  <si>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</si>
  <si>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</si>
  <si>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</si>
  <si>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</si>
  <si>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</si>
  <si>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</si>
  <si>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</si>
  <si>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</si>
  <si>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</si>
  <si>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</si>
  <si>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</si>
  <si>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</si>
  <si>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</si>
  <si>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</si>
  <si>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</si>
  <si>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</si>
  <si>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</si>
  <si>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</si>
  <si>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</si>
  <si>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</si>
  <si>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</si>
  <si>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</si>
  <si>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</si>
  <si>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</si>
  <si>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</si>
  <si>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</si>
  <si>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</si>
  <si>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</si>
  <si>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</si>
  <si>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</si>
  <si>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</si>
  <si>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</si>
  <si>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</si>
  <si>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</si>
  <si>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</si>
  <si>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</si>
  <si>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</si>
  <si>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</si>
  <si>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</si>
  <si>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</si>
  <si>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</si>
  <si>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</si>
  <si>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</si>
  <si>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</si>
  <si>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</si>
  <si>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</si>
  <si>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</si>
  <si>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</si>
  <si>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</si>
  <si>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</si>
  <si>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</si>
  <si>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</si>
  <si>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</si>
  <si>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</si>
  <si>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</si>
  <si>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</si>
  <si>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</si>
  <si>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</si>
  <si>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</si>
  <si>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</si>
  <si>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</si>
  <si>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</si>
  <si>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</si>
  <si>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</si>
  <si>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</si>
  <si>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</si>
  <si>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</si>
  <si>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</si>
  <si>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</si>
  <si>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</si>
  <si>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</si>
  <si>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</si>
  <si>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</si>
  <si>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</si>
  <si>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</si>
  <si>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</si>
  <si>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</si>
  <si>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</si>
  <si>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</si>
  <si>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</si>
  <si>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</si>
  <si>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</si>
  <si>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</si>
  <si>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</si>
  <si>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</si>
  <si>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</si>
  <si>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</si>
  <si>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</si>
  <si>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</si>
  <si>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</si>
  <si>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</si>
  <si>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</si>
  <si>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</si>
  <si>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</si>
  <si>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</si>
  <si>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</si>
  <si>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</si>
  <si>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</si>
  <si>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</si>
  <si>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</si>
  <si>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</si>
  <si>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</si>
  <si>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</si>
  <si>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</si>
  <si>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</si>
  <si>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</si>
  <si>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</si>
  <si>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</si>
  <si>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</si>
  <si>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</si>
  <si>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</si>
  <si>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</si>
  <si>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</si>
  <si>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</si>
  <si>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</si>
  <si>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</si>
  <si>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</si>
  <si>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</si>
  <si>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</si>
  <si>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</si>
  <si>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</si>
  <si>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</si>
  <si>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</si>
  <si>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</si>
  <si>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</si>
  <si>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</si>
  <si>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</si>
  <si>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</si>
  <si>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</si>
  <si>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</si>
  <si>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</si>
  <si>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</si>
  <si>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</si>
  <si>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</si>
  <si>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</si>
  <si>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</si>
  <si>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</si>
  <si>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</si>
  <si>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</si>
  <si>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</si>
  <si>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</si>
  <si>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</si>
  <si>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</si>
  <si>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</si>
  <si>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</si>
  <si>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</si>
  <si>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</si>
  <si>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</si>
  <si>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</si>
  <si>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</si>
  <si>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</si>
  <si>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</si>
  <si>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</si>
  <si>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</si>
  <si>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</si>
  <si>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</si>
  <si>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</si>
  <si>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</si>
  <si>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</si>
  <si>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</si>
  <si>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</si>
  <si>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</si>
  <si>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</si>
  <si>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</si>
  <si>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</si>
  <si>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</si>
  <si>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</si>
  <si>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</si>
  <si>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</si>
  <si>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</si>
  <si>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</si>
  <si>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</si>
  <si>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</si>
  <si>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</si>
  <si>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</si>
  <si>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</si>
  <si>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</si>
  <si>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</si>
  <si>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</si>
  <si>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</si>
  <si>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</si>
  <si>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</si>
  <si>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</si>
  <si>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</si>
  <si>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</si>
  <si>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</si>
  <si>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</si>
  <si>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</si>
  <si>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</si>
  <si>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</si>
  <si>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</si>
  <si>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</si>
  <si>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</si>
  <si>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</si>
  <si>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</si>
  <si>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</si>
  <si>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</si>
  <si>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</si>
  <si>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</si>
  <si>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</si>
  <si>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</si>
  <si>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</si>
  <si>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</si>
  <si>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</si>
  <si>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</si>
  <si>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</si>
  <si>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</si>
  <si>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</si>
  <si>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</si>
  <si>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</si>
  <si>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</si>
  <si>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</si>
  <si>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</si>
  <si>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</si>
  <si>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</si>
  <si>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</si>
  <si>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</si>
  <si>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</si>
  <si>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</si>
  <si>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</si>
  <si>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</si>
  <si>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</si>
  <si>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</si>
  <si>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</si>
  <si>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</si>
  <si>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</si>
  <si>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</si>
  <si>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</si>
  <si>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</si>
  <si>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</si>
  <si>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</si>
  <si>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</si>
  <si>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</si>
  <si>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</si>
  <si>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</si>
  <si>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</si>
  <si>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</si>
  <si>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</si>
  <si>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</si>
  <si>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</si>
  <si>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</si>
  <si>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</si>
  <si>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</si>
  <si>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</si>
  <si>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</si>
  <si>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</si>
  <si>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</si>
  <si>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</si>
  <si>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</si>
  <si>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</si>
  <si>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</si>
  <si>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</si>
  <si>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</si>
  <si>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</si>
  <si>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</si>
  <si>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</si>
  <si>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</si>
  <si>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</si>
  <si>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</si>
  <si>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</si>
  <si>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</si>
  <si>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</si>
  <si>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</si>
  <si>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</si>
  <si>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</si>
  <si>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</si>
  <si>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</si>
  <si>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</si>
  <si>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</si>
  <si>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</si>
  <si>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</si>
  <si>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</si>
  <si>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</si>
  <si>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</si>
  <si>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</si>
  <si>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</si>
  <si>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</si>
  <si>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</si>
  <si>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</si>
  <si>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</si>
  <si>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</si>
  <si>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</si>
  <si>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</si>
  <si>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</si>
  <si>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</si>
  <si>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</si>
  <si>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</si>
  <si>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</si>
  <si>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</si>
  <si>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</si>
  <si>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</si>
  <si>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</si>
  <si>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</si>
  <si>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</si>
  <si>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</si>
  <si>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</si>
  <si>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</si>
  <si>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</si>
  <si>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</si>
  <si>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</si>
  <si>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</si>
  <si>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</si>
  <si>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</si>
  <si>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</si>
  <si>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</si>
  <si>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</si>
  <si>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</si>
  <si>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</si>
  <si>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</si>
  <si>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</si>
  <si>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</si>
  <si>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</si>
  <si>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</si>
  <si>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</si>
  <si>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</si>
  <si>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</si>
  <si>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</si>
  <si>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</si>
  <si>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</si>
  <si>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</si>
  <si>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</si>
  <si>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</si>
  <si>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</si>
  <si>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</si>
  <si>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</si>
  <si>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</si>
  <si>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</si>
  <si>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</si>
  <si>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</si>
  <si>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</si>
  <si>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</si>
  <si>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</si>
  <si>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</si>
  <si>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</si>
  <si>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</si>
  <si>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</si>
  <si>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</si>
  <si>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</si>
  <si>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</si>
  <si>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</si>
  <si>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</si>
  <si>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</si>
  <si>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</si>
  <si>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</si>
  <si>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</si>
  <si>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</si>
  <si>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</si>
  <si>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</si>
  <si>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</si>
  <si>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</si>
  <si>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</si>
  <si>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</si>
  <si>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</si>
  <si>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</si>
  <si>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</si>
  <si>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</si>
  <si>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</si>
  <si>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</si>
  <si>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</si>
  <si>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</si>
  <si>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</si>
  <si>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</si>
  <si>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</si>
  <si>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</si>
  <si>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</si>
  <si>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</si>
  <si>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</si>
  <si>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</si>
  <si>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</si>
  <si>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</si>
  <si>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</si>
  <si>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</si>
  <si>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</si>
  <si>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</si>
  <si>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</si>
  <si>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</si>
  <si>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</si>
  <si>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</si>
  <si>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</si>
  <si>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</si>
  <si>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</si>
  <si>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</si>
  <si>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</si>
  <si>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</si>
  <si>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</si>
  <si>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</si>
  <si>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</si>
  <si>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</si>
  <si>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</si>
  <si>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</si>
  <si>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</si>
  <si>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</si>
  <si>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</si>
  <si>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</si>
  <si>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</si>
  <si>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</si>
  <si>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</si>
  <si>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</si>
  <si>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</si>
  <si>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</si>
  <si>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</si>
  <si>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</si>
  <si>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</si>
  <si>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</si>
  <si>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</si>
  <si>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</si>
  <si>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</si>
  <si>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</si>
  <si>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</si>
  <si>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</si>
  <si>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</si>
  <si>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</si>
  <si>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</si>
  <si>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</si>
  <si>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</si>
  <si>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</si>
  <si>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</si>
  <si>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</si>
  <si>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</si>
  <si>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</si>
  <si>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</si>
  <si>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</si>
  <si>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</si>
  <si>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</si>
  <si>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</si>
  <si>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</si>
  <si>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</si>
  <si>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</si>
  <si>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</si>
  <si>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</si>
  <si>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</si>
  <si>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</si>
  <si>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</si>
  <si>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</si>
  <si>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</si>
  <si>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</si>
  <si>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</si>
  <si>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</si>
  <si>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</si>
  <si>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</si>
  <si>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</si>
  <si>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</si>
  <si>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</si>
  <si>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</si>
  <si>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</si>
  <si>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</si>
  <si>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</si>
  <si>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</si>
  <si>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</si>
  <si>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</si>
  <si>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</si>
  <si>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</si>
  <si>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</si>
  <si>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</si>
  <si>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</si>
  <si>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</si>
  <si>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</si>
  <si>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</si>
  <si>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</si>
  <si>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</si>
  <si>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</si>
  <si>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</si>
  <si>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</si>
  <si>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</si>
  <si>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</si>
  <si>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</si>
  <si>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</si>
  <si>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</si>
  <si>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</si>
  <si>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</si>
  <si>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</si>
  <si>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</si>
  <si>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</si>
  <si>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</si>
  <si>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</si>
  <si>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</si>
  <si>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</si>
  <si>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</si>
  <si>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</si>
  <si>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</si>
  <si>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</si>
  <si>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</si>
  <si>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</si>
  <si>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</si>
  <si>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</si>
  <si>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</si>
  <si>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</si>
  <si>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</si>
  <si>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</si>
  <si>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</si>
  <si>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</si>
  <si>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</si>
  <si>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</si>
  <si>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</si>
  <si>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</si>
  <si>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</si>
  <si>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</si>
  <si>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</si>
  <si>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</si>
  <si>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</si>
  <si>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</si>
  <si>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</si>
  <si>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</si>
  <si>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</si>
  <si>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</si>
  <si>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</si>
  <si>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</si>
  <si>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</si>
  <si>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</si>
  <si>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</si>
  <si>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</si>
  <si>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</si>
  <si>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</si>
  <si>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</si>
  <si>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</si>
  <si>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</si>
  <si>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</si>
  <si>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</si>
  <si>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</si>
  <si>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</si>
  <si>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</si>
  <si>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</si>
  <si>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</si>
  <si>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</si>
  <si>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</si>
  <si>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</si>
  <si>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</si>
  <si>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</si>
  <si>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</si>
  <si>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</si>
  <si>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</si>
  <si>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</si>
  <si>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</si>
  <si>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</si>
  <si>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</si>
  <si>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</si>
  <si>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</si>
  <si>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</si>
  <si>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</si>
  <si>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</si>
  <si>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</si>
  <si>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</si>
  <si>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</si>
  <si>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</si>
  <si>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</si>
  <si>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</si>
  <si>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</si>
  <si>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</si>
  <si>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</si>
  <si>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</si>
  <si>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</si>
  <si>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</si>
  <si>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</si>
  <si>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</si>
  <si>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</si>
  <si>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</si>
  <si>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</si>
  <si>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</si>
  <si>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</si>
  <si>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</si>
  <si>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</si>
  <si>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</si>
  <si>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</si>
  <si>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</si>
  <si>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</si>
  <si>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</si>
  <si>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</si>
  <si>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</si>
  <si>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</si>
  <si>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</si>
  <si>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</si>
  <si>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</si>
  <si>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</si>
  <si>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</si>
  <si>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</si>
  <si>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</si>
  <si>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</si>
  <si>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</si>
  <si>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</si>
  <si>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</si>
  <si>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</si>
  <si>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</si>
  <si>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</si>
  <si>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</si>
  <si>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</si>
  <si>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</si>
  <si>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</si>
  <si>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</si>
  <si>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</si>
  <si>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</si>
  <si>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</si>
  <si>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</si>
  <si>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</si>
  <si>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</si>
  <si>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</si>
  <si>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</si>
  <si>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</si>
  <si>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</si>
  <si>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</si>
  <si>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</si>
  <si>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</si>
  <si>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</si>
  <si>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</si>
  <si>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</si>
  <si>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</si>
  <si>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</si>
  <si>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</si>
  <si>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</si>
  <si>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</si>
  <si>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</si>
  <si>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</si>
  <si>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</si>
  <si>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</si>
  <si>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</si>
  <si>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</si>
  <si>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</si>
  <si>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</si>
  <si>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</si>
  <si>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</si>
  <si>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</si>
  <si>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</si>
  <si>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</si>
  <si>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</si>
  <si>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</si>
  <si>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</si>
  <si>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</si>
  <si>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</si>
  <si>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</si>
  <si>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</si>
  <si>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</si>
  <si>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</si>
  <si>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</si>
  <si>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</si>
  <si>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</si>
  <si>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</si>
  <si>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</si>
  <si>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</si>
  <si>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</si>
  <si>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</si>
  <si>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</si>
  <si>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</si>
  <si>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</si>
  <si>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</si>
  <si>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</si>
  <si>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</si>
  <si>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</si>
  <si>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</si>
  <si>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</si>
  <si>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</si>
  <si>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</si>
  <si>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</si>
  <si>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</si>
  <si>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</si>
  <si>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</si>
  <si>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</si>
  <si>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</si>
  <si>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</si>
  <si>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</si>
  <si>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</si>
  <si>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</si>
  <si>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</si>
  <si>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</si>
  <si>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</si>
  <si>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</si>
  <si>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</si>
  <si>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</si>
  <si>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</si>
  <si>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</si>
  <si>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</si>
  <si>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</si>
  <si>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</si>
  <si>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</si>
  <si>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</si>
  <si>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</si>
  <si>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</si>
  <si>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</si>
  <si>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</si>
  <si>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</si>
  <si>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</si>
  <si>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</si>
  <si>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</si>
  <si>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</si>
  <si>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</si>
  <si>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</si>
  <si>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</si>
  <si>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</si>
  <si>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</si>
  <si>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</si>
  <si>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</si>
  <si>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</si>
  <si>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</si>
  <si>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</si>
  <si>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</si>
  <si>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</si>
  <si>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</si>
  <si>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</si>
  <si>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</si>
  <si>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</si>
  <si>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</si>
  <si>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</si>
  <si>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</si>
  <si>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</si>
  <si>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</si>
  <si>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</si>
  <si>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</si>
  <si>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</si>
  <si>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</si>
  <si>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</si>
  <si>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</si>
  <si>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</si>
  <si>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</si>
  <si>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</si>
  <si>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</si>
  <si>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</si>
  <si>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</si>
  <si>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 xml:space="preserve">yesca 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</si>
  <si>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</si>
  <si>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</si>
  <si>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</si>
  <si>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</si>
  <si>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</si>
  <si>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</si>
  <si>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</si>
  <si>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</si>
  <si>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</si>
  <si>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</si>
  <si>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</si>
  <si>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</si>
  <si>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</si>
  <si>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</si>
  <si>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</si>
  <si>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</si>
  <si>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</si>
  <si>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</si>
  <si>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</si>
  <si>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</si>
  <si>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</si>
  <si>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</si>
  <si>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</si>
  <si>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</si>
  <si>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</si>
  <si>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</si>
  <si>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</si>
  <si>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</si>
  <si>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</si>
  <si>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</si>
  <si>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</si>
  <si>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</si>
  <si>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</si>
  <si>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</si>
  <si>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</si>
  <si>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</si>
  <si>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</si>
  <si>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</si>
  <si>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</si>
  <si>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</si>
  <si>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</si>
  <si>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</si>
  <si>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</si>
  <si>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</si>
  <si>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</si>
  <si>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</si>
  <si>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</si>
  <si>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</si>
  <si>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</si>
  <si>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</si>
  <si>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</si>
  <si>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</si>
  <si>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</si>
  <si>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</si>
  <si>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</si>
  <si>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</si>
  <si>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</si>
  <si>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</si>
  <si>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</si>
  <si>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</si>
  <si>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</si>
  <si>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</si>
  <si>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</si>
  <si>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</si>
  <si>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</si>
  <si>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260801-488</t>
  </si>
  <si>
    <t>MOV-689</t>
  </si>
  <si>
    <t>MOV-690</t>
  </si>
  <si>
    <t>MOV-691</t>
  </si>
  <si>
    <t>MOV-692</t>
  </si>
  <si>
    <t xml:space="preserve">Santa graciana </t>
  </si>
  <si>
    <t>MOV-693</t>
  </si>
  <si>
    <t>MOV-694</t>
  </si>
  <si>
    <t>MOV-695</t>
  </si>
  <si>
    <t>MOV-696</t>
  </si>
  <si>
    <t>MOV-697</t>
  </si>
  <si>
    <t>MOV-698</t>
  </si>
  <si>
    <t xml:space="preserve">Sauquat super </t>
  </si>
  <si>
    <t>Dicloruro de paraquat 276 g/l + paraquat 200 g/l SL</t>
  </si>
  <si>
    <t>saudu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</si>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</sst>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7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4">
    <sortCondition ref="B2:B11994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D1" workbookViewId="0">
      <selection activeCell="O12001" sqref="O12001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59309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59309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N205">
        <v>65069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N206">
        <v>65069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N207">
        <v>65070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3380</v>
      </c>
      <c r="K225" s="22">
        <f>IF(I225="","",IF(I225="ENTRADA",ABS(J225),-ABS(J225)))</f>
        <v>-3380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N284">
        <v>65113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N285">
        <v>65113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114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700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701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702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703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704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705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706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707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708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709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710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711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119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712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713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714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715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716</v>
      </c>
      <c r="B449" s="47">
        <v>46255</v>
      </c>
      <c r="C449" t="s">
        <v>717</v>
      </c>
      <c r="D449" t="s">
        <v>718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719</v>
      </c>
      <c r="B450" s="47">
        <v>46258</v>
      </c>
      <c r="C450" t="s">
        <v>717</v>
      </c>
      <c r="D450" t="s">
        <v>718</v>
      </c>
      <c r="E450" t="s">
        <v>33</v>
      </c>
      <c r="F450" t="s">
        <v>34</v>
      </c>
      <c r="G450" t="s">
        <v>116</v>
      </c>
      <c r="H450" s="20" t="s">
        <v>720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721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722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723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724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725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726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727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728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729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730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731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732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733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734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735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736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737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65172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738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739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N469">
        <v>65173</v>
      </c>
      <c r="O469" t="s">
        <v>381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740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741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742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743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744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745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746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747</v>
      </c>
      <c r="B476" s="47">
        <v>46247</v>
      </c>
      <c r="C476" t="s">
        <v>748</v>
      </c>
      <c r="D476" t="s">
        <v>749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750</v>
      </c>
      <c r="B477" s="47">
        <v>46249</v>
      </c>
      <c r="C477" t="s">
        <v>748</v>
      </c>
      <c r="D477" t="s">
        <v>749</v>
      </c>
      <c r="E477" t="s">
        <v>33</v>
      </c>
      <c r="G477" t="s">
        <v>300</v>
      </c>
      <c r="H477" s="20" t="s">
        <v>751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752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746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753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746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754</v>
      </c>
      <c r="B480" s="47">
        <v>46255</v>
      </c>
      <c r="C480" t="s">
        <v>755</v>
      </c>
      <c r="D480" t="s">
        <v>756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757</v>
      </c>
      <c r="B481" s="47">
        <v>46255</v>
      </c>
      <c r="C481" t="s">
        <v>758</v>
      </c>
      <c r="D481" t="s">
        <v>759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760</v>
      </c>
      <c r="B482" s="47">
        <v>46255</v>
      </c>
      <c r="C482" t="s">
        <v>761</v>
      </c>
      <c r="D482" t="s">
        <v>762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763</v>
      </c>
      <c r="B483" s="47">
        <v>46265</v>
      </c>
      <c r="C483" t="s">
        <v>764</v>
      </c>
      <c r="D483" t="s">
        <v>765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766</v>
      </c>
      <c r="B484" s="47">
        <v>46260</v>
      </c>
      <c r="C484" t="s">
        <v>767</v>
      </c>
      <c r="D484" t="s">
        <v>768</v>
      </c>
      <c r="E484" t="s">
        <v>33</v>
      </c>
      <c r="F484" t="s">
        <v>34</v>
      </c>
      <c r="G484" t="s">
        <v>769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770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771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772</v>
      </c>
      <c r="B487" s="47">
        <v>46267</v>
      </c>
      <c r="C487" t="s">
        <v>773</v>
      </c>
      <c r="D487" t="s">
        <v>774</v>
      </c>
      <c r="E487" t="s">
        <v>33</v>
      </c>
      <c r="F487" t="s">
        <v>45</v>
      </c>
      <c r="G487" t="s">
        <v>775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776</v>
      </c>
      <c r="B488" s="47">
        <v>46235</v>
      </c>
      <c r="C488" t="s">
        <v>777</v>
      </c>
      <c r="D488" t="s">
        <v>778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N488">
        <v>986001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779</v>
      </c>
      <c r="B489" s="47">
        <v>46235</v>
      </c>
      <c r="C489" t="s">
        <v>780</v>
      </c>
      <c r="D489" t="s">
        <v>781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N489">
        <v>986001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782</v>
      </c>
      <c r="B490" s="47">
        <v>46235</v>
      </c>
      <c r="C490" t="s">
        <v>783</v>
      </c>
      <c r="D490" t="s">
        <v>784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N490">
        <v>986001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785</v>
      </c>
      <c r="B491" s="47">
        <v>46235</v>
      </c>
      <c r="C491" t="s">
        <v>786</v>
      </c>
      <c r="D491" t="s">
        <v>787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N491">
        <v>986001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788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789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790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791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792</v>
      </c>
      <c r="B495" s="47">
        <v>46265</v>
      </c>
      <c r="C495" t="s">
        <v>717</v>
      </c>
      <c r="D495" t="s">
        <v>718</v>
      </c>
      <c r="E495" t="s">
        <v>33</v>
      </c>
      <c r="F495" t="s">
        <v>34</v>
      </c>
      <c r="G495" t="s">
        <v>116</v>
      </c>
      <c r="H495" s="20" t="s">
        <v>720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793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794</v>
      </c>
      <c r="B497" s="47">
        <v>46266</v>
      </c>
      <c r="C497" t="s">
        <v>780</v>
      </c>
      <c r="D497" t="s">
        <v>781</v>
      </c>
      <c r="E497" t="s">
        <v>33</v>
      </c>
      <c r="F497" t="s">
        <v>45</v>
      </c>
      <c r="G497" t="s">
        <v>26</v>
      </c>
      <c r="H497" s="20" t="s">
        <v>795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796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797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798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799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800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791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801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802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803</v>
      </c>
      <c r="B504" s="47">
        <v>46267</v>
      </c>
      <c r="C504" t="s">
        <v>758</v>
      </c>
      <c r="D504" t="s">
        <v>759</v>
      </c>
      <c r="E504" t="s">
        <v>24</v>
      </c>
      <c r="F504" t="s">
        <v>630</v>
      </c>
      <c r="G504" t="s">
        <v>26</v>
      </c>
      <c r="H504" s="20" t="s">
        <v>804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805</v>
      </c>
      <c r="B505" s="47">
        <v>46267</v>
      </c>
      <c r="C505" t="s">
        <v>761</v>
      </c>
      <c r="D505" t="s">
        <v>762</v>
      </c>
      <c r="E505" t="s">
        <v>24</v>
      </c>
      <c r="F505" t="s">
        <v>630</v>
      </c>
      <c r="G505" t="s">
        <v>26</v>
      </c>
      <c r="H505" s="20" t="s">
        <v>806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807</v>
      </c>
      <c r="B506" s="47">
        <v>46267</v>
      </c>
      <c r="C506" t="s">
        <v>755</v>
      </c>
      <c r="D506" t="s">
        <v>756</v>
      </c>
      <c r="E506" t="s">
        <v>24</v>
      </c>
      <c r="F506" t="s">
        <v>630</v>
      </c>
      <c r="G506" t="s">
        <v>26</v>
      </c>
      <c r="H506" s="20" t="s">
        <v>808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809</v>
      </c>
      <c r="B507" s="47">
        <v>46267</v>
      </c>
      <c r="C507" s="34" t="s">
        <v>761</v>
      </c>
      <c r="D507" s="34" t="s">
        <v>762</v>
      </c>
      <c r="E507" s="34" t="s">
        <v>24</v>
      </c>
      <c r="F507" s="34" t="s">
        <v>630</v>
      </c>
      <c r="G507" s="34" t="s">
        <v>26</v>
      </c>
      <c r="H507" s="20" t="s">
        <v>806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810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811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812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813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814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815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816</v>
      </c>
      <c r="B514" s="47">
        <v>46267</v>
      </c>
      <c r="C514" t="s">
        <v>748</v>
      </c>
      <c r="D514" t="s">
        <v>749</v>
      </c>
      <c r="E514" t="s">
        <v>33</v>
      </c>
      <c r="G514" t="s">
        <v>300</v>
      </c>
      <c r="H514" s="20" t="s">
        <v>751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817</v>
      </c>
      <c r="B515" s="47">
        <v>46267</v>
      </c>
      <c r="C515" t="s">
        <v>755</v>
      </c>
      <c r="D515" t="s">
        <v>756</v>
      </c>
      <c r="E515" t="s">
        <v>24</v>
      </c>
      <c r="F515" t="s">
        <v>630</v>
      </c>
      <c r="G515" t="s">
        <v>26</v>
      </c>
      <c r="H515" s="20" t="s">
        <v>808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818</v>
      </c>
      <c r="B516" s="47">
        <v>46267</v>
      </c>
      <c r="C516" t="s">
        <v>761</v>
      </c>
      <c r="D516" t="s">
        <v>762</v>
      </c>
      <c r="E516" t="s">
        <v>24</v>
      </c>
      <c r="F516" t="s">
        <v>630</v>
      </c>
      <c r="G516" t="s">
        <v>26</v>
      </c>
      <c r="H516" s="20" t="s">
        <v>806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819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820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821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822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823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824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820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825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822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826</v>
      </c>
      <c r="B522" s="47">
        <v>46267</v>
      </c>
      <c r="C522" t="s">
        <v>767</v>
      </c>
      <c r="D522" t="s">
        <v>768</v>
      </c>
      <c r="E522" t="s">
        <v>33</v>
      </c>
      <c r="F522" t="s">
        <v>34</v>
      </c>
      <c r="G522" t="s">
        <v>769</v>
      </c>
      <c r="H522" s="20" t="s">
        <v>827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828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829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830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831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832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833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834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835</v>
      </c>
      <c r="B529" s="47">
        <v>46268</v>
      </c>
      <c r="C529" s="34" t="s">
        <v>836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837</v>
      </c>
      <c r="B530" s="47">
        <v>46268</v>
      </c>
      <c r="C530" t="s">
        <v>838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839</v>
      </c>
      <c r="B531" s="47">
        <v>46268</v>
      </c>
      <c r="C531" t="s">
        <v>838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840</v>
      </c>
      <c r="B532" s="47">
        <v>46268</v>
      </c>
      <c r="C532" t="s">
        <v>838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841</v>
      </c>
      <c r="B533" s="47">
        <v>46262</v>
      </c>
      <c r="C533" t="s">
        <v>114</v>
      </c>
      <c r="D533" t="s">
        <v>115</v>
      </c>
      <c r="E533" t="s">
        <v>33</v>
      </c>
      <c r="F533" t="s">
        <v>34</v>
      </c>
      <c r="G533" t="s">
        <v>116</v>
      </c>
      <c r="H533" s="20" t="s">
        <v>666</v>
      </c>
      <c r="I533" t="s">
        <v>64</v>
      </c>
      <c r="J533" s="30">
        <v>840</v>
      </c>
      <c r="K533" s="22">
        <f>IF(I533="","",IF(I533="ENTRADA",ABS(J533),-ABS(J533)))</f>
        <v>-840</v>
      </c>
      <c r="L533" t="s">
        <v>36</v>
      </c>
      <c r="N533">
        <v>65192</v>
      </c>
      <c r="O533" t="s">
        <v>212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842</v>
      </c>
      <c r="B534" s="47">
        <v>46262</v>
      </c>
      <c r="C534" t="s">
        <v>121</v>
      </c>
      <c r="D534" t="s">
        <v>122</v>
      </c>
      <c r="E534" t="s">
        <v>33</v>
      </c>
      <c r="F534" t="s">
        <v>34</v>
      </c>
      <c r="G534" t="s">
        <v>116</v>
      </c>
      <c r="H534" s="20" t="s">
        <v>202</v>
      </c>
      <c r="I534" t="s">
        <v>64</v>
      </c>
      <c r="J534" s="30">
        <v>240</v>
      </c>
      <c r="K534" s="22">
        <f>IF(I534="","",IF(I534="ENTRADA",ABS(J534),-ABS(J534)))</f>
        <v>-240</v>
      </c>
      <c r="L534" t="s">
        <v>36</v>
      </c>
      <c r="N534">
        <v>65192</v>
      </c>
      <c r="O534" t="s">
        <v>212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843</v>
      </c>
      <c r="B535" s="47">
        <v>46262</v>
      </c>
      <c r="C535" t="s">
        <v>129</v>
      </c>
      <c r="D535" t="s">
        <v>130</v>
      </c>
      <c r="E535" t="s">
        <v>131</v>
      </c>
      <c r="G535" t="s">
        <v>132</v>
      </c>
      <c r="H535" s="20" t="s">
        <v>220</v>
      </c>
      <c r="I535" t="s">
        <v>64</v>
      </c>
      <c r="J535" s="30">
        <v>30</v>
      </c>
      <c r="K535" s="22">
        <f>IF(I535="","",IF(I535="ENTRADA",ABS(J535),-ABS(J535)))</f>
        <v>-30</v>
      </c>
      <c r="L535" t="s">
        <v>36</v>
      </c>
      <c r="N535">
        <v>65192</v>
      </c>
      <c r="O535" t="s">
        <v>212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844</v>
      </c>
      <c r="B536" s="47">
        <v>46262</v>
      </c>
      <c r="C536" t="s">
        <v>136</v>
      </c>
      <c r="D536" t="s">
        <v>137</v>
      </c>
      <c r="E536" t="s">
        <v>131</v>
      </c>
      <c r="G536" t="s">
        <v>132</v>
      </c>
      <c r="H536" s="20" t="s">
        <v>791</v>
      </c>
      <c r="I536" t="s">
        <v>64</v>
      </c>
      <c r="J536" s="30">
        <v>5</v>
      </c>
      <c r="K536" s="22">
        <f>IF(I536="","",IF(I536="ENTRADA",ABS(J536),-ABS(J536)))</f>
        <v>-5</v>
      </c>
      <c r="L536" t="s">
        <v>36</v>
      </c>
      <c r="N536">
        <v>65192</v>
      </c>
      <c r="O536" t="s">
        <v>212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845</v>
      </c>
      <c r="B537" s="47">
        <v>46262</v>
      </c>
      <c r="C537" t="s">
        <v>114</v>
      </c>
      <c r="D537" t="s">
        <v>115</v>
      </c>
      <c r="E537" t="s">
        <v>33</v>
      </c>
      <c r="F537" t="s">
        <v>34</v>
      </c>
      <c r="G537" t="s">
        <v>116</v>
      </c>
      <c r="H537" s="20" t="s">
        <v>666</v>
      </c>
      <c r="I537" t="s">
        <v>64</v>
      </c>
      <c r="J537" s="30">
        <v>1080</v>
      </c>
      <c r="K537" s="22">
        <f>IF(I537="","",IF(I537="ENTRADA",ABS(J537),-ABS(J537)))</f>
        <v>-1080</v>
      </c>
      <c r="L537" t="s">
        <v>36</v>
      </c>
      <c r="N537">
        <v>65193</v>
      </c>
      <c r="O537" t="s">
        <v>217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846</v>
      </c>
      <c r="B538" s="47">
        <v>46262</v>
      </c>
      <c r="C538" t="s">
        <v>121</v>
      </c>
      <c r="D538" t="s">
        <v>122</v>
      </c>
      <c r="E538" t="s">
        <v>33</v>
      </c>
      <c r="F538" t="s">
        <v>34</v>
      </c>
      <c r="G538" t="s">
        <v>116</v>
      </c>
      <c r="H538" s="20" t="s">
        <v>202</v>
      </c>
      <c r="I538" t="s">
        <v>64</v>
      </c>
      <c r="J538" s="30">
        <v>260</v>
      </c>
      <c r="K538" s="22">
        <f>IF(I538="","",IF(I538="ENTRADA",ABS(J538),-ABS(J538)))</f>
        <v>-260</v>
      </c>
      <c r="L538" t="s">
        <v>36</v>
      </c>
      <c r="N538">
        <v>65193</v>
      </c>
      <c r="O538" t="s">
        <v>217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847</v>
      </c>
      <c r="B539" s="47">
        <v>46262</v>
      </c>
      <c r="C539" t="s">
        <v>129</v>
      </c>
      <c r="D539" t="s">
        <v>130</v>
      </c>
      <c r="E539" t="s">
        <v>131</v>
      </c>
      <c r="G539" t="s">
        <v>132</v>
      </c>
      <c r="H539" s="20" t="s">
        <v>220</v>
      </c>
      <c r="I539" t="s">
        <v>64</v>
      </c>
      <c r="J539" s="30">
        <v>50</v>
      </c>
      <c r="K539" s="22">
        <f>IF(I539="","",IF(I539="ENTRADA",ABS(J539),-ABS(J539)))</f>
        <v>-50</v>
      </c>
      <c r="L539" t="s">
        <v>36</v>
      </c>
      <c r="N539">
        <v>65193</v>
      </c>
      <c r="O539" t="s">
        <v>217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848</v>
      </c>
      <c r="B540" s="47">
        <v>46262</v>
      </c>
      <c r="C540" s="34" t="s">
        <v>136</v>
      </c>
      <c r="D540" s="34" t="s">
        <v>137</v>
      </c>
      <c r="E540" s="34" t="s">
        <v>131</v>
      </c>
      <c r="F540" s="34"/>
      <c r="G540" s="34" t="s">
        <v>132</v>
      </c>
      <c r="H540" s="20" t="s">
        <v>791</v>
      </c>
      <c r="I540" s="34" t="s">
        <v>64</v>
      </c>
      <c r="J540" s="36">
        <v>10</v>
      </c>
      <c r="K540" s="22">
        <f>IF(I540="","",IF(I540="ENTRADA",ABS(J540),-ABS(J540)))</f>
        <v>-10</v>
      </c>
      <c r="L540" s="34" t="s">
        <v>36</v>
      </c>
      <c r="M540" s="34"/>
      <c r="N540">
        <v>65193</v>
      </c>
      <c r="O540" s="34" t="s">
        <v>217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849</v>
      </c>
      <c r="B541" s="47">
        <v>46262</v>
      </c>
      <c r="C541" t="s">
        <v>89</v>
      </c>
      <c r="D541" t="s">
        <v>90</v>
      </c>
      <c r="E541" t="s">
        <v>33</v>
      </c>
      <c r="F541" t="s">
        <v>34</v>
      </c>
      <c r="G541" t="s">
        <v>35</v>
      </c>
      <c r="H541" s="20" t="s">
        <v>374</v>
      </c>
      <c r="I541" t="s">
        <v>64</v>
      </c>
      <c r="J541" s="30">
        <v>200</v>
      </c>
      <c r="K541" s="22">
        <f>IF(I541="","",IF(I541="ENTRADA",ABS(J541),-ABS(J541)))</f>
        <v>-200</v>
      </c>
      <c r="L541" t="s">
        <v>36</v>
      </c>
      <c r="N541">
        <v>65193</v>
      </c>
      <c r="O541" t="s">
        <v>217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850</v>
      </c>
      <c r="B542" s="47">
        <v>46268</v>
      </c>
      <c r="C542" t="s">
        <v>773</v>
      </c>
      <c r="D542" t="s">
        <v>774</v>
      </c>
      <c r="E542" t="s">
        <v>33</v>
      </c>
      <c r="F542" t="s">
        <v>45</v>
      </c>
      <c r="G542" t="s">
        <v>775</v>
      </c>
      <c r="H542" s="20" t="s">
        <v>851</v>
      </c>
      <c r="I542" t="s">
        <v>64</v>
      </c>
      <c r="J542" s="30">
        <v>1000</v>
      </c>
      <c r="K542" s="22">
        <f>IF(I542="","",IF(I542="ENTRADA",ABS(J542),-ABS(J542)))</f>
        <v>-1000</v>
      </c>
      <c r="L542" t="s">
        <v>36</v>
      </c>
      <c r="M542" s="47"/>
      <c r="N542">
        <v>65190</v>
      </c>
      <c r="O542" t="s">
        <v>212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852</v>
      </c>
      <c r="B543" s="47">
        <v>46269</v>
      </c>
      <c r="C543" t="s">
        <v>43</v>
      </c>
      <c r="D543" t="s">
        <v>62</v>
      </c>
      <c r="E543" t="s">
        <v>33</v>
      </c>
      <c r="F543" t="s">
        <v>45</v>
      </c>
      <c r="G543" t="s">
        <v>35</v>
      </c>
      <c r="H543" s="20" t="s">
        <v>63</v>
      </c>
      <c r="I543" t="s">
        <v>64</v>
      </c>
      <c r="J543" s="30">
        <v>40</v>
      </c>
      <c r="K543" s="22">
        <f>IF(I543="","",IF(I543="ENTRADA",ABS(J543),-ABS(J543)))</f>
        <v>-40</v>
      </c>
      <c r="L543" t="s">
        <v>36</v>
      </c>
      <c r="N543">
        <v>65191</v>
      </c>
      <c r="O543" t="s">
        <v>217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853</v>
      </c>
      <c r="B544" s="47">
        <v>46269</v>
      </c>
      <c r="C544" t="s">
        <v>58</v>
      </c>
      <c r="D544" t="s">
        <v>59</v>
      </c>
      <c r="E544" t="s">
        <v>33</v>
      </c>
      <c r="F544" t="s">
        <v>34</v>
      </c>
      <c r="H544" s="20" t="s">
        <v>67</v>
      </c>
      <c r="I544" t="s">
        <v>64</v>
      </c>
      <c r="J544" s="30">
        <v>80</v>
      </c>
      <c r="K544" s="22">
        <f>IF(I544="","",IF(I544="ENTRADA",ABS(J544),-ABS(J544)))</f>
        <v>-80</v>
      </c>
      <c r="L544" t="s">
        <v>36</v>
      </c>
      <c r="N544">
        <v>65191</v>
      </c>
      <c r="O544" t="s">
        <v>217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854</v>
      </c>
      <c r="B545" s="47">
        <v>46269</v>
      </c>
      <c r="C545" t="s">
        <v>129</v>
      </c>
      <c r="D545" t="s">
        <v>130</v>
      </c>
      <c r="E545" t="s">
        <v>131</v>
      </c>
      <c r="G545" t="s">
        <v>132</v>
      </c>
      <c r="H545" s="20" t="s">
        <v>220</v>
      </c>
      <c r="I545" t="s">
        <v>64</v>
      </c>
      <c r="J545" s="30">
        <v>20</v>
      </c>
      <c r="K545" s="22">
        <f>IF(I545="","",IF(I545="ENTRADA",ABS(J545),-ABS(J545)))</f>
        <v>-20</v>
      </c>
      <c r="L545" t="s">
        <v>36</v>
      </c>
      <c r="N545">
        <v>65191</v>
      </c>
      <c r="O545" t="s">
        <v>217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855</v>
      </c>
      <c r="B546" s="47">
        <v>46269</v>
      </c>
      <c r="C546" t="s">
        <v>136</v>
      </c>
      <c r="D546" t="s">
        <v>137</v>
      </c>
      <c r="E546" t="s">
        <v>131</v>
      </c>
      <c r="G546" t="s">
        <v>132</v>
      </c>
      <c r="H546" s="20" t="s">
        <v>791</v>
      </c>
      <c r="I546" t="s">
        <v>64</v>
      </c>
      <c r="J546" s="30">
        <v>3</v>
      </c>
      <c r="K546" s="22">
        <f>IF(I546="","",IF(I546="ENTRADA",ABS(J546),-ABS(J546)))</f>
        <v>-3</v>
      </c>
      <c r="L546" t="s">
        <v>36</v>
      </c>
      <c r="N546">
        <v>65191</v>
      </c>
      <c r="O546" t="s">
        <v>217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856</v>
      </c>
      <c r="B547" s="47">
        <v>46269</v>
      </c>
      <c r="C547" t="s">
        <v>755</v>
      </c>
      <c r="D547" t="s">
        <v>756</v>
      </c>
      <c r="E547" t="s">
        <v>24</v>
      </c>
      <c r="F547" t="s">
        <v>630</v>
      </c>
      <c r="G547" t="s">
        <v>26</v>
      </c>
      <c r="H547" s="20" t="s">
        <v>808</v>
      </c>
      <c r="I547" t="s">
        <v>64</v>
      </c>
      <c r="J547" s="30">
        <v>275</v>
      </c>
      <c r="K547" s="22">
        <f>IF(I547="","",IF(I547="ENTRADA",ABS(J547),-ABS(J547)))</f>
        <v>-275</v>
      </c>
      <c r="L547" t="s">
        <v>631</v>
      </c>
      <c r="N547">
        <v>65194</v>
      </c>
      <c r="O547" t="s">
        <v>212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857</v>
      </c>
      <c r="B548" s="47">
        <v>46269</v>
      </c>
      <c r="C548" t="s">
        <v>761</v>
      </c>
      <c r="D548" t="s">
        <v>762</v>
      </c>
      <c r="E548" t="s">
        <v>24</v>
      </c>
      <c r="F548" t="s">
        <v>630</v>
      </c>
      <c r="G548" t="s">
        <v>26</v>
      </c>
      <c r="H548" s="20" t="s">
        <v>806</v>
      </c>
      <c r="I548" t="s">
        <v>64</v>
      </c>
      <c r="J548" s="30">
        <v>8</v>
      </c>
      <c r="K548" s="22">
        <f>IF(I548="","",IF(I548="ENTRADA",ABS(J548),-ABS(J548)))</f>
        <v>-8</v>
      </c>
      <c r="L548" t="s">
        <v>631</v>
      </c>
      <c r="N548">
        <v>65194</v>
      </c>
      <c r="O548" t="s">
        <v>212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858</v>
      </c>
      <c r="B549" s="47">
        <v>46269</v>
      </c>
      <c r="C549" t="s">
        <v>628</v>
      </c>
      <c r="D549" t="s">
        <v>629</v>
      </c>
      <c r="E549" t="s">
        <v>24</v>
      </c>
      <c r="F549" t="s">
        <v>630</v>
      </c>
      <c r="G549" t="s">
        <v>157</v>
      </c>
      <c r="H549" s="20" t="s">
        <v>820</v>
      </c>
      <c r="I549" t="s">
        <v>64</v>
      </c>
      <c r="J549" s="30">
        <v>128</v>
      </c>
      <c r="K549" s="22">
        <f>IF(I549="","",IF(I549="ENTRADA",ABS(J549),-ABS(J549)))</f>
        <v>-128</v>
      </c>
      <c r="L549" t="s">
        <v>631</v>
      </c>
      <c r="N549">
        <v>65194</v>
      </c>
      <c r="O549" t="s">
        <v>212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miaz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859</v>
      </c>
      <c r="B550" s="47">
        <v>46269</v>
      </c>
      <c r="C550" t="s">
        <v>761</v>
      </c>
      <c r="D550" t="s">
        <v>762</v>
      </c>
      <c r="E550" t="s">
        <v>24</v>
      </c>
      <c r="F550" t="s">
        <v>630</v>
      </c>
      <c r="G550" t="s">
        <v>26</v>
      </c>
      <c r="H550" s="20" t="s">
        <v>806</v>
      </c>
      <c r="I550" t="s">
        <v>64</v>
      </c>
      <c r="J550" s="30">
        <v>16</v>
      </c>
      <c r="K550" s="22">
        <f>IF(I550="","",IF(I550="ENTRADA",ABS(J550),-ABS(J550)))</f>
        <v>-16</v>
      </c>
      <c r="L550" t="s">
        <v>631</v>
      </c>
      <c r="N550">
        <v>65194</v>
      </c>
      <c r="O550" t="s">
        <v>212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860</v>
      </c>
      <c r="B551" s="47">
        <v>46269</v>
      </c>
      <c r="C551" s="34" t="s">
        <v>633</v>
      </c>
      <c r="D551" s="34" t="s">
        <v>629</v>
      </c>
      <c r="E551" s="34" t="s">
        <v>24</v>
      </c>
      <c r="F551" s="34" t="s">
        <v>630</v>
      </c>
      <c r="G551" s="34" t="s">
        <v>157</v>
      </c>
      <c r="H551" s="20" t="s">
        <v>822</v>
      </c>
      <c r="I551" s="34" t="s">
        <v>64</v>
      </c>
      <c r="J551" s="36">
        <v>16</v>
      </c>
      <c r="K551" s="22">
        <f>IF(I551="","",IF(I551="ENTRADA",ABS(J551),-ABS(J551)))</f>
        <v>-16</v>
      </c>
      <c r="L551" s="34" t="s">
        <v>631</v>
      </c>
      <c r="M551" s="34"/>
      <c r="N551" s="34">
        <v>65194</v>
      </c>
      <c r="O551" s="34" t="s">
        <v>212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861</v>
      </c>
      <c r="B552" s="47">
        <v>46269</v>
      </c>
      <c r="C552" t="s">
        <v>114</v>
      </c>
      <c r="D552" t="s">
        <v>115</v>
      </c>
      <c r="E552" t="s">
        <v>33</v>
      </c>
      <c r="F552" t="s">
        <v>34</v>
      </c>
      <c r="G552" t="s">
        <v>116</v>
      </c>
      <c r="H552" s="20" t="s">
        <v>666</v>
      </c>
      <c r="I552" t="s">
        <v>64</v>
      </c>
      <c r="J552" s="30">
        <v>2700</v>
      </c>
      <c r="K552" s="22">
        <f>IF(I552="","",IF(I552="ENTRADA",ABS(J552),-ABS(J552)))</f>
        <v>-2700</v>
      </c>
      <c r="L552" t="s">
        <v>36</v>
      </c>
      <c r="N552">
        <v>65195</v>
      </c>
      <c r="O552" t="s">
        <v>381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862</v>
      </c>
      <c r="B553" s="47">
        <v>46269</v>
      </c>
      <c r="C553" t="s">
        <v>780</v>
      </c>
      <c r="D553" t="s">
        <v>781</v>
      </c>
      <c r="E553" t="s">
        <v>33</v>
      </c>
      <c r="F553" t="s">
        <v>45</v>
      </c>
      <c r="G553" t="s">
        <v>26</v>
      </c>
      <c r="H553" s="20" t="s">
        <v>795</v>
      </c>
      <c r="I553" t="s">
        <v>64</v>
      </c>
      <c r="J553" s="30">
        <v>150</v>
      </c>
      <c r="K553" s="22">
        <f>IF(I553="","",IF(I553="ENTRADA",ABS(J553),-ABS(J553)))</f>
        <v>-150</v>
      </c>
      <c r="L553" t="s">
        <v>28</v>
      </c>
      <c r="N553">
        <v>65195</v>
      </c>
      <c r="O553" t="s">
        <v>381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863</v>
      </c>
      <c r="B554" s="47">
        <v>46269</v>
      </c>
      <c r="C554" t="s">
        <v>129</v>
      </c>
      <c r="D554" t="s">
        <v>130</v>
      </c>
      <c r="E554" t="s">
        <v>131</v>
      </c>
      <c r="G554" t="s">
        <v>132</v>
      </c>
      <c r="H554" s="20" t="s">
        <v>220</v>
      </c>
      <c r="I554" t="s">
        <v>64</v>
      </c>
      <c r="J554" s="30">
        <v>110</v>
      </c>
      <c r="K554" s="22">
        <f>IF(I554="","",IF(I554="ENTRADA",ABS(J554),-ABS(J554)))</f>
        <v>-110</v>
      </c>
      <c r="L554" t="s">
        <v>36</v>
      </c>
      <c r="N554">
        <v>65195</v>
      </c>
      <c r="O554" t="s">
        <v>381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864</v>
      </c>
      <c r="B555" s="47">
        <v>46269</v>
      </c>
      <c r="C555" t="s">
        <v>136</v>
      </c>
      <c r="D555" t="s">
        <v>137</v>
      </c>
      <c r="E555" t="s">
        <v>131</v>
      </c>
      <c r="G555" t="s">
        <v>132</v>
      </c>
      <c r="H555" s="20" t="s">
        <v>791</v>
      </c>
      <c r="I555" t="s">
        <v>64</v>
      </c>
      <c r="J555" s="30">
        <v>18</v>
      </c>
      <c r="K555" s="22">
        <f>IF(I555="","",IF(I555="ENTRADA",ABS(J555),-ABS(J555)))</f>
        <v>-18</v>
      </c>
      <c r="L555" t="s">
        <v>36</v>
      </c>
      <c r="N555">
        <v>65195</v>
      </c>
      <c r="O555" t="s">
        <v>381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865</v>
      </c>
      <c r="B556" s="47">
        <v>46269</v>
      </c>
      <c r="C556" t="s">
        <v>773</v>
      </c>
      <c r="D556" t="s">
        <v>774</v>
      </c>
      <c r="E556" t="s">
        <v>33</v>
      </c>
      <c r="F556" t="s">
        <v>45</v>
      </c>
      <c r="G556" t="s">
        <v>775</v>
      </c>
      <c r="H556" s="20" t="s">
        <v>851</v>
      </c>
      <c r="I556" t="s">
        <v>64</v>
      </c>
      <c r="J556" s="30">
        <v>900</v>
      </c>
      <c r="K556" s="22">
        <f>IF(I556="","",IF(I556="ENTRADA",ABS(J556),-ABS(J556)))</f>
        <v>-900</v>
      </c>
      <c r="L556" t="s">
        <v>36</v>
      </c>
      <c r="N556">
        <v>65195</v>
      </c>
      <c r="O556" t="s">
        <v>381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866</v>
      </c>
      <c r="B557" s="47">
        <v>46269</v>
      </c>
      <c r="C557" t="s">
        <v>74</v>
      </c>
      <c r="D557" t="s">
        <v>75</v>
      </c>
      <c r="E557" t="s">
        <v>33</v>
      </c>
      <c r="F557" t="s">
        <v>34</v>
      </c>
      <c r="G557" t="s">
        <v>76</v>
      </c>
      <c r="H557" s="20" t="s">
        <v>93</v>
      </c>
      <c r="I557" t="s">
        <v>64</v>
      </c>
      <c r="J557" s="30">
        <v>160</v>
      </c>
      <c r="K557" s="22">
        <f>IF(I557="","",IF(I557="ENTRADA",ABS(J557),-ABS(J557)))</f>
        <v>-160</v>
      </c>
      <c r="L557" t="s">
        <v>36</v>
      </c>
      <c r="N557">
        <v>65196</v>
      </c>
      <c r="O557" t="s">
        <v>217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867</v>
      </c>
      <c r="B558" s="47">
        <v>46269</v>
      </c>
      <c r="C558" t="s">
        <v>114</v>
      </c>
      <c r="D558" t="s">
        <v>115</v>
      </c>
      <c r="E558" t="s">
        <v>33</v>
      </c>
      <c r="F558" t="s">
        <v>34</v>
      </c>
      <c r="G558" t="s">
        <v>116</v>
      </c>
      <c r="H558" s="20" t="s">
        <v>666</v>
      </c>
      <c r="I558" t="s">
        <v>64</v>
      </c>
      <c r="J558" s="30">
        <v>1040</v>
      </c>
      <c r="K558" s="22">
        <f>IF(I558="","",IF(I558="ENTRADA",ABS(J558),-ABS(J558)))</f>
        <v>-1040</v>
      </c>
      <c r="L558" t="s">
        <v>36</v>
      </c>
      <c r="N558">
        <v>65197</v>
      </c>
      <c r="O558" t="s">
        <v>212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868</v>
      </c>
      <c r="B559" s="47">
        <v>46269</v>
      </c>
      <c r="C559" t="s">
        <v>767</v>
      </c>
      <c r="D559" t="s">
        <v>768</v>
      </c>
      <c r="E559" t="s">
        <v>33</v>
      </c>
      <c r="F559" t="s">
        <v>34</v>
      </c>
      <c r="G559" t="s">
        <v>769</v>
      </c>
      <c r="H559" s="20" t="s">
        <v>827</v>
      </c>
      <c r="I559" t="s">
        <v>64</v>
      </c>
      <c r="J559" s="30">
        <v>500</v>
      </c>
      <c r="K559" s="22">
        <f>IF(I559="","",IF(I559="ENTRADA",ABS(J559),-ABS(J559)))</f>
        <v>-500</v>
      </c>
      <c r="L559" t="s">
        <v>36</v>
      </c>
      <c r="N559">
        <v>65197</v>
      </c>
      <c r="O559" t="s">
        <v>212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869</v>
      </c>
      <c r="B560" s="47">
        <v>46269</v>
      </c>
      <c r="C560" t="s">
        <v>129</v>
      </c>
      <c r="D560" t="s">
        <v>130</v>
      </c>
      <c r="E560" t="s">
        <v>131</v>
      </c>
      <c r="G560" t="s">
        <v>132</v>
      </c>
      <c r="H560" s="20" t="s">
        <v>220</v>
      </c>
      <c r="I560" t="s">
        <v>64</v>
      </c>
      <c r="J560" s="30">
        <v>80</v>
      </c>
      <c r="K560" s="22">
        <f>IF(I560="","",IF(I560="ENTRADA",ABS(J560),-ABS(J560)))</f>
        <v>-80</v>
      </c>
      <c r="L560" t="s">
        <v>36</v>
      </c>
      <c r="N560">
        <v>65197</v>
      </c>
      <c r="O560" t="s">
        <v>212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870</v>
      </c>
      <c r="B561" s="47">
        <v>46269</v>
      </c>
      <c r="C561" t="s">
        <v>780</v>
      </c>
      <c r="D561" t="s">
        <v>781</v>
      </c>
      <c r="E561" t="s">
        <v>33</v>
      </c>
      <c r="F561" t="s">
        <v>45</v>
      </c>
      <c r="G561" t="s">
        <v>26</v>
      </c>
      <c r="H561" s="20" t="s">
        <v>795</v>
      </c>
      <c r="I561" t="s">
        <v>64</v>
      </c>
      <c r="J561" s="30">
        <v>40</v>
      </c>
      <c r="K561" s="22">
        <f>IF(I561="","",IF(I561="ENTRADA",ABS(J561),-ABS(J561)))</f>
        <v>-40</v>
      </c>
      <c r="L561" t="s">
        <v>28</v>
      </c>
      <c r="N561">
        <v>65197</v>
      </c>
      <c r="O561" t="s">
        <v>212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871</v>
      </c>
      <c r="B562" s="47">
        <v>46269</v>
      </c>
      <c r="C562" s="34" t="s">
        <v>773</v>
      </c>
      <c r="D562" s="34" t="s">
        <v>774</v>
      </c>
      <c r="E562" s="34" t="s">
        <v>33</v>
      </c>
      <c r="F562" s="34" t="s">
        <v>45</v>
      </c>
      <c r="G562" s="34" t="s">
        <v>775</v>
      </c>
      <c r="H562" s="20" t="s">
        <v>851</v>
      </c>
      <c r="I562" s="34" t="s">
        <v>64</v>
      </c>
      <c r="J562" s="36">
        <v>200</v>
      </c>
      <c r="K562" s="22">
        <f>IF(I562="","",IF(I562="ENTRADA",ABS(J562),-ABS(J562)))</f>
        <v>-200</v>
      </c>
      <c r="L562" s="34" t="s">
        <v>36</v>
      </c>
      <c r="M562" s="34"/>
      <c r="N562">
        <v>65197</v>
      </c>
      <c r="O562" s="34" t="s">
        <v>212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872</v>
      </c>
      <c r="B563" s="47">
        <v>46269</v>
      </c>
      <c r="C563" t="s">
        <v>89</v>
      </c>
      <c r="D563" t="s">
        <v>90</v>
      </c>
      <c r="E563" t="s">
        <v>33</v>
      </c>
      <c r="F563" t="s">
        <v>34</v>
      </c>
      <c r="G563" t="s">
        <v>35</v>
      </c>
      <c r="H563" s="20" t="s">
        <v>374</v>
      </c>
      <c r="I563" t="s">
        <v>64</v>
      </c>
      <c r="J563" s="30">
        <v>80</v>
      </c>
      <c r="K563" s="22">
        <f>IF(I563="","",IF(I563="ENTRADA",ABS(J563),-ABS(J563)))</f>
        <v>-80</v>
      </c>
      <c r="L563" t="s">
        <v>36</v>
      </c>
      <c r="N563">
        <v>65197</v>
      </c>
      <c r="O563" t="s">
        <v>212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873</v>
      </c>
      <c r="B564" s="47">
        <v>46269</v>
      </c>
      <c r="C564" t="s">
        <v>121</v>
      </c>
      <c r="D564" t="s">
        <v>122</v>
      </c>
      <c r="E564" t="s">
        <v>33</v>
      </c>
      <c r="F564" t="s">
        <v>34</v>
      </c>
      <c r="G564" t="s">
        <v>116</v>
      </c>
      <c r="H564" s="20" t="s">
        <v>202</v>
      </c>
      <c r="I564" t="s">
        <v>64</v>
      </c>
      <c r="J564" s="30">
        <v>330</v>
      </c>
      <c r="K564" s="22">
        <f>IF(I564="","",IF(I564="ENTRADA",ABS(J564),-ABS(J564)))</f>
        <v>-330</v>
      </c>
      <c r="L564" t="s">
        <v>36</v>
      </c>
      <c r="N564">
        <v>65197</v>
      </c>
      <c r="O564" t="s">
        <v>212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874</v>
      </c>
      <c r="B565" s="47">
        <v>46269</v>
      </c>
      <c r="C565" t="s">
        <v>136</v>
      </c>
      <c r="D565" t="s">
        <v>137</v>
      </c>
      <c r="E565" t="s">
        <v>131</v>
      </c>
      <c r="G565" t="s">
        <v>132</v>
      </c>
      <c r="H565" s="20" t="s">
        <v>791</v>
      </c>
      <c r="I565" t="s">
        <v>64</v>
      </c>
      <c r="J565" s="30">
        <v>15</v>
      </c>
      <c r="K565" s="22">
        <f>IF(I565="","",IF(I565="ENTRADA",ABS(J565),-ABS(J565)))</f>
        <v>-15</v>
      </c>
      <c r="L565" t="s">
        <v>36</v>
      </c>
      <c r="N565">
        <v>65197</v>
      </c>
      <c r="O565" t="s">
        <v>212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875</v>
      </c>
      <c r="B566" s="47">
        <v>46273</v>
      </c>
      <c r="C566" t="s">
        <v>780</v>
      </c>
      <c r="D566" t="s">
        <v>781</v>
      </c>
      <c r="E566" t="s">
        <v>33</v>
      </c>
      <c r="F566" t="s">
        <v>45</v>
      </c>
      <c r="G566" t="s">
        <v>26</v>
      </c>
      <c r="H566" s="20" t="s">
        <v>795</v>
      </c>
      <c r="I566" t="s">
        <v>64</v>
      </c>
      <c r="J566" s="30">
        <v>140</v>
      </c>
      <c r="K566" s="22">
        <f>IF(I566="","",IF(I566="ENTRADA",ABS(J566),-ABS(J566)))</f>
        <v>-140</v>
      </c>
      <c r="L566" t="s">
        <v>28</v>
      </c>
      <c r="N566">
        <v>65198</v>
      </c>
      <c r="O566" t="s">
        <v>65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876</v>
      </c>
      <c r="B567" s="47">
        <v>46273</v>
      </c>
      <c r="C567" t="s">
        <v>114</v>
      </c>
      <c r="D567" t="s">
        <v>115</v>
      </c>
      <c r="E567" t="s">
        <v>33</v>
      </c>
      <c r="F567" t="s">
        <v>34</v>
      </c>
      <c r="G567" t="s">
        <v>116</v>
      </c>
      <c r="H567" s="20" t="s">
        <v>666</v>
      </c>
      <c r="I567" t="s">
        <v>64</v>
      </c>
      <c r="J567" s="30">
        <v>2500</v>
      </c>
      <c r="K567" s="22">
        <f>IF(I567="","",IF(I567="ENTRADA",ABS(J567),-ABS(J567)))</f>
        <v>-2500</v>
      </c>
      <c r="L567" t="s">
        <v>36</v>
      </c>
      <c r="N567">
        <v>65198</v>
      </c>
      <c r="O567" t="s">
        <v>65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877</v>
      </c>
      <c r="B568" s="47">
        <v>46273</v>
      </c>
      <c r="C568" t="s">
        <v>74</v>
      </c>
      <c r="D568" t="s">
        <v>75</v>
      </c>
      <c r="E568" t="s">
        <v>33</v>
      </c>
      <c r="F568" t="s">
        <v>34</v>
      </c>
      <c r="G568" t="s">
        <v>76</v>
      </c>
      <c r="H568" s="20" t="s">
        <v>93</v>
      </c>
      <c r="I568" t="s">
        <v>64</v>
      </c>
      <c r="J568" s="30">
        <v>1000</v>
      </c>
      <c r="K568" s="22">
        <f>IF(I568="","",IF(I568="ENTRADA",ABS(J568),-ABS(J568)))</f>
        <v>-1000</v>
      </c>
      <c r="L568" t="s">
        <v>36</v>
      </c>
      <c r="N568">
        <v>65198</v>
      </c>
      <c r="O568" t="s">
        <v>65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878</v>
      </c>
      <c r="B569" s="47">
        <v>46273</v>
      </c>
      <c r="C569" t="s">
        <v>136</v>
      </c>
      <c r="D569" t="s">
        <v>137</v>
      </c>
      <c r="E569" t="s">
        <v>131</v>
      </c>
      <c r="G569" t="s">
        <v>132</v>
      </c>
      <c r="H569" s="20" t="s">
        <v>791</v>
      </c>
      <c r="I569" t="s">
        <v>64</v>
      </c>
      <c r="J569" s="30">
        <v>60</v>
      </c>
      <c r="K569" s="22">
        <f>IF(I569="","",IF(I569="ENTRADA",ABS(J569),-ABS(J569)))</f>
        <v>-60</v>
      </c>
      <c r="L569" t="s">
        <v>36</v>
      </c>
      <c r="N569">
        <v>65198</v>
      </c>
      <c r="O569" t="s">
        <v>65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879</v>
      </c>
      <c r="B570" s="47">
        <v>46273</v>
      </c>
      <c r="C570" t="s">
        <v>655</v>
      </c>
      <c r="E570" t="s">
        <v>131</v>
      </c>
      <c r="G570" t="s">
        <v>132</v>
      </c>
      <c r="H570" s="20" t="s">
        <v>657</v>
      </c>
      <c r="I570" t="s">
        <v>64</v>
      </c>
      <c r="J570" s="30">
        <v>60</v>
      </c>
      <c r="K570" s="22">
        <f>IF(I570="","",IF(I570="ENTRADA",ABS(J570),-ABS(J570)))</f>
        <v>-60</v>
      </c>
      <c r="L570" t="s">
        <v>36</v>
      </c>
      <c r="N570">
        <v>65198</v>
      </c>
      <c r="O570" t="s">
        <v>65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880</v>
      </c>
      <c r="B571" s="47">
        <v>46273</v>
      </c>
      <c r="C571" t="s">
        <v>129</v>
      </c>
      <c r="D571" t="s">
        <v>130</v>
      </c>
      <c r="E571" t="s">
        <v>131</v>
      </c>
      <c r="G571" t="s">
        <v>132</v>
      </c>
      <c r="H571" s="20" t="s">
        <v>220</v>
      </c>
      <c r="I571" t="s">
        <v>64</v>
      </c>
      <c r="J571" s="30">
        <v>60</v>
      </c>
      <c r="K571" s="22">
        <f>IF(I571="","",IF(I571="ENTRADA",ABS(J571),-ABS(J571)))</f>
        <v>-60</v>
      </c>
      <c r="L571" t="s">
        <v>36</v>
      </c>
      <c r="N571">
        <v>65198</v>
      </c>
      <c r="O571" t="s">
        <v>65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881</v>
      </c>
      <c r="B572" s="47">
        <v>46273</v>
      </c>
      <c r="C572" t="s">
        <v>773</v>
      </c>
      <c r="D572" t="s">
        <v>774</v>
      </c>
      <c r="E572" t="s">
        <v>33</v>
      </c>
      <c r="F572" t="s">
        <v>45</v>
      </c>
      <c r="G572" t="s">
        <v>775</v>
      </c>
      <c r="H572" s="20" t="s">
        <v>851</v>
      </c>
      <c r="I572" t="s">
        <v>64</v>
      </c>
      <c r="J572" s="30">
        <v>60</v>
      </c>
      <c r="K572" s="22">
        <f>IF(I572="","",IF(I572="ENTRADA",ABS(J572),-ABS(J572)))</f>
        <v>-60</v>
      </c>
      <c r="L572" t="s">
        <v>36</v>
      </c>
      <c r="N572">
        <v>65198</v>
      </c>
      <c r="O572" t="s">
        <v>65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882</v>
      </c>
      <c r="B573" s="47">
        <v>46272</v>
      </c>
      <c r="C573" s="34" t="s">
        <v>633</v>
      </c>
      <c r="D573" s="34" t="s">
        <v>629</v>
      </c>
      <c r="E573" s="34" t="s">
        <v>24</v>
      </c>
      <c r="F573" s="34" t="s">
        <v>630</v>
      </c>
      <c r="G573" s="34" t="s">
        <v>157</v>
      </c>
      <c r="H573" s="20" t="s">
        <v>822</v>
      </c>
      <c r="I573" s="34" t="s">
        <v>64</v>
      </c>
      <c r="J573" s="36">
        <v>12</v>
      </c>
      <c r="K573" s="22">
        <f>IF(I573="","",IF(I573="ENTRADA",ABS(J573),-ABS(J573)))</f>
        <v>-12</v>
      </c>
      <c r="L573" s="34" t="s">
        <v>631</v>
      </c>
      <c r="M573" s="34"/>
      <c r="N573">
        <v>65199</v>
      </c>
      <c r="O573" s="34" t="s">
        <v>381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883</v>
      </c>
      <c r="B574" s="47">
        <v>46273</v>
      </c>
      <c r="C574" t="s">
        <v>136</v>
      </c>
      <c r="D574" t="s">
        <v>137</v>
      </c>
      <c r="E574" t="s">
        <v>131</v>
      </c>
      <c r="G574" t="s">
        <v>132</v>
      </c>
      <c r="H574" s="20" t="s">
        <v>791</v>
      </c>
      <c r="I574" t="s">
        <v>64</v>
      </c>
      <c r="J574" s="30">
        <v>8</v>
      </c>
      <c r="K574" s="22">
        <f>IF(I574="","",IF(I574="ENTRADA",ABS(J574),-ABS(J574)))</f>
        <v>-8</v>
      </c>
      <c r="L574" t="s">
        <v>36</v>
      </c>
      <c r="N574">
        <v>65200</v>
      </c>
      <c r="O574" t="s">
        <v>217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884</v>
      </c>
      <c r="B575" s="47">
        <v>46273</v>
      </c>
      <c r="C575" t="s">
        <v>513</v>
      </c>
      <c r="D575" t="s">
        <v>514</v>
      </c>
      <c r="E575" t="s">
        <v>515</v>
      </c>
      <c r="G575" t="s">
        <v>116</v>
      </c>
      <c r="H575" s="20" t="s">
        <v>662</v>
      </c>
      <c r="I575" t="s">
        <v>64</v>
      </c>
      <c r="J575" s="30">
        <v>200</v>
      </c>
      <c r="K575" s="22">
        <f>IF(I575="","",IF(I575="ENTRADA",ABS(J575),-ABS(J575)))</f>
        <v>-200</v>
      </c>
      <c r="L575" t="s">
        <v>36</v>
      </c>
      <c r="N575">
        <v>65200</v>
      </c>
      <c r="O575" t="s">
        <v>217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885</v>
      </c>
      <c r="B576" s="47">
        <v>46273</v>
      </c>
      <c r="C576" t="s">
        <v>129</v>
      </c>
      <c r="D576" t="s">
        <v>130</v>
      </c>
      <c r="E576" t="s">
        <v>131</v>
      </c>
      <c r="G576" t="s">
        <v>132</v>
      </c>
      <c r="H576" s="20" t="s">
        <v>220</v>
      </c>
      <c r="I576" t="s">
        <v>64</v>
      </c>
      <c r="J576" s="30">
        <v>40</v>
      </c>
      <c r="K576" s="22">
        <f>IF(I576="","",IF(I576="ENTRADA",ABS(J576),-ABS(J576)))</f>
        <v>-40</v>
      </c>
      <c r="L576" t="s">
        <v>36</v>
      </c>
      <c r="N576">
        <v>65200</v>
      </c>
      <c r="O576" t="s">
        <v>217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886</v>
      </c>
      <c r="B577" s="47">
        <v>46273</v>
      </c>
      <c r="C577" t="s">
        <v>129</v>
      </c>
      <c r="D577" t="s">
        <v>130</v>
      </c>
      <c r="E577" t="s">
        <v>131</v>
      </c>
      <c r="G577" t="s">
        <v>132</v>
      </c>
      <c r="H577" s="20" t="s">
        <v>220</v>
      </c>
      <c r="I577" t="s">
        <v>64</v>
      </c>
      <c r="J577" s="30">
        <v>80</v>
      </c>
      <c r="K577" s="22">
        <f>IF(I577="","",IF(I577="ENTRADA",ABS(J577),-ABS(J577)))</f>
        <v>-80</v>
      </c>
      <c r="L577" t="s">
        <v>36</v>
      </c>
      <c r="N577">
        <v>65201</v>
      </c>
      <c r="O577" t="s">
        <v>381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887</v>
      </c>
      <c r="B578" s="47">
        <v>46273</v>
      </c>
      <c r="C578" t="s">
        <v>136</v>
      </c>
      <c r="D578" t="s">
        <v>137</v>
      </c>
      <c r="E578" t="s">
        <v>131</v>
      </c>
      <c r="G578" t="s">
        <v>132</v>
      </c>
      <c r="H578" s="20" t="s">
        <v>210</v>
      </c>
      <c r="I578" t="s">
        <v>64</v>
      </c>
      <c r="J578" s="30">
        <v>15</v>
      </c>
      <c r="K578" s="22">
        <f>IF(I578="","",IF(I578="ENTRADA",ABS(J578),-ABS(J578)))</f>
        <v>-15</v>
      </c>
      <c r="L578" t="s">
        <v>36</v>
      </c>
      <c r="N578">
        <v>65201</v>
      </c>
      <c r="O578" t="s">
        <v>381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888</v>
      </c>
      <c r="B579" s="47">
        <v>46273</v>
      </c>
      <c r="C579" t="s">
        <v>114</v>
      </c>
      <c r="D579" t="s">
        <v>115</v>
      </c>
      <c r="E579" t="s">
        <v>33</v>
      </c>
      <c r="F579" t="s">
        <v>34</v>
      </c>
      <c r="G579" t="s">
        <v>116</v>
      </c>
      <c r="H579" s="20" t="s">
        <v>666</v>
      </c>
      <c r="I579" t="s">
        <v>64</v>
      </c>
      <c r="J579" s="30">
        <v>2200</v>
      </c>
      <c r="K579" s="22">
        <f>IF(I579="","",IF(I579="ENTRADA",ABS(J579),-ABS(J579)))</f>
        <v>-2200</v>
      </c>
      <c r="L579" t="s">
        <v>36</v>
      </c>
      <c r="N579">
        <v>65201</v>
      </c>
      <c r="O579" t="s">
        <v>381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889</v>
      </c>
      <c r="B580" s="47">
        <v>46273</v>
      </c>
      <c r="C580" t="s">
        <v>121</v>
      </c>
      <c r="D580" t="s">
        <v>122</v>
      </c>
      <c r="E580" t="s">
        <v>33</v>
      </c>
      <c r="F580" t="s">
        <v>34</v>
      </c>
      <c r="G580" t="s">
        <v>116</v>
      </c>
      <c r="H580" s="20" t="s">
        <v>202</v>
      </c>
      <c r="I580" t="s">
        <v>64</v>
      </c>
      <c r="J580" s="30">
        <v>640</v>
      </c>
      <c r="K580" s="22">
        <f>IF(I580="","",IF(I580="ENTRADA",ABS(J580),-ABS(J580)))</f>
        <v>-640</v>
      </c>
      <c r="L580" t="s">
        <v>36</v>
      </c>
      <c r="N580">
        <v>65201</v>
      </c>
      <c r="O580" t="s">
        <v>381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890</v>
      </c>
      <c r="B581" s="47">
        <v>46273</v>
      </c>
      <c r="C581" t="s">
        <v>89</v>
      </c>
      <c r="D581" t="s">
        <v>90</v>
      </c>
      <c r="E581" t="s">
        <v>33</v>
      </c>
      <c r="F581" t="s">
        <v>34</v>
      </c>
      <c r="G581" t="s">
        <v>35</v>
      </c>
      <c r="H581" s="20" t="s">
        <v>374</v>
      </c>
      <c r="I581" t="s">
        <v>64</v>
      </c>
      <c r="J581" s="30">
        <v>100</v>
      </c>
      <c r="K581" s="22">
        <f>IF(I581="","",IF(I581="ENTRADA",ABS(J581),-ABS(J581)))</f>
        <v>-100</v>
      </c>
      <c r="L581" t="s">
        <v>36</v>
      </c>
      <c r="N581">
        <v>65201</v>
      </c>
      <c r="O581" t="s">
        <v>381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891</v>
      </c>
      <c r="B582" s="47">
        <v>46273</v>
      </c>
      <c r="C582" t="s">
        <v>748</v>
      </c>
      <c r="D582" t="s">
        <v>749</v>
      </c>
      <c r="E582" t="s">
        <v>33</v>
      </c>
      <c r="G582" t="s">
        <v>300</v>
      </c>
      <c r="H582" s="20" t="s">
        <v>751</v>
      </c>
      <c r="I582" t="s">
        <v>64</v>
      </c>
      <c r="J582" s="30">
        <v>60</v>
      </c>
      <c r="K582" s="22">
        <f>IF(I582="","",IF(I582="ENTRADA",ABS(J582),-ABS(J582)))</f>
        <v>-60</v>
      </c>
      <c r="L582" t="s">
        <v>36</v>
      </c>
      <c r="N582">
        <v>65201</v>
      </c>
      <c r="O582" t="s">
        <v>381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892</v>
      </c>
      <c r="B583" s="47">
        <v>46273</v>
      </c>
      <c r="C583" t="s">
        <v>114</v>
      </c>
      <c r="D583" t="s">
        <v>115</v>
      </c>
      <c r="E583" t="s">
        <v>33</v>
      </c>
      <c r="F583" t="s">
        <v>34</v>
      </c>
      <c r="G583" t="s">
        <v>116</v>
      </c>
      <c r="H583" s="20" t="s">
        <v>666</v>
      </c>
      <c r="I583" t="s">
        <v>64</v>
      </c>
      <c r="J583" s="30">
        <v>8160</v>
      </c>
      <c r="K583" s="22">
        <f>IF(I583="","",IF(I583="ENTRADA",ABS(J583),-ABS(J583)))</f>
        <v>-8160</v>
      </c>
      <c r="L583" t="s">
        <v>36</v>
      </c>
      <c r="N583">
        <v>65202</v>
      </c>
      <c r="O583" t="s">
        <v>212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893</v>
      </c>
      <c r="B584" s="47">
        <v>46273</v>
      </c>
      <c r="C584" s="34" t="s">
        <v>121</v>
      </c>
      <c r="D584" s="34" t="s">
        <v>122</v>
      </c>
      <c r="E584" s="34" t="s">
        <v>33</v>
      </c>
      <c r="F584" s="34" t="s">
        <v>34</v>
      </c>
      <c r="G584" s="34" t="s">
        <v>116</v>
      </c>
      <c r="H584" s="20" t="s">
        <v>202</v>
      </c>
      <c r="I584" s="34" t="s">
        <v>64</v>
      </c>
      <c r="J584" s="36">
        <v>2000</v>
      </c>
      <c r="K584" s="22">
        <f>IF(I584="","",IF(I584="ENTRADA",ABS(J584),-ABS(J584)))</f>
        <v>-2000</v>
      </c>
      <c r="L584" s="34" t="s">
        <v>36</v>
      </c>
      <c r="M584" s="34"/>
      <c r="N584">
        <v>65202</v>
      </c>
      <c r="O584" s="34" t="s">
        <v>212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894</v>
      </c>
      <c r="B585" s="47">
        <v>46273</v>
      </c>
      <c r="C585" t="s">
        <v>89</v>
      </c>
      <c r="D585" t="s">
        <v>90</v>
      </c>
      <c r="E585" t="s">
        <v>33</v>
      </c>
      <c r="F585" t="s">
        <v>34</v>
      </c>
      <c r="G585" t="s">
        <v>35</v>
      </c>
      <c r="H585" s="20" t="s">
        <v>374</v>
      </c>
      <c r="I585" t="s">
        <v>64</v>
      </c>
      <c r="J585" s="30">
        <v>200</v>
      </c>
      <c r="K585" s="22">
        <f>IF(I585="","",IF(I585="ENTRADA",ABS(J585),-ABS(J585)))</f>
        <v>-200</v>
      </c>
      <c r="L585" t="s">
        <v>36</v>
      </c>
      <c r="N585">
        <v>65202</v>
      </c>
      <c r="O585" t="s">
        <v>212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895</v>
      </c>
      <c r="B586" s="47">
        <v>46273</v>
      </c>
      <c r="C586" t="s">
        <v>114</v>
      </c>
      <c r="D586" t="s">
        <v>115</v>
      </c>
      <c r="E586" t="s">
        <v>33</v>
      </c>
      <c r="F586" t="s">
        <v>34</v>
      </c>
      <c r="G586" t="s">
        <v>116</v>
      </c>
      <c r="H586" s="20" t="s">
        <v>666</v>
      </c>
      <c r="I586" t="s">
        <v>64</v>
      </c>
      <c r="J586" s="30">
        <v>7500</v>
      </c>
      <c r="K586" s="22">
        <f>IF(I586="","",IF(I586="ENTRADA",ABS(J586),-ABS(J586)))</f>
        <v>-7500</v>
      </c>
      <c r="L586" t="s">
        <v>36</v>
      </c>
      <c r="N586">
        <v>65203</v>
      </c>
      <c r="O586" t="s">
        <v>236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896</v>
      </c>
      <c r="B587" s="47">
        <v>46273</v>
      </c>
      <c r="C587" t="s">
        <v>121</v>
      </c>
      <c r="D587" t="s">
        <v>122</v>
      </c>
      <c r="E587" t="s">
        <v>33</v>
      </c>
      <c r="F587" t="s">
        <v>34</v>
      </c>
      <c r="G587" t="s">
        <v>116</v>
      </c>
      <c r="H587" s="20" t="s">
        <v>202</v>
      </c>
      <c r="I587" t="s">
        <v>64</v>
      </c>
      <c r="J587" s="30">
        <v>2000</v>
      </c>
      <c r="K587" s="22">
        <f>IF(I587="","",IF(I587="ENTRADA",ABS(J587),-ABS(J587)))</f>
        <v>-2000</v>
      </c>
      <c r="L587" t="s">
        <v>36</v>
      </c>
      <c r="N587">
        <v>65203</v>
      </c>
      <c r="O587" t="s">
        <v>236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897</v>
      </c>
      <c r="B588" s="47">
        <v>46273</v>
      </c>
      <c r="C588" t="s">
        <v>129</v>
      </c>
      <c r="D588" t="s">
        <v>130</v>
      </c>
      <c r="E588" t="s">
        <v>131</v>
      </c>
      <c r="G588" t="s">
        <v>132</v>
      </c>
      <c r="H588" s="20" t="s">
        <v>220</v>
      </c>
      <c r="I588" t="s">
        <v>64</v>
      </c>
      <c r="J588" s="30">
        <v>210</v>
      </c>
      <c r="K588" s="22">
        <f>IF(I588="","",IF(I588="ENTRADA",ABS(J588),-ABS(J588)))</f>
        <v>-210</v>
      </c>
      <c r="L588" t="s">
        <v>36</v>
      </c>
      <c r="N588">
        <v>65203</v>
      </c>
      <c r="O588" t="s">
        <v>236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898</v>
      </c>
      <c r="B589" s="47">
        <v>46273</v>
      </c>
      <c r="C589" t="s">
        <v>136</v>
      </c>
      <c r="D589" t="s">
        <v>137</v>
      </c>
      <c r="E589" t="s">
        <v>131</v>
      </c>
      <c r="G589" t="s">
        <v>132</v>
      </c>
      <c r="H589" s="20" t="s">
        <v>210</v>
      </c>
      <c r="I589" t="s">
        <v>64</v>
      </c>
      <c r="J589" s="30">
        <v>45</v>
      </c>
      <c r="K589" s="22">
        <f>IF(I589="","",IF(I589="ENTRADA",ABS(J589),-ABS(J589)))</f>
        <v>-45</v>
      </c>
      <c r="L589" t="s">
        <v>36</v>
      </c>
      <c r="N589">
        <v>65203</v>
      </c>
      <c r="O589" t="s">
        <v>236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899</v>
      </c>
      <c r="B590" s="47">
        <v>46273</v>
      </c>
      <c r="C590" t="s">
        <v>74</v>
      </c>
      <c r="D590" t="s">
        <v>75</v>
      </c>
      <c r="E590" t="s">
        <v>33</v>
      </c>
      <c r="F590" t="s">
        <v>34</v>
      </c>
      <c r="G590" t="s">
        <v>76</v>
      </c>
      <c r="H590" s="20" t="s">
        <v>93</v>
      </c>
      <c r="I590" t="s">
        <v>64</v>
      </c>
      <c r="J590" s="30">
        <v>780</v>
      </c>
      <c r="K590" s="22">
        <f>IF(I590="","",IF(I590="ENTRADA",ABS(J590),-ABS(J590)))</f>
        <v>-780</v>
      </c>
      <c r="L590" t="s">
        <v>36</v>
      </c>
      <c r="N590">
        <v>65203</v>
      </c>
      <c r="O590" t="s">
        <v>236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900</v>
      </c>
      <c r="B591" s="47">
        <v>46273</v>
      </c>
      <c r="C591" t="s">
        <v>773</v>
      </c>
      <c r="D591" t="s">
        <v>774</v>
      </c>
      <c r="E591" t="s">
        <v>33</v>
      </c>
      <c r="F591" t="s">
        <v>45</v>
      </c>
      <c r="G591" t="s">
        <v>775</v>
      </c>
      <c r="H591" s="20" t="s">
        <v>851</v>
      </c>
      <c r="I591" t="s">
        <v>64</v>
      </c>
      <c r="J591" s="30">
        <v>190</v>
      </c>
      <c r="K591" s="22">
        <f>IF(I591="","",IF(I591="ENTRADA",ABS(J591),-ABS(J591)))</f>
        <v>-190</v>
      </c>
      <c r="L591" t="s">
        <v>36</v>
      </c>
      <c r="N591">
        <v>65203</v>
      </c>
      <c r="O591" t="s">
        <v>236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901</v>
      </c>
      <c r="B592" s="47">
        <v>46274</v>
      </c>
      <c r="C592" t="s">
        <v>114</v>
      </c>
      <c r="D592" t="s">
        <v>115</v>
      </c>
      <c r="E592" t="s">
        <v>33</v>
      </c>
      <c r="F592" t="s">
        <v>34</v>
      </c>
      <c r="G592" t="s">
        <v>116</v>
      </c>
      <c r="H592" s="20" t="s">
        <v>119</v>
      </c>
      <c r="I592" t="s">
        <v>64</v>
      </c>
      <c r="J592" s="30">
        <v>460</v>
      </c>
      <c r="K592" s="22">
        <f>IF(I592="","",IF(I592="ENTRADA",ABS(J592),-ABS(J592)))</f>
        <v>-460</v>
      </c>
      <c r="L592" t="s">
        <v>36</v>
      </c>
      <c r="N592">
        <v>65204</v>
      </c>
      <c r="O592" t="s">
        <v>589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902</v>
      </c>
      <c r="B593" s="47">
        <v>46274</v>
      </c>
      <c r="C593" t="s">
        <v>129</v>
      </c>
      <c r="D593" t="s">
        <v>130</v>
      </c>
      <c r="E593" t="s">
        <v>131</v>
      </c>
      <c r="G593" t="s">
        <v>132</v>
      </c>
      <c r="H593" s="20" t="s">
        <v>220</v>
      </c>
      <c r="I593" t="s">
        <v>64</v>
      </c>
      <c r="J593" s="30">
        <v>20</v>
      </c>
      <c r="K593" s="22">
        <f>IF(I593="","",IF(I593="ENTRADA",ABS(J593),-ABS(J593)))</f>
        <v>-20</v>
      </c>
      <c r="L593" t="s">
        <v>36</v>
      </c>
      <c r="N593">
        <v>65204</v>
      </c>
      <c r="O593" t="s">
        <v>589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903</v>
      </c>
      <c r="B594" s="47">
        <v>46274</v>
      </c>
      <c r="C594" t="s">
        <v>773</v>
      </c>
      <c r="D594" t="s">
        <v>774</v>
      </c>
      <c r="E594" t="s">
        <v>33</v>
      </c>
      <c r="F594" t="s">
        <v>45</v>
      </c>
      <c r="G594" t="s">
        <v>775</v>
      </c>
      <c r="H594" s="20" t="s">
        <v>851</v>
      </c>
      <c r="I594" t="s">
        <v>64</v>
      </c>
      <c r="J594" s="30">
        <v>150</v>
      </c>
      <c r="K594" s="22">
        <f>IF(I594="","",IF(I594="ENTRADA",ABS(J594),-ABS(J594)))</f>
        <v>-150</v>
      </c>
      <c r="L594" t="s">
        <v>36</v>
      </c>
      <c r="N594">
        <v>65204</v>
      </c>
      <c r="O594" t="s">
        <v>589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904</v>
      </c>
      <c r="B595" s="47">
        <v>46274</v>
      </c>
      <c r="C595" s="34" t="s">
        <v>136</v>
      </c>
      <c r="D595" s="34" t="s">
        <v>137</v>
      </c>
      <c r="E595" s="34" t="s">
        <v>131</v>
      </c>
      <c r="F595" s="34"/>
      <c r="G595" s="34" t="s">
        <v>132</v>
      </c>
      <c r="H595" s="20" t="s">
        <v>210</v>
      </c>
      <c r="I595" s="34" t="s">
        <v>64</v>
      </c>
      <c r="J595" s="36">
        <v>3</v>
      </c>
      <c r="K595" s="22">
        <f>IF(I595="","",IF(I595="ENTRADA",ABS(J595),-ABS(J595)))</f>
        <v>-3</v>
      </c>
      <c r="L595" s="34" t="s">
        <v>36</v>
      </c>
      <c r="M595" s="34"/>
      <c r="N595">
        <v>65204</v>
      </c>
      <c r="O595" t="s">
        <v>589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905</v>
      </c>
      <c r="B596" s="47">
        <v>46274</v>
      </c>
      <c r="C596" t="s">
        <v>780</v>
      </c>
      <c r="D596" t="s">
        <v>781</v>
      </c>
      <c r="E596" t="s">
        <v>33</v>
      </c>
      <c r="F596" t="s">
        <v>45</v>
      </c>
      <c r="G596" t="s">
        <v>26</v>
      </c>
      <c r="H596" s="20" t="s">
        <v>795</v>
      </c>
      <c r="I596" t="s">
        <v>64</v>
      </c>
      <c r="J596" s="30">
        <v>24</v>
      </c>
      <c r="K596" s="22">
        <f>IF(I596="","",IF(I596="ENTRADA",ABS(J596),-ABS(J596)))</f>
        <v>-24</v>
      </c>
      <c r="L596" t="s">
        <v>28</v>
      </c>
      <c r="N596">
        <v>65204</v>
      </c>
      <c r="O596" t="s">
        <v>589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906</v>
      </c>
      <c r="B597" s="47">
        <v>46274</v>
      </c>
      <c r="C597" t="s">
        <v>907</v>
      </c>
      <c r="D597" t="s">
        <v>629</v>
      </c>
      <c r="E597" t="s">
        <v>24</v>
      </c>
      <c r="F597" t="s">
        <v>630</v>
      </c>
      <c r="H597" s="20" t="str">
        <f>+T597</f>
        <v>260909-597</v>
      </c>
      <c r="I597" t="s">
        <v>27</v>
      </c>
      <c r="J597" s="30">
        <v>26</v>
      </c>
      <c r="K597" s="22">
        <f>IF(I597="","",IF(I597="ENTRADA",ABS(J597),-ABS(J597)))</f>
        <v>26</v>
      </c>
      <c r="L597" t="s">
        <v>631</v>
      </c>
      <c r="N597">
        <v>65205</v>
      </c>
      <c r="O597" t="s">
        <v>381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908</v>
      </c>
      <c r="B598" s="47">
        <v>46274</v>
      </c>
      <c r="C598" t="s">
        <v>780</v>
      </c>
      <c r="D598" t="s">
        <v>781</v>
      </c>
      <c r="E598" t="s">
        <v>33</v>
      </c>
      <c r="F598" t="s">
        <v>45</v>
      </c>
      <c r="G598" t="s">
        <v>26</v>
      </c>
      <c r="H598" s="20" t="s">
        <v>795</v>
      </c>
      <c r="I598" t="s">
        <v>64</v>
      </c>
      <c r="J598" s="30">
        <v>20</v>
      </c>
      <c r="K598" s="22">
        <f>IF(I598="","",IF(I598="ENTRADA",ABS(J598),-ABS(J598)))</f>
        <v>-20</v>
      </c>
      <c r="L598" t="s">
        <v>28</v>
      </c>
      <c r="N598">
        <v>65206</v>
      </c>
      <c r="O598" t="s">
        <v>212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909</v>
      </c>
      <c r="B599" s="47">
        <v>46274</v>
      </c>
      <c r="C599" t="s">
        <v>114</v>
      </c>
      <c r="D599" t="s">
        <v>115</v>
      </c>
      <c r="E599" t="s">
        <v>33</v>
      </c>
      <c r="F599" t="s">
        <v>34</v>
      </c>
      <c r="G599" t="s">
        <v>116</v>
      </c>
      <c r="H599" s="20" t="s">
        <v>666</v>
      </c>
      <c r="I599" t="s">
        <v>64</v>
      </c>
      <c r="J599" s="30">
        <v>140</v>
      </c>
      <c r="K599" s="22">
        <f>IF(I599="","",IF(I599="ENTRADA",ABS(J599),-ABS(J599)))</f>
        <v>-140</v>
      </c>
      <c r="L599" t="s">
        <v>36</v>
      </c>
      <c r="N599">
        <v>65207</v>
      </c>
      <c r="O599" t="s">
        <v>217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910</v>
      </c>
      <c r="B600" s="47">
        <v>46274</v>
      </c>
      <c r="C600" t="s">
        <v>767</v>
      </c>
      <c r="D600" t="s">
        <v>768</v>
      </c>
      <c r="E600" t="s">
        <v>33</v>
      </c>
      <c r="F600" t="s">
        <v>34</v>
      </c>
      <c r="G600" t="s">
        <v>769</v>
      </c>
      <c r="H600" s="20" t="s">
        <v>827</v>
      </c>
      <c r="I600" t="s">
        <v>64</v>
      </c>
      <c r="J600" s="30">
        <v>500</v>
      </c>
      <c r="K600" s="22">
        <f>IF(I600="","",IF(I600="ENTRADA",ABS(J600),-ABS(J600)))</f>
        <v>-500</v>
      </c>
      <c r="L600" t="s">
        <v>36</v>
      </c>
      <c r="N600">
        <v>65207</v>
      </c>
      <c r="O600" t="s">
        <v>217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911</v>
      </c>
      <c r="B601" s="47">
        <v>46274</v>
      </c>
      <c r="C601" t="s">
        <v>136</v>
      </c>
      <c r="D601" t="s">
        <v>137</v>
      </c>
      <c r="E601" t="s">
        <v>131</v>
      </c>
      <c r="G601" t="s">
        <v>132</v>
      </c>
      <c r="H601" s="20" t="s">
        <v>210</v>
      </c>
      <c r="I601" t="s">
        <v>64</v>
      </c>
      <c r="J601" s="30">
        <v>8</v>
      </c>
      <c r="K601" s="22">
        <f>IF(I601="","",IF(I601="ENTRADA",ABS(J601),-ABS(J601)))</f>
        <v>-8</v>
      </c>
      <c r="L601" t="s">
        <v>36</v>
      </c>
      <c r="N601">
        <v>65207</v>
      </c>
      <c r="O601" t="s">
        <v>217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912</v>
      </c>
      <c r="B602" s="47">
        <v>46274</v>
      </c>
      <c r="C602" t="s">
        <v>121</v>
      </c>
      <c r="D602" t="s">
        <v>122</v>
      </c>
      <c r="E602" t="s">
        <v>33</v>
      </c>
      <c r="F602" t="s">
        <v>34</v>
      </c>
      <c r="G602" t="s">
        <v>116</v>
      </c>
      <c r="H602" s="20" t="s">
        <v>202</v>
      </c>
      <c r="I602" t="s">
        <v>64</v>
      </c>
      <c r="J602" s="30">
        <v>50</v>
      </c>
      <c r="K602" s="22">
        <f>IF(I602="","",IF(I602="ENTRADA",ABS(J602),-ABS(J602)))</f>
        <v>-50</v>
      </c>
      <c r="L602" t="s">
        <v>36</v>
      </c>
      <c r="N602">
        <v>65207</v>
      </c>
      <c r="O602" t="s">
        <v>217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913</v>
      </c>
      <c r="B603" s="47">
        <v>46274</v>
      </c>
      <c r="C603" t="s">
        <v>129</v>
      </c>
      <c r="D603" t="s">
        <v>130</v>
      </c>
      <c r="E603" t="s">
        <v>131</v>
      </c>
      <c r="G603" t="s">
        <v>132</v>
      </c>
      <c r="H603" s="20" t="s">
        <v>220</v>
      </c>
      <c r="I603" t="s">
        <v>64</v>
      </c>
      <c r="J603" s="30">
        <v>40</v>
      </c>
      <c r="K603" s="22">
        <f>IF(I603="","",IF(I603="ENTRADA",ABS(J603),-ABS(J603)))</f>
        <v>-40</v>
      </c>
      <c r="L603" t="s">
        <v>36</v>
      </c>
      <c r="N603">
        <v>65202</v>
      </c>
      <c r="O603" t="s">
        <v>217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914</v>
      </c>
      <c r="B604" s="47">
        <v>46274</v>
      </c>
      <c r="C604" t="s">
        <v>767</v>
      </c>
      <c r="D604" t="s">
        <v>768</v>
      </c>
      <c r="E604" t="s">
        <v>33</v>
      </c>
      <c r="F604" t="s">
        <v>34</v>
      </c>
      <c r="G604" t="s">
        <v>769</v>
      </c>
      <c r="H604" s="20" t="s">
        <v>827</v>
      </c>
      <c r="I604" t="s">
        <v>64</v>
      </c>
      <c r="J604" s="30">
        <v>1360</v>
      </c>
      <c r="K604" s="22">
        <f>IF(I604="","",IF(I604="ENTRADA",ABS(J604),-ABS(J604)))</f>
        <v>-1360</v>
      </c>
      <c r="L604" t="s">
        <v>36</v>
      </c>
      <c r="N604">
        <v>65208</v>
      </c>
      <c r="O604" t="s">
        <v>217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915</v>
      </c>
      <c r="B605" s="47">
        <v>46274</v>
      </c>
      <c r="C605" t="s">
        <v>129</v>
      </c>
      <c r="D605" t="s">
        <v>130</v>
      </c>
      <c r="E605" t="s">
        <v>131</v>
      </c>
      <c r="G605" t="s">
        <v>132</v>
      </c>
      <c r="H605" s="20" t="s">
        <v>220</v>
      </c>
      <c r="I605" t="s">
        <v>64</v>
      </c>
      <c r="J605" s="30">
        <v>100</v>
      </c>
      <c r="K605" s="22">
        <f>IF(I605="","",IF(I605="ENTRADA",ABS(J605),-ABS(J605)))</f>
        <v>-100</v>
      </c>
      <c r="L605" t="s">
        <v>36</v>
      </c>
      <c r="N605">
        <v>65208</v>
      </c>
      <c r="O605" t="s">
        <v>217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916</v>
      </c>
      <c r="B606" s="47">
        <v>46274</v>
      </c>
      <c r="C606" s="34" t="s">
        <v>136</v>
      </c>
      <c r="D606" s="34" t="s">
        <v>137</v>
      </c>
      <c r="E606" s="34" t="s">
        <v>131</v>
      </c>
      <c r="F606" s="34"/>
      <c r="G606" s="34" t="s">
        <v>132</v>
      </c>
      <c r="H606" s="20" t="s">
        <v>210</v>
      </c>
      <c r="I606" s="34" t="s">
        <v>64</v>
      </c>
      <c r="J606" s="36">
        <v>20</v>
      </c>
      <c r="K606" s="22">
        <f>IF(I606="","",IF(I606="ENTRADA",ABS(J606),-ABS(J606)))</f>
        <v>-20</v>
      </c>
      <c r="L606" s="34" t="s">
        <v>36</v>
      </c>
      <c r="M606" s="34"/>
      <c r="N606" s="46">
        <v>65208</v>
      </c>
      <c r="O606" s="34" t="s">
        <v>217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917</v>
      </c>
      <c r="B607" s="47"/>
      <c r="H607" s="20"/>
      <c r="J607" s="30"/>
      <c r="K607" s="22" t="str">
        <f>IF(I607="","",IF(I607="ENTRADA",ABS(J607),-ABS(J607)))</f>
        <v/>
      </c>
      <c r="Q607" s="47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918</v>
      </c>
      <c r="B608" s="47">
        <v>46260</v>
      </c>
      <c r="C608" t="s">
        <v>136</v>
      </c>
      <c r="D608" t="s">
        <v>137</v>
      </c>
      <c r="E608" t="s">
        <v>131</v>
      </c>
      <c r="G608" t="s">
        <v>132</v>
      </c>
      <c r="H608" s="20" t="s">
        <v>210</v>
      </c>
      <c r="I608" t="s">
        <v>64</v>
      </c>
      <c r="J608" s="30">
        <v>5</v>
      </c>
      <c r="K608" s="22">
        <f>IF(I608="","",IF(I608="ENTRADA",ABS(J608),-ABS(J608)))</f>
        <v>-5</v>
      </c>
      <c r="L608" t="s">
        <v>36</v>
      </c>
      <c r="N608">
        <v>65173</v>
      </c>
      <c r="O608" t="s">
        <v>381</v>
      </c>
      <c r="P608">
        <v>1892</v>
      </c>
      <c r="Q608" s="47">
        <v>46261</v>
      </c>
      <c r="R608" s="22" t="str">
        <f>IF(H608="","",H608&amp;I608)</f>
        <v>260414-030SALIDA</v>
      </c>
      <c r="S608" s="22" t="str">
        <f>IF(C608="","",C608&amp;I608)</f>
        <v>Full controlSALIDA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919</v>
      </c>
      <c r="B609" s="47">
        <v>46265</v>
      </c>
      <c r="C609" t="s">
        <v>114</v>
      </c>
      <c r="D609" t="s">
        <v>115</v>
      </c>
      <c r="E609" t="s">
        <v>33</v>
      </c>
      <c r="F609" t="s">
        <v>34</v>
      </c>
      <c r="G609" t="s">
        <v>116</v>
      </c>
      <c r="H609" s="20" t="s">
        <v>666</v>
      </c>
      <c r="I609" t="s">
        <v>64</v>
      </c>
      <c r="J609" s="30">
        <v>560</v>
      </c>
      <c r="K609" s="22">
        <f>IF(I609="","",IF(I609="ENTRADA",ABS(J609),-ABS(J609)))</f>
        <v>-560</v>
      </c>
      <c r="L609" t="s">
        <v>36</v>
      </c>
      <c r="N609">
        <v>65177</v>
      </c>
      <c r="O609" t="s">
        <v>217</v>
      </c>
      <c r="P609">
        <v>1935</v>
      </c>
      <c r="Q609" s="47">
        <v>46279</v>
      </c>
      <c r="R609" s="22" t="str">
        <f>IF(H609="","",H609&amp;I609)</f>
        <v>260727-381SALIDA</v>
      </c>
      <c r="S609" s="22" t="str">
        <f>IF(C609="","",C609&amp;I609)</f>
        <v>AzukaSALIDA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920</v>
      </c>
      <c r="B610" s="47">
        <v>46265</v>
      </c>
      <c r="C610" t="s">
        <v>490</v>
      </c>
      <c r="D610" t="s">
        <v>491</v>
      </c>
      <c r="E610" t="s">
        <v>492</v>
      </c>
      <c r="G610" t="s">
        <v>35</v>
      </c>
      <c r="H610" s="20" t="s">
        <v>494</v>
      </c>
      <c r="I610" t="s">
        <v>64</v>
      </c>
      <c r="J610" s="30">
        <v>460</v>
      </c>
      <c r="K610" s="22">
        <f>IF(I610="","",IF(I610="ENTRADA",ABS(J610),-ABS(J610)))</f>
        <v>-460</v>
      </c>
      <c r="L610" t="s">
        <v>36</v>
      </c>
      <c r="N610">
        <v>65177</v>
      </c>
      <c r="O610" t="s">
        <v>217</v>
      </c>
      <c r="P610">
        <v>1935</v>
      </c>
      <c r="Q610" s="47">
        <v>46279</v>
      </c>
      <c r="R610" s="22" t="str">
        <f>IF(H610="","",H610&amp;I610)</f>
        <v>260610-265SALIDA</v>
      </c>
      <c r="S610" s="22" t="str">
        <f>IF(C610="","",C610&amp;I610)</f>
        <v>Zinc Plus 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921</v>
      </c>
      <c r="B611" s="47">
        <v>46265</v>
      </c>
      <c r="C611" t="s">
        <v>513</v>
      </c>
      <c r="D611" t="s">
        <v>514</v>
      </c>
      <c r="E611" t="s">
        <v>515</v>
      </c>
      <c r="G611" t="s">
        <v>116</v>
      </c>
      <c r="H611" s="20" t="s">
        <v>662</v>
      </c>
      <c r="I611" t="s">
        <v>64</v>
      </c>
      <c r="J611" s="30">
        <v>200</v>
      </c>
      <c r="K611" s="22">
        <f>IF(I611="","",IF(I611="ENTRADA",ABS(J611),-ABS(J611)))</f>
        <v>-200</v>
      </c>
      <c r="L611" t="s">
        <v>36</v>
      </c>
      <c r="N611">
        <v>65177</v>
      </c>
      <c r="O611" t="s">
        <v>217</v>
      </c>
      <c r="P611">
        <v>1935</v>
      </c>
      <c r="Q611" s="47">
        <v>46279</v>
      </c>
      <c r="R611" s="22" t="str">
        <f>IF(H611="","",H611&amp;I611)</f>
        <v>260730-396SALIDA</v>
      </c>
      <c r="S611" s="22" t="str">
        <f>IF(C611="","",C611&amp;I611)</f>
        <v>Unico MaxSALIDA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922</v>
      </c>
      <c r="B612" s="47">
        <v>46265</v>
      </c>
      <c r="C612" t="s">
        <v>121</v>
      </c>
      <c r="D612" t="s">
        <v>122</v>
      </c>
      <c r="E612" t="s">
        <v>33</v>
      </c>
      <c r="F612" t="s">
        <v>34</v>
      </c>
      <c r="G612" t="s">
        <v>116</v>
      </c>
      <c r="H612" s="20" t="s">
        <v>202</v>
      </c>
      <c r="I612" t="s">
        <v>64</v>
      </c>
      <c r="J612" s="30">
        <v>180</v>
      </c>
      <c r="K612" s="22">
        <f>IF(I612="","",IF(I612="ENTRADA",ABS(J612),-ABS(J612)))</f>
        <v>-180</v>
      </c>
      <c r="L612" t="s">
        <v>36</v>
      </c>
      <c r="N612">
        <v>65177</v>
      </c>
      <c r="O612" t="s">
        <v>217</v>
      </c>
      <c r="P612">
        <v>1935</v>
      </c>
      <c r="Q612" s="47">
        <v>46279</v>
      </c>
      <c r="R612" s="22" t="str">
        <f>IF(H612="","",H612&amp;I612)</f>
        <v>260410-027SALIDA</v>
      </c>
      <c r="S612" s="22" t="str">
        <f>IF(C612="","",C612&amp;I612)</f>
        <v>PardoSALIDA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923</v>
      </c>
      <c r="B613" s="47">
        <v>46265</v>
      </c>
      <c r="C613" t="s">
        <v>136</v>
      </c>
      <c r="D613" t="s">
        <v>137</v>
      </c>
      <c r="E613" t="s">
        <v>131</v>
      </c>
      <c r="G613" t="s">
        <v>132</v>
      </c>
      <c r="H613" s="20" t="s">
        <v>210</v>
      </c>
      <c r="I613" t="s">
        <v>64</v>
      </c>
      <c r="J613" s="30">
        <v>8</v>
      </c>
      <c r="K613" s="22">
        <f>IF(I613="","",IF(I613="ENTRADA",ABS(J613),-ABS(J613)))</f>
        <v>-8</v>
      </c>
      <c r="L613" t="s">
        <v>36</v>
      </c>
      <c r="N613">
        <v>65177</v>
      </c>
      <c r="O613" t="s">
        <v>217</v>
      </c>
      <c r="P613">
        <v>1935</v>
      </c>
      <c r="Q613" s="47">
        <v>46279</v>
      </c>
      <c r="R613" s="22" t="str">
        <f>IF(H613="","",H613&amp;I613)</f>
        <v>260414-030SALIDA</v>
      </c>
      <c r="S613" s="22" t="str">
        <f>IF(C613="","",C613&amp;I613)</f>
        <v>Full controlSALIDA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924</v>
      </c>
      <c r="B614" s="47">
        <v>46265</v>
      </c>
      <c r="C614" t="s">
        <v>129</v>
      </c>
      <c r="D614" t="s">
        <v>130</v>
      </c>
      <c r="E614" t="s">
        <v>131</v>
      </c>
      <c r="G614" t="s">
        <v>132</v>
      </c>
      <c r="H614" s="20" t="s">
        <v>220</v>
      </c>
      <c r="I614" t="s">
        <v>64</v>
      </c>
      <c r="J614" s="30">
        <v>40</v>
      </c>
      <c r="K614" s="22">
        <f>IF(I614="","",IF(I614="ENTRADA",ABS(J614),-ABS(J614)))</f>
        <v>-40</v>
      </c>
      <c r="L614" t="s">
        <v>36</v>
      </c>
      <c r="N614">
        <v>65177</v>
      </c>
      <c r="O614" t="s">
        <v>217</v>
      </c>
      <c r="P614">
        <v>1935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925</v>
      </c>
      <c r="B615" s="47">
        <v>46274</v>
      </c>
      <c r="C615" t="s">
        <v>129</v>
      </c>
      <c r="D615" t="s">
        <v>130</v>
      </c>
      <c r="E615" t="s">
        <v>131</v>
      </c>
      <c r="G615" t="s">
        <v>132</v>
      </c>
      <c r="H615" s="20" t="s">
        <v>220</v>
      </c>
      <c r="I615" t="s">
        <v>64</v>
      </c>
      <c r="J615" s="30">
        <v>40</v>
      </c>
      <c r="K615" s="22">
        <f>IF(I615="","",IF(I615="ENTRADA",ABS(J615),-ABS(J615)))</f>
        <v>-40</v>
      </c>
      <c r="L615" t="s">
        <v>36</v>
      </c>
      <c r="N615">
        <v>65207</v>
      </c>
      <c r="O615" t="s">
        <v>217</v>
      </c>
      <c r="P615" s="54">
        <v>1931</v>
      </c>
      <c r="Q615" s="47">
        <v>46279</v>
      </c>
      <c r="R615" s="22" t="str">
        <f>IF(H615="","",H615&amp;I615)</f>
        <v>260414-029SALIDA</v>
      </c>
      <c r="S615" s="22" t="str">
        <f>IF(C615="","",C615&amp;I615)</f>
        <v>HarrierSALIDA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926</v>
      </c>
      <c r="B616" s="60">
        <v>46275</v>
      </c>
      <c r="C616" s="34" t="s">
        <v>114</v>
      </c>
      <c r="D616" s="34" t="s">
        <v>115</v>
      </c>
      <c r="E616" s="34" t="s">
        <v>33</v>
      </c>
      <c r="F616" s="34" t="s">
        <v>34</v>
      </c>
      <c r="G616" s="34" t="s">
        <v>116</v>
      </c>
      <c r="H616" s="20" t="s">
        <v>666</v>
      </c>
      <c r="I616" s="34" t="s">
        <v>64</v>
      </c>
      <c r="J616" s="36">
        <v>600</v>
      </c>
      <c r="K616" s="22">
        <f>IF(I616="","",IF(I616="ENTRADA",ABS(J616),-ABS(J616)))</f>
        <v>-600</v>
      </c>
      <c r="L616" s="34" t="s">
        <v>36</v>
      </c>
      <c r="M616" s="34"/>
      <c r="N616" s="46">
        <v>65209</v>
      </c>
      <c r="O616" t="s">
        <v>386</v>
      </c>
      <c r="P616" s="46">
        <v>1936</v>
      </c>
      <c r="Q616" s="47">
        <v>46279</v>
      </c>
      <c r="R616" s="22" t="str">
        <f>IF(H616="","",H616&amp;I616)</f>
        <v>260727-381SALIDA</v>
      </c>
      <c r="S616" s="22" t="str">
        <f>IF(C616="","",C616&amp;I616)</f>
        <v>AzukaSALIDA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927</v>
      </c>
      <c r="B617" s="47">
        <v>46275</v>
      </c>
      <c r="C617" t="s">
        <v>129</v>
      </c>
      <c r="D617" t="s">
        <v>130</v>
      </c>
      <c r="E617" t="s">
        <v>131</v>
      </c>
      <c r="G617" t="s">
        <v>132</v>
      </c>
      <c r="H617" s="20" t="s">
        <v>220</v>
      </c>
      <c r="I617" t="s">
        <v>64</v>
      </c>
      <c r="J617" s="30">
        <v>60</v>
      </c>
      <c r="K617" s="22">
        <f>IF(I617="","",IF(I617="ENTRADA",ABS(J617),-ABS(J617)))</f>
        <v>-60</v>
      </c>
      <c r="L617" t="s">
        <v>36</v>
      </c>
      <c r="N617">
        <v>65209</v>
      </c>
      <c r="O617" t="s">
        <v>386</v>
      </c>
      <c r="P617" s="46">
        <v>1936</v>
      </c>
      <c r="Q617" s="47">
        <v>46279</v>
      </c>
      <c r="R617" s="22" t="str">
        <f>IF(H617="","",H617&amp;I617)</f>
        <v>260414-029SALIDA</v>
      </c>
      <c r="S617" s="22" t="str">
        <f>IF(C617="","",C617&amp;I617)</f>
        <v>HarrierSALIDA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928</v>
      </c>
      <c r="B618" s="47">
        <v>46276</v>
      </c>
      <c r="C618" t="s">
        <v>114</v>
      </c>
      <c r="D618" t="s">
        <v>115</v>
      </c>
      <c r="E618" t="s">
        <v>33</v>
      </c>
      <c r="F618" t="s">
        <v>34</v>
      </c>
      <c r="G618" t="s">
        <v>116</v>
      </c>
      <c r="H618" s="20" t="s">
        <v>666</v>
      </c>
      <c r="I618" t="s">
        <v>64</v>
      </c>
      <c r="J618" s="30">
        <v>460</v>
      </c>
      <c r="K618" s="22">
        <f>IF(I618="","",IF(I618="ENTRADA",ABS(J618),-ABS(J618)))</f>
        <v>-460</v>
      </c>
      <c r="L618" t="s">
        <v>36</v>
      </c>
      <c r="N618">
        <v>65210</v>
      </c>
      <c r="O618" t="s">
        <v>386</v>
      </c>
      <c r="P618">
        <v>1937</v>
      </c>
      <c r="Q618" s="47">
        <v>46279</v>
      </c>
      <c r="R618" s="22" t="str">
        <f>IF(H618="","",H618&amp;I618)</f>
        <v>260727-381SALIDA</v>
      </c>
      <c r="S618" s="22" t="str">
        <f>IF(C618="","",C618&amp;I618)</f>
        <v>AzukaSALIDA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929</v>
      </c>
      <c r="B619" s="47">
        <v>46276</v>
      </c>
      <c r="C619" t="s">
        <v>121</v>
      </c>
      <c r="D619" t="s">
        <v>122</v>
      </c>
      <c r="E619" t="s">
        <v>33</v>
      </c>
      <c r="F619" t="s">
        <v>34</v>
      </c>
      <c r="G619" t="s">
        <v>116</v>
      </c>
      <c r="H619" s="20" t="s">
        <v>202</v>
      </c>
      <c r="I619" t="s">
        <v>64</v>
      </c>
      <c r="J619" s="30">
        <v>50</v>
      </c>
      <c r="K619" s="22">
        <f>IF(I619="","",IF(I619="ENTRADA",ABS(J619),-ABS(J619)))</f>
        <v>-50</v>
      </c>
      <c r="L619" t="s">
        <v>36</v>
      </c>
      <c r="N619">
        <v>65210</v>
      </c>
      <c r="O619" t="s">
        <v>386</v>
      </c>
      <c r="P619">
        <v>1937</v>
      </c>
      <c r="Q619" s="47">
        <v>46279</v>
      </c>
      <c r="R619" s="22" t="str">
        <f>IF(H619="","",H619&amp;I619)</f>
        <v>260410-027SALIDA</v>
      </c>
      <c r="S619" s="22" t="str">
        <f>IF(C619="","",C619&amp;I619)</f>
        <v>PardoSALIDA</v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930</v>
      </c>
      <c r="B620" s="47">
        <v>46279</v>
      </c>
      <c r="C620" t="s">
        <v>931</v>
      </c>
      <c r="D620" t="s">
        <v>932</v>
      </c>
      <c r="E620" t="s">
        <v>515</v>
      </c>
      <c r="G620" t="s">
        <v>35</v>
      </c>
      <c r="H620" s="20" t="str">
        <f>+T620</f>
        <v>260914-621</v>
      </c>
      <c r="I620" t="s">
        <v>27</v>
      </c>
      <c r="J620" s="30">
        <v>3300</v>
      </c>
      <c r="K620" s="22">
        <f>IF(I620="","",IF(I620="ENTRADA",ABS(J620),-ABS(J620)))</f>
        <v>3300</v>
      </c>
      <c r="L620" t="s">
        <v>36</v>
      </c>
      <c r="N620">
        <v>13641</v>
      </c>
      <c r="P620">
        <v>15096</v>
      </c>
      <c r="Q620" s="47">
        <v>46279</v>
      </c>
      <c r="R620" s="22" t="str">
        <f>IF(H620="","",H620&amp;I620)</f>
        <v>260914-621ENTRADA</v>
      </c>
      <c r="S620" s="22" t="str">
        <f>IF(C620="","",C620&amp;I620)</f>
        <v>swing plusENTRADA</v>
      </c>
      <c r="T620" t="str">
        <f>IF(OR(C620="",I620&lt;&gt;"ENTRADA"),"",TEXT(B620,"AAMMDD")&amp;"-"&amp;TEXT(VALUE(SUBSTITUTE(A620,"MOV-","")),"000"))</f>
        <v>260914-621</v>
      </c>
    </row>
    <row r="621" spans="1:20">
      <c r="A621" s="20" t="s">
        <v>933</v>
      </c>
      <c r="B621" s="47">
        <v>46275</v>
      </c>
      <c r="C621" t="s">
        <v>114</v>
      </c>
      <c r="D621" t="s">
        <v>115</v>
      </c>
      <c r="E621" t="s">
        <v>33</v>
      </c>
      <c r="F621" t="s">
        <v>34</v>
      </c>
      <c r="G621" t="s">
        <v>116</v>
      </c>
      <c r="H621" s="20" t="str">
        <f>+T621</f>
        <v>260910-622</v>
      </c>
      <c r="I621" t="s">
        <v>27</v>
      </c>
      <c r="J621" s="30">
        <v>21120</v>
      </c>
      <c r="K621" s="22">
        <f>IF(I621="","",IF(I621="ENTRADA",ABS(J621),-ABS(J621)))</f>
        <v>21120</v>
      </c>
      <c r="L621" t="s">
        <v>36</v>
      </c>
      <c r="M621" s="47">
        <v>46904</v>
      </c>
      <c r="N621">
        <v>51051</v>
      </c>
      <c r="P621">
        <v>15177</v>
      </c>
      <c r="Q621" s="47">
        <v>46288</v>
      </c>
      <c r="R621" s="22" t="str">
        <f>IF(H621="","",H621&amp;I621)</f>
        <v>260910-622ENTRADA</v>
      </c>
      <c r="S621" s="22" t="str">
        <f>IF(C621="","",C621&amp;I621)</f>
        <v>AzukaENTRADA</v>
      </c>
      <c r="T621" t="str">
        <f>IF(OR(C621="",I621&lt;&gt;"ENTRADA"),"",TEXT(B621,"AAMMDD")&amp;"-"&amp;TEXT(VALUE(SUBSTITUTE(A621,"MOV-","")),"000"))</f>
        <v>260910-622</v>
      </c>
    </row>
    <row r="622" spans="1:20">
      <c r="A622" s="20" t="s">
        <v>934</v>
      </c>
      <c r="B622" s="47">
        <v>46210</v>
      </c>
      <c r="C622" t="s">
        <v>717</v>
      </c>
      <c r="D622" t="s">
        <v>718</v>
      </c>
      <c r="E622" t="s">
        <v>33</v>
      </c>
      <c r="F622" t="s">
        <v>34</v>
      </c>
      <c r="G622" t="s">
        <v>116</v>
      </c>
      <c r="H622" s="20" t="str">
        <f>+T622</f>
        <v>260707-623</v>
      </c>
      <c r="I622" t="s">
        <v>27</v>
      </c>
      <c r="J622" s="30">
        <v>6880</v>
      </c>
      <c r="K622" s="22">
        <f>IF(I622="","",IF(I622="ENTRADA",ABS(J622),-ABS(J622)))</f>
        <v>6880</v>
      </c>
      <c r="L622" t="s">
        <v>36</v>
      </c>
      <c r="N622">
        <v>50993</v>
      </c>
      <c r="P622">
        <v>15102</v>
      </c>
      <c r="Q622" s="47">
        <v>46279</v>
      </c>
      <c r="R622" s="22" t="str">
        <f>IF(H622="","",H622&amp;I622)</f>
        <v>260707-623ENTRADA</v>
      </c>
      <c r="S622" s="22" t="str">
        <f>IF(C622="","",C622&amp;I622)</f>
        <v>Gamina ENTRADA</v>
      </c>
      <c r="T622" t="str">
        <f>IF(OR(C622="",I622&lt;&gt;"ENTRADA"),"",TEXT(B622,"AAMMDD")&amp;"-"&amp;TEXT(VALUE(SUBSTITUTE(A622,"MOV-","")),"000"))</f>
        <v>260707-623</v>
      </c>
    </row>
    <row r="623" spans="1:20">
      <c r="A623" s="20" t="s">
        <v>935</v>
      </c>
      <c r="B623" s="47">
        <v>46280</v>
      </c>
      <c r="C623" t="s">
        <v>121</v>
      </c>
      <c r="D623" t="s">
        <v>122</v>
      </c>
      <c r="E623" t="s">
        <v>33</v>
      </c>
      <c r="F623" t="s">
        <v>34</v>
      </c>
      <c r="G623" t="s">
        <v>116</v>
      </c>
      <c r="H623" s="20" t="s">
        <v>936</v>
      </c>
      <c r="I623" t="s">
        <v>27</v>
      </c>
      <c r="J623" s="30">
        <v>3840</v>
      </c>
      <c r="K623" s="22">
        <f>IF(I623="","",IF(I623="ENTRADA",ABS(J623),-ABS(J623)))</f>
        <v>3840</v>
      </c>
      <c r="L623" t="s">
        <v>36</v>
      </c>
      <c r="N623">
        <v>51029</v>
      </c>
      <c r="P623">
        <v>15125</v>
      </c>
      <c r="Q623" s="47">
        <v>46280</v>
      </c>
      <c r="R623" s="22" t="str">
        <f>IF(H623="","",H623&amp;I623)</f>
        <v>260727-380ENTRADA</v>
      </c>
      <c r="S623" s="22" t="str">
        <f>IF(C623="","",C623&amp;I623)</f>
        <v>PardoENTRADA</v>
      </c>
      <c r="T623" t="str">
        <f>IF(OR(C623="",I623&lt;&gt;"ENTRADA"),"",TEXT(B623,"AAMMDD")&amp;"-"&amp;TEXT(VALUE(SUBSTITUTE(A623,"MOV-","")),"000"))</f>
        <v>260915-624</v>
      </c>
    </row>
    <row r="624" spans="1:20">
      <c r="A624" s="20" t="s">
        <v>937</v>
      </c>
      <c r="B624" s="47">
        <v>46280</v>
      </c>
      <c r="C624" t="s">
        <v>938</v>
      </c>
      <c r="D624" t="s">
        <v>939</v>
      </c>
      <c r="E624" t="s">
        <v>33</v>
      </c>
      <c r="F624" t="s">
        <v>34</v>
      </c>
      <c r="G624" t="s">
        <v>35</v>
      </c>
      <c r="H624" s="20" t="str">
        <f>+T624</f>
        <v>260915-625</v>
      </c>
      <c r="I624" t="s">
        <v>27</v>
      </c>
      <c r="J624" s="30">
        <v>2800</v>
      </c>
      <c r="K624" s="22">
        <f>IF(I624="","",IF(I624="ENTRADA",ABS(J624),-ABS(J624)))</f>
        <v>2800</v>
      </c>
      <c r="L624" t="s">
        <v>36</v>
      </c>
      <c r="N624">
        <v>13704</v>
      </c>
      <c r="P624">
        <v>15176</v>
      </c>
      <c r="Q624" s="47">
        <v>46288</v>
      </c>
      <c r="R624" s="22" t="str">
        <f>IF(H624="","",H624&amp;I624)</f>
        <v>260915-625ENTRADA</v>
      </c>
      <c r="S624" s="22" t="str">
        <f>IF(C624="","",C624&amp;I624)</f>
        <v>yescaENTRADA</v>
      </c>
      <c r="T624" t="str">
        <f>IF(OR(C624="",I624&lt;&gt;"ENTRADA"),"",TEXT(B624,"AAMMDD")&amp;"-"&amp;TEXT(VALUE(SUBSTITUTE(A624,"MOV-","")),"000"))</f>
        <v>260915-625</v>
      </c>
    </row>
    <row r="625" spans="1:20">
      <c r="A625" s="20" t="s">
        <v>940</v>
      </c>
      <c r="B625" s="47">
        <v>46282</v>
      </c>
      <c r="C625" t="s">
        <v>941</v>
      </c>
      <c r="D625" t="s">
        <v>942</v>
      </c>
      <c r="E625" t="s">
        <v>515</v>
      </c>
      <c r="G625" t="s">
        <v>775</v>
      </c>
      <c r="H625" s="20" t="str">
        <f>+T625</f>
        <v>260917-626</v>
      </c>
      <c r="I625" t="s">
        <v>27</v>
      </c>
      <c r="J625" s="30">
        <v>360</v>
      </c>
      <c r="K625" s="22">
        <f>IF(I625="","",IF(I625="ENTRADA",ABS(J625),-ABS(J625)))</f>
        <v>360</v>
      </c>
      <c r="L625" t="s">
        <v>55</v>
      </c>
      <c r="N625">
        <v>13691</v>
      </c>
      <c r="P625">
        <v>15178</v>
      </c>
      <c r="Q625" s="47">
        <v>46288</v>
      </c>
      <c r="R625" s="22" t="str">
        <f>IF(H625="","",H625&amp;I625)</f>
        <v>260917-626ENTRADA</v>
      </c>
      <c r="S625" s="22" t="str">
        <f>IF(C625="","",C625&amp;I625)</f>
        <v>Miravis triple packENTRADA</v>
      </c>
      <c r="T625" t="str">
        <f>IF(OR(C625="",I625&lt;&gt;"ENTRADA"),"",TEXT(B625,"AAMMDD")&amp;"-"&amp;TEXT(VALUE(SUBSTITUTE(A625,"MOV-","")),"000"))</f>
        <v>260917-626</v>
      </c>
    </row>
    <row r="626" spans="1:20">
      <c r="A626" s="20" t="s">
        <v>943</v>
      </c>
      <c r="B626" s="47">
        <v>46282</v>
      </c>
      <c r="C626" t="s">
        <v>628</v>
      </c>
      <c r="D626" t="s">
        <v>629</v>
      </c>
      <c r="E626" t="s">
        <v>24</v>
      </c>
      <c r="F626" t="s">
        <v>630</v>
      </c>
      <c r="G626" t="s">
        <v>157</v>
      </c>
      <c r="H626" s="20" t="str">
        <f>+T626</f>
        <v>260917-627</v>
      </c>
      <c r="I626" t="s">
        <v>27</v>
      </c>
      <c r="J626" s="30">
        <v>216</v>
      </c>
      <c r="K626" s="22">
        <f>IF(I626="","",IF(I626="ENTRADA",ABS(J626),-ABS(J626)))</f>
        <v>216</v>
      </c>
      <c r="L626" t="s">
        <v>631</v>
      </c>
      <c r="N626">
        <v>35960</v>
      </c>
      <c r="P626">
        <v>15181</v>
      </c>
      <c r="Q626" s="47">
        <v>46289</v>
      </c>
      <c r="R626" s="22" t="str">
        <f>IF(H626="","",H626&amp;I626)</f>
        <v>260917-627ENTRADA</v>
      </c>
      <c r="S626" s="22" t="str">
        <f>IF(C626="","",C626&amp;I626)</f>
        <v>semilla miaz DK 69-62 TREENTRADA</v>
      </c>
      <c r="T626" t="str">
        <f>IF(OR(C626="",I626&lt;&gt;"ENTRADA"),"",TEXT(B626,"AAMMDD")&amp;"-"&amp;TEXT(VALUE(SUBSTITUTE(A626,"MOV-","")),"000"))</f>
        <v>260917-627</v>
      </c>
    </row>
    <row r="627" spans="1:20">
      <c r="A627" s="20" t="s">
        <v>944</v>
      </c>
      <c r="B627" s="60">
        <v>46283</v>
      </c>
      <c r="C627" s="34" t="s">
        <v>628</v>
      </c>
      <c r="D627" s="34" t="s">
        <v>629</v>
      </c>
      <c r="E627" s="34" t="s">
        <v>24</v>
      </c>
      <c r="F627" s="34" t="s">
        <v>630</v>
      </c>
      <c r="G627" s="34" t="s">
        <v>157</v>
      </c>
      <c r="H627" s="20" t="s">
        <v>945</v>
      </c>
      <c r="I627" s="34" t="s">
        <v>27</v>
      </c>
      <c r="J627" s="36">
        <v>216</v>
      </c>
      <c r="K627" s="22">
        <f>IF(I627="","",IF(I627="ENTRADA",ABS(J627),-ABS(J627)))</f>
        <v>216</v>
      </c>
      <c r="L627" s="34" t="s">
        <v>631</v>
      </c>
      <c r="M627" s="34"/>
      <c r="N627" s="34">
        <v>35983</v>
      </c>
      <c r="O627" s="34"/>
      <c r="P627">
        <v>15198</v>
      </c>
      <c r="Q627" s="61">
        <v>46293</v>
      </c>
      <c r="R627" s="22" t="str">
        <f>IF(H627="","",H627&amp;I627)</f>
        <v>260917-627ENTRADA</v>
      </c>
      <c r="S627" s="22" t="str">
        <f>IF(C627="","",C627&amp;I627)</f>
        <v>semilla miaz DK 69-62 TREENTRADA</v>
      </c>
      <c r="T627" t="str">
        <f>IF(OR(C627="",I627&lt;&gt;"ENTRADA"),"",TEXT(B627,"AAMMDD")&amp;"-"&amp;TEXT(VALUE(SUBSTITUTE(A627,"MOV-","")),"000"))</f>
        <v>260918-628</v>
      </c>
    </row>
    <row r="628" spans="1:20">
      <c r="A628" s="20" t="s">
        <v>946</v>
      </c>
      <c r="B628" s="47">
        <v>46283</v>
      </c>
      <c r="C628" t="s">
        <v>628</v>
      </c>
      <c r="D628" t="s">
        <v>629</v>
      </c>
      <c r="E628" t="s">
        <v>24</v>
      </c>
      <c r="F628" t="s">
        <v>630</v>
      </c>
      <c r="G628" t="s">
        <v>157</v>
      </c>
      <c r="H628" s="20" t="s">
        <v>945</v>
      </c>
      <c r="I628" t="s">
        <v>27</v>
      </c>
      <c r="J628" s="30">
        <v>168</v>
      </c>
      <c r="K628" s="22">
        <f>IF(I628="","",IF(I628="ENTRADA",ABS(J628),-ABS(J628)))</f>
        <v>168</v>
      </c>
      <c r="L628" t="s">
        <v>631</v>
      </c>
      <c r="N628">
        <v>36028</v>
      </c>
      <c r="P628">
        <v>15199</v>
      </c>
      <c r="Q628" s="61">
        <v>46293</v>
      </c>
      <c r="R628" s="22" t="str">
        <f>IF(H628="","",H628&amp;I628)</f>
        <v>260917-627ENTRADA</v>
      </c>
      <c r="S628" s="22" t="str">
        <f>IF(C628="","",C628&amp;I628)</f>
        <v>semilla miaz DK 69-62 TREENTRADA</v>
      </c>
      <c r="T628" t="str">
        <f>IF(OR(C628="",I628&lt;&gt;"ENTRADA"),"",TEXT(B628,"AAMMDD")&amp;"-"&amp;TEXT(VALUE(SUBSTITUTE(A628,"MOV-","")),"000"))</f>
        <v>260918-629</v>
      </c>
    </row>
    <row r="629" spans="1:20">
      <c r="A629" s="20" t="s">
        <v>947</v>
      </c>
      <c r="B629" s="47">
        <v>46283</v>
      </c>
      <c r="C629" t="s">
        <v>948</v>
      </c>
      <c r="D629" t="s">
        <v>949</v>
      </c>
      <c r="E629" t="s">
        <v>24</v>
      </c>
      <c r="F629" t="s">
        <v>630</v>
      </c>
      <c r="G629" t="s">
        <v>157</v>
      </c>
      <c r="H629" s="20" t="str">
        <f>+T629</f>
        <v>260918-630</v>
      </c>
      <c r="I629" t="s">
        <v>27</v>
      </c>
      <c r="J629" s="30">
        <v>41</v>
      </c>
      <c r="K629" s="22">
        <f>IF(I629="","",IF(I629="ENTRADA",ABS(J629),-ABS(J629)))</f>
        <v>41</v>
      </c>
      <c r="L629" t="s">
        <v>631</v>
      </c>
      <c r="N629">
        <v>36028</v>
      </c>
      <c r="P629">
        <v>15199</v>
      </c>
      <c r="Q629" s="61">
        <v>46293</v>
      </c>
      <c r="R629" s="22" t="str">
        <f>IF(H629="","",H629&amp;I629)</f>
        <v>260918-630ENTRADA</v>
      </c>
      <c r="S629" s="22" t="str">
        <f>IF(C629="","",C629&amp;I629)</f>
        <v>refugio dk 72-72 RR2ENTRADA</v>
      </c>
      <c r="T629" t="str">
        <f>IF(OR(C629="",I629&lt;&gt;"ENTRADA"),"",TEXT(B629,"AAMMDD")&amp;"-"&amp;TEXT(VALUE(SUBSTITUTE(A629,"MOV-","")),"000"))</f>
        <v>260918-630</v>
      </c>
    </row>
    <row r="630" spans="1:20">
      <c r="A630" s="20" t="s">
        <v>950</v>
      </c>
      <c r="B630" s="47">
        <v>46281</v>
      </c>
      <c r="C630" t="s">
        <v>951</v>
      </c>
      <c r="D630" t="s">
        <v>939</v>
      </c>
      <c r="E630" t="s">
        <v>33</v>
      </c>
      <c r="F630" t="s">
        <v>34</v>
      </c>
      <c r="G630" t="s">
        <v>35</v>
      </c>
      <c r="H630" s="20" t="s">
        <v>952</v>
      </c>
      <c r="I630" t="s">
        <v>64</v>
      </c>
      <c r="J630" s="30">
        <v>900</v>
      </c>
      <c r="K630" s="22">
        <f>IF(I630="","",IF(I630="ENTRADA",ABS(J630),-ABS(J630)))</f>
        <v>-900</v>
      </c>
      <c r="L630" t="s">
        <v>36</v>
      </c>
      <c r="N630">
        <v>65212</v>
      </c>
      <c r="O630" t="s">
        <v>381</v>
      </c>
      <c r="P630">
        <v>1941</v>
      </c>
      <c r="Q630" s="47">
        <v>46288</v>
      </c>
      <c r="R630" s="22" t="str">
        <f>IF(H630="","",H630&amp;I630)</f>
        <v>260915-625SALIDA</v>
      </c>
      <c r="S630" s="22" t="str">
        <f>IF(C630="","",C630&amp;I630)</f>
        <v>yesca 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953</v>
      </c>
      <c r="B631" s="47">
        <v>46281</v>
      </c>
      <c r="C631" t="s">
        <v>129</v>
      </c>
      <c r="D631" t="s">
        <v>130</v>
      </c>
      <c r="E631" t="s">
        <v>131</v>
      </c>
      <c r="G631" t="s">
        <v>132</v>
      </c>
      <c r="H631" s="20" t="s">
        <v>220</v>
      </c>
      <c r="I631" t="s">
        <v>64</v>
      </c>
      <c r="J631" s="30">
        <v>45</v>
      </c>
      <c r="K631" s="22">
        <f>IF(I631="","",IF(I631="ENTRADA",ABS(J631),-ABS(J631)))</f>
        <v>-45</v>
      </c>
      <c r="L631" t="s">
        <v>36</v>
      </c>
      <c r="N631">
        <v>65212</v>
      </c>
      <c r="O631" t="s">
        <v>381</v>
      </c>
      <c r="P631">
        <v>1941</v>
      </c>
      <c r="Q631" s="47">
        <v>46288</v>
      </c>
      <c r="R631" s="22" t="str">
        <f>IF(H631="","",H631&amp;I631)</f>
        <v>260414-029SALIDA</v>
      </c>
      <c r="S631" s="22" t="str">
        <f>IF(C631="","",C631&amp;I631)</f>
        <v>HarrierSALIDA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954</v>
      </c>
      <c r="B632" s="47">
        <v>46281</v>
      </c>
      <c r="C632" t="s">
        <v>136</v>
      </c>
      <c r="D632" t="s">
        <v>137</v>
      </c>
      <c r="E632" t="s">
        <v>131</v>
      </c>
      <c r="G632" t="s">
        <v>132</v>
      </c>
      <c r="H632" s="20" t="s">
        <v>210</v>
      </c>
      <c r="I632" t="s">
        <v>64</v>
      </c>
      <c r="J632" s="30">
        <v>8</v>
      </c>
      <c r="K632" s="22">
        <f>IF(I632="","",IF(I632="ENTRADA",ABS(J632),-ABS(J632)))</f>
        <v>-8</v>
      </c>
      <c r="L632" t="s">
        <v>36</v>
      </c>
      <c r="N632">
        <v>65212</v>
      </c>
      <c r="O632" t="s">
        <v>381</v>
      </c>
      <c r="P632">
        <v>1941</v>
      </c>
      <c r="Q632" s="47">
        <v>46288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955</v>
      </c>
      <c r="B633" s="47">
        <v>46281</v>
      </c>
      <c r="C633" t="s">
        <v>136</v>
      </c>
      <c r="D633" t="s">
        <v>137</v>
      </c>
      <c r="E633" t="s">
        <v>131</v>
      </c>
      <c r="G633" t="s">
        <v>132</v>
      </c>
      <c r="H633" s="20" t="s">
        <v>220</v>
      </c>
      <c r="I633" t="s">
        <v>64</v>
      </c>
      <c r="J633" s="30">
        <v>210</v>
      </c>
      <c r="K633" s="22">
        <f>IF(I633="","",IF(I633="ENTRADA",ABS(J633),-ABS(J633)))</f>
        <v>-210</v>
      </c>
      <c r="L633" t="s">
        <v>36</v>
      </c>
      <c r="N633">
        <v>65213</v>
      </c>
      <c r="O633" t="s">
        <v>212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Full controlSALIDA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956</v>
      </c>
      <c r="B634" s="47">
        <v>46281</v>
      </c>
      <c r="C634" t="s">
        <v>129</v>
      </c>
      <c r="D634" t="s">
        <v>130</v>
      </c>
      <c r="E634" t="s">
        <v>131</v>
      </c>
      <c r="G634" t="s">
        <v>132</v>
      </c>
      <c r="H634" s="20" t="s">
        <v>210</v>
      </c>
      <c r="I634" t="s">
        <v>64</v>
      </c>
      <c r="J634" s="30">
        <v>200</v>
      </c>
      <c r="K634" s="22">
        <f>IF(I634="","",IF(I634="ENTRADA",ABS(J634),-ABS(J634)))</f>
        <v>-200</v>
      </c>
      <c r="L634" t="s">
        <v>36</v>
      </c>
      <c r="N634">
        <v>65213</v>
      </c>
      <c r="O634" t="s">
        <v>212</v>
      </c>
      <c r="P634">
        <v>1942</v>
      </c>
      <c r="Q634" s="47">
        <v>46289</v>
      </c>
      <c r="R634" s="22" t="str">
        <f>IF(H634="","",H634&amp;I634)</f>
        <v>260414-030SALIDA</v>
      </c>
      <c r="S634" s="22" t="str">
        <f>IF(C634="","",C634&amp;I634)</f>
        <v>HarrierSALIDA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957</v>
      </c>
      <c r="B635" s="47">
        <v>46282</v>
      </c>
      <c r="C635" t="s">
        <v>43</v>
      </c>
      <c r="D635" t="s">
        <v>62</v>
      </c>
      <c r="E635" t="s">
        <v>33</v>
      </c>
      <c r="F635" t="s">
        <v>45</v>
      </c>
      <c r="G635" t="s">
        <v>35</v>
      </c>
      <c r="H635" s="20" t="s">
        <v>63</v>
      </c>
      <c r="I635" t="s">
        <v>64</v>
      </c>
      <c r="J635" s="30">
        <v>25</v>
      </c>
      <c r="K635" s="22">
        <f>IF(I635="","",IF(I635="ENTRADA",ABS(J635),-ABS(J635)))</f>
        <v>-25</v>
      </c>
      <c r="L635" t="s">
        <v>36</v>
      </c>
      <c r="N635">
        <v>65214</v>
      </c>
      <c r="O635" t="s">
        <v>217</v>
      </c>
      <c r="P635">
        <v>1944</v>
      </c>
      <c r="Q635" s="47">
        <v>46293</v>
      </c>
      <c r="R635" s="22" t="str">
        <f>IF(H635="","",H635&amp;I635)</f>
        <v>260401-004SALIDA</v>
      </c>
      <c r="S635" s="22" t="str">
        <f>IF(C635="","",C635&amp;I635)</f>
        <v>PresideSALIDA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958</v>
      </c>
      <c r="B636" s="47">
        <v>46282</v>
      </c>
      <c r="C636" t="s">
        <v>58</v>
      </c>
      <c r="D636" t="s">
        <v>59</v>
      </c>
      <c r="E636" t="s">
        <v>33</v>
      </c>
      <c r="F636" t="s">
        <v>34</v>
      </c>
      <c r="H636" s="20" t="s">
        <v>67</v>
      </c>
      <c r="I636" t="s">
        <v>64</v>
      </c>
      <c r="J636" s="30">
        <v>50</v>
      </c>
      <c r="K636" s="22">
        <f>IF(I636="","",IF(I636="ENTRADA",ABS(J636),-ABS(J636)))</f>
        <v>-50</v>
      </c>
      <c r="L636" t="s">
        <v>36</v>
      </c>
      <c r="N636">
        <v>65214</v>
      </c>
      <c r="O636" t="s">
        <v>217</v>
      </c>
      <c r="P636">
        <v>1944</v>
      </c>
      <c r="Q636" s="47">
        <v>46293</v>
      </c>
      <c r="R636" s="22" t="str">
        <f>IF(H636="","",H636&amp;I636)</f>
        <v>260401-008SALIDA</v>
      </c>
      <c r="S636" s="22" t="str">
        <f>IF(C636="","",C636&amp;I636)</f>
        <v>Venceweed extraSALIDA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959</v>
      </c>
      <c r="B637" s="47">
        <v>46282</v>
      </c>
      <c r="C637" t="s">
        <v>89</v>
      </c>
      <c r="D637" t="s">
        <v>90</v>
      </c>
      <c r="E637" t="s">
        <v>33</v>
      </c>
      <c r="F637" t="s">
        <v>34</v>
      </c>
      <c r="G637" t="s">
        <v>35</v>
      </c>
      <c r="H637" s="20" t="s">
        <v>374</v>
      </c>
      <c r="I637" t="s">
        <v>64</v>
      </c>
      <c r="J637" s="30">
        <v>25</v>
      </c>
      <c r="K637" s="22">
        <f>IF(I637="","",IF(I637="ENTRADA",ABS(J637),-ABS(J637)))</f>
        <v>-25</v>
      </c>
      <c r="L637" t="s">
        <v>36</v>
      </c>
      <c r="N637">
        <v>65214</v>
      </c>
      <c r="O637" t="s">
        <v>217</v>
      </c>
      <c r="P637">
        <v>1944</v>
      </c>
      <c r="Q637" s="47">
        <v>46293</v>
      </c>
      <c r="R637" s="22" t="str">
        <f>IF(H637="","",H637&amp;I637)</f>
        <v>260405-132SALIDA</v>
      </c>
      <c r="S637" s="22" t="str">
        <f>IF(C637="","",C637&amp;I637)</f>
        <v>PixxaroSALIDA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960</v>
      </c>
      <c r="B638" s="47">
        <v>46281</v>
      </c>
      <c r="C638" s="34" t="s">
        <v>633</v>
      </c>
      <c r="D638" s="34" t="s">
        <v>629</v>
      </c>
      <c r="E638" s="34" t="s">
        <v>24</v>
      </c>
      <c r="F638" s="34" t="s">
        <v>630</v>
      </c>
      <c r="G638" s="34" t="s">
        <v>157</v>
      </c>
      <c r="H638" s="20" t="s">
        <v>822</v>
      </c>
      <c r="I638" s="34" t="s">
        <v>64</v>
      </c>
      <c r="J638" s="36">
        <v>1</v>
      </c>
      <c r="K638" s="22">
        <f>IF(I638="","",IF(I638="ENTRADA",ABS(J638),-ABS(J638)))</f>
        <v>-1</v>
      </c>
      <c r="L638" s="34" t="s">
        <v>631</v>
      </c>
      <c r="M638" s="34"/>
      <c r="N638" s="34">
        <v>65215</v>
      </c>
      <c r="O638" s="34" t="s">
        <v>381</v>
      </c>
      <c r="P638" s="34">
        <v>1945</v>
      </c>
      <c r="Q638" s="35">
        <v>46293</v>
      </c>
      <c r="R638" s="22" t="str">
        <f>IF(H638="","",H638&amp;I638)</f>
        <v>260617-374SALIDA</v>
      </c>
      <c r="S638" s="22" t="str">
        <f>IF(C638="","",C638&amp;I638)</f>
        <v>semilla maiz DK 72-10 RR2C5 refugioSALIDA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961</v>
      </c>
      <c r="B639" s="47">
        <v>46283</v>
      </c>
      <c r="C639" t="s">
        <v>513</v>
      </c>
      <c r="D639" t="s">
        <v>514</v>
      </c>
      <c r="E639" t="s">
        <v>515</v>
      </c>
      <c r="G639" t="s">
        <v>116</v>
      </c>
      <c r="H639" s="20" t="s">
        <v>662</v>
      </c>
      <c r="I639" t="s">
        <v>64</v>
      </c>
      <c r="J639" s="30">
        <v>190</v>
      </c>
      <c r="K639" s="22">
        <f>IF(I639="","",IF(I639="ENTRADA",ABS(J639),-ABS(J639)))</f>
        <v>-190</v>
      </c>
      <c r="L639" t="s">
        <v>36</v>
      </c>
      <c r="N639">
        <v>65217</v>
      </c>
      <c r="O639" t="s">
        <v>217</v>
      </c>
      <c r="P639">
        <v>1943</v>
      </c>
      <c r="Q639" s="35">
        <v>46293</v>
      </c>
      <c r="R639" s="22" t="str">
        <f>IF(H639="","",H639&amp;I639)</f>
        <v>260730-396SALIDA</v>
      </c>
      <c r="S639" s="22" t="str">
        <f>IF(C639="","",C639&amp;I639)</f>
        <v>Unico MaxSALIDA</v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962</v>
      </c>
      <c r="B640" s="47">
        <v>46283</v>
      </c>
      <c r="C640" t="s">
        <v>628</v>
      </c>
      <c r="D640" t="s">
        <v>629</v>
      </c>
      <c r="E640" t="s">
        <v>24</v>
      </c>
      <c r="F640" t="s">
        <v>630</v>
      </c>
      <c r="G640" t="s">
        <v>157</v>
      </c>
      <c r="H640" s="20" t="s">
        <v>945</v>
      </c>
      <c r="I640" t="s">
        <v>27</v>
      </c>
      <c r="J640" s="30">
        <v>215</v>
      </c>
      <c r="K640" s="22">
        <f>IF(I640="","",IF(I640="ENTRADA",ABS(J640),-ABS(J640)))</f>
        <v>215</v>
      </c>
      <c r="L640" t="s">
        <v>631</v>
      </c>
      <c r="N640">
        <v>36037</v>
      </c>
      <c r="P640">
        <v>15203</v>
      </c>
      <c r="Q640" s="35">
        <v>46293</v>
      </c>
      <c r="R640" s="22" t="str">
        <f>IF(H640="","",H640&amp;I640)</f>
        <v>260917-627ENTRADA</v>
      </c>
      <c r="S640" s="22" t="str">
        <f>IF(C640="","",C640&amp;I640)</f>
        <v>semilla miaz DK 69-62 TREENTRADA</v>
      </c>
      <c r="T640" t="str">
        <f>IF(OR(C640="",I640&lt;&gt;"ENTRADA"),"",TEXT(B640,"AAMMDD")&amp;"-"&amp;TEXT(VALUE(SUBSTITUTE(A640,"MOV-","")),"000"))</f>
        <v>260918-641</v>
      </c>
    </row>
    <row r="641" spans="1:20">
      <c r="A641" s="20" t="s">
        <v>963</v>
      </c>
      <c r="B641" s="47">
        <v>46283</v>
      </c>
      <c r="C641" t="s">
        <v>635</v>
      </c>
      <c r="D641" t="s">
        <v>629</v>
      </c>
      <c r="E641" t="s">
        <v>24</v>
      </c>
      <c r="F641" t="s">
        <v>630</v>
      </c>
      <c r="G641" t="s">
        <v>157</v>
      </c>
      <c r="H641" s="20" t="s">
        <v>964</v>
      </c>
      <c r="I641" t="s">
        <v>27</v>
      </c>
      <c r="J641" s="30">
        <v>168</v>
      </c>
      <c r="K641" s="22">
        <f>IF(I641="","",IF(I641="ENTRADA",ABS(J641),-ABS(J641)))</f>
        <v>168</v>
      </c>
      <c r="L641" t="s">
        <v>631</v>
      </c>
      <c r="N641">
        <v>36044</v>
      </c>
      <c r="P641">
        <v>15201</v>
      </c>
      <c r="Q641" s="35">
        <v>46293</v>
      </c>
      <c r="R641" s="22" t="str">
        <f>IF(H641="","",H641&amp;I641)</f>
        <v>260617-375ENTRADA</v>
      </c>
      <c r="S641" s="22" t="str">
        <f>IF(C641="","",C641&amp;I641)</f>
        <v>semilla maiz DK 73-03 TREENTRADA</v>
      </c>
      <c r="T641" t="str">
        <f>IF(OR(C641="",I641&lt;&gt;"ENTRADA"),"",TEXT(B641,"AAMMDD")&amp;"-"&amp;TEXT(VALUE(SUBSTITUTE(A641,"MOV-","")),"000"))</f>
        <v>260918-642</v>
      </c>
    </row>
    <row r="642" spans="1:20">
      <c r="A642" s="20" t="s">
        <v>965</v>
      </c>
      <c r="B642" s="47">
        <v>46283</v>
      </c>
      <c r="C642" t="s">
        <v>628</v>
      </c>
      <c r="D642" t="s">
        <v>629</v>
      </c>
      <c r="E642" t="s">
        <v>24</v>
      </c>
      <c r="F642" t="s">
        <v>630</v>
      </c>
      <c r="G642" t="s">
        <v>157</v>
      </c>
      <c r="H642" s="20" t="s">
        <v>945</v>
      </c>
      <c r="I642" t="s">
        <v>27</v>
      </c>
      <c r="J642" s="30">
        <v>78</v>
      </c>
      <c r="K642" s="22">
        <f>IF(I642="","",IF(I642="ENTRADA",ABS(J642),-ABS(J642)))</f>
        <v>78</v>
      </c>
      <c r="L642" t="s">
        <v>631</v>
      </c>
      <c r="N642">
        <v>36044</v>
      </c>
      <c r="P642">
        <v>15201</v>
      </c>
      <c r="Q642" s="35">
        <v>46293</v>
      </c>
      <c r="R642" s="22" t="str">
        <f>IF(H642="","",H642&amp;I642)</f>
        <v>260917-627ENTRADA</v>
      </c>
      <c r="S642" s="22" t="str">
        <f>IF(C642="","",C642&amp;I642)</f>
        <v>semilla miaz DK 69-62 TREENTRADA</v>
      </c>
      <c r="T642" t="str">
        <f>IF(OR(C642="",I642&lt;&gt;"ENTRADA"),"",TEXT(B642,"AAMMDD")&amp;"-"&amp;TEXT(VALUE(SUBSTITUTE(A642,"MOV-","")),"000"))</f>
        <v>260918-643</v>
      </c>
    </row>
    <row r="643" spans="1:20">
      <c r="A643" s="20" t="s">
        <v>966</v>
      </c>
      <c r="B643" s="47">
        <v>46283</v>
      </c>
      <c r="C643" t="s">
        <v>767</v>
      </c>
      <c r="D643" t="s">
        <v>768</v>
      </c>
      <c r="E643" t="s">
        <v>33</v>
      </c>
      <c r="F643" t="s">
        <v>34</v>
      </c>
      <c r="G643" t="s">
        <v>769</v>
      </c>
      <c r="H643" s="20" t="s">
        <v>827</v>
      </c>
      <c r="I643" t="s">
        <v>64</v>
      </c>
      <c r="J643" s="30">
        <v>80</v>
      </c>
      <c r="K643" s="22">
        <f>IF(I643="","",IF(I643="ENTRADA",ABS(J643),-ABS(J643)))</f>
        <v>-80</v>
      </c>
      <c r="L643" t="s">
        <v>384</v>
      </c>
      <c r="N643">
        <v>65218</v>
      </c>
      <c r="O643" t="s">
        <v>212</v>
      </c>
      <c r="P643">
        <v>1946</v>
      </c>
      <c r="Q643" s="35">
        <v>46293</v>
      </c>
      <c r="R643" s="22" t="str">
        <f>IF(H643="","",H643&amp;I643)</f>
        <v>260826-484SALIDA</v>
      </c>
      <c r="S643" s="22" t="str">
        <f>IF(C643="","",C643&amp;I643)</f>
        <v>Paraquat SALIDA</v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967</v>
      </c>
      <c r="B644" s="47">
        <v>46283</v>
      </c>
      <c r="C644" t="s">
        <v>941</v>
      </c>
      <c r="D644" t="s">
        <v>942</v>
      </c>
      <c r="E644" t="s">
        <v>515</v>
      </c>
      <c r="G644" t="s">
        <v>775</v>
      </c>
      <c r="H644" s="20" t="s">
        <v>968</v>
      </c>
      <c r="I644" t="s">
        <v>64</v>
      </c>
      <c r="J644" s="30">
        <v>24</v>
      </c>
      <c r="K644" s="22">
        <f>IF(I644="","",IF(I644="ENTRADA",ABS(J644),-ABS(J644)))</f>
        <v>-24</v>
      </c>
      <c r="L644" t="s">
        <v>55</v>
      </c>
      <c r="N644">
        <v>65218</v>
      </c>
      <c r="O644" t="s">
        <v>212</v>
      </c>
      <c r="P644">
        <v>1946</v>
      </c>
      <c r="Q644" s="35">
        <v>46293</v>
      </c>
      <c r="R644" s="22" t="str">
        <f>IF(H644="","",H644&amp;I644)</f>
        <v>260917-626SALIDA</v>
      </c>
      <c r="S644" s="22" t="str">
        <f>IF(C644="","",C644&amp;I644)</f>
        <v>Miravis triple packSALIDA</v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969</v>
      </c>
      <c r="B645" s="47">
        <v>46286</v>
      </c>
      <c r="C645" t="s">
        <v>114</v>
      </c>
      <c r="D645" t="s">
        <v>115</v>
      </c>
      <c r="E645" t="s">
        <v>33</v>
      </c>
      <c r="F645" t="s">
        <v>34</v>
      </c>
      <c r="G645" t="s">
        <v>116</v>
      </c>
      <c r="H645" s="20" t="s">
        <v>970</v>
      </c>
      <c r="I645" t="s">
        <v>64</v>
      </c>
      <c r="J645" s="30">
        <v>820</v>
      </c>
      <c r="K645" s="22">
        <f>IF(I645="","",IF(I645="ENTRADA",ABS(J645),-ABS(J645)))</f>
        <v>-820</v>
      </c>
      <c r="L645" t="s">
        <v>36</v>
      </c>
      <c r="N645">
        <v>65226</v>
      </c>
      <c r="O645" t="s">
        <v>212</v>
      </c>
      <c r="P645">
        <v>1948</v>
      </c>
      <c r="Q645" s="47">
        <v>46294</v>
      </c>
      <c r="R645" s="22" t="str">
        <f>IF(H645="","",H645&amp;I645)</f>
        <v>260910-622SALIDA</v>
      </c>
      <c r="S645" s="22" t="str">
        <f>IF(C645="","",C645&amp;I645)</f>
        <v>AzukaSALIDA</v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971</v>
      </c>
      <c r="B646" s="47">
        <v>46286</v>
      </c>
      <c r="C646" t="s">
        <v>121</v>
      </c>
      <c r="D646" t="s">
        <v>122</v>
      </c>
      <c r="E646" t="s">
        <v>33</v>
      </c>
      <c r="F646" t="s">
        <v>34</v>
      </c>
      <c r="G646" t="s">
        <v>116</v>
      </c>
      <c r="H646" s="20" t="s">
        <v>936</v>
      </c>
      <c r="I646" t="s">
        <v>64</v>
      </c>
      <c r="J646" s="30">
        <v>110</v>
      </c>
      <c r="K646" s="22">
        <f>IF(I646="","",IF(I646="ENTRADA",ABS(J646),-ABS(J646)))</f>
        <v>-110</v>
      </c>
      <c r="L646" t="s">
        <v>36</v>
      </c>
      <c r="N646">
        <v>65226</v>
      </c>
      <c r="O646" t="s">
        <v>212</v>
      </c>
      <c r="P646">
        <v>1948</v>
      </c>
      <c r="Q646" s="47">
        <v>46294</v>
      </c>
      <c r="R646" s="22" t="str">
        <f>IF(H646="","",H646&amp;I646)</f>
        <v>260727-380SALIDA</v>
      </c>
      <c r="S646" s="22" t="str">
        <f>IF(C646="","",C646&amp;I646)</f>
        <v>PardoSALIDA</v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972</v>
      </c>
      <c r="B647" s="47">
        <v>46286</v>
      </c>
      <c r="C647" t="s">
        <v>129</v>
      </c>
      <c r="D647" t="s">
        <v>130</v>
      </c>
      <c r="E647" t="s">
        <v>131</v>
      </c>
      <c r="G647" t="s">
        <v>132</v>
      </c>
      <c r="H647" s="20" t="s">
        <v>210</v>
      </c>
      <c r="I647" t="s">
        <v>64</v>
      </c>
      <c r="J647" s="30">
        <v>30</v>
      </c>
      <c r="K647" s="22">
        <f>IF(I647="","",IF(I647="ENTRADA",ABS(J647),-ABS(J647)))</f>
        <v>-30</v>
      </c>
      <c r="L647" t="s">
        <v>36</v>
      </c>
      <c r="N647">
        <v>65226</v>
      </c>
      <c r="O647" t="s">
        <v>212</v>
      </c>
      <c r="P647">
        <v>1948</v>
      </c>
      <c r="Q647" s="47">
        <v>46294</v>
      </c>
      <c r="R647" s="22" t="str">
        <f>IF(H647="","",H647&amp;I647)</f>
        <v>260414-030SALIDA</v>
      </c>
      <c r="S647" s="22" t="str">
        <f>IF(C647="","",C647&amp;I647)</f>
        <v>HarrierSALIDA</v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973</v>
      </c>
      <c r="B648" s="47">
        <v>46286</v>
      </c>
      <c r="C648" t="s">
        <v>136</v>
      </c>
      <c r="D648" t="s">
        <v>137</v>
      </c>
      <c r="E648" t="s">
        <v>131</v>
      </c>
      <c r="G648" t="s">
        <v>132</v>
      </c>
      <c r="H648" s="20" t="s">
        <v>220</v>
      </c>
      <c r="I648" t="s">
        <v>64</v>
      </c>
      <c r="J648" s="30">
        <v>7</v>
      </c>
      <c r="K648" s="22">
        <f>IF(I648="","",IF(I648="ENTRADA",ABS(J648),-ABS(J648)))</f>
        <v>-7</v>
      </c>
      <c r="L648" t="s">
        <v>36</v>
      </c>
      <c r="N648">
        <v>65226</v>
      </c>
      <c r="O648" t="s">
        <v>212</v>
      </c>
      <c r="P648">
        <v>1948</v>
      </c>
      <c r="Q648" s="47">
        <v>46294</v>
      </c>
      <c r="R648" s="22" t="str">
        <f>IF(H648="","",H648&amp;I648)</f>
        <v>260414-029SALIDA</v>
      </c>
      <c r="S648" s="22" t="str">
        <f>IF(C648="","",C648&amp;I648)</f>
        <v>Full controlSALIDA</v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974</v>
      </c>
      <c r="B649" s="47">
        <v>46286</v>
      </c>
      <c r="C649" s="34" t="s">
        <v>628</v>
      </c>
      <c r="D649" s="34" t="s">
        <v>629</v>
      </c>
      <c r="E649" s="34" t="s">
        <v>24</v>
      </c>
      <c r="F649" s="34" t="s">
        <v>630</v>
      </c>
      <c r="G649" s="34" t="s">
        <v>157</v>
      </c>
      <c r="H649" s="20" t="s">
        <v>945</v>
      </c>
      <c r="I649" s="34" t="s">
        <v>64</v>
      </c>
      <c r="J649" s="36">
        <v>210</v>
      </c>
      <c r="K649" s="22">
        <f>IF(I649="","",IF(I649="ENTRADA",ABS(J649),-ABS(J649)))</f>
        <v>-210</v>
      </c>
      <c r="L649" s="34" t="s">
        <v>631</v>
      </c>
      <c r="M649" s="34"/>
      <c r="N649" s="34">
        <v>65227</v>
      </c>
      <c r="O649" s="34" t="s">
        <v>212</v>
      </c>
      <c r="P649" s="34">
        <v>1948</v>
      </c>
      <c r="Q649" s="47">
        <v>46294</v>
      </c>
      <c r="R649" s="22" t="str">
        <f>IF(H649="","",H649&amp;I649)</f>
        <v>260917-627SALIDA</v>
      </c>
      <c r="S649" s="22" t="str">
        <f>IF(C649="","",C649&amp;I649)</f>
        <v>semilla miaz DK 69-62 TRESALIDA</v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975</v>
      </c>
      <c r="B650" s="47">
        <v>46286</v>
      </c>
      <c r="C650" t="s">
        <v>628</v>
      </c>
      <c r="D650" t="s">
        <v>629</v>
      </c>
      <c r="E650" t="s">
        <v>24</v>
      </c>
      <c r="F650" t="s">
        <v>630</v>
      </c>
      <c r="G650" t="s">
        <v>157</v>
      </c>
      <c r="H650" s="20" t="s">
        <v>945</v>
      </c>
      <c r="I650" t="s">
        <v>27</v>
      </c>
      <c r="J650" s="30">
        <v>9</v>
      </c>
      <c r="K650" s="22">
        <f>IF(I650="","",IF(I650="ENTRADA",ABS(J650),-ABS(J650)))</f>
        <v>9</v>
      </c>
      <c r="L650" t="s">
        <v>631</v>
      </c>
      <c r="N650">
        <v>36105</v>
      </c>
      <c r="P650">
        <v>15200</v>
      </c>
      <c r="Q650" s="47">
        <v>46293</v>
      </c>
      <c r="R650" s="22" t="str">
        <f>IF(H650="","",H650&amp;I650)</f>
        <v>260917-627ENTRADA</v>
      </c>
      <c r="S650" s="22" t="str">
        <f>IF(C650="","",C650&amp;I650)</f>
        <v>semilla miaz DK 69-62 TREENTRADA</v>
      </c>
      <c r="T650" t="str">
        <f>IF(OR(C650="",I650&lt;&gt;"ENTRADA"),"",TEXT(B650,"AAMMDD")&amp;"-"&amp;TEXT(VALUE(SUBSTITUTE(A650,"MOV-","")),"000"))</f>
        <v>260921-651</v>
      </c>
    </row>
    <row r="651" spans="1:20">
      <c r="A651" s="20" t="s">
        <v>976</v>
      </c>
      <c r="B651" s="47">
        <v>46286</v>
      </c>
      <c r="C651" t="s">
        <v>635</v>
      </c>
      <c r="D651" t="s">
        <v>629</v>
      </c>
      <c r="E651" t="s">
        <v>24</v>
      </c>
      <c r="F651" t="s">
        <v>630</v>
      </c>
      <c r="G651" t="s">
        <v>157</v>
      </c>
      <c r="H651" s="20" t="s">
        <v>964</v>
      </c>
      <c r="I651" t="s">
        <v>27</v>
      </c>
      <c r="J651" s="30">
        <v>211</v>
      </c>
      <c r="K651" s="22">
        <f>IF(I651="","",IF(I651="ENTRADA",ABS(J651),-ABS(J651)))</f>
        <v>211</v>
      </c>
      <c r="L651" t="s">
        <v>631</v>
      </c>
      <c r="N651">
        <v>36105</v>
      </c>
      <c r="P651">
        <v>15200</v>
      </c>
      <c r="Q651" s="47">
        <v>46293</v>
      </c>
      <c r="R651" s="22" t="str">
        <f>IF(H651="","",H651&amp;I651)</f>
        <v>260617-375ENTRADA</v>
      </c>
      <c r="S651" s="22" t="str">
        <f>IF(C651="","",C651&amp;I651)</f>
        <v>semilla maiz DK 73-03 TREENTRADA</v>
      </c>
      <c r="T651" t="str">
        <f>IF(OR(C651="",I651&lt;&gt;"ENTRADA"),"",TEXT(B651,"AAMMDD")&amp;"-"&amp;TEXT(VALUE(SUBSTITUTE(A651,"MOV-","")),"000"))</f>
        <v>260921-652</v>
      </c>
    </row>
    <row r="652" spans="1:20">
      <c r="A652" s="20" t="s">
        <v>977</v>
      </c>
      <c r="B652" s="47">
        <v>46287</v>
      </c>
      <c r="C652" t="s">
        <v>628</v>
      </c>
      <c r="D652" t="s">
        <v>629</v>
      </c>
      <c r="E652" t="s">
        <v>24</v>
      </c>
      <c r="F652" t="s">
        <v>630</v>
      </c>
      <c r="G652" t="s">
        <v>157</v>
      </c>
      <c r="H652" s="20" t="s">
        <v>945</v>
      </c>
      <c r="I652" t="s">
        <v>64</v>
      </c>
      <c r="J652" s="30">
        <v>10</v>
      </c>
      <c r="K652" s="22">
        <f>IF(I652="","",IF(I652="ENTRADA",ABS(J652),-ABS(J652)))</f>
        <v>-10</v>
      </c>
      <c r="L652" t="s">
        <v>631</v>
      </c>
      <c r="N652">
        <v>65222</v>
      </c>
      <c r="O652" t="s">
        <v>236</v>
      </c>
      <c r="P652">
        <v>1947</v>
      </c>
      <c r="Q652" s="47">
        <v>46293</v>
      </c>
      <c r="R652" s="22" t="str">
        <f>IF(H652="","",H652&amp;I652)</f>
        <v>260917-627SALIDA</v>
      </c>
      <c r="S652" s="22" t="str">
        <f>IF(C652="","",C652&amp;I652)</f>
        <v>semilla miaz DK 69-62 TRESALIDA</v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978</v>
      </c>
      <c r="B653" s="47">
        <v>46287</v>
      </c>
      <c r="C653" t="s">
        <v>948</v>
      </c>
      <c r="D653" t="s">
        <v>949</v>
      </c>
      <c r="E653" t="s">
        <v>24</v>
      </c>
      <c r="F653" t="s">
        <v>630</v>
      </c>
      <c r="G653" t="s">
        <v>157</v>
      </c>
      <c r="H653" s="20" t="s">
        <v>979</v>
      </c>
      <c r="I653" t="s">
        <v>64</v>
      </c>
      <c r="J653" s="30">
        <v>10</v>
      </c>
      <c r="K653" s="22">
        <f>IF(I653="","",IF(I653="ENTRADA",ABS(J653),-ABS(J653)))</f>
        <v>-10</v>
      </c>
      <c r="L653" t="s">
        <v>631</v>
      </c>
      <c r="N653">
        <v>65222</v>
      </c>
      <c r="O653" t="s">
        <v>236</v>
      </c>
      <c r="P653">
        <v>1947</v>
      </c>
      <c r="Q653" s="47">
        <v>46293</v>
      </c>
      <c r="R653" s="22" t="str">
        <f>IF(H653="","",H653&amp;I653)</f>
        <v>260918-630SALIDA</v>
      </c>
      <c r="S653" s="22" t="str">
        <f>IF(C653="","",C653&amp;I653)</f>
        <v>refugio dk 72-72 RR2SALIDA</v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980</v>
      </c>
      <c r="B654" s="47">
        <v>46287</v>
      </c>
      <c r="C654" t="s">
        <v>140</v>
      </c>
      <c r="D654" t="s">
        <v>141</v>
      </c>
      <c r="E654" t="s">
        <v>131</v>
      </c>
      <c r="G654" t="s">
        <v>132</v>
      </c>
      <c r="H654" s="20" t="s">
        <v>746</v>
      </c>
      <c r="I654" t="s">
        <v>64</v>
      </c>
      <c r="J654" s="30">
        <v>15</v>
      </c>
      <c r="K654" s="22">
        <f>IF(I654="","",IF(I654="ENTRADA",ABS(J654),-ABS(J654)))</f>
        <v>-15</v>
      </c>
      <c r="L654" t="s">
        <v>36</v>
      </c>
      <c r="N654">
        <v>65222</v>
      </c>
      <c r="O654" t="s">
        <v>236</v>
      </c>
      <c r="P654">
        <v>1947</v>
      </c>
      <c r="Q654" s="47">
        <v>46293</v>
      </c>
      <c r="R654" s="22" t="str">
        <f>IF(H654="","",H654&amp;I654)</f>
        <v>260827-473SALIDA</v>
      </c>
      <c r="S654" s="22" t="str">
        <f>IF(C654="","",C654&amp;I654)</f>
        <v>Maxi DropSALIDA</v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981</v>
      </c>
      <c r="B655" s="47">
        <v>46287</v>
      </c>
      <c r="C655" t="s">
        <v>129</v>
      </c>
      <c r="D655" t="s">
        <v>130</v>
      </c>
      <c r="E655" t="s">
        <v>131</v>
      </c>
      <c r="G655" t="s">
        <v>132</v>
      </c>
      <c r="H655" s="20" t="s">
        <v>210</v>
      </c>
      <c r="I655" t="s">
        <v>64</v>
      </c>
      <c r="J655" s="30">
        <v>80</v>
      </c>
      <c r="K655" s="22">
        <f>IF(I655="","",IF(I655="ENTRADA",ABS(J655),-ABS(J655)))</f>
        <v>-80</v>
      </c>
      <c r="L655" t="s">
        <v>36</v>
      </c>
      <c r="N655">
        <v>65222</v>
      </c>
      <c r="O655" t="s">
        <v>236</v>
      </c>
      <c r="P655">
        <v>1947</v>
      </c>
      <c r="Q655" s="47">
        <v>46293</v>
      </c>
      <c r="R655" s="22" t="str">
        <f>IF(H655="","",H655&amp;I655)</f>
        <v>260414-030SALIDA</v>
      </c>
      <c r="S655" s="22" t="str">
        <f>IF(C655="","",C655&amp;I655)</f>
        <v>HarrierSALIDA</v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982</v>
      </c>
      <c r="B656" s="47">
        <v>46287</v>
      </c>
      <c r="C656" t="s">
        <v>136</v>
      </c>
      <c r="D656" t="s">
        <v>137</v>
      </c>
      <c r="E656" t="s">
        <v>131</v>
      </c>
      <c r="G656" t="s">
        <v>132</v>
      </c>
      <c r="H656" s="20" t="s">
        <v>220</v>
      </c>
      <c r="I656" t="s">
        <v>64</v>
      </c>
      <c r="J656" s="30">
        <v>15</v>
      </c>
      <c r="K656" s="22">
        <f>IF(I656="","",IF(I656="ENTRADA",ABS(J656),-ABS(J656)))</f>
        <v>-15</v>
      </c>
      <c r="L656" t="s">
        <v>36</v>
      </c>
      <c r="N656">
        <v>65222</v>
      </c>
      <c r="O656" t="s">
        <v>236</v>
      </c>
      <c r="P656">
        <v>1947</v>
      </c>
      <c r="Q656" s="47">
        <v>46293</v>
      </c>
      <c r="R656" s="22" t="str">
        <f>IF(H656="","",H656&amp;I656)</f>
        <v>260414-029SALIDA</v>
      </c>
      <c r="S656" s="22" t="str">
        <f>IF(C656="","",C656&amp;I656)</f>
        <v>Full controlSALIDA</v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983</v>
      </c>
      <c r="B657" s="47">
        <v>46287</v>
      </c>
      <c r="C657" t="s">
        <v>114</v>
      </c>
      <c r="D657" t="s">
        <v>115</v>
      </c>
      <c r="E657" t="s">
        <v>33</v>
      </c>
      <c r="F657" t="s">
        <v>34</v>
      </c>
      <c r="G657" t="s">
        <v>116</v>
      </c>
      <c r="H657" s="20" t="s">
        <v>970</v>
      </c>
      <c r="I657" t="s">
        <v>64</v>
      </c>
      <c r="J657" s="30">
        <v>2300</v>
      </c>
      <c r="K657" s="22">
        <f>IF(I657="","",IF(I657="ENTRADA",ABS(J657),-ABS(J657)))</f>
        <v>-2300</v>
      </c>
      <c r="L657" t="s">
        <v>36</v>
      </c>
      <c r="N657">
        <v>65224</v>
      </c>
      <c r="O657" t="s">
        <v>386</v>
      </c>
      <c r="P657">
        <v>1951</v>
      </c>
      <c r="Q657" s="47">
        <v>46294</v>
      </c>
      <c r="R657" s="22" t="str">
        <f>IF(H657="","",H657&amp;I657)</f>
        <v>260910-622SALIDA</v>
      </c>
      <c r="S657" s="22" t="str">
        <f>IF(C657="","",C657&amp;I657)</f>
        <v>AzukaSALIDA</v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984</v>
      </c>
      <c r="B658" s="47">
        <v>46287</v>
      </c>
      <c r="C658" t="s">
        <v>951</v>
      </c>
      <c r="D658" t="s">
        <v>939</v>
      </c>
      <c r="E658" t="s">
        <v>33</v>
      </c>
      <c r="F658" t="s">
        <v>34</v>
      </c>
      <c r="G658" t="s">
        <v>35</v>
      </c>
      <c r="H658" s="20" t="s">
        <v>952</v>
      </c>
      <c r="I658" t="s">
        <v>64</v>
      </c>
      <c r="J658" s="30">
        <v>1900</v>
      </c>
      <c r="K658" s="22">
        <f>IF(I658="","",IF(I658="ENTRADA",ABS(J658),-ABS(J658)))</f>
        <v>-1900</v>
      </c>
      <c r="L658" t="s">
        <v>36</v>
      </c>
      <c r="N658">
        <v>65224</v>
      </c>
      <c r="O658" t="s">
        <v>386</v>
      </c>
      <c r="P658">
        <v>1951</v>
      </c>
      <c r="Q658" s="47">
        <v>46294</v>
      </c>
      <c r="R658" s="22" t="str">
        <f>IF(H658="","",H658&amp;I658)</f>
        <v>260915-625SALIDA</v>
      </c>
      <c r="S658" s="22" t="str">
        <f>IF(C658="","",C658&amp;I658)</f>
        <v>yesca SALIDA</v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985</v>
      </c>
      <c r="B659" s="47">
        <v>46287</v>
      </c>
      <c r="C659" t="s">
        <v>129</v>
      </c>
      <c r="D659" t="s">
        <v>130</v>
      </c>
      <c r="E659" t="s">
        <v>131</v>
      </c>
      <c r="G659" t="s">
        <v>132</v>
      </c>
      <c r="H659" s="20" t="s">
        <v>210</v>
      </c>
      <c r="I659" t="s">
        <v>64</v>
      </c>
      <c r="J659" s="30">
        <v>140</v>
      </c>
      <c r="K659" s="22">
        <f>IF(I659="","",IF(I659="ENTRADA",ABS(J659),-ABS(J659)))</f>
        <v>-140</v>
      </c>
      <c r="L659" t="s">
        <v>36</v>
      </c>
      <c r="N659">
        <v>65224</v>
      </c>
      <c r="O659" t="s">
        <v>386</v>
      </c>
      <c r="P659">
        <v>1951</v>
      </c>
      <c r="Q659" s="47">
        <v>46294</v>
      </c>
      <c r="R659" s="22" t="str">
        <f>IF(H659="","",H659&amp;I659)</f>
        <v>260414-030SALIDA</v>
      </c>
      <c r="S659" s="22" t="str">
        <f>IF(C659="","",C659&amp;I659)</f>
        <v>HarrierSALIDA</v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986</v>
      </c>
      <c r="B660" s="47">
        <v>46287</v>
      </c>
      <c r="C660" s="34" t="s">
        <v>136</v>
      </c>
      <c r="D660" s="34" t="s">
        <v>137</v>
      </c>
      <c r="E660" s="34" t="s">
        <v>131</v>
      </c>
      <c r="F660" s="34"/>
      <c r="G660" s="34" t="s">
        <v>132</v>
      </c>
      <c r="H660" s="20" t="s">
        <v>220</v>
      </c>
      <c r="I660" s="34" t="s">
        <v>64</v>
      </c>
      <c r="J660" s="36">
        <v>30</v>
      </c>
      <c r="K660" s="22">
        <f>IF(I660="","",IF(I660="ENTRADA",ABS(J660),-ABS(J660)))</f>
        <v>-30</v>
      </c>
      <c r="L660" s="34" t="s">
        <v>36</v>
      </c>
      <c r="M660" s="34"/>
      <c r="N660" s="34">
        <v>65224</v>
      </c>
      <c r="O660" s="34" t="s">
        <v>386</v>
      </c>
      <c r="P660">
        <v>1951</v>
      </c>
      <c r="Q660" s="47">
        <v>46294</v>
      </c>
      <c r="R660" s="22" t="str">
        <f>IF(H660="","",H660&amp;I660)</f>
        <v>260414-029SALIDA</v>
      </c>
      <c r="S660" s="22" t="str">
        <f>IF(C660="","",C660&amp;I660)</f>
        <v>Full controlSALIDA</v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987</v>
      </c>
      <c r="B661" s="47">
        <v>46282</v>
      </c>
      <c r="C661" t="s">
        <v>628</v>
      </c>
      <c r="D661" t="s">
        <v>629</v>
      </c>
      <c r="E661" t="s">
        <v>24</v>
      </c>
      <c r="F661" t="s">
        <v>630</v>
      </c>
      <c r="G661" t="s">
        <v>157</v>
      </c>
      <c r="H661" s="20" t="s">
        <v>945</v>
      </c>
      <c r="I661" t="s">
        <v>27</v>
      </c>
      <c r="J661" s="30">
        <v>4</v>
      </c>
      <c r="K661" s="22">
        <f>IF(I661="","",IF(I661="ENTRADA",ABS(J661),-ABS(J661)))</f>
        <v>4</v>
      </c>
      <c r="L661" t="s">
        <v>631</v>
      </c>
      <c r="N661">
        <v>65216</v>
      </c>
      <c r="O661" t="s">
        <v>381</v>
      </c>
      <c r="R661" s="22" t="str">
        <f>IF(H661="","",H661&amp;I661)</f>
        <v>260917-627ENTRADA</v>
      </c>
      <c r="S661" s="22" t="str">
        <f>IF(C661="","",C661&amp;I661)</f>
        <v>semilla miaz DK 69-62 TREENTRADA</v>
      </c>
      <c r="T661" t="str">
        <f>IF(OR(C661="",I661&lt;&gt;"ENTRADA"),"",TEXT(B661,"AAMMDD")&amp;"-"&amp;TEXT(VALUE(SUBSTITUTE(A661,"MOV-","")),"000"))</f>
        <v>260917-662</v>
      </c>
    </row>
    <row r="662" spans="1:20">
      <c r="A662" s="20" t="s">
        <v>988</v>
      </c>
      <c r="B662" s="47">
        <v>46282</v>
      </c>
      <c r="C662" t="s">
        <v>989</v>
      </c>
      <c r="D662" t="s">
        <v>990</v>
      </c>
      <c r="E662" t="s">
        <v>24</v>
      </c>
      <c r="F662" t="s">
        <v>630</v>
      </c>
      <c r="G662" t="s">
        <v>35</v>
      </c>
      <c r="H662" s="20" t="str">
        <f>+T662</f>
        <v>260917-663</v>
      </c>
      <c r="I662" t="s">
        <v>27</v>
      </c>
      <c r="J662" s="30">
        <v>12</v>
      </c>
      <c r="K662" s="22">
        <f>IF(I662="","",IF(I662="ENTRADA",ABS(J662),-ABS(J662)))</f>
        <v>12</v>
      </c>
      <c r="L662" t="s">
        <v>631</v>
      </c>
      <c r="N662">
        <v>65216</v>
      </c>
      <c r="O662" t="s">
        <v>381</v>
      </c>
      <c r="R662" s="22" t="str">
        <f>IF(H662="","",H662&amp;I662)</f>
        <v>260917-663ENTRADA</v>
      </c>
      <c r="S662" s="22" t="str">
        <f>IF(C662="","",C662&amp;I662)</f>
        <v>semilla comprada maiz P 2123 PwueENTRADA</v>
      </c>
      <c r="T662" t="str">
        <f>IF(OR(C662="",I662&lt;&gt;"ENTRADA"),"",TEXT(B662,"AAMMDD")&amp;"-"&amp;TEXT(VALUE(SUBSTITUTE(A662,"MOV-","")),"000"))</f>
        <v>260917-663</v>
      </c>
    </row>
    <row r="663" spans="1:20">
      <c r="A663" s="20" t="s">
        <v>991</v>
      </c>
      <c r="B663" s="47">
        <v>46287</v>
      </c>
      <c r="C663" t="s">
        <v>931</v>
      </c>
      <c r="D663" t="s">
        <v>932</v>
      </c>
      <c r="E663" t="s">
        <v>515</v>
      </c>
      <c r="G663" t="s">
        <v>35</v>
      </c>
      <c r="H663" s="20" t="s">
        <v>992</v>
      </c>
      <c r="I663" t="s">
        <v>64</v>
      </c>
      <c r="J663" s="30">
        <v>380</v>
      </c>
      <c r="K663" s="22">
        <f>IF(I663="","",IF(I663="ENTRADA",ABS(J663),-ABS(J663)))</f>
        <v>-380</v>
      </c>
      <c r="L663" t="s">
        <v>36</v>
      </c>
      <c r="N663">
        <v>65223</v>
      </c>
      <c r="O663" t="s">
        <v>65</v>
      </c>
      <c r="P663">
        <v>1953</v>
      </c>
      <c r="Q663" s="47">
        <v>46294</v>
      </c>
      <c r="R663" s="22" t="str">
        <f>IF(H663="","",H663&amp;I663)</f>
        <v>260914-621SALIDA</v>
      </c>
      <c r="S663" s="22" t="str">
        <f>IF(C664="","",C664&amp;I663)</f>
        <v>AzukaSALIDA</v>
      </c>
      <c r="T663" t="str">
        <f>IF(OR(C664="",I663&lt;&gt;"ENTRADA"),"",TEXT(B663,"AAMMDD")&amp;"-"&amp;TEXT(VALUE(SUBSTITUTE(A663,"MOV-","")),"000"))</f>
        <v/>
      </c>
    </row>
    <row r="664" spans="1:20">
      <c r="A664" s="20" t="s">
        <v>993</v>
      </c>
      <c r="B664" s="47">
        <v>46288</v>
      </c>
      <c r="C664" t="s">
        <v>114</v>
      </c>
      <c r="D664" t="s">
        <v>115</v>
      </c>
      <c r="E664" t="s">
        <v>33</v>
      </c>
      <c r="F664" t="s">
        <v>34</v>
      </c>
      <c r="G664" t="s">
        <v>116</v>
      </c>
      <c r="H664" s="20" t="s">
        <v>970</v>
      </c>
      <c r="I664" t="s">
        <v>64</v>
      </c>
      <c r="J664" s="30">
        <v>280</v>
      </c>
      <c r="K664" s="22">
        <f>IF(I664="","",IF(I664="ENTRADA",ABS(J664),-ABS(J664)))</f>
        <v>-280</v>
      </c>
      <c r="L664" t="s">
        <v>36</v>
      </c>
      <c r="N664">
        <v>65225</v>
      </c>
      <c r="O664" t="s">
        <v>381</v>
      </c>
      <c r="P664">
        <v>1952</v>
      </c>
      <c r="Q664" s="47">
        <v>46294</v>
      </c>
      <c r="R664" s="22" t="str">
        <f>IF(H664="","",H664&amp;I664)</f>
        <v>260910-622SALIDA</v>
      </c>
      <c r="S664" s="22" t="e">
        <f>IF(#REF!="","",#REF!&amp;I664)</f>
        <v>#REF!</v>
      </c>
      <c r="T664" t="e">
        <f>IF(OR(#REF!="",I664&lt;&gt;"ENTRADA"),"",TEXT(B664,"AAMMDD")&amp;"-"&amp;TEXT(VALUE(SUBSTITUTE(A664,"MOV-","")),"000"))</f>
        <v>#REF!</v>
      </c>
    </row>
    <row r="665" spans="1:20">
      <c r="A665" s="20" t="s">
        <v>994</v>
      </c>
      <c r="B665" s="47">
        <v>46288</v>
      </c>
      <c r="C665" t="s">
        <v>121</v>
      </c>
      <c r="D665" t="s">
        <v>122</v>
      </c>
      <c r="E665" t="s">
        <v>33</v>
      </c>
      <c r="F665" t="s">
        <v>34</v>
      </c>
      <c r="G665" t="s">
        <v>116</v>
      </c>
      <c r="H665" s="20" t="s">
        <v>936</v>
      </c>
      <c r="I665" t="s">
        <v>64</v>
      </c>
      <c r="J665" s="30">
        <v>50</v>
      </c>
      <c r="K665" s="22">
        <f>IF(I665="","",IF(I665="ENTRADA",ABS(J665),-ABS(J665)))</f>
        <v>-50</v>
      </c>
      <c r="L665" t="s">
        <v>36</v>
      </c>
      <c r="N665">
        <v>65225</v>
      </c>
      <c r="O665" t="s">
        <v>381</v>
      </c>
      <c r="P665">
        <v>1952</v>
      </c>
      <c r="Q665" s="47">
        <v>46294</v>
      </c>
      <c r="R665" s="22" t="str">
        <f>IF(H665="","",H665&amp;I665)</f>
        <v>260727-380SALIDA</v>
      </c>
      <c r="S665" s="22" t="str">
        <f>IF(C665="","",C665&amp;I665)</f>
        <v>PardoSALIDA</v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995</v>
      </c>
      <c r="B666" s="47">
        <v>46288</v>
      </c>
      <c r="C666" t="s">
        <v>635</v>
      </c>
      <c r="D666" t="s">
        <v>629</v>
      </c>
      <c r="E666" t="s">
        <v>24</v>
      </c>
      <c r="F666" t="s">
        <v>630</v>
      </c>
      <c r="G666" t="s">
        <v>157</v>
      </c>
      <c r="H666" s="20" t="s">
        <v>964</v>
      </c>
      <c r="I666" t="s">
        <v>64</v>
      </c>
      <c r="J666" s="30">
        <v>195</v>
      </c>
      <c r="K666" s="22">
        <f>IF(I666="","",IF(I666="ENTRADA",ABS(J666),-ABS(J666)))</f>
        <v>-195</v>
      </c>
      <c r="L666" t="s">
        <v>631</v>
      </c>
      <c r="N666">
        <v>65228</v>
      </c>
      <c r="O666" t="s">
        <v>217</v>
      </c>
      <c r="P666">
        <v>1950</v>
      </c>
      <c r="Q666" s="47">
        <v>46294</v>
      </c>
      <c r="R666" s="22" t="str">
        <f>IF(H666="","",H666&amp;I666)</f>
        <v>260617-375SALIDA</v>
      </c>
      <c r="S666" s="22" t="str">
        <f>IF(C666="","",C666&amp;I666)</f>
        <v>semilla maiz DK 73-03 TRESALIDA</v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996</v>
      </c>
      <c r="B667" s="47">
        <v>46288</v>
      </c>
      <c r="C667" t="s">
        <v>948</v>
      </c>
      <c r="D667" t="s">
        <v>949</v>
      </c>
      <c r="E667" t="s">
        <v>24</v>
      </c>
      <c r="F667" t="s">
        <v>630</v>
      </c>
      <c r="G667" t="s">
        <v>157</v>
      </c>
      <c r="H667" s="20" t="s">
        <v>979</v>
      </c>
      <c r="I667" t="s">
        <v>64</v>
      </c>
      <c r="J667" s="30">
        <v>20</v>
      </c>
      <c r="K667" s="22">
        <f>IF(I667="","",IF(I667="ENTRADA",ABS(J667),-ABS(J667)))</f>
        <v>-20</v>
      </c>
      <c r="L667" t="s">
        <v>631</v>
      </c>
      <c r="N667">
        <v>65228</v>
      </c>
      <c r="O667" t="s">
        <v>217</v>
      </c>
      <c r="P667">
        <v>1950</v>
      </c>
      <c r="Q667" s="47">
        <v>46294</v>
      </c>
      <c r="R667" s="22" t="str">
        <f>IF(H667="","",H667&amp;I667)</f>
        <v>260918-630SALIDA</v>
      </c>
      <c r="S667" s="22" t="str">
        <f>IF(C667="","",C667&amp;I667)</f>
        <v>refugio dk 72-72 RR2SALIDA</v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997</v>
      </c>
      <c r="B668" s="47">
        <v>46288</v>
      </c>
      <c r="C668" t="s">
        <v>628</v>
      </c>
      <c r="D668" t="s">
        <v>629</v>
      </c>
      <c r="E668" t="s">
        <v>24</v>
      </c>
      <c r="F668" t="s">
        <v>630</v>
      </c>
      <c r="G668" t="s">
        <v>157</v>
      </c>
      <c r="H668" s="20" t="s">
        <v>945</v>
      </c>
      <c r="I668" t="s">
        <v>27</v>
      </c>
      <c r="J668" s="30">
        <v>11</v>
      </c>
      <c r="K668" s="22">
        <f>IF(I668="","",IF(I668="ENTRADA",ABS(J668),-ABS(J668)))</f>
        <v>11</v>
      </c>
      <c r="L668" t="s">
        <v>631</v>
      </c>
      <c r="N668">
        <v>65229</v>
      </c>
      <c r="O668" t="s">
        <v>589</v>
      </c>
      <c r="R668" s="22" t="str">
        <f>IF(H668="","",H668&amp;I668)</f>
        <v>260917-627ENTRADA</v>
      </c>
      <c r="S668" s="22" t="str">
        <f>IF(C668="","",C668&amp;I668)</f>
        <v>semilla miaz DK 69-62 TREENTRADA</v>
      </c>
      <c r="T668" t="str">
        <f>IF(OR(C668="",I668&lt;&gt;"ENTRADA"),"",TEXT(B668,"AAMMDD")&amp;"-"&amp;TEXT(VALUE(SUBSTITUTE(A668,"MOV-","")),"000"))</f>
        <v>260923-669</v>
      </c>
    </row>
    <row r="669" spans="1:20">
      <c r="A669" s="20" t="s">
        <v>998</v>
      </c>
      <c r="B669" s="47">
        <v>46289</v>
      </c>
      <c r="C669" t="s">
        <v>931</v>
      </c>
      <c r="D669" t="s">
        <v>932</v>
      </c>
      <c r="E669" t="s">
        <v>515</v>
      </c>
      <c r="G669" t="s">
        <v>35</v>
      </c>
      <c r="H669" s="20" t="s">
        <v>992</v>
      </c>
      <c r="I669" t="s">
        <v>64</v>
      </c>
      <c r="J669" s="30">
        <v>320</v>
      </c>
      <c r="K669" s="22">
        <f>IF(I669="","",IF(I669="ENTRADA",ABS(J669),-ABS(J669)))</f>
        <v>-320</v>
      </c>
      <c r="L669" t="s">
        <v>36</v>
      </c>
      <c r="N669">
        <v>65230</v>
      </c>
      <c r="O669" t="s">
        <v>308</v>
      </c>
      <c r="P669">
        <v>1954</v>
      </c>
      <c r="Q669" s="47">
        <v>46294</v>
      </c>
      <c r="R669" s="22" t="str">
        <f>IF(H669="","",H669&amp;I669)</f>
        <v>260914-621SALIDA</v>
      </c>
      <c r="S669" s="22" t="str">
        <f>IF(C669="","",C669&amp;I669)</f>
        <v>swing plusSALIDA</v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999</v>
      </c>
      <c r="B670" s="47">
        <v>46289</v>
      </c>
      <c r="C670" t="s">
        <v>114</v>
      </c>
      <c r="D670" t="s">
        <v>115</v>
      </c>
      <c r="E670" t="s">
        <v>33</v>
      </c>
      <c r="F670" t="s">
        <v>34</v>
      </c>
      <c r="G670" t="s">
        <v>116</v>
      </c>
      <c r="H670" s="20" t="s">
        <v>970</v>
      </c>
      <c r="I670" t="s">
        <v>64</v>
      </c>
      <c r="J670" s="30">
        <v>540</v>
      </c>
      <c r="K670" s="22">
        <f>IF(I670="","",IF(I670="ENTRADA",ABS(J670),-ABS(J670)))</f>
        <v>-540</v>
      </c>
      <c r="L670" t="s">
        <v>36</v>
      </c>
      <c r="N670">
        <v>65231</v>
      </c>
      <c r="O670" t="s">
        <v>217</v>
      </c>
      <c r="P670">
        <v>1955</v>
      </c>
      <c r="Q670" s="47">
        <v>46294</v>
      </c>
      <c r="R670" s="22" t="str">
        <f>IF(H670="","",H670&amp;I670)</f>
        <v>260910-622SALIDA</v>
      </c>
      <c r="S670" s="22" t="str">
        <f>IF(C670="","",C670&amp;I670)</f>
        <v>AzukaSALIDA</v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1000</v>
      </c>
      <c r="B671" s="47">
        <v>46289</v>
      </c>
      <c r="C671" s="34" t="s">
        <v>780</v>
      </c>
      <c r="D671" s="34" t="s">
        <v>781</v>
      </c>
      <c r="E671" s="34" t="s">
        <v>33</v>
      </c>
      <c r="F671" s="34" t="s">
        <v>45</v>
      </c>
      <c r="G671" s="34" t="s">
        <v>26</v>
      </c>
      <c r="H671" s="20" t="s">
        <v>795</v>
      </c>
      <c r="I671" s="34" t="s">
        <v>64</v>
      </c>
      <c r="J671" s="36">
        <v>20</v>
      </c>
      <c r="K671" s="22">
        <f>IF(I671="","",IF(I671="ENTRADA",ABS(J671),-ABS(J671)))</f>
        <v>-20</v>
      </c>
      <c r="L671" s="34" t="s">
        <v>28</v>
      </c>
      <c r="M671" s="34"/>
      <c r="N671">
        <v>65231</v>
      </c>
      <c r="O671" s="34" t="s">
        <v>217</v>
      </c>
      <c r="P671">
        <v>1955</v>
      </c>
      <c r="Q671" s="47">
        <v>46294</v>
      </c>
      <c r="R671" s="22" t="str">
        <f>IF(H671="","",H671&amp;I671)</f>
        <v>260801-489SALIDA</v>
      </c>
      <c r="S671" s="22" t="str">
        <f>IF(C671="","",C671&amp;I671)</f>
        <v>PyroxateSALIDA</v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1001</v>
      </c>
      <c r="B672" s="47">
        <v>46289</v>
      </c>
      <c r="C672" t="s">
        <v>129</v>
      </c>
      <c r="D672" t="s">
        <v>130</v>
      </c>
      <c r="E672" t="s">
        <v>131</v>
      </c>
      <c r="G672" t="s">
        <v>132</v>
      </c>
      <c r="H672" s="20" t="s">
        <v>210</v>
      </c>
      <c r="I672" t="s">
        <v>64</v>
      </c>
      <c r="J672" s="30">
        <v>40</v>
      </c>
      <c r="K672" s="22">
        <f>IF(I672="","",IF(I672="ENTRADA",ABS(J672),-ABS(J672)))</f>
        <v>-40</v>
      </c>
      <c r="L672" t="s">
        <v>36</v>
      </c>
      <c r="N672">
        <v>65231</v>
      </c>
      <c r="O672" t="s">
        <v>217</v>
      </c>
      <c r="P672">
        <v>1955</v>
      </c>
      <c r="Q672" s="47">
        <v>46294</v>
      </c>
      <c r="R672" s="22" t="str">
        <f>IF(H672="","",H672&amp;I672)</f>
        <v>260414-030SALIDA</v>
      </c>
      <c r="S672" s="22" t="str">
        <f>IF(C672="","",C672&amp;I672)</f>
        <v>HarrierSALIDA</v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1002</v>
      </c>
      <c r="B673" s="47">
        <v>46289</v>
      </c>
      <c r="C673" t="s">
        <v>136</v>
      </c>
      <c r="D673" t="s">
        <v>137</v>
      </c>
      <c r="E673" t="s">
        <v>131</v>
      </c>
      <c r="G673" t="s">
        <v>132</v>
      </c>
      <c r="H673" s="20" t="s">
        <v>220</v>
      </c>
      <c r="I673" t="s">
        <v>64</v>
      </c>
      <c r="J673" s="30">
        <v>6</v>
      </c>
      <c r="K673" s="22">
        <f>IF(I673="","",IF(I673="ENTRADA",ABS(J673),-ABS(J673)))</f>
        <v>-6</v>
      </c>
      <c r="L673" t="s">
        <v>36</v>
      </c>
      <c r="N673">
        <v>65231</v>
      </c>
      <c r="O673" t="s">
        <v>217</v>
      </c>
      <c r="P673">
        <v>1955</v>
      </c>
      <c r="Q673" s="47">
        <v>46294</v>
      </c>
      <c r="R673" s="22" t="str">
        <f>IF(H673="","",H673&amp;I673)</f>
        <v>260414-029SALIDA</v>
      </c>
      <c r="S673" s="22" t="str">
        <f>IF(C673="","",C673&amp;I673)</f>
        <v>Full controlSALIDA</v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1003</v>
      </c>
      <c r="B674" s="47">
        <v>46287</v>
      </c>
      <c r="C674" t="s">
        <v>931</v>
      </c>
      <c r="D674" t="s">
        <v>932</v>
      </c>
      <c r="E674" t="s">
        <v>515</v>
      </c>
      <c r="G674" t="s">
        <v>35</v>
      </c>
      <c r="H674" s="20" t="s">
        <v>992</v>
      </c>
      <c r="I674" t="s">
        <v>64</v>
      </c>
      <c r="J674" s="30">
        <v>480</v>
      </c>
      <c r="K674" s="22">
        <f>IF(I674="","",IF(I674="ENTRADA",ABS(J674),-ABS(J674)))</f>
        <v>-480</v>
      </c>
      <c r="L674" t="s">
        <v>36</v>
      </c>
      <c r="N674">
        <v>65224</v>
      </c>
      <c r="O674" t="s">
        <v>386</v>
      </c>
      <c r="P674">
        <v>1951</v>
      </c>
      <c r="Q674" s="47">
        <v>46294</v>
      </c>
      <c r="R674" s="22" t="str">
        <f>IF(H674="","",H674&amp;I674)</f>
        <v>260914-621SALIDA</v>
      </c>
      <c r="S674" s="22" t="str">
        <f>IF(C674="","",C674&amp;I674)</f>
        <v>swing plusSALIDA</v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1004</v>
      </c>
      <c r="B675" s="47">
        <v>46290</v>
      </c>
      <c r="C675" t="s">
        <v>628</v>
      </c>
      <c r="D675" t="s">
        <v>629</v>
      </c>
      <c r="E675" t="s">
        <v>24</v>
      </c>
      <c r="F675" t="s">
        <v>630</v>
      </c>
      <c r="G675" t="s">
        <v>157</v>
      </c>
      <c r="H675" s="20" t="s">
        <v>945</v>
      </c>
      <c r="I675" t="s">
        <v>64</v>
      </c>
      <c r="J675" s="30">
        <v>25</v>
      </c>
      <c r="K675" s="22">
        <f>IF(I675="","",IF(I675="ENTRADA",ABS(J675),-ABS(J675)))</f>
        <v>-25</v>
      </c>
      <c r="L675" t="s">
        <v>631</v>
      </c>
      <c r="N675">
        <v>65232</v>
      </c>
      <c r="O675" t="s">
        <v>236</v>
      </c>
      <c r="P675">
        <v>1956</v>
      </c>
      <c r="Q675" s="47">
        <v>46294</v>
      </c>
      <c r="R675" s="22" t="str">
        <f>IF(H675="","",H675&amp;I675)</f>
        <v>260917-627SALIDA</v>
      </c>
      <c r="S675" s="22" t="str">
        <f>IF(C675="","",C675&amp;I675)</f>
        <v>semilla miaz DK 69-62 TRESALIDA</v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1005</v>
      </c>
      <c r="B676" s="47">
        <v>46290</v>
      </c>
      <c r="C676" t="s">
        <v>628</v>
      </c>
      <c r="D676" t="s">
        <v>629</v>
      </c>
      <c r="E676" t="s">
        <v>24</v>
      </c>
      <c r="F676" t="s">
        <v>630</v>
      </c>
      <c r="G676" t="s">
        <v>157</v>
      </c>
      <c r="H676" s="20" t="s">
        <v>945</v>
      </c>
      <c r="I676" t="s">
        <v>64</v>
      </c>
      <c r="J676" s="30">
        <v>40</v>
      </c>
      <c r="K676" s="22">
        <f>IF(I676="","",IF(I676="ENTRADA",ABS(J676),-ABS(J676)))</f>
        <v>-40</v>
      </c>
      <c r="L676" t="s">
        <v>631</v>
      </c>
      <c r="N676">
        <v>65233</v>
      </c>
      <c r="O676" t="s">
        <v>212</v>
      </c>
      <c r="P676">
        <v>1957</v>
      </c>
      <c r="Q676" s="47">
        <v>46294</v>
      </c>
      <c r="R676" s="22" t="str">
        <f>IF(H676="","",H676&amp;I676)</f>
        <v>260917-627SALIDA</v>
      </c>
      <c r="S676" s="22" t="str">
        <f>IF(C676="","",C676&amp;I676)</f>
        <v>semilla miaz DK 69-62 TRESALIDA</v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1006</v>
      </c>
      <c r="B677" s="47">
        <v>46290</v>
      </c>
      <c r="C677" t="s">
        <v>114</v>
      </c>
      <c r="D677" t="s">
        <v>115</v>
      </c>
      <c r="E677" t="s">
        <v>33</v>
      </c>
      <c r="F677" t="s">
        <v>34</v>
      </c>
      <c r="G677" t="s">
        <v>116</v>
      </c>
      <c r="H677" s="20" t="s">
        <v>970</v>
      </c>
      <c r="I677" t="s">
        <v>64</v>
      </c>
      <c r="J677" s="30">
        <v>5000</v>
      </c>
      <c r="K677" s="22">
        <f>IF(I677="","",IF(I677="ENTRADA",ABS(J677),-ABS(J677)))</f>
        <v>-5000</v>
      </c>
      <c r="L677" t="s">
        <v>36</v>
      </c>
      <c r="N677">
        <v>65234</v>
      </c>
      <c r="O677" t="s">
        <v>330</v>
      </c>
      <c r="P677">
        <v>1958</v>
      </c>
      <c r="Q677" s="47">
        <v>46294</v>
      </c>
      <c r="R677" s="22" t="str">
        <f>IF(H677="","",H677&amp;I677)</f>
        <v>260910-622SALIDA</v>
      </c>
      <c r="S677" s="22" t="str">
        <f>IF(C677="","",C677&amp;I677)</f>
        <v>AzukaSALIDA</v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1007</v>
      </c>
      <c r="B678" s="47">
        <v>46290</v>
      </c>
      <c r="C678" t="s">
        <v>114</v>
      </c>
      <c r="D678" t="s">
        <v>115</v>
      </c>
      <c r="E678" t="s">
        <v>33</v>
      </c>
      <c r="F678" t="s">
        <v>34</v>
      </c>
      <c r="G678" t="s">
        <v>116</v>
      </c>
      <c r="H678" s="20" t="s">
        <v>970</v>
      </c>
      <c r="I678" t="s">
        <v>64</v>
      </c>
      <c r="J678" s="30">
        <v>6000</v>
      </c>
      <c r="K678" s="22">
        <f>IF(I678="","",IF(I678="ENTRADA",ABS(J678),-ABS(J678)))</f>
        <v>-6000</v>
      </c>
      <c r="L678" t="s">
        <v>36</v>
      </c>
      <c r="N678">
        <v>65234</v>
      </c>
      <c r="O678" t="s">
        <v>308</v>
      </c>
      <c r="P678">
        <v>1958</v>
      </c>
      <c r="Q678" s="47">
        <v>46294</v>
      </c>
      <c r="R678" s="22" t="str">
        <f>IF(H678="","",H678&amp;I678)</f>
        <v>260910-622SALIDA</v>
      </c>
      <c r="S678" s="22" t="str">
        <f>IF(C678="","",C678&amp;I678)</f>
        <v>AzukaSALIDA</v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1008</v>
      </c>
      <c r="B679" s="47">
        <v>46290</v>
      </c>
      <c r="C679" t="s">
        <v>74</v>
      </c>
      <c r="D679" t="s">
        <v>75</v>
      </c>
      <c r="E679" t="s">
        <v>33</v>
      </c>
      <c r="F679" t="s">
        <v>34</v>
      </c>
      <c r="G679" t="s">
        <v>76</v>
      </c>
      <c r="H679" s="20" t="s">
        <v>93</v>
      </c>
      <c r="I679" t="s">
        <v>64</v>
      </c>
      <c r="J679" s="30">
        <v>700</v>
      </c>
      <c r="K679" s="22">
        <f>IF(I679="","",IF(I679="ENTRADA",ABS(J679),-ABS(J679)))</f>
        <v>-700</v>
      </c>
      <c r="L679" t="s">
        <v>36</v>
      </c>
      <c r="N679">
        <v>65234</v>
      </c>
      <c r="O679" t="s">
        <v>330</v>
      </c>
      <c r="P679">
        <v>1958</v>
      </c>
      <c r="Q679" s="47">
        <v>46294</v>
      </c>
      <c r="R679" s="22" t="str">
        <f>IF(H679="","",H679&amp;I679)</f>
        <v>260407-012SALIDA</v>
      </c>
      <c r="S679" s="22" t="str">
        <f>IF(C679="","",C679&amp;I679)</f>
        <v>Dedalo eliteSALIDA</v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1009</v>
      </c>
      <c r="B680" s="47">
        <v>46290</v>
      </c>
      <c r="C680" t="s">
        <v>74</v>
      </c>
      <c r="D680" t="s">
        <v>75</v>
      </c>
      <c r="E680" t="s">
        <v>33</v>
      </c>
      <c r="F680" t="s">
        <v>34</v>
      </c>
      <c r="G680" t="s">
        <v>76</v>
      </c>
      <c r="H680" s="20" t="s">
        <v>93</v>
      </c>
      <c r="I680" t="s">
        <v>64</v>
      </c>
      <c r="J680" s="30">
        <v>1500</v>
      </c>
      <c r="K680" s="22">
        <f>IF(I680="","",IF(I680="ENTRADA",ABS(J680),-ABS(J680)))</f>
        <v>-1500</v>
      </c>
      <c r="L680" t="s">
        <v>36</v>
      </c>
      <c r="N680">
        <v>65234</v>
      </c>
      <c r="O680" t="s">
        <v>308</v>
      </c>
      <c r="P680">
        <v>1958</v>
      </c>
      <c r="Q680" s="47">
        <v>46294</v>
      </c>
      <c r="R680" s="22" t="str">
        <f>IF(H680="","",H680&amp;I680)</f>
        <v>260407-012SALIDA</v>
      </c>
      <c r="S680" s="22" t="str">
        <f>IF(C680="","",C680&amp;I680)</f>
        <v>Dedalo eliteSALIDA</v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1010</v>
      </c>
      <c r="B681" s="47">
        <v>46290</v>
      </c>
      <c r="C681" t="s">
        <v>129</v>
      </c>
      <c r="D681" t="s">
        <v>130</v>
      </c>
      <c r="E681" t="s">
        <v>131</v>
      </c>
      <c r="G681" t="s">
        <v>132</v>
      </c>
      <c r="H681" s="20" t="s">
        <v>210</v>
      </c>
      <c r="I681" t="s">
        <v>64</v>
      </c>
      <c r="J681" s="30">
        <v>300</v>
      </c>
      <c r="K681" s="22">
        <f>IF(I681="","",IF(I681="ENTRADA",ABS(J681),-ABS(J681)))</f>
        <v>-300</v>
      </c>
      <c r="L681" t="s">
        <v>36</v>
      </c>
      <c r="N681">
        <v>65234</v>
      </c>
      <c r="O681" t="s">
        <v>330</v>
      </c>
      <c r="P681">
        <v>1958</v>
      </c>
      <c r="Q681" s="47">
        <v>46294</v>
      </c>
      <c r="R681" s="22" t="str">
        <f>IF(H681="","",H681&amp;I681)</f>
        <v>260414-030SALIDA</v>
      </c>
      <c r="S681" s="22" t="str">
        <f>IF(C681="","",C681&amp;I681)</f>
        <v>HarrierSALIDA</v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1011</v>
      </c>
      <c r="B682" s="47">
        <v>46290</v>
      </c>
      <c r="C682" s="34" t="s">
        <v>129</v>
      </c>
      <c r="D682" s="34" t="s">
        <v>130</v>
      </c>
      <c r="E682" s="34" t="s">
        <v>131</v>
      </c>
      <c r="F682" s="34"/>
      <c r="G682" s="34" t="s">
        <v>132</v>
      </c>
      <c r="H682" s="20" t="s">
        <v>210</v>
      </c>
      <c r="I682" s="34" t="s">
        <v>64</v>
      </c>
      <c r="J682" s="36">
        <v>200</v>
      </c>
      <c r="K682" s="22">
        <f>IF(I682="","",IF(I682="ENTRADA",ABS(J682),-ABS(J682)))</f>
        <v>-200</v>
      </c>
      <c r="L682" s="34" t="s">
        <v>36</v>
      </c>
      <c r="M682" s="34"/>
      <c r="N682">
        <v>65234</v>
      </c>
      <c r="O682" s="34" t="s">
        <v>308</v>
      </c>
      <c r="P682">
        <v>1958</v>
      </c>
      <c r="Q682" s="47">
        <v>46294</v>
      </c>
      <c r="R682" s="22" t="str">
        <f>IF(H682="","",H682&amp;I682)</f>
        <v>260414-030SALIDA</v>
      </c>
      <c r="S682" s="22" t="str">
        <f>IF(C682="","",C682&amp;I682)</f>
        <v>HarrierSALIDA</v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1012</v>
      </c>
      <c r="B683" s="47">
        <v>46290</v>
      </c>
      <c r="C683" t="s">
        <v>136</v>
      </c>
      <c r="D683" t="s">
        <v>137</v>
      </c>
      <c r="E683" t="s">
        <v>131</v>
      </c>
      <c r="G683" t="s">
        <v>132</v>
      </c>
      <c r="H683" s="20" t="s">
        <v>220</v>
      </c>
      <c r="I683" t="s">
        <v>64</v>
      </c>
      <c r="J683" s="30">
        <v>60</v>
      </c>
      <c r="K683" s="22">
        <f>IF(I683="","",IF(I683="ENTRADA",ABS(J683),-ABS(J683)))</f>
        <v>-60</v>
      </c>
      <c r="L683" t="s">
        <v>36</v>
      </c>
      <c r="N683">
        <v>65234</v>
      </c>
      <c r="O683" t="s">
        <v>330</v>
      </c>
      <c r="P683">
        <v>1958</v>
      </c>
      <c r="Q683" s="47">
        <v>46294</v>
      </c>
      <c r="R683" s="22" t="str">
        <f>IF(H683="","",H683&amp;I683)</f>
        <v>260414-029SALIDA</v>
      </c>
      <c r="S683" s="22" t="str">
        <f>IF(C683="","",C683&amp;I683)</f>
        <v>Full controlSALIDA</v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1013</v>
      </c>
      <c r="B684" s="47">
        <v>46290</v>
      </c>
      <c r="C684" t="s">
        <v>136</v>
      </c>
      <c r="D684" t="s">
        <v>137</v>
      </c>
      <c r="E684" t="s">
        <v>131</v>
      </c>
      <c r="G684" t="s">
        <v>132</v>
      </c>
      <c r="H684" s="20" t="s">
        <v>220</v>
      </c>
      <c r="I684" t="s">
        <v>64</v>
      </c>
      <c r="J684" s="30">
        <v>60</v>
      </c>
      <c r="K684" s="22">
        <f>IF(I684="","",IF(I684="ENTRADA",ABS(J684),-ABS(J684)))</f>
        <v>-60</v>
      </c>
      <c r="L684" t="s">
        <v>36</v>
      </c>
      <c r="N684">
        <v>65234</v>
      </c>
      <c r="O684" t="s">
        <v>308</v>
      </c>
      <c r="P684">
        <v>1958</v>
      </c>
      <c r="Q684" s="47">
        <v>46294</v>
      </c>
      <c r="R684" s="22" t="str">
        <f>IF(H684="","",H684&amp;I684)</f>
        <v>260414-029SALIDA</v>
      </c>
      <c r="S684" s="22" t="str">
        <f>IF(C684="","",C684&amp;I684)</f>
        <v>Full controlSALIDA</v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1014</v>
      </c>
      <c r="B685" s="47">
        <v>46290</v>
      </c>
      <c r="C685" t="s">
        <v>121</v>
      </c>
      <c r="D685" t="s">
        <v>122</v>
      </c>
      <c r="E685" t="s">
        <v>33</v>
      </c>
      <c r="F685" t="s">
        <v>34</v>
      </c>
      <c r="G685" t="s">
        <v>116</v>
      </c>
      <c r="H685" s="20" t="s">
        <v>936</v>
      </c>
      <c r="I685" t="s">
        <v>64</v>
      </c>
      <c r="J685" s="30">
        <v>480</v>
      </c>
      <c r="K685" s="22">
        <f>IF(I685="","",IF(I685="ENTRADA",ABS(J685),-ABS(J685)))</f>
        <v>-480</v>
      </c>
      <c r="L685" t="s">
        <v>36</v>
      </c>
      <c r="N685">
        <v>65234</v>
      </c>
      <c r="O685" t="s">
        <v>330</v>
      </c>
      <c r="P685">
        <v>1958</v>
      </c>
      <c r="Q685" s="47">
        <v>46294</v>
      </c>
      <c r="R685" s="22" t="str">
        <f>IF(H685="","",H685&amp;I685)</f>
        <v>260727-380SALIDA</v>
      </c>
      <c r="S685" s="22" t="str">
        <f>IF(C685="","",C685&amp;I685)</f>
        <v>PardoSALIDA</v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1015</v>
      </c>
      <c r="B686" s="47">
        <v>46290</v>
      </c>
      <c r="C686" t="s">
        <v>121</v>
      </c>
      <c r="D686" t="s">
        <v>122</v>
      </c>
      <c r="E686" t="s">
        <v>33</v>
      </c>
      <c r="F686" t="s">
        <v>34</v>
      </c>
      <c r="G686" t="s">
        <v>116</v>
      </c>
      <c r="H686" s="20" t="s">
        <v>936</v>
      </c>
      <c r="I686" t="s">
        <v>64</v>
      </c>
      <c r="J686" s="30">
        <v>1500</v>
      </c>
      <c r="K686" s="22">
        <f>IF(I686="","",IF(I686="ENTRADA",ABS(J686),-ABS(J686)))</f>
        <v>-1500</v>
      </c>
      <c r="L686" t="s">
        <v>36</v>
      </c>
      <c r="N686">
        <v>65234</v>
      </c>
      <c r="O686" t="s">
        <v>308</v>
      </c>
      <c r="P686">
        <v>1958</v>
      </c>
      <c r="Q686" s="47">
        <v>46294</v>
      </c>
      <c r="R686" s="22" t="str">
        <f>IF(H686="","",H686&amp;I686)</f>
        <v>260727-380SALIDA</v>
      </c>
      <c r="S686" s="22" t="str">
        <f>IF(C686="","",C686&amp;I686)</f>
        <v>PardoSALIDA</v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1016</v>
      </c>
      <c r="B687" s="47">
        <v>46290</v>
      </c>
      <c r="C687" t="s">
        <v>777</v>
      </c>
      <c r="D687" t="s">
        <v>778</v>
      </c>
      <c r="E687" t="s">
        <v>33</v>
      </c>
      <c r="G687" t="s">
        <v>26</v>
      </c>
      <c r="H687" s="20" t="s">
        <v>1017</v>
      </c>
      <c r="I687" t="s">
        <v>64</v>
      </c>
      <c r="J687" s="30">
        <v>200</v>
      </c>
      <c r="K687" s="22">
        <f>IF(I687="","",IF(I687="ENTRADA",ABS(J687),-ABS(J687)))</f>
        <v>-200</v>
      </c>
      <c r="L687" t="s">
        <v>36</v>
      </c>
      <c r="N687">
        <v>65234</v>
      </c>
      <c r="O687" t="s">
        <v>308</v>
      </c>
      <c r="P687">
        <v>1958</v>
      </c>
      <c r="Q687" s="47">
        <v>46294</v>
      </c>
      <c r="R687" s="22" t="str">
        <f>IF(H687="","",H687&amp;I687)</f>
        <v>260801-488SALIDA</v>
      </c>
      <c r="S687" s="22" t="str">
        <f>IF(C687="","",C687&amp;I687)</f>
        <v>Voraxor SALIDA</v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1018</v>
      </c>
      <c r="B688" s="47">
        <v>46290</v>
      </c>
      <c r="C688" t="s">
        <v>941</v>
      </c>
      <c r="D688" t="s">
        <v>942</v>
      </c>
      <c r="E688" t="s">
        <v>515</v>
      </c>
      <c r="G688" t="s">
        <v>775</v>
      </c>
      <c r="H688" s="20" t="s">
        <v>968</v>
      </c>
      <c r="I688" t="s">
        <v>64</v>
      </c>
      <c r="J688" s="30">
        <v>145</v>
      </c>
      <c r="K688" s="22">
        <f>IF(I688="","",IF(I688="ENTRADA",ABS(J688),-ABS(J688)))</f>
        <v>-145</v>
      </c>
      <c r="L688" t="s">
        <v>55</v>
      </c>
      <c r="N688">
        <v>65235</v>
      </c>
      <c r="O688" t="s">
        <v>381</v>
      </c>
      <c r="P688">
        <v>1959</v>
      </c>
      <c r="Q688" s="47">
        <v>46294</v>
      </c>
      <c r="R688" s="22" t="str">
        <f>IF(H688="","",H688&amp;I688)</f>
        <v>260917-626SALIDA</v>
      </c>
      <c r="S688" s="22" t="str">
        <f>IF(C688="","",C688&amp;I688)</f>
        <v>Miravis triple packSALIDA</v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1019</v>
      </c>
      <c r="B689" s="47">
        <v>46290</v>
      </c>
      <c r="C689" t="s">
        <v>129</v>
      </c>
      <c r="D689" t="s">
        <v>130</v>
      </c>
      <c r="E689" t="s">
        <v>131</v>
      </c>
      <c r="G689" t="s">
        <v>132</v>
      </c>
      <c r="H689" s="20" t="s">
        <v>210</v>
      </c>
      <c r="I689" t="s">
        <v>64</v>
      </c>
      <c r="J689" s="30">
        <v>160</v>
      </c>
      <c r="K689" s="22">
        <f>IF(I689="","",IF(I689="ENTRADA",ABS(J689),-ABS(J689)))</f>
        <v>-160</v>
      </c>
      <c r="L689" t="s">
        <v>36</v>
      </c>
      <c r="N689">
        <v>65235</v>
      </c>
      <c r="O689" t="s">
        <v>381</v>
      </c>
      <c r="P689">
        <v>1959</v>
      </c>
      <c r="Q689" s="47">
        <v>46294</v>
      </c>
      <c r="R689" s="22" t="str">
        <f>IF(H689="","",H689&amp;I689)</f>
        <v>260414-030SALIDA</v>
      </c>
      <c r="S689" s="22" t="str">
        <f>IF(C689="","",C689&amp;I689)</f>
        <v>HarrierSALIDA</v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1020</v>
      </c>
      <c r="B690" s="47">
        <v>46290</v>
      </c>
      <c r="C690" t="s">
        <v>136</v>
      </c>
      <c r="D690" t="s">
        <v>137</v>
      </c>
      <c r="E690" t="s">
        <v>131</v>
      </c>
      <c r="G690" t="s">
        <v>132</v>
      </c>
      <c r="H690" s="20" t="s">
        <v>210</v>
      </c>
      <c r="I690" t="s">
        <v>64</v>
      </c>
      <c r="J690" s="30">
        <v>30</v>
      </c>
      <c r="K690" s="22">
        <f>IF(I690="","",IF(I690="ENTRADA",ABS(J690),-ABS(J690)))</f>
        <v>-30</v>
      </c>
      <c r="L690" t="s">
        <v>36</v>
      </c>
      <c r="N690">
        <v>65235</v>
      </c>
      <c r="O690" t="s">
        <v>381</v>
      </c>
      <c r="P690">
        <v>1959</v>
      </c>
      <c r="Q690" s="47">
        <v>46294</v>
      </c>
      <c r="R690" s="22" t="str">
        <f>IF(H690="","",H690&amp;I690)</f>
        <v>260414-030SALIDA</v>
      </c>
      <c r="S690" s="22" t="str">
        <f>IF(C690="","",C690&amp;I690)</f>
        <v>Full controlSALIDA</v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1021</v>
      </c>
      <c r="B691" s="47">
        <v>46291</v>
      </c>
      <c r="C691" t="s">
        <v>114</v>
      </c>
      <c r="D691" t="s">
        <v>115</v>
      </c>
      <c r="E691" t="s">
        <v>33</v>
      </c>
      <c r="F691" t="s">
        <v>34</v>
      </c>
      <c r="G691" t="s">
        <v>116</v>
      </c>
      <c r="H691" s="20" t="s">
        <v>970</v>
      </c>
      <c r="I691" t="s">
        <v>64</v>
      </c>
      <c r="J691" s="30">
        <v>2500</v>
      </c>
      <c r="K691" s="22">
        <f>IF(I691="","",IF(I691="ENTRADA",ABS(J691),-ABS(J691)))</f>
        <v>-2500</v>
      </c>
      <c r="L691" t="s">
        <v>36</v>
      </c>
      <c r="N691">
        <v>65236</v>
      </c>
      <c r="O691" t="s">
        <v>1022</v>
      </c>
      <c r="R691" s="22" t="str">
        <f>IF(H691="","",H691&amp;I691)</f>
        <v>260910-622SALIDA</v>
      </c>
      <c r="S691" s="22" t="str">
        <f>IF(C691="","",C691&amp;I691)</f>
        <v>AzukaSALIDA</v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1023</v>
      </c>
      <c r="B692" s="47">
        <v>46291</v>
      </c>
      <c r="C692" t="s">
        <v>121</v>
      </c>
      <c r="D692" t="s">
        <v>122</v>
      </c>
      <c r="E692" t="s">
        <v>33</v>
      </c>
      <c r="F692" t="s">
        <v>34</v>
      </c>
      <c r="G692" t="s">
        <v>116</v>
      </c>
      <c r="H692" s="20" t="s">
        <v>936</v>
      </c>
      <c r="I692" t="s">
        <v>64</v>
      </c>
      <c r="J692" s="30">
        <v>700</v>
      </c>
      <c r="K692" s="22">
        <f>IF(I692="","",IF(I692="ENTRADA",ABS(J692),-ABS(J692)))</f>
        <v>-700</v>
      </c>
      <c r="L692" t="s">
        <v>36</v>
      </c>
      <c r="N692">
        <v>65236</v>
      </c>
      <c r="O692" t="s">
        <v>1022</v>
      </c>
      <c r="R692" s="22" t="str">
        <f>IF(H692="","",H692&amp;I692)</f>
        <v>260727-380SALIDA</v>
      </c>
      <c r="S692" s="22" t="str">
        <f>IF(C692="","",C692&amp;I692)</f>
        <v>PardoSALIDA</v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1024</v>
      </c>
      <c r="B693" s="47">
        <v>46291</v>
      </c>
      <c r="C693" s="34" t="s">
        <v>931</v>
      </c>
      <c r="D693" s="34" t="s">
        <v>932</v>
      </c>
      <c r="E693" s="34" t="s">
        <v>515</v>
      </c>
      <c r="F693" s="34"/>
      <c r="G693" s="34" t="s">
        <v>35</v>
      </c>
      <c r="H693" s="20" t="s">
        <v>992</v>
      </c>
      <c r="I693" s="34" t="s">
        <v>64</v>
      </c>
      <c r="J693" s="36">
        <v>500</v>
      </c>
      <c r="K693" s="22">
        <f>IF(I693="","",IF(I693="ENTRADA",ABS(J693),-ABS(J693)))</f>
        <v>-500</v>
      </c>
      <c r="L693" s="34" t="s">
        <v>36</v>
      </c>
      <c r="M693" s="34"/>
      <c r="N693">
        <v>65236</v>
      </c>
      <c r="O693" t="s">
        <v>1022</v>
      </c>
      <c r="P693" s="34"/>
      <c r="Q693" s="35"/>
      <c r="R693" s="22" t="str">
        <f>IF(H693="","",H693&amp;I693)</f>
        <v>260914-621SALIDA</v>
      </c>
      <c r="S693" s="22" t="str">
        <f>IF(C693="","",C693&amp;I693)</f>
        <v>swing plusSALIDA</v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1025</v>
      </c>
      <c r="B694" s="47">
        <v>46291</v>
      </c>
      <c r="C694" t="s">
        <v>136</v>
      </c>
      <c r="D694" t="s">
        <v>137</v>
      </c>
      <c r="E694" t="s">
        <v>131</v>
      </c>
      <c r="G694" t="s">
        <v>132</v>
      </c>
      <c r="H694" s="20" t="s">
        <v>210</v>
      </c>
      <c r="I694" t="s">
        <v>64</v>
      </c>
      <c r="J694" s="30">
        <v>30</v>
      </c>
      <c r="K694" s="22">
        <f>IF(I694="","",IF(I694="ENTRADA",ABS(J694),-ABS(J694)))</f>
        <v>-30</v>
      </c>
      <c r="L694" t="s">
        <v>36</v>
      </c>
      <c r="N694">
        <v>65236</v>
      </c>
      <c r="O694" t="s">
        <v>1022</v>
      </c>
      <c r="R694" s="22" t="str">
        <f>IF(H694="","",H694&amp;I694)</f>
        <v>260414-030SALIDA</v>
      </c>
      <c r="S694" s="22" t="str">
        <f>IF(C694="","",C694&amp;I694)</f>
        <v>Full controlSALIDA</v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1026</v>
      </c>
      <c r="B695" s="47">
        <v>46291</v>
      </c>
      <c r="C695" t="s">
        <v>129</v>
      </c>
      <c r="D695" t="s">
        <v>130</v>
      </c>
      <c r="E695" t="s">
        <v>131</v>
      </c>
      <c r="G695" t="s">
        <v>132</v>
      </c>
      <c r="H695" s="20" t="s">
        <v>210</v>
      </c>
      <c r="I695" t="s">
        <v>64</v>
      </c>
      <c r="J695" s="30">
        <v>100</v>
      </c>
      <c r="K695" s="22">
        <f>IF(I695="","",IF(I695="ENTRADA",ABS(J695),-ABS(J695)))</f>
        <v>-100</v>
      </c>
      <c r="L695" t="s">
        <v>36</v>
      </c>
      <c r="N695">
        <v>65236</v>
      </c>
      <c r="O695" t="s">
        <v>1022</v>
      </c>
      <c r="R695" s="22" t="str">
        <f>IF(H695="","",H695&amp;I695)</f>
        <v>260414-030SALIDA</v>
      </c>
      <c r="S695" s="22" t="str">
        <f>IF(C695="","",C695&amp;I695)</f>
        <v>HarrierSALIDA</v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1027</v>
      </c>
      <c r="B696" s="47">
        <v>46291</v>
      </c>
      <c r="C696" t="s">
        <v>89</v>
      </c>
      <c r="D696" t="s">
        <v>90</v>
      </c>
      <c r="E696" t="s">
        <v>33</v>
      </c>
      <c r="F696" t="s">
        <v>34</v>
      </c>
      <c r="G696" t="s">
        <v>35</v>
      </c>
      <c r="H696" s="20" t="s">
        <v>374</v>
      </c>
      <c r="I696" t="s">
        <v>64</v>
      </c>
      <c r="J696" s="30">
        <v>340</v>
      </c>
      <c r="K696" s="22">
        <f>IF(I696="","",IF(I696="ENTRADA",ABS(J696),-ABS(J696)))</f>
        <v>-340</v>
      </c>
      <c r="L696" t="s">
        <v>36</v>
      </c>
      <c r="N696">
        <v>65236</v>
      </c>
      <c r="O696" t="s">
        <v>1022</v>
      </c>
      <c r="R696" s="22" t="str">
        <f>IF(H696="","",H696&amp;I696)</f>
        <v>260405-132SALIDA</v>
      </c>
      <c r="S696" s="22" t="str">
        <f>IF(C696="","",C696&amp;I696)</f>
        <v>PixxaroSALIDA</v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1028</v>
      </c>
      <c r="B697" s="47">
        <v>46293</v>
      </c>
      <c r="C697" t="s">
        <v>1029</v>
      </c>
      <c r="D697" t="s">
        <v>1030</v>
      </c>
      <c r="E697" t="s">
        <v>33</v>
      </c>
      <c r="F697" t="s">
        <v>34</v>
      </c>
      <c r="G697" t="s">
        <v>1031</v>
      </c>
      <c r="H697" s="20" t="str">
        <f>+T697</f>
        <v>260928-698</v>
      </c>
      <c r="I697" t="s">
        <v>27</v>
      </c>
      <c r="J697" s="30">
        <v>600</v>
      </c>
      <c r="K697" s="22">
        <f>IF(I697="","",IF(I697="ENTRADA",ABS(J697),-ABS(J697)))</f>
        <v>600</v>
      </c>
      <c r="L697" t="s">
        <v>36</v>
      </c>
      <c r="N697">
        <v>14744</v>
      </c>
      <c r="R697" s="22" t="str">
        <f>IF(H697="","",H697&amp;I697)</f>
        <v>260928-698ENTRADA</v>
      </c>
      <c r="S697" s="22" t="str">
        <f>IF(C697="","",C697&amp;I697)</f>
        <v>Sauquat super ENTRADA</v>
      </c>
      <c r="T697" t="str">
        <f>IF(OR(C697="",I697&lt;&gt;"ENTRADA"),"",TEXT(B697,"AAMMDD")&amp;"-"&amp;TEXT(VALUE(SUBSTITUTE(A697,"MOV-","")),"000"))</f>
        <v>260928-698</v>
      </c>
    </row>
    <row r="698" spans="1:20">
      <c r="A698" s="20" t="s">
        <v>1032</v>
      </c>
      <c r="B698" s="47">
        <v>46287</v>
      </c>
      <c r="C698" t="s">
        <v>140</v>
      </c>
      <c r="D698" t="s">
        <v>141</v>
      </c>
      <c r="E698" t="s">
        <v>131</v>
      </c>
      <c r="G698" t="s">
        <v>132</v>
      </c>
      <c r="H698" s="20" t="s">
        <v>746</v>
      </c>
      <c r="I698" t="s">
        <v>64</v>
      </c>
      <c r="J698" s="30">
        <v>2</v>
      </c>
      <c r="K698" s="22">
        <f>IF(I698="","",IF(I698="ENTRADA",ABS(J698),-ABS(J698)))</f>
        <v>-2</v>
      </c>
      <c r="L698" t="s">
        <v>36</v>
      </c>
      <c r="N698">
        <v>65224</v>
      </c>
      <c r="O698" t="s">
        <v>386</v>
      </c>
      <c r="P698">
        <v>1951</v>
      </c>
      <c r="Q698" s="47">
        <v>46294</v>
      </c>
      <c r="R698" s="22" t="str">
        <f>IF(H698="","",H698&amp;I698)</f>
        <v>260827-473SALIDA</v>
      </c>
      <c r="S698" s="22" t="str">
        <f>IF(C698="","",C698&amp;I698)</f>
        <v>Maxi DropSALIDA</v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1033</v>
      </c>
      <c r="B699" s="47"/>
      <c r="H699" s="20"/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1034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1035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1036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1037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1038</v>
      </c>
      <c r="B704" s="34"/>
      <c r="C704" s="34"/>
      <c r="D704" s="34"/>
      <c r="E704" s="34"/>
      <c r="F704" s="34"/>
      <c r="G704" s="34"/>
      <c r="H704" s="20" t="str">
        <f>+T704</f>
        <v/>
      </c>
      <c r="I704" s="34"/>
      <c r="J704" s="36"/>
      <c r="K704" s="22" t="str">
        <f>IF(I704="","",IF(I704="ENTRADA",ABS(J704),-ABS(J704)))</f>
        <v/>
      </c>
      <c r="L704" s="34"/>
      <c r="M704" s="34"/>
      <c r="N704" s="34"/>
      <c r="O704" s="34"/>
      <c r="P704" s="34"/>
      <c r="Q704" s="35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1039</v>
      </c>
      <c r="H705" s="20" t="str">
        <f>+T705</f>
        <v/>
      </c>
      <c r="J705" s="30"/>
      <c r="K705" s="22" t="str">
        <f>IF(I705="","",IF(I705="ENTRADA",ABS(J705),-ABS(J705)))</f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1040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1041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1042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1043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1044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1045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1046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1047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1048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1049</v>
      </c>
      <c r="B715" s="34"/>
      <c r="C715" s="34"/>
      <c r="D715" s="34"/>
      <c r="E715" s="34"/>
      <c r="F715" s="34"/>
      <c r="G715" s="34"/>
      <c r="H715" s="20" t="str">
        <f>+T715</f>
        <v/>
      </c>
      <c r="I715" s="34"/>
      <c r="J715" s="36"/>
      <c r="K715" s="22" t="str">
        <f>IF(I715="","",IF(I715="ENTRADA",ABS(J715),-ABS(J715)))</f>
        <v/>
      </c>
      <c r="L715" s="34"/>
      <c r="M715" s="34"/>
      <c r="N715" s="34"/>
      <c r="O715" s="34"/>
      <c r="P715" s="34"/>
      <c r="Q715" s="35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1050</v>
      </c>
      <c r="H716" s="20" t="str">
        <f>+T716</f>
        <v/>
      </c>
      <c r="J716" s="30"/>
      <c r="K716" s="22" t="str">
        <f>IF(I716="","",IF(I716="ENTRADA",ABS(J716),-ABS(J716)))</f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1051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1052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1053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1054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1055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1056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1057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1058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1059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1060</v>
      </c>
      <c r="B726" s="34"/>
      <c r="C726" s="34"/>
      <c r="D726" s="34"/>
      <c r="E726" s="34"/>
      <c r="F726" s="34"/>
      <c r="G726" s="34"/>
      <c r="H726" s="20" t="str">
        <f>+T726</f>
        <v/>
      </c>
      <c r="I726" s="34"/>
      <c r="J726" s="36"/>
      <c r="K726" s="22" t="str">
        <f>IF(I726="","",IF(I726="ENTRADA",ABS(J726),-ABS(J726)))</f>
        <v/>
      </c>
      <c r="L726" s="34"/>
      <c r="M726" s="34"/>
      <c r="N726" s="34"/>
      <c r="O726" s="34"/>
      <c r="P726" s="34"/>
      <c r="Q726" s="35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1061</v>
      </c>
      <c r="H727" s="20" t="str">
        <f>+T727</f>
        <v/>
      </c>
      <c r="J727" s="30"/>
      <c r="K727" s="22" t="str">
        <f>IF(I727="","",IF(I727="ENTRADA",ABS(J727),-ABS(J727)))</f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1062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1063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1064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1065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1066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1067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1068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1069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1070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1071</v>
      </c>
      <c r="B737" s="34"/>
      <c r="C737" s="34"/>
      <c r="D737" s="34"/>
      <c r="E737" s="34"/>
      <c r="F737" s="34"/>
      <c r="G737" s="34"/>
      <c r="H737" s="20" t="str">
        <f>+T737</f>
        <v/>
      </c>
      <c r="I737" s="34"/>
      <c r="J737" s="36"/>
      <c r="K737" s="22" t="str">
        <f>IF(I737="","",IF(I737="ENTRADA",ABS(J737),-ABS(J737)))</f>
        <v/>
      </c>
      <c r="L737" s="34"/>
      <c r="M737" s="34"/>
      <c r="N737" s="34"/>
      <c r="O737" s="34"/>
      <c r="P737" s="34"/>
      <c r="Q737" s="35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1072</v>
      </c>
      <c r="H738" s="20" t="str">
        <f>+T738</f>
        <v/>
      </c>
      <c r="J738" s="30"/>
      <c r="K738" s="22" t="str">
        <f>IF(I738="","",IF(I738="ENTRADA",ABS(J738),-ABS(J738)))</f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1073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1074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1075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1076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1077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1078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1079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1080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1081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1082</v>
      </c>
      <c r="B748" s="34"/>
      <c r="C748" s="34"/>
      <c r="D748" s="34"/>
      <c r="E748" s="34"/>
      <c r="F748" s="34"/>
      <c r="G748" s="34"/>
      <c r="H748" s="20" t="str">
        <f>+T748</f>
        <v/>
      </c>
      <c r="I748" s="34"/>
      <c r="J748" s="36"/>
      <c r="K748" s="22" t="str">
        <f>IF(I748="","",IF(I748="ENTRADA",ABS(J748),-ABS(J748)))</f>
        <v/>
      </c>
      <c r="L748" s="34"/>
      <c r="M748" s="34"/>
      <c r="N748" s="34"/>
      <c r="O748" s="34"/>
      <c r="P748" s="34"/>
      <c r="Q748" s="35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1083</v>
      </c>
      <c r="H749" s="20" t="str">
        <f>+T749</f>
        <v/>
      </c>
      <c r="J749" s="30"/>
      <c r="K749" s="22" t="str">
        <f>IF(I749="","",IF(I749="ENTRADA",ABS(J749),-ABS(J749)))</f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1084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1085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1086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1087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1088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1089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1090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1091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1092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1093</v>
      </c>
      <c r="B759" s="34"/>
      <c r="C759" s="34"/>
      <c r="D759" s="34"/>
      <c r="E759" s="34"/>
      <c r="F759" s="34"/>
      <c r="G759" s="34"/>
      <c r="H759" s="20" t="str">
        <f>+T759</f>
        <v/>
      </c>
      <c r="I759" s="34"/>
      <c r="J759" s="36"/>
      <c r="K759" s="22" t="str">
        <f>IF(I759="","",IF(I759="ENTRADA",ABS(J759),-ABS(J759)))</f>
        <v/>
      </c>
      <c r="L759" s="34"/>
      <c r="M759" s="34"/>
      <c r="N759" s="34"/>
      <c r="O759" s="34"/>
      <c r="P759" s="34"/>
      <c r="Q759" s="35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1094</v>
      </c>
      <c r="H760" s="20" t="str">
        <f>+T760</f>
        <v/>
      </c>
      <c r="J760" s="30"/>
      <c r="K760" s="22" t="str">
        <f>IF(I760="","",IF(I760="ENTRADA",ABS(J760),-ABS(J760)))</f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1095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1096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1097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1098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1099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1100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1101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1102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1103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1104</v>
      </c>
      <c r="B770" s="34"/>
      <c r="C770" s="34"/>
      <c r="D770" s="34"/>
      <c r="E770" s="34"/>
      <c r="F770" s="34"/>
      <c r="G770" s="34"/>
      <c r="H770" s="20" t="str">
        <f>+T770</f>
        <v/>
      </c>
      <c r="I770" s="34"/>
      <c r="J770" s="36"/>
      <c r="K770" s="22" t="str">
        <f>IF(I770="","",IF(I770="ENTRADA",ABS(J770),-ABS(J770)))</f>
        <v/>
      </c>
      <c r="L770" s="34"/>
      <c r="M770" s="34"/>
      <c r="N770" s="34"/>
      <c r="O770" s="34"/>
      <c r="P770" s="34"/>
      <c r="Q770" s="35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1105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1106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1107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1108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1109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1110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1111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1112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1113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1114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1115</v>
      </c>
      <c r="B781" s="34"/>
      <c r="C781" s="34"/>
      <c r="D781" s="34"/>
      <c r="E781" s="34"/>
      <c r="F781" s="34"/>
      <c r="G781" s="34"/>
      <c r="H781" s="20" t="str">
        <f>+T781</f>
        <v/>
      </c>
      <c r="I781" s="34"/>
      <c r="J781" s="36"/>
      <c r="K781" s="22" t="str">
        <f>IF(I781="","",IF(I781="ENTRADA",ABS(J781),-ABS(J781)))</f>
        <v/>
      </c>
      <c r="L781" s="34"/>
      <c r="M781" s="34"/>
      <c r="N781" s="34"/>
      <c r="O781" s="34"/>
      <c r="P781" s="34"/>
      <c r="Q781" s="35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1116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1117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1118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1119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1120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1121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1122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1123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1124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1125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1126</v>
      </c>
      <c r="B792" s="34"/>
      <c r="C792" s="34"/>
      <c r="D792" s="34"/>
      <c r="E792" s="34"/>
      <c r="F792" s="34"/>
      <c r="G792" s="34"/>
      <c r="H792" s="20" t="str">
        <f>+T792</f>
        <v/>
      </c>
      <c r="I792" s="34"/>
      <c r="J792" s="36"/>
      <c r="K792" s="22" t="str">
        <f>IF(I792="","",IF(I792="ENTRADA",ABS(J792),-ABS(J792)))</f>
        <v/>
      </c>
      <c r="L792" s="34"/>
      <c r="M792" s="34"/>
      <c r="N792" s="34"/>
      <c r="O792" s="34"/>
      <c r="P792" s="34"/>
      <c r="Q792" s="35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1127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1128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1129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1130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1131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1132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1133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1134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1135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1136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1137</v>
      </c>
      <c r="B803" s="34"/>
      <c r="C803" s="34"/>
      <c r="D803" s="34"/>
      <c r="E803" s="34"/>
      <c r="F803" s="34"/>
      <c r="G803" s="34"/>
      <c r="H803" s="20" t="str">
        <f>+T803</f>
        <v/>
      </c>
      <c r="I803" s="34"/>
      <c r="J803" s="36"/>
      <c r="K803" s="22" t="str">
        <f>IF(I803="","",IF(I803="ENTRADA",ABS(J803),-ABS(J803)))</f>
        <v/>
      </c>
      <c r="L803" s="34"/>
      <c r="M803" s="34"/>
      <c r="N803" s="34"/>
      <c r="O803" s="34"/>
      <c r="P803" s="34"/>
      <c r="Q803" s="35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1138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1139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1140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1141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1142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1143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1144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1145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1146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1147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1148</v>
      </c>
      <c r="B814" s="34"/>
      <c r="C814" s="34"/>
      <c r="D814" s="34"/>
      <c r="E814" s="34"/>
      <c r="F814" s="34"/>
      <c r="G814" s="34"/>
      <c r="H814" s="20" t="str">
        <f>+T814</f>
        <v/>
      </c>
      <c r="I814" s="34"/>
      <c r="J814" s="36"/>
      <c r="K814" s="22" t="str">
        <f>IF(I814="","",IF(I814="ENTRADA",ABS(J814),-ABS(J814)))</f>
        <v/>
      </c>
      <c r="L814" s="34"/>
      <c r="M814" s="34"/>
      <c r="N814" s="34"/>
      <c r="O814" s="34"/>
      <c r="P814" s="34"/>
      <c r="Q814" s="35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1149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1150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1151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1152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1153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1154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1155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1156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1157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1158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1159</v>
      </c>
      <c r="B825" s="34"/>
      <c r="C825" s="34"/>
      <c r="D825" s="34"/>
      <c r="E825" s="34"/>
      <c r="F825" s="34"/>
      <c r="G825" s="34"/>
      <c r="H825" s="20" t="str">
        <f>+T825</f>
        <v/>
      </c>
      <c r="I825" s="34"/>
      <c r="J825" s="36"/>
      <c r="K825" s="22" t="str">
        <f>IF(I825="","",IF(I825="ENTRADA",ABS(J825),-ABS(J825)))</f>
        <v/>
      </c>
      <c r="L825" s="34"/>
      <c r="M825" s="34"/>
      <c r="N825" s="34"/>
      <c r="O825" s="34"/>
      <c r="P825" s="34"/>
      <c r="Q825" s="35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1160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1161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1162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1163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1164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1165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1166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1167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1168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1169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1170</v>
      </c>
      <c r="B836" s="34"/>
      <c r="C836" s="34"/>
      <c r="D836" s="34"/>
      <c r="E836" s="34"/>
      <c r="F836" s="34"/>
      <c r="G836" s="34"/>
      <c r="H836" s="20" t="str">
        <f>+T836</f>
        <v/>
      </c>
      <c r="I836" s="34"/>
      <c r="J836" s="36"/>
      <c r="K836" s="22" t="str">
        <f>IF(I836="","",IF(I836="ENTRADA",ABS(J836),-ABS(J836)))</f>
        <v/>
      </c>
      <c r="L836" s="34"/>
      <c r="M836" s="34"/>
      <c r="N836" s="34"/>
      <c r="O836" s="34"/>
      <c r="P836" s="34"/>
      <c r="Q836" s="35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1171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1172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1173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1174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1175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1176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1177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1178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1179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1180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1181</v>
      </c>
      <c r="B847" s="34"/>
      <c r="C847" s="34"/>
      <c r="D847" s="34"/>
      <c r="E847" s="34"/>
      <c r="F847" s="34"/>
      <c r="G847" s="34"/>
      <c r="H847" s="20" t="str">
        <f>+T847</f>
        <v/>
      </c>
      <c r="I847" s="34"/>
      <c r="J847" s="36"/>
      <c r="K847" s="22" t="str">
        <f>IF(I847="","",IF(I847="ENTRADA",ABS(J847),-ABS(J847)))</f>
        <v/>
      </c>
      <c r="L847" s="34"/>
      <c r="M847" s="34"/>
      <c r="N847" s="34"/>
      <c r="O847" s="34"/>
      <c r="P847" s="34"/>
      <c r="Q847" s="35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1182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1183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1184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1185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1186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1187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1188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1189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1190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1191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1192</v>
      </c>
      <c r="B858" s="34"/>
      <c r="C858" s="34"/>
      <c r="D858" s="34"/>
      <c r="E858" s="34"/>
      <c r="F858" s="34"/>
      <c r="G858" s="34"/>
      <c r="H858" s="20" t="str">
        <f>+T858</f>
        <v/>
      </c>
      <c r="I858" s="34"/>
      <c r="J858" s="36"/>
      <c r="K858" s="22" t="str">
        <f>IF(I858="","",IF(I858="ENTRADA",ABS(J858),-ABS(J858)))</f>
        <v/>
      </c>
      <c r="L858" s="34"/>
      <c r="M858" s="34"/>
      <c r="N858" s="34"/>
      <c r="O858" s="34"/>
      <c r="P858" s="34"/>
      <c r="Q858" s="35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1193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1194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1195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1196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1197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1198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1199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1200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1201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1202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1203</v>
      </c>
      <c r="B869" s="34"/>
      <c r="C869" s="34"/>
      <c r="D869" s="34"/>
      <c r="E869" s="34"/>
      <c r="F869" s="34"/>
      <c r="G869" s="34"/>
      <c r="H869" s="20" t="str">
        <f>+T869</f>
        <v/>
      </c>
      <c r="I869" s="34"/>
      <c r="J869" s="36"/>
      <c r="K869" s="22" t="str">
        <f>IF(I869="","",IF(I869="ENTRADA",ABS(J869),-ABS(J869)))</f>
        <v/>
      </c>
      <c r="L869" s="34"/>
      <c r="M869" s="34"/>
      <c r="N869" s="34"/>
      <c r="O869" s="34"/>
      <c r="P869" s="34"/>
      <c r="Q869" s="35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1204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1205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1206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1207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1208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1209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1210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1211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1212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1213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1214</v>
      </c>
      <c r="B880" s="34"/>
      <c r="C880" s="34"/>
      <c r="D880" s="34"/>
      <c r="E880" s="34"/>
      <c r="F880" s="34"/>
      <c r="G880" s="34"/>
      <c r="H880" s="20" t="str">
        <f>+T880</f>
        <v/>
      </c>
      <c r="I880" s="34"/>
      <c r="J880" s="36"/>
      <c r="K880" s="22" t="str">
        <f>IF(I880="","",IF(I880="ENTRADA",ABS(J880),-ABS(J880)))</f>
        <v/>
      </c>
      <c r="L880" s="34"/>
      <c r="M880" s="34"/>
      <c r="N880" s="34"/>
      <c r="O880" s="34"/>
      <c r="P880" s="34"/>
      <c r="Q880" s="35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1215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1216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1217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1218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1219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1220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1221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1222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1223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1224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1225</v>
      </c>
      <c r="B891" s="34"/>
      <c r="C891" s="34"/>
      <c r="D891" s="34"/>
      <c r="E891" s="34"/>
      <c r="F891" s="34"/>
      <c r="G891" s="34"/>
      <c r="H891" s="20" t="str">
        <f>+T891</f>
        <v/>
      </c>
      <c r="I891" s="34"/>
      <c r="J891" s="36"/>
      <c r="K891" s="22" t="str">
        <f>IF(I891="","",IF(I891="ENTRADA",ABS(J891),-ABS(J891)))</f>
        <v/>
      </c>
      <c r="L891" s="34"/>
      <c r="M891" s="34"/>
      <c r="N891" s="34"/>
      <c r="O891" s="34"/>
      <c r="P891" s="34"/>
      <c r="Q891" s="35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1226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1227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1228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1229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1230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1231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1232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1233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1234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1235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1236</v>
      </c>
      <c r="B902" s="34"/>
      <c r="C902" s="34"/>
      <c r="D902" s="34"/>
      <c r="E902" s="34"/>
      <c r="F902" s="34"/>
      <c r="G902" s="34"/>
      <c r="H902" s="20" t="str">
        <f>+T902</f>
        <v/>
      </c>
      <c r="I902" s="34"/>
      <c r="J902" s="36"/>
      <c r="K902" s="22" t="str">
        <f>IF(I902="","",IF(I902="ENTRADA",ABS(J902),-ABS(J902)))</f>
        <v/>
      </c>
      <c r="L902" s="34"/>
      <c r="M902" s="34"/>
      <c r="N902" s="34"/>
      <c r="O902" s="34"/>
      <c r="P902" s="34"/>
      <c r="Q902" s="35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1237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1238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1239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1240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1241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1242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1243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1244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1245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1246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1247</v>
      </c>
      <c r="B913" s="34"/>
      <c r="C913" s="34"/>
      <c r="D913" s="34"/>
      <c r="E913" s="34"/>
      <c r="F913" s="34"/>
      <c r="G913" s="34"/>
      <c r="H913" s="20" t="str">
        <f>+T913</f>
        <v/>
      </c>
      <c r="I913" s="34"/>
      <c r="J913" s="36"/>
      <c r="K913" s="22" t="str">
        <f>IF(I913="","",IF(I913="ENTRADA",ABS(J913),-ABS(J913)))</f>
        <v/>
      </c>
      <c r="L913" s="34"/>
      <c r="M913" s="34"/>
      <c r="N913" s="34"/>
      <c r="O913" s="34"/>
      <c r="P913" s="34"/>
      <c r="Q913" s="35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1248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1249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1250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1251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1252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1253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1254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1255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1256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1257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1258</v>
      </c>
      <c r="B924" s="34"/>
      <c r="C924" s="34"/>
      <c r="D924" s="34"/>
      <c r="E924" s="34"/>
      <c r="F924" s="34"/>
      <c r="G924" s="34"/>
      <c r="H924" s="20" t="str">
        <f>+T924</f>
        <v/>
      </c>
      <c r="I924" s="34"/>
      <c r="J924" s="36"/>
      <c r="K924" s="22" t="str">
        <f>IF(I924="","",IF(I924="ENTRADA",ABS(J924),-ABS(J924)))</f>
        <v/>
      </c>
      <c r="L924" s="34"/>
      <c r="M924" s="34"/>
      <c r="N924" s="34"/>
      <c r="O924" s="34"/>
      <c r="P924" s="34"/>
      <c r="Q924" s="35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1259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1260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1261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1262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1263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1264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1265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1266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1267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1268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1269</v>
      </c>
      <c r="B935" s="34"/>
      <c r="C935" s="34"/>
      <c r="D935" s="34"/>
      <c r="E935" s="34"/>
      <c r="F935" s="34"/>
      <c r="G935" s="34"/>
      <c r="H935" s="20" t="str">
        <f>+T935</f>
        <v/>
      </c>
      <c r="I935" s="34"/>
      <c r="J935" s="36"/>
      <c r="K935" s="22" t="str">
        <f>IF(I935="","",IF(I935="ENTRADA",ABS(J935),-ABS(J935)))</f>
        <v/>
      </c>
      <c r="L935" s="34"/>
      <c r="M935" s="34"/>
      <c r="N935" s="34"/>
      <c r="O935" s="34"/>
      <c r="P935" s="34"/>
      <c r="Q935" s="35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1270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1271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1272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1273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1274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1275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1276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1277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1278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1279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1280</v>
      </c>
      <c r="B946" s="34"/>
      <c r="C946" s="34"/>
      <c r="D946" s="34"/>
      <c r="E946" s="34"/>
      <c r="F946" s="34"/>
      <c r="G946" s="34"/>
      <c r="H946" s="20" t="str">
        <f>+T946</f>
        <v/>
      </c>
      <c r="I946" s="34"/>
      <c r="J946" s="36"/>
      <c r="K946" s="22" t="str">
        <f>IF(I946="","",IF(I946="ENTRADA",ABS(J946),-ABS(J946)))</f>
        <v/>
      </c>
      <c r="L946" s="34"/>
      <c r="M946" s="34"/>
      <c r="N946" s="34"/>
      <c r="O946" s="34"/>
      <c r="P946" s="34"/>
      <c r="Q946" s="35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1281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1282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1283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1284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1285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1286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1287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1288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1289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1290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1291</v>
      </c>
      <c r="B957" s="34"/>
      <c r="C957" s="34"/>
      <c r="D957" s="34"/>
      <c r="E957" s="34"/>
      <c r="F957" s="34"/>
      <c r="G957" s="34"/>
      <c r="H957" s="20" t="str">
        <f>+T957</f>
        <v/>
      </c>
      <c r="I957" s="34"/>
      <c r="J957" s="36"/>
      <c r="K957" s="22" t="str">
        <f>IF(I957="","",IF(I957="ENTRADA",ABS(J957),-ABS(J957)))</f>
        <v/>
      </c>
      <c r="L957" s="34"/>
      <c r="M957" s="34"/>
      <c r="N957" s="34"/>
      <c r="O957" s="34"/>
      <c r="P957" s="34"/>
      <c r="Q957" s="35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1292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1293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1294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1295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1296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1297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1298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1299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1300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1301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1302</v>
      </c>
      <c r="B968" s="34"/>
      <c r="C968" s="34"/>
      <c r="D968" s="34"/>
      <c r="E968" s="34"/>
      <c r="F968" s="34"/>
      <c r="G968" s="34"/>
      <c r="H968" s="20" t="str">
        <f>+T968</f>
        <v/>
      </c>
      <c r="I968" s="34"/>
      <c r="J968" s="36"/>
      <c r="K968" s="22" t="str">
        <f>IF(I968="","",IF(I968="ENTRADA",ABS(J968),-ABS(J968)))</f>
        <v/>
      </c>
      <c r="L968" s="34"/>
      <c r="M968" s="34"/>
      <c r="N968" s="34"/>
      <c r="O968" s="34"/>
      <c r="P968" s="34"/>
      <c r="Q968" s="35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1303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1304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1305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1306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1307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1308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1309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1310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1311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1312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1313</v>
      </c>
      <c r="B979" s="34"/>
      <c r="C979" s="34"/>
      <c r="D979" s="34"/>
      <c r="E979" s="34"/>
      <c r="F979" s="34"/>
      <c r="G979" s="34"/>
      <c r="H979" s="20" t="str">
        <f>+T979</f>
        <v/>
      </c>
      <c r="I979" s="34"/>
      <c r="J979" s="36"/>
      <c r="K979" s="22" t="str">
        <f>IF(I979="","",IF(I979="ENTRADA",ABS(J979),-ABS(J979)))</f>
        <v/>
      </c>
      <c r="L979" s="34"/>
      <c r="M979" s="34"/>
      <c r="N979" s="34"/>
      <c r="O979" s="34"/>
      <c r="P979" s="34"/>
      <c r="Q979" s="35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1314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1315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1316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1317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1318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1319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1320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1321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1322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1323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1324</v>
      </c>
      <c r="B990" s="34"/>
      <c r="C990" s="34"/>
      <c r="D990" s="34"/>
      <c r="E990" s="34"/>
      <c r="F990" s="34"/>
      <c r="G990" s="34"/>
      <c r="H990" s="20" t="str">
        <f>+T990</f>
        <v/>
      </c>
      <c r="I990" s="34"/>
      <c r="J990" s="36"/>
      <c r="K990" s="22" t="str">
        <f>IF(I990="","",IF(I990="ENTRADA",ABS(J990),-ABS(J990)))</f>
        <v/>
      </c>
      <c r="L990" s="34"/>
      <c r="M990" s="34"/>
      <c r="N990" s="34"/>
      <c r="O990" s="34"/>
      <c r="P990" s="34"/>
      <c r="Q990" s="35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1325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1326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1327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1328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1329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1330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1331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1332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1333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1334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1335</v>
      </c>
      <c r="B1001" s="34"/>
      <c r="C1001" s="34"/>
      <c r="D1001" s="34"/>
      <c r="E1001" s="34"/>
      <c r="F1001" s="34"/>
      <c r="G1001" s="34"/>
      <c r="H1001" s="20" t="str">
        <f>+T1001</f>
        <v/>
      </c>
      <c r="I1001" s="34"/>
      <c r="J1001" s="36"/>
      <c r="K1001" s="22" t="str">
        <f>IF(I1001="","",IF(I1001="ENTRADA",ABS(J1001),-ABS(J1001)))</f>
        <v/>
      </c>
      <c r="L1001" s="34"/>
      <c r="M1001" s="34"/>
      <c r="N1001" s="34"/>
      <c r="O1001" s="34"/>
      <c r="P1001" s="34"/>
      <c r="Q1001" s="35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1336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1337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1338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1339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1340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1341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1342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1343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1344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1345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1346</v>
      </c>
      <c r="B1012" s="34"/>
      <c r="C1012" s="34"/>
      <c r="D1012" s="34"/>
      <c r="E1012" s="34"/>
      <c r="F1012" s="34"/>
      <c r="G1012" s="34"/>
      <c r="H1012" s="20" t="str">
        <f>+T1012</f>
        <v/>
      </c>
      <c r="I1012" s="34"/>
      <c r="J1012" s="36"/>
      <c r="K1012" s="22" t="str">
        <f>IF(I1012="","",IF(I1012="ENTRADA",ABS(J1012),-ABS(J1012)))</f>
        <v/>
      </c>
      <c r="L1012" s="34"/>
      <c r="M1012" s="34"/>
      <c r="N1012" s="34"/>
      <c r="O1012" s="34"/>
      <c r="P1012" s="34"/>
      <c r="Q1012" s="35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1347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1348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1349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1350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1351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1352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1353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1354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1355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1356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1357</v>
      </c>
      <c r="B1023" s="34"/>
      <c r="C1023" s="34"/>
      <c r="D1023" s="34"/>
      <c r="E1023" s="34"/>
      <c r="F1023" s="34"/>
      <c r="G1023" s="34"/>
      <c r="H1023" s="20" t="str">
        <f>+T1023</f>
        <v/>
      </c>
      <c r="I1023" s="34"/>
      <c r="J1023" s="36"/>
      <c r="K1023" s="22" t="str">
        <f>IF(I1023="","",IF(I1023="ENTRADA",ABS(J1023),-ABS(J1023)))</f>
        <v/>
      </c>
      <c r="L1023" s="34"/>
      <c r="M1023" s="34"/>
      <c r="N1023" s="34"/>
      <c r="O1023" s="34"/>
      <c r="P1023" s="34"/>
      <c r="Q1023" s="35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1358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1359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1360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1361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1362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1363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1364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1365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1366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1367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1368</v>
      </c>
      <c r="B1034" s="34"/>
      <c r="C1034" s="34"/>
      <c r="D1034" s="34"/>
      <c r="E1034" s="34"/>
      <c r="F1034" s="34"/>
      <c r="G1034" s="34"/>
      <c r="H1034" s="20" t="str">
        <f>+T1034</f>
        <v/>
      </c>
      <c r="I1034" s="34"/>
      <c r="J1034" s="36"/>
      <c r="K1034" s="22" t="str">
        <f>IF(I1034="","",IF(I1034="ENTRADA",ABS(J1034),-ABS(J1034)))</f>
        <v/>
      </c>
      <c r="L1034" s="34"/>
      <c r="M1034" s="34"/>
      <c r="N1034" s="34"/>
      <c r="O1034" s="34"/>
      <c r="P1034" s="34"/>
      <c r="Q1034" s="35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1369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1370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1371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1372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1373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1374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1375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1376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1377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1378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1379</v>
      </c>
      <c r="B1045" s="34"/>
      <c r="C1045" s="34"/>
      <c r="D1045" s="34"/>
      <c r="E1045" s="34"/>
      <c r="F1045" s="34"/>
      <c r="G1045" s="34"/>
      <c r="H1045" s="20" t="str">
        <f>+T1045</f>
        <v/>
      </c>
      <c r="I1045" s="34"/>
      <c r="J1045" s="36"/>
      <c r="K1045" s="22" t="str">
        <f>IF(I1045="","",IF(I1045="ENTRADA",ABS(J1045),-ABS(J1045)))</f>
        <v/>
      </c>
      <c r="L1045" s="34"/>
      <c r="M1045" s="34"/>
      <c r="N1045" s="34"/>
      <c r="O1045" s="34"/>
      <c r="P1045" s="34"/>
      <c r="Q1045" s="35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1380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1381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1382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1383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1384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1385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1386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1387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1388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1389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1390</v>
      </c>
      <c r="B1056" s="34"/>
      <c r="C1056" s="34"/>
      <c r="D1056" s="34"/>
      <c r="E1056" s="34"/>
      <c r="F1056" s="34"/>
      <c r="G1056" s="34"/>
      <c r="H1056" s="20" t="str">
        <f>+T1056</f>
        <v/>
      </c>
      <c r="I1056" s="34"/>
      <c r="J1056" s="36"/>
      <c r="K1056" s="22" t="str">
        <f>IF(I1056="","",IF(I1056="ENTRADA",ABS(J1056),-ABS(J1056)))</f>
        <v/>
      </c>
      <c r="L1056" s="34"/>
      <c r="M1056" s="34"/>
      <c r="N1056" s="34"/>
      <c r="O1056" s="34"/>
      <c r="P1056" s="34"/>
      <c r="Q1056" s="35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1391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1392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1393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1394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1395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1396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1397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1398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1399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1400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1401</v>
      </c>
      <c r="B1067" s="34"/>
      <c r="C1067" s="34"/>
      <c r="D1067" s="34"/>
      <c r="E1067" s="34"/>
      <c r="F1067" s="34"/>
      <c r="G1067" s="34"/>
      <c r="H1067" s="20" t="str">
        <f>+T1067</f>
        <v/>
      </c>
      <c r="I1067" s="34"/>
      <c r="J1067" s="36"/>
      <c r="K1067" s="22" t="str">
        <f>IF(I1067="","",IF(I1067="ENTRADA",ABS(J1067),-ABS(J1067)))</f>
        <v/>
      </c>
      <c r="L1067" s="34"/>
      <c r="M1067" s="34"/>
      <c r="N1067" s="34"/>
      <c r="O1067" s="34"/>
      <c r="P1067" s="34"/>
      <c r="Q1067" s="35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1402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1403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1404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1405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1406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1407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1408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1409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1410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1411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1412</v>
      </c>
      <c r="B1078" s="34"/>
      <c r="C1078" s="34"/>
      <c r="D1078" s="34"/>
      <c r="E1078" s="34"/>
      <c r="F1078" s="34"/>
      <c r="G1078" s="34"/>
      <c r="H1078" s="20" t="str">
        <f>+T1078</f>
        <v/>
      </c>
      <c r="I1078" s="34"/>
      <c r="J1078" s="36"/>
      <c r="K1078" s="22" t="str">
        <f>IF(I1078="","",IF(I1078="ENTRADA",ABS(J1078),-ABS(J1078)))</f>
        <v/>
      </c>
      <c r="L1078" s="34"/>
      <c r="M1078" s="34"/>
      <c r="N1078" s="34"/>
      <c r="O1078" s="34"/>
      <c r="P1078" s="34"/>
      <c r="Q1078" s="35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1413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1414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1415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1416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1417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1418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1419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1420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1421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1422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1423</v>
      </c>
      <c r="B1089" s="34"/>
      <c r="C1089" s="34"/>
      <c r="D1089" s="34"/>
      <c r="E1089" s="34"/>
      <c r="F1089" s="34"/>
      <c r="G1089" s="34"/>
      <c r="H1089" s="20" t="str">
        <f>+T1089</f>
        <v/>
      </c>
      <c r="I1089" s="34"/>
      <c r="J1089" s="36"/>
      <c r="K1089" s="22" t="str">
        <f>IF(I1089="","",IF(I1089="ENTRADA",ABS(J1089),-ABS(J1089)))</f>
        <v/>
      </c>
      <c r="L1089" s="34"/>
      <c r="M1089" s="34"/>
      <c r="N1089" s="34"/>
      <c r="O1089" s="34"/>
      <c r="P1089" s="34"/>
      <c r="Q1089" s="35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1424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1425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1426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1427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1428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1429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1430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1431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1432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1433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1434</v>
      </c>
      <c r="B1100" s="34"/>
      <c r="C1100" s="34"/>
      <c r="D1100" s="34"/>
      <c r="E1100" s="34"/>
      <c r="F1100" s="34"/>
      <c r="G1100" s="34"/>
      <c r="H1100" s="20" t="str">
        <f>+T1100</f>
        <v/>
      </c>
      <c r="I1100" s="34"/>
      <c r="J1100" s="36"/>
      <c r="K1100" s="22" t="str">
        <f>IF(I1100="","",IF(I1100="ENTRADA",ABS(J1100),-ABS(J1100)))</f>
        <v/>
      </c>
      <c r="L1100" s="34"/>
      <c r="M1100" s="34"/>
      <c r="N1100" s="34"/>
      <c r="O1100" s="34"/>
      <c r="P1100" s="34"/>
      <c r="Q1100" s="35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1435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1436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1437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1438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1439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1440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1441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1442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1443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1444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1445</v>
      </c>
      <c r="B1111" s="34"/>
      <c r="C1111" s="34"/>
      <c r="D1111" s="34"/>
      <c r="E1111" s="34"/>
      <c r="F1111" s="34"/>
      <c r="G1111" s="34"/>
      <c r="H1111" s="20" t="str">
        <f>+T1111</f>
        <v/>
      </c>
      <c r="I1111" s="34"/>
      <c r="J1111" s="36"/>
      <c r="K1111" s="22" t="str">
        <f>IF(I1111="","",IF(I1111="ENTRADA",ABS(J1111),-ABS(J1111)))</f>
        <v/>
      </c>
      <c r="L1111" s="34"/>
      <c r="M1111" s="34"/>
      <c r="N1111" s="34"/>
      <c r="O1111" s="34"/>
      <c r="P1111" s="34"/>
      <c r="Q1111" s="35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1446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1447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1448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1449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1450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1451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1452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1453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1454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1455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1456</v>
      </c>
      <c r="B1122" s="34"/>
      <c r="C1122" s="34"/>
      <c r="D1122" s="34"/>
      <c r="E1122" s="34"/>
      <c r="F1122" s="34"/>
      <c r="G1122" s="34"/>
      <c r="H1122" s="20" t="str">
        <f>+T1122</f>
        <v/>
      </c>
      <c r="I1122" s="34"/>
      <c r="J1122" s="36"/>
      <c r="K1122" s="22" t="str">
        <f>IF(I1122="","",IF(I1122="ENTRADA",ABS(J1122),-ABS(J1122)))</f>
        <v/>
      </c>
      <c r="L1122" s="34"/>
      <c r="M1122" s="34"/>
      <c r="N1122" s="34"/>
      <c r="O1122" s="34"/>
      <c r="P1122" s="34"/>
      <c r="Q1122" s="35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1457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1458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1459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1460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1461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1462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1463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1464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1465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1466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1467</v>
      </c>
      <c r="B1133" s="34"/>
      <c r="C1133" s="34"/>
      <c r="D1133" s="34"/>
      <c r="E1133" s="34"/>
      <c r="F1133" s="34"/>
      <c r="G1133" s="34"/>
      <c r="H1133" s="20" t="str">
        <f>+T1133</f>
        <v/>
      </c>
      <c r="I1133" s="34"/>
      <c r="J1133" s="36"/>
      <c r="K1133" s="22" t="str">
        <f>IF(I1133="","",IF(I1133="ENTRADA",ABS(J1133),-ABS(J1133)))</f>
        <v/>
      </c>
      <c r="L1133" s="34"/>
      <c r="M1133" s="34"/>
      <c r="N1133" s="34"/>
      <c r="O1133" s="34"/>
      <c r="P1133" s="34"/>
      <c r="Q1133" s="35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1468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1469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1470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1471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1472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1473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1474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1475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1476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1477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1478</v>
      </c>
      <c r="B1144" s="34"/>
      <c r="C1144" s="34"/>
      <c r="D1144" s="34"/>
      <c r="E1144" s="34"/>
      <c r="F1144" s="34"/>
      <c r="G1144" s="34"/>
      <c r="H1144" s="20" t="str">
        <f>+T1144</f>
        <v/>
      </c>
      <c r="I1144" s="34"/>
      <c r="J1144" s="36"/>
      <c r="K1144" s="22" t="str">
        <f>IF(I1144="","",IF(I1144="ENTRADA",ABS(J1144),-ABS(J1144)))</f>
        <v/>
      </c>
      <c r="L1144" s="34"/>
      <c r="M1144" s="34"/>
      <c r="N1144" s="34"/>
      <c r="O1144" s="34"/>
      <c r="P1144" s="34"/>
      <c r="Q1144" s="35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1479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1480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1481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1482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1483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1484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1485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1486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1487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1488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1489</v>
      </c>
      <c r="B1155" s="34"/>
      <c r="C1155" s="34"/>
      <c r="D1155" s="34"/>
      <c r="E1155" s="34"/>
      <c r="F1155" s="34"/>
      <c r="G1155" s="34"/>
      <c r="H1155" s="20" t="str">
        <f>+T1155</f>
        <v/>
      </c>
      <c r="I1155" s="34"/>
      <c r="J1155" s="36"/>
      <c r="K1155" s="22" t="str">
        <f>IF(I1155="","",IF(I1155="ENTRADA",ABS(J1155),-ABS(J1155)))</f>
        <v/>
      </c>
      <c r="L1155" s="34"/>
      <c r="M1155" s="34"/>
      <c r="N1155" s="34"/>
      <c r="O1155" s="34"/>
      <c r="P1155" s="34"/>
      <c r="Q1155" s="35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1490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1491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1492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1493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1494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1495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1496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1497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1498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1499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1500</v>
      </c>
      <c r="B1166" s="34"/>
      <c r="C1166" s="34"/>
      <c r="D1166" s="34"/>
      <c r="E1166" s="34"/>
      <c r="F1166" s="34"/>
      <c r="G1166" s="34"/>
      <c r="H1166" s="20" t="str">
        <f>+T1166</f>
        <v/>
      </c>
      <c r="I1166" s="34"/>
      <c r="J1166" s="36"/>
      <c r="K1166" s="22" t="str">
        <f>IF(I1166="","",IF(I1166="ENTRADA",ABS(J1166),-ABS(J1166)))</f>
        <v/>
      </c>
      <c r="L1166" s="34"/>
      <c r="M1166" s="34"/>
      <c r="N1166" s="34"/>
      <c r="O1166" s="34"/>
      <c r="P1166" s="34"/>
      <c r="Q1166" s="35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1501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1502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1503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1504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1505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1506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1507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1508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1509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1510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1511</v>
      </c>
      <c r="B1177" s="34"/>
      <c r="C1177" s="34"/>
      <c r="D1177" s="34"/>
      <c r="E1177" s="34"/>
      <c r="F1177" s="34"/>
      <c r="G1177" s="34"/>
      <c r="H1177" s="20" t="str">
        <f>+T1177</f>
        <v/>
      </c>
      <c r="I1177" s="34"/>
      <c r="J1177" s="36"/>
      <c r="K1177" s="22" t="str">
        <f>IF(I1177="","",IF(I1177="ENTRADA",ABS(J1177),-ABS(J1177)))</f>
        <v/>
      </c>
      <c r="L1177" s="34"/>
      <c r="M1177" s="34"/>
      <c r="N1177" s="34"/>
      <c r="O1177" s="34"/>
      <c r="P1177" s="34"/>
      <c r="Q1177" s="35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1512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1513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1514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1515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1516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1517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1518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1519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1520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1521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1522</v>
      </c>
      <c r="B1188" s="34"/>
      <c r="C1188" s="34"/>
      <c r="D1188" s="34"/>
      <c r="E1188" s="34"/>
      <c r="F1188" s="34"/>
      <c r="G1188" s="34"/>
      <c r="H1188" s="20" t="str">
        <f>+T1188</f>
        <v/>
      </c>
      <c r="I1188" s="34"/>
      <c r="J1188" s="36"/>
      <c r="K1188" s="22" t="str">
        <f>IF(I1188="","",IF(I1188="ENTRADA",ABS(J1188),-ABS(J1188)))</f>
        <v/>
      </c>
      <c r="L1188" s="34"/>
      <c r="M1188" s="34"/>
      <c r="N1188" s="34"/>
      <c r="O1188" s="34"/>
      <c r="P1188" s="34"/>
      <c r="Q1188" s="35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1523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1524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1525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1526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1527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1528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1529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1530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1531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1532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1533</v>
      </c>
      <c r="B1199" s="34"/>
      <c r="C1199" s="34"/>
      <c r="D1199" s="34"/>
      <c r="E1199" s="34"/>
      <c r="F1199" s="34"/>
      <c r="G1199" s="34"/>
      <c r="H1199" s="20" t="str">
        <f>+T1199</f>
        <v/>
      </c>
      <c r="I1199" s="34"/>
      <c r="J1199" s="36"/>
      <c r="K1199" s="22" t="str">
        <f>IF(I1199="","",IF(I1199="ENTRADA",ABS(J1199),-ABS(J1199)))</f>
        <v/>
      </c>
      <c r="L1199" s="34"/>
      <c r="M1199" s="34"/>
      <c r="N1199" s="34"/>
      <c r="O1199" s="34"/>
      <c r="P1199" s="34"/>
      <c r="Q1199" s="35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1534</v>
      </c>
      <c r="H1200" s="33"/>
      <c r="K1200" s="22" t="str">
        <f>IF(I1200="","",IF(I1200="ENTRADA",ABS(J1200),-ABS(J1200)))</f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1535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1536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1537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1538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1539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1540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1541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1542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1543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1544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1545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1546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1547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1548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1549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1550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1551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1552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1553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1554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1555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1556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1557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1558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1559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1560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1561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1562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1563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1564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1565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1566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1567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1568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1569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1570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1571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1572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1573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1574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1575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1576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1577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1578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1579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1580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1581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1582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1583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1584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1585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1586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1587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1588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1589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1590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1591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1592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1593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1594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1595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1596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1597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1598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1599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1600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1601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1602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1603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1604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1605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1606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1607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1608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1609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1610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1611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1612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1613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1614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1615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1616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1617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1618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1619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1620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1621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1622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1623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1624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1625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1626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1627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1628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1629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1630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1631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1632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1633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1634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1635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1636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1637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1638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1639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1640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1641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1642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1643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1644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1645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1646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1647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1648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1649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1650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1651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1652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1653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1654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1655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1656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1657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1658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1659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1660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1661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1662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1663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1664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1665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1666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1667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1668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1669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1670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1671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1672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1673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1674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1675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1676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1677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1678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1679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1680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1681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1682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1683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1684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1685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1686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1687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1688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1689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1690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1691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1692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1693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1694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1695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1696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1697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1698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1699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1700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1701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1702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1703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1704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1705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1706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1707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1708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1709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1710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1711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1712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1713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1714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1715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1716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1717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1718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1719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1720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1721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1722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1723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1724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1725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1726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1727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1728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1729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1730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1731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1732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1733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1734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1735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1736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1737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1738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1739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1740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1741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1742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1743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1744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1745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1746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1747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1748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1749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1750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1751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1752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1753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1754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1755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1756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1757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1758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1759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1760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1761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1762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1763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1764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1765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1766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1767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1768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1769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1770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1771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1772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1773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1774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1775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1776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1777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1778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1779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1780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1781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1782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1783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1784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1785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1786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1787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1788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1789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1790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1791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1792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1793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1794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1795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1796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1797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1798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1799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1800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1801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1802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1803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1804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1805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1806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1807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1808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1809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1810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1811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1812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1813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1814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1815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1816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1817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1818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1819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1820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1821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1822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1823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1824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1825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1826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1827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1828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1829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1830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1831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1832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1833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1834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1835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1836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1837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1838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1839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1840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1841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1842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1843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1844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1845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1846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1847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1848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1849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1850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1851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1852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1853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1854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1855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1856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1857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1858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1859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1860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1861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1862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1863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1864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1865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1866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1867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1868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1869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1870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1871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1872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1873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1874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1875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1876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1877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1878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1879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1880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1881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1882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1883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1884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1885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1886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1887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1888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1889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1890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1891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1892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1893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1894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1895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1896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1897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1898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1899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1900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1901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1902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1903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1904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1905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1906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1907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1908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1909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1910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1911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1912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1913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1914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1915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1916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1917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1918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1919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1920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1921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1922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1923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1924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1925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1926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1927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1928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1929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1930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1931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1932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1933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1934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1935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1936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1937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1938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1939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1940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1941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1942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1943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1944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1945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1946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1947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1948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1949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1950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1951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1952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1953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1954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1955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1956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1957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1958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1959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1960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1961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1962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1963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1964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1965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1966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1967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1968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1969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1970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1971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1972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1973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1974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1975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1976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1977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1978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1979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1980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1981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1982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1983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1984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1985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1986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1987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1988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1989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1990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1991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1992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1993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1994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1995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1996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1997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1998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1999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2000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2001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2002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2003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2004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2005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2006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2007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2008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2009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2010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2011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2012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2013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2014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2015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2016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2017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2018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2019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2020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2021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2022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2023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2024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2025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2026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2027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2028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2029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2030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2031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2032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2033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2034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2035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2036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2037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2038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2039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2040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2041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2042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2043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2044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2045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2046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2047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2048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2049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2050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2051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2052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2053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2054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2055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2056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2057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2058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2059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2060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2061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2062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2063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2064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2065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2066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2067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2068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2069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2070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2071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2072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2073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2074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2075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2076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2077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2078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2079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2080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2081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2082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2083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2084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2085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2086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2087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2088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2089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2090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2091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2092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2093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2094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2095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2096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2097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2098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2099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2100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2101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2102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2103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2104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2105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2106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2107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2108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2109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2110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2111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2112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2113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2114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2115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2116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2117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2118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2119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2120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2121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2122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2123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2124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2125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2126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2127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2128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2129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2130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2131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2132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2133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2134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2135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2136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2137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2138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2139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2140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2141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2142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2143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2144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2145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2146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2147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2148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2149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2150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2151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2152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2153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2154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2155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2156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2157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2158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2159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2160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2161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2162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2163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2164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2165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2166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2167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2168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2169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2170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2171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2172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2173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2174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2175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2176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2177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2178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2179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2180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2181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2182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2183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2184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2185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2186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2187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2188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2189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2190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2191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2192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2193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2194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2195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2196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2197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2198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2199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2200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2201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2202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2203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2204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2205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2206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2207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2208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2209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2210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2211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2212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2213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2214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2215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2216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2217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2218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2219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2220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2221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2222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2223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2224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2225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2226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2227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2228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2229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2230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2231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2232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2233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2234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2235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2236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2237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2238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2239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2240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2241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2242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2243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2244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2245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2246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2247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2248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2249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2250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2251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2252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2253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2254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2255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2256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2257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2258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2259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2260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2261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2262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2263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2264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2265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2266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2267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2268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2269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2270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2271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2272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2273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2274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2275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2276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2277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2278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2279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2280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2281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2282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2283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2284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2285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2286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2287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2288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2289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2290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2291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2292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2293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2294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2295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2296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2297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2298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2299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2300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2301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2302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2303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2304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2305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2306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2307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2308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2309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2310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2311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2312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2313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2314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2315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2316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2317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2318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2319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2320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2321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2322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2323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2324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2325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2326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2327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2328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2329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2330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2331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2332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2333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Q5789" s="33"/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33"/>
      <c r="S6183" s="33"/>
      <c r="T6183" t="str">
        <f>IF(C6183="","",UPPER(LEFT(SUBSTITUTE(C6183," ",""),3))&amp;"-"&amp;TEXT(B6183,"AAMMDD")&amp;"-1")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autoFilter ref="C12004" xr:uid="{00000000-0001-0000-0000-000000000000}"/>
  <phoneticPr fontId="9" type="noConversion"/>
  <conditionalFormatting sqref="A2:Q2 A3:P11 N11995:N11996 B12:P218 Q3:Q500 B11995:B11998 K219:K2019 A12:A1999 B219:J662 D663:J664 B663:B664 B665:J1994 L219:P500 L501:Q1994">
    <cfRule type="expression" dxfId="16" priority="3">
      <formula>$I2="ENTRADA"</formula>
    </cfRule>
    <cfRule type="expression" dxfId="15" priority="4">
      <formula>$I2="SALIDA"</formula>
    </cfRule>
  </conditionalFormatting>
  <conditionalFormatting sqref="Q5789">
    <cfRule type="expression" dxfId="14" priority="1">
      <formula>$I5789="ENTRADA"</formula>
    </cfRule>
    <cfRule type="expression" dxfId="13" priority="2">
      <formula>$I5789="SALIDA"</formula>
    </cfRule>
  </conditionalFormatting>
  <conditionalFormatting sqref="C664">
    <cfRule type="expression" dxfId="12" priority="11">
      <formula>$I663="ENTRADA"</formula>
    </cfRule>
    <cfRule type="expression" dxfId="11" priority="12">
      <formula>$I663="SALIDA"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C297:C662 C664:C1994</xm:sqref>
        </x14:dataValidation>
        <x14:dataValidation type="list" allowBlank="1" xr:uid="{00000000-0002-0000-0000-000002000000}">
          <x14:formula1>
            <xm:f>Listas!$C$2:$C$199</xm:f>
          </x14:formula1>
          <xm:sqref>E2:E1994</xm:sqref>
        </x14:dataValidation>
        <x14:dataValidation type="list" allowBlank="1" xr:uid="{00000000-0002-0000-0000-000005000000}">
          <x14:formula1>
            <xm:f>Listas!$F$2:$F$199</xm:f>
          </x14:formula1>
          <xm:sqref>I2:I1994</xm:sqref>
        </x14:dataValidation>
        <x14:dataValidation type="list" allowBlank="1" xr:uid="{00000000-0002-0000-0000-000006000000}">
          <x14:formula1>
            <xm:f>Listas!$G$2:$G$199</xm:f>
          </x14:formula1>
          <xm:sqref>L2:L1994</xm:sqref>
        </x14:dataValidation>
        <x14:dataValidation type="list" allowBlank="1" xr:uid="{00000000-0002-0000-0000-000007000000}">
          <x14:formula1>
            <xm:f>Listas!$H$2:$H$199</xm:f>
          </x14:formula1>
          <xm:sqref>O2:O1994</xm:sqref>
        </x14:dataValidation>
        <x14:dataValidation type="list" allowBlank="1" xr:uid="{00000000-0002-0000-0000-000001000000}">
          <x14:formula1>
            <xm:f>Listas!$B$2:$B$199</xm:f>
          </x14:formula1>
          <xm:sqref>D2:D1994</xm:sqref>
        </x14:dataValidation>
        <x14:dataValidation type="list" allowBlank="1" xr:uid="{00000000-0002-0000-0000-000004000000}">
          <x14:formula1>
            <xm:f>Listas!$E$2:$E$199</xm:f>
          </x14:formula1>
          <xm:sqref>G2:G1994</xm:sqref>
        </x14:dataValidation>
        <x14:dataValidation type="list" allowBlank="1" xr:uid="{00000000-0002-0000-0000-000003000000}">
          <x14:formula1>
            <xm:f>Listas!$D$2:$D$199</xm:f>
          </x14:formula1>
          <xm:sqref>F2:F1994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7" activePane="bottomLeft" state="frozen"/>
      <selection pane="bottomLeft" activeCell="G16" sqref="G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2334</v>
      </c>
      <c r="B1" s="18" t="s">
        <v>2335</v>
      </c>
      <c r="C1" s="18" t="s">
        <v>4</v>
      </c>
      <c r="D1" s="18" t="s">
        <v>5</v>
      </c>
      <c r="E1" s="18" t="s">
        <v>11</v>
      </c>
      <c r="F1" s="18" t="s">
        <v>2336</v>
      </c>
      <c r="G1" s="18" t="s">
        <v>2337</v>
      </c>
      <c r="H1" s="18" t="s">
        <v>2338</v>
      </c>
    </row>
    <row r="2" spans="1:8">
      <c r="A2" s="7" t="s">
        <v>22</v>
      </c>
      <c r="B2" s="3" t="str">
        <f>IF(A2="","",IFERROR(INDEX(Movimientos!$D$2:$D$1994,MATCH(A2&amp;"ENTRADA",Movimientos!$S$2:$S$1994,0)),"-"))</f>
        <v>CURRY CL</v>
      </c>
      <c r="C2" s="3" t="str">
        <f>IF(A2="","",IFERROR(INDEX(Movimientos!$E$2:$E$1994,MATCH(A2&amp;"ENTRADA",Movimientos!$S$2:$S$1994,0)),"-"))</f>
        <v>Semilla</v>
      </c>
      <c r="D2" s="3" t="str">
        <f>IF(A2="","",IFERROR(INDEX(Movimientos!$F$2:$F$1994,MATCH(A2&amp;"ENTRADA",Movimientos!$S$2:$S$1994,0)),"-"))</f>
        <v>Colza</v>
      </c>
      <c r="E2" s="3" t="str">
        <f>IF(A2="","",IFERROR(INDEX(Movimientos!$L$2:$L$1994,MATCH(A2&amp;"ENTRADA",Movimientos!$S$2:$S$1994,0)),"-"))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IF(A3="","",IFERROR(INDEX(Movimientos!$D$2:$D$1994,MATCH(A3&amp;"ENTRADA",Movimientos!$S$2:$S$1994,0)),"-"))</f>
        <v xml:space="preserve">Clopyralid 12% + Halauxyfen methyl 0,51% </v>
      </c>
      <c r="C3" s="3" t="str">
        <f>IF(A3="","",IFERROR(INDEX(Movimientos!$E$2:$E$1994,MATCH(A3&amp;"ENTRADA",Movimientos!$S$2:$S$1994,0)),"-"))</f>
        <v>Herbicida</v>
      </c>
      <c r="D3" s="3" t="str">
        <f>IF(A3="","",IFERROR(INDEX(Movimientos!$F$2:$F$1994,MATCH(A3&amp;"ENTRADA",Movimientos!$S$2:$S$1994,0)),"-"))</f>
        <v>Postemergente</v>
      </c>
      <c r="E3" s="3" t="str">
        <f>IF(A3="","",IFERROR(INDEX(Movimientos!$L$2:$L$1994,MATCH(A3&amp;"ENTRADA",Movimientos!$S$2:$S$1994,0)),"-"))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IF(A4="","",IFERROR(INDEX(Movimientos!$D$2:$D$1994,MATCH(A4&amp;"ENTRADA",Movimientos!$S$2:$S$1994,0)),"-"))</f>
        <v>Clopyralid sal monoetanolamina 40.9%</v>
      </c>
      <c r="C4" s="3" t="str">
        <f>IF(A4="","",IFERROR(INDEX(Movimientos!$E$2:$E$1994,MATCH(A4&amp;"ENTRADA",Movimientos!$S$2:$S$1994,0)),"-"))</f>
        <v>Herbicida</v>
      </c>
      <c r="D4" s="3" t="str">
        <f>IF(A4="","",IFERROR(INDEX(Movimientos!$F$2:$F$1994,MATCH(A4&amp;"ENTRADA",Movimientos!$S$2:$S$1994,0)),"-"))</f>
        <v>Postemergente</v>
      </c>
      <c r="E4" s="3" t="str">
        <f>IF(A4="","",IFERROR(INDEX(Movimientos!$L$2:$L$1994,MATCH(A4&amp;"ENTRADA",Movimientos!$S$2:$S$1994,0)),"-"))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IF(A5="","",IFERROR(INDEX(Movimientos!$D$2:$D$1994,MATCH(A5&amp;"ENTRADA",Movimientos!$S$2:$S$1994,0)),"-"))</f>
        <v>Flumetsulam 11,35%</v>
      </c>
      <c r="C5" s="3" t="str">
        <f>IF(A5="","",IFERROR(INDEX(Movimientos!$E$2:$E$1994,MATCH(A5&amp;"ENTRADA",Movimientos!$S$2:$S$1994,0)),"-"))</f>
        <v>Herbicida</v>
      </c>
      <c r="D5" s="3" t="str">
        <f>IF(A5="","",IFERROR(INDEX(Movimientos!$F$2:$F$1994,MATCH(A5&amp;"ENTRADA",Movimientos!$S$2:$S$1994,0)),"-"))</f>
        <v>Preemergente</v>
      </c>
      <c r="E5" s="3" t="str">
        <f>IF(A5="","",IFERROR(INDEX(Movimientos!$L$2:$L$1994,MATCH(A5&amp;"ENTRADA",Movimientos!$S$2:$S$1994,0)),"-"))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IF(A6="","",IFERROR(INDEX(Movimientos!$D$2:$D$1994,MATCH(A6&amp;"ENTRADA",Movimientos!$S$2:$S$1994,0)),"-"))</f>
        <v>Picloram 24,9%</v>
      </c>
      <c r="C6" s="3" t="str">
        <f>IF(A6="","",IFERROR(INDEX(Movimientos!$E$2:$E$1994,MATCH(A6&amp;"ENTRADA",Movimientos!$S$2:$S$1994,0)),"-"))</f>
        <v>Herbicida</v>
      </c>
      <c r="D6" s="3" t="str">
        <f>IF(A6="","",IFERROR(INDEX(Movimientos!$F$2:$F$1994,MATCH(A6&amp;"ENTRADA",Movimientos!$S$2:$S$1994,0)),"-"))</f>
        <v>Postemergente</v>
      </c>
      <c r="E6" s="3" t="str">
        <f>IF(A6="","",IFERROR(INDEX(Movimientos!$L$2:$L$1994,MATCH(A6&amp;"ENTRADA",Movimientos!$S$2:$S$1994,0)),"-"))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IF(A7="","",IFERROR(INDEX(Movimientos!$D$2:$D$1994,MATCH(A7&amp;"ENTRADA",Movimientos!$S$2:$S$1994,0)),"-"))</f>
        <v>Halauxifen metil 3.3% + Aminopyralid 2.7% + Metsulfuron metil 20%</v>
      </c>
      <c r="C7" s="3" t="str">
        <f>IF(A7="","",IFERROR(INDEX(Movimientos!$E$2:$E$1994,MATCH(A7&amp;"ENTRADA",Movimientos!$S$2:$S$1994,0)),"-"))</f>
        <v>Herbicida</v>
      </c>
      <c r="D7" s="3" t="str">
        <f>IF(A7="","",IFERROR(INDEX(Movimientos!$F$2:$F$1994,MATCH(A7&amp;"ENTRADA",Movimientos!$S$2:$S$1994,0)),"-"))</f>
        <v>Postemergente</v>
      </c>
      <c r="E7" s="3" t="str">
        <f>IF(A7="","",IFERROR(INDEX(Movimientos!$L$2:$L$1994,MATCH(A7&amp;"ENTRADA",Movimientos!$S$2:$S$1994,0)),"-"))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IF(A8="","",IFERROR(INDEX(Movimientos!$D$2:$D$1994,MATCH(A8&amp;"ENTRADA",Movimientos!$S$2:$S$1994,0)),"-"))</f>
        <v>2,4-Db-Butilo 93.1%</v>
      </c>
      <c r="C8" s="3" t="str">
        <f>IF(A8="","",IFERROR(INDEX(Movimientos!$E$2:$E$1994,MATCH(A8&amp;"ENTRADA",Movimientos!$S$2:$S$1994,0)),"-"))</f>
        <v>Herbicida</v>
      </c>
      <c r="D8" s="3" t="str">
        <f>IF(A8="","",IFERROR(INDEX(Movimientos!$F$2:$F$1994,MATCH(A8&amp;"ENTRADA",Movimientos!$S$2:$S$1994,0)),"-"))</f>
        <v>Postemergente</v>
      </c>
      <c r="E8" s="3" t="str">
        <f>IF(A8="","",IFERROR(INDEX(Movimientos!$L$2:$L$1994,MATCH(A8&amp;"ENTRADA",Movimientos!$S$2:$S$1994,0)),"-"))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1710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IF(A9="","",IFERROR(INDEX(Movimientos!$D$2:$D$1994,MATCH(A9&amp;"ENTRADA",Movimientos!$S$2:$S$1994,0)),"-"))</f>
        <v>2,4 D Acido 27.2%</v>
      </c>
      <c r="C9" s="3" t="str">
        <f>IF(A9="","",IFERROR(INDEX(Movimientos!$E$2:$E$1994,MATCH(A9&amp;"ENTRADA",Movimientos!$S$2:$S$1994,0)),"-"))</f>
        <v>Herbicida</v>
      </c>
      <c r="D9" s="3" t="str">
        <f>IF(A9="","",IFERROR(INDEX(Movimientos!$F$2:$F$1994,MATCH(A9&amp;"ENTRADA",Movimientos!$S$2:$S$1994,0)),"-"))</f>
        <v>Postemergente</v>
      </c>
      <c r="E9" s="3" t="str">
        <f>IF(A9="","",IFERROR(INDEX(Movimientos!$L$2:$L$1994,MATCH(A9&amp;"ENTRADA",Movimientos!$S$2:$S$1994,0)),"-"))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6140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IF(A10="","",IFERROR(INDEX(Movimientos!$D$2:$D$1994,MATCH(A10&amp;"ENTRADA",Movimientos!$S$2:$S$1994,0)),"-"))</f>
        <v>Silobolsa 9 pies</v>
      </c>
      <c r="C10" s="3" t="str">
        <f>IF(A10="","",IFERROR(INDEX(Movimientos!$E$2:$E$1994,MATCH(A10&amp;"ENTRADA",Movimientos!$S$2:$S$1994,0)),"-"))</f>
        <v>Silobolsa</v>
      </c>
      <c r="D10" s="3">
        <f>IF(A10="","",IFERROR(INDEX(Movimientos!$F$2:$F$1994,MATCH(A10&amp;"ENTRADA",Movimientos!$S$2:$S$1994,0)),"-"))</f>
        <v>0</v>
      </c>
      <c r="E10" s="3" t="str">
        <f>IF(A10="","",IFERROR(INDEX(Movimientos!$L$2:$L$1994,MATCH(A10&amp;"ENTRADA",Movimientos!$S$2:$S$1994,0)),"-"))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IF(A11="","",IFERROR(INDEX(Movimientos!$D$2:$D$1994,MATCH(A11&amp;"ENTRADA",Movimientos!$S$2:$S$1994,0)),"-"))</f>
        <v>Estanzuela 284</v>
      </c>
      <c r="C11" s="3" t="str">
        <f>IF(A11="","",IFERROR(INDEX(Movimientos!$E$2:$E$1994,MATCH(A11&amp;"ENTRADA",Movimientos!$S$2:$S$1994,0)),"-"))</f>
        <v>Semilla</v>
      </c>
      <c r="D11" s="3" t="str">
        <f>IF(A11="","",IFERROR(INDEX(Movimientos!$F$2:$F$1994,MATCH(A11&amp;"ENTRADA",Movimientos!$S$2:$S$1994,0)),"-"))</f>
        <v>Raigrás</v>
      </c>
      <c r="E11" s="3" t="str">
        <f>IF(A11="","",IFERROR(INDEX(Movimientos!$L$2:$L$1994,MATCH(A11&amp;"ENTRADA",Movimientos!$S$2:$S$1994,0)),"-"))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IF(A12="","",IFERROR(INDEX(Movimientos!$D$2:$D$1994,MATCH(A12&amp;"ENTRADA",Movimientos!$S$2:$S$1994,0)),"-"))</f>
        <v>Fluroxypyr Meptil 45,52%</v>
      </c>
      <c r="C12" s="3" t="str">
        <f>IF(A12="","",IFERROR(INDEX(Movimientos!$E$2:$E$1994,MATCH(A12&amp;"ENTRADA",Movimientos!$S$2:$S$1994,0)),"-"))</f>
        <v>Herbicida</v>
      </c>
      <c r="D12" s="3" t="str">
        <f>IF(A12="","",IFERROR(INDEX(Movimientos!$F$2:$F$1994,MATCH(A12&amp;"ENTRADA",Movimientos!$S$2:$S$1994,0)),"-"))</f>
        <v>Postemergente</v>
      </c>
      <c r="E12" s="3" t="str">
        <f>IF(A12="","",IFERROR(INDEX(Movimientos!$L$2:$L$1994,MATCH(A12&amp;"ENTRADA",Movimientos!$S$2:$S$1994,0)),"-"))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IF(A13="","",IFERROR(INDEX(Movimientos!$D$2:$D$1994,MATCH(A13&amp;"ENTRADA",Movimientos!$S$2:$S$1994,0)),"-"))</f>
        <v>Fluroxypyr meptyl 34,91% + Halauxyfen methyl 1.64% + Cloquintocet mexyl 1.57%</v>
      </c>
      <c r="C13" s="3" t="str">
        <f>IF(A13="","",IFERROR(INDEX(Movimientos!$E$2:$E$1994,MATCH(A13&amp;"ENTRADA",Movimientos!$S$2:$S$1994,0)),"-"))</f>
        <v>Herbicida</v>
      </c>
      <c r="D13" s="3" t="str">
        <f>IF(A13="","",IFERROR(INDEX(Movimientos!$F$2:$F$1994,MATCH(A13&amp;"ENTRADA",Movimientos!$S$2:$S$1994,0)),"-"))</f>
        <v>Postemergente</v>
      </c>
      <c r="E13" s="3" t="str">
        <f>IF(A13="","",IFERROR(INDEX(Movimientos!$L$2:$L$1994,MATCH(A13&amp;"ENTRADA",Movimientos!$S$2:$S$1994,0)),"-"))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5435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IF(A14="","",IFERROR(INDEX(Movimientos!$D$2:$D$1994,MATCH(A14&amp;"ENTRADA",Movimientos!$S$2:$S$1994,0)),"-"))</f>
        <v>APOLO CL</v>
      </c>
      <c r="C14" s="3" t="str">
        <f>IF(A14="","",IFERROR(INDEX(Movimientos!$E$2:$E$1994,MATCH(A14&amp;"ENTRADA",Movimientos!$S$2:$S$1994,0)),"-"))</f>
        <v>Semilla</v>
      </c>
      <c r="D14" s="3" t="str">
        <f>IF(A14="","",IFERROR(INDEX(Movimientos!$F$2:$F$1994,MATCH(A14&amp;"ENTRADA",Movimientos!$S$2:$S$1994,0)),"-"))</f>
        <v>Colza</v>
      </c>
      <c r="E14" s="3" t="str">
        <f>IF(A14="","",IFERROR(INDEX(Movimientos!$L$2:$L$1994,MATCH(A14&amp;"ENTRADA",Movimientos!$S$2:$S$1994,0)),"-"))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IF(A15="","",IFERROR(INDEX(Movimientos!$D$2:$D$1994,MATCH(A15&amp;"ENTRADA",Movimientos!$S$2:$S$1994,0)),"-"))</f>
        <v>HYOLA 575 CL</v>
      </c>
      <c r="C15" s="3" t="str">
        <f>IF(A15="","",IFERROR(INDEX(Movimientos!$E$2:$E$1994,MATCH(A15&amp;"ENTRADA",Movimientos!$S$2:$S$1994,0)),"-"))</f>
        <v>Semilla</v>
      </c>
      <c r="D15" s="3" t="str">
        <f>IF(A15="","",IFERROR(INDEX(Movimientos!$F$2:$F$1994,MATCH(A15&amp;"ENTRADA",Movimientos!$S$2:$S$1994,0)),"-"))</f>
        <v>Colza</v>
      </c>
      <c r="E15" s="3" t="str">
        <f>IF(A15="","",IFERROR(INDEX(Movimientos!$L$2:$L$1994,MATCH(A15&amp;"ENTRADA",Movimientos!$S$2:$S$1994,0)),"-"))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IF(A16="","",IFERROR(INDEX(Movimientos!$D$2:$D$1994,MATCH(A16&amp;"ENTRADA",Movimientos!$S$2:$S$1994,0)),"-"))</f>
        <v>Glifosato Sal DMA 608 g/L. Equivalente en glifosato 480 g/L</v>
      </c>
      <c r="C16" s="3" t="str">
        <f>IF(A16="","",IFERROR(INDEX(Movimientos!$E$2:$E$1994,MATCH(A16&amp;"ENTRADA",Movimientos!$S$2:$S$1994,0)),"-"))</f>
        <v>Herbicida</v>
      </c>
      <c r="D16" s="3" t="str">
        <f>IF(A16="","",IFERROR(INDEX(Movimientos!$F$2:$F$1994,MATCH(A16&amp;"ENTRADA",Movimientos!$S$2:$S$1994,0)),"-"))</f>
        <v>Postemergente</v>
      </c>
      <c r="E16" s="3" t="str">
        <f>IF(A16="","",IFERROR(INDEX(Movimientos!$L$2:$L$1994,MATCH(A16&amp;"ENTRADA",Movimientos!$S$2:$S$1994,0)),"-"))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29300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IF(A17="","",IFERROR(INDEX(Movimientos!$D$2:$D$1994,MATCH(A17&amp;"ENTRADA",Movimientos!$S$2:$S$1994,0)),"-"))</f>
        <v>Clethodim 240 g/L</v>
      </c>
      <c r="C17" s="3" t="str">
        <f>IF(A17="","",IFERROR(INDEX(Movimientos!$E$2:$E$1994,MATCH(A17&amp;"ENTRADA",Movimientos!$S$2:$S$1994,0)),"-"))</f>
        <v>Herbicida</v>
      </c>
      <c r="D17" s="3" t="str">
        <f>IF(A17="","",IFERROR(INDEX(Movimientos!$F$2:$F$1994,MATCH(A17&amp;"ENTRADA",Movimientos!$S$2:$S$1994,0)),"-"))</f>
        <v>Postemergente</v>
      </c>
      <c r="E17" s="3" t="str">
        <f>IF(A17="","",IFERROR(INDEX(Movimientos!$L$2:$L$1994,MATCH(A17&amp;"ENTRADA",Movimientos!$S$2:$S$1994,0)),"-"))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5130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IF(A18="","",IFERROR(INDEX(Movimientos!$D$2:$D$1994,MATCH(A18&amp;"ENTRADA",Movimientos!$S$2:$S$1994,0)),"-"))</f>
        <v>ALCOHOL LINEAL ETOXILADO 32.7%</v>
      </c>
      <c r="C18" s="3" t="str">
        <f>IF(A18="","",IFERROR(INDEX(Movimientos!$E$2:$E$1994,MATCH(A18&amp;"ENTRADA",Movimientos!$S$2:$S$1994,0)),"-"))</f>
        <v>Coadyuvante</v>
      </c>
      <c r="D18" s="3">
        <f>IF(A18="","",IFERROR(INDEX(Movimientos!$F$2:$F$1994,MATCH(A18&amp;"ENTRADA",Movimientos!$S$2:$S$1994,0)),"-"))</f>
        <v>0</v>
      </c>
      <c r="E18" s="3" t="str">
        <f>IF(A18="","",IFERROR(INDEX(Movimientos!$L$2:$L$1994,MATCH(A18&amp;"ENTRADA",Movimientos!$S$2:$S$1994,0)),"-"))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9305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IF(A19="","",IFERROR(INDEX(Movimientos!$D$2:$D$1994,MATCH(A19&amp;"ENTRADA",Movimientos!$S$2:$S$1994,0)),"-"))</f>
        <v>ACIDO FOSFORICO 23 g</v>
      </c>
      <c r="C19" s="3" t="str">
        <f>IF(A19="","",IFERROR(INDEX(Movimientos!$E$2:$E$1994,MATCH(A19&amp;"ENTRADA",Movimientos!$S$2:$S$1994,0)),"-"))</f>
        <v>Coadyuvante</v>
      </c>
      <c r="D19" s="3">
        <f>IF(A19="","",IFERROR(INDEX(Movimientos!$F$2:$F$1994,MATCH(A19&amp;"ENTRADA",Movimientos!$S$2:$S$1994,0)),"-"))</f>
        <v>0</v>
      </c>
      <c r="E19" s="3" t="str">
        <f>IF(A19="","",IFERROR(INDEX(Movimientos!$L$2:$L$1994,MATCH(A19&amp;"ENTRADA",Movimientos!$S$2:$S$1994,0)),"-"))</f>
        <v>L</v>
      </c>
      <c r="F19" s="8">
        <f>IF(A19="","",COUNTIFS(Stock_por_Lote!$B:$B,A19,Stock_por_Lote!$J:$J,"&gt;0"))</f>
        <v>0</v>
      </c>
      <c r="G19" s="9">
        <f>IF(A19="","",SUMIFS(Movimientos!$K:$K,Movimientos!$C:$C,A19))</f>
        <v>1960</v>
      </c>
      <c r="H19" s="14" t="str">
        <f>IF(A19="","",IFERROR(IF(_xlfn.MINIFS(Stock_por_Lote!$H:$H,Stock_por_Lote!$B:$B,A19,Stock_por_Lote!$J:$J,"&gt;0")=0,"S/D",_xlfn.MINIFS(Stock_por_Lote!$H:$H,Stock_por_Lote!$B:$B,A19,Stock_por_Lote!$J:$J,"&gt;0")),"S/D"))</f>
        <v>S/D</v>
      </c>
    </row>
    <row r="20" spans="1:8">
      <c r="A20" t="s">
        <v>140</v>
      </c>
      <c r="B20" s="3" t="str">
        <f>IF(A20="","",IFERROR(INDEX(Movimientos!$D$2:$D$1994,MATCH(A20&amp;"ENTRADA",Movimientos!$S$2:$S$1994,0)),"-"))</f>
        <v>ACEITE DE SOJA 48 g</v>
      </c>
      <c r="C20" s="3" t="str">
        <f>IF(A20="","",IFERROR(INDEX(Movimientos!$E$2:$E$1994,MATCH(A20&amp;"ENTRADA",Movimientos!$S$2:$S$1994,0)),"-"))</f>
        <v>Coadyuvante</v>
      </c>
      <c r="D20" s="3">
        <f>IF(A20="","",IFERROR(INDEX(Movimientos!$F$2:$F$1994,MATCH(A20&amp;"ENTRADA",Movimientos!$S$2:$S$1994,0)),"-"))</f>
        <v>0</v>
      </c>
      <c r="E20" s="3" t="str">
        <f>IF(A20="","",IFERROR(INDEX(Movimientos!$L$2:$L$1994,MATCH(A20&amp;"ENTRADA",Movimientos!$S$2:$S$1994,0)),"-"))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378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IF(A21="","",IFERROR(INDEX(Movimientos!$D$2:$D$1994,MATCH(A21&amp;"ENTRADA",Movimientos!$S$2:$S$1994,0)),"-"))</f>
        <v>PINOXADEN 5 GR + CLOQUINTOCET-MEXIL 1.25 GR</v>
      </c>
      <c r="C21" s="3" t="str">
        <f>IF(A21="","",IFERROR(INDEX(Movimientos!$E$2:$E$1994,MATCH(A21&amp;"ENTRADA",Movimientos!$S$2:$S$1994,0)),"-"))</f>
        <v>Herbicida</v>
      </c>
      <c r="D21" s="3" t="str">
        <f>IF(A21="","",IFERROR(INDEX(Movimientos!$F$2:$F$1994,MATCH(A21&amp;"ENTRADA",Movimientos!$S$2:$S$1994,0)),"-"))</f>
        <v>Postemergente</v>
      </c>
      <c r="E21" s="3" t="str">
        <f>IF(A21="","",IFERROR(INDEX(Movimientos!$L$2:$L$1994,MATCH(A21&amp;"ENTRADA",Movimientos!$S$2:$S$1994,0)),"-"))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IF(A22="","",IFERROR(INDEX(Movimientos!$D$2:$D$1994,MATCH(A22&amp;"ENTRADA",Movimientos!$S$2:$S$1994,0)),"-"))</f>
        <v>Nuola 300</v>
      </c>
      <c r="C22" s="3" t="str">
        <f>IF(A22="","",IFERROR(INDEX(Movimientos!$E$2:$E$1994,MATCH(A22&amp;"ENTRADA",Movimientos!$S$2:$S$1994,0)),"-"))</f>
        <v>Semilla</v>
      </c>
      <c r="D22" s="3" t="str">
        <f>IF(A22="","",IFERROR(INDEX(Movimientos!$F$2:$F$1994,MATCH(A22&amp;"ENTRADA",Movimientos!$S$2:$S$1994,0)),"-"))</f>
        <v>Colza</v>
      </c>
      <c r="E22" s="3" t="str">
        <f>IF(A22="","",IFERROR(INDEX(Movimientos!$L$2:$L$1994,MATCH(A22&amp;"ENTRADA",Movimientos!$S$2:$S$1994,0)),"-"))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IF(A23="","",IFERROR(INDEX(Movimientos!$D$2:$D$1994,MATCH(A23&amp;"ENTRADA",Movimientos!$S$2:$S$1994,0)),"-"))</f>
        <v>Ceres IMI</v>
      </c>
      <c r="C23" s="3" t="str">
        <f>IF(A23="","",IFERROR(INDEX(Movimientos!$E$2:$E$1994,MATCH(A23&amp;"ENTRADA",Movimientos!$S$2:$S$1994,0)),"-"))</f>
        <v>Semilla</v>
      </c>
      <c r="D23" s="3" t="str">
        <f>IF(A23="","",IFERROR(INDEX(Movimientos!$F$2:$F$1994,MATCH(A23&amp;"ENTRADA",Movimientos!$S$2:$S$1994,0)),"-"))</f>
        <v>Colza</v>
      </c>
      <c r="E23" s="3" t="str">
        <f>IF(A23="","",IFERROR(INDEX(Movimientos!$L$2:$L$1994,MATCH(A23&amp;"ENTRADA",Movimientos!$S$2:$S$1994,0)),"-"))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IF(A24="","",IFERROR(INDEX(Movimientos!$D$2:$D$1994,MATCH(A24&amp;"ENTRADA",Movimientos!$S$2:$S$1994,0)),"-"))</f>
        <v>Festuca Carape</v>
      </c>
      <c r="C24" s="3" t="str">
        <f>IF(A24="","",IFERROR(INDEX(Movimientos!$E$2:$E$1994,MATCH(A24&amp;"ENTRADA",Movimientos!$S$2:$S$1994,0)),"-"))</f>
        <v>Semilla</v>
      </c>
      <c r="D24" s="3" t="str">
        <f>IF(A24="","",IFERROR(INDEX(Movimientos!$F$2:$F$1994,MATCH(A24&amp;"ENTRADA",Movimientos!$S$2:$S$1994,0)),"-"))</f>
        <v>Festuca</v>
      </c>
      <c r="E24" s="3" t="str">
        <f>IF(A24="","",IFERROR(INDEX(Movimientos!$L$2:$L$1994,MATCH(A24&amp;"ENTRADA",Movimientos!$S$2:$S$1994,0)),"-"))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IF(A25="","",IFERROR(INDEX(Movimientos!$D$2:$D$1994,MATCH(A25&amp;"ENTRADA",Movimientos!$S$2:$S$1994,0)),"-"))</f>
        <v>Alfalfa Verdor momla 384-2n-04</v>
      </c>
      <c r="C25" s="3" t="str">
        <f>IF(A25="","",IFERROR(INDEX(Movimientos!$E$2:$E$1994,MATCH(A25&amp;"ENTRADA",Movimientos!$S$2:$S$1994,0)),"-"))</f>
        <v>Semilla</v>
      </c>
      <c r="D25" s="3" t="str">
        <f>IF(A25="","",IFERROR(INDEX(Movimientos!$F$2:$F$1994,MATCH(A25&amp;"ENTRADA",Movimientos!$S$2:$S$1994,0)),"-"))</f>
        <v>Alfalfa</v>
      </c>
      <c r="E25" s="3" t="str">
        <f>IF(A25="","",IFERROR(INDEX(Movimientos!$L$2:$L$1994,MATCH(A25&amp;"ENTRADA",Movimientos!$S$2:$S$1994,0)),"-"))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IF(A26="","",IFERROR(INDEX(Movimientos!$D$2:$D$1994,MATCH(A26&amp;"ENTRADA",Movimientos!$S$2:$S$1994,0)),"-"))</f>
        <v xml:space="preserve">Achicora inia nova </v>
      </c>
      <c r="C26" s="3" t="str">
        <f>IF(A26="","",IFERROR(INDEX(Movimientos!$E$2:$E$1994,MATCH(A26&amp;"ENTRADA",Movimientos!$S$2:$S$1994,0)),"-"))</f>
        <v>Semilla</v>
      </c>
      <c r="D26" s="3" t="str">
        <f>IF(A26="","",IFERROR(INDEX(Movimientos!$F$2:$F$1994,MATCH(A26&amp;"ENTRADA",Movimientos!$S$2:$S$1994,0)),"-"))</f>
        <v>Achicoria</v>
      </c>
      <c r="E26" s="3" t="str">
        <f>IF(A26="","",IFERROR(INDEX(Movimientos!$L$2:$L$1994,MATCH(A26&amp;"ENTRADA",Movimientos!$S$2:$S$1994,0)),"-"))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IF(A27="","",IFERROR(INDEX(Movimientos!$D$2:$D$1994,MATCH(A27&amp;"ENTRADA",Movimientos!$S$2:$S$1994,0)),"-"))</f>
        <v>Festuca Sortija C2</v>
      </c>
      <c r="C27" s="3" t="str">
        <f>IF(A27="","",IFERROR(INDEX(Movimientos!$E$2:$E$1994,MATCH(A27&amp;"ENTRADA",Movimientos!$S$2:$S$1994,0)),"-"))</f>
        <v>Semilla</v>
      </c>
      <c r="D27" s="3" t="str">
        <f>IF(A27="","",IFERROR(INDEX(Movimientos!$F$2:$F$1994,MATCH(A27&amp;"ENTRADA",Movimientos!$S$2:$S$1994,0)),"-"))</f>
        <v>Festuca</v>
      </c>
      <c r="E27" s="3" t="str">
        <f>IF(A27="","",IFERROR(INDEX(Movimientos!$L$2:$L$1994,MATCH(A27&amp;"ENTRADA",Movimientos!$S$2:$S$1994,0)),"-"))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IF(A28="","",IFERROR(INDEX(Movimientos!$D$2:$D$1994,MATCH(A28&amp;"ENTRADA",Movimientos!$S$2:$S$1994,0)),"-"))</f>
        <v>Dactylis Drover ecotec af gram c2</v>
      </c>
      <c r="C28" s="3" t="str">
        <f>IF(A28="","",IFERROR(INDEX(Movimientos!$E$2:$E$1994,MATCH(A28&amp;"ENTRADA",Movimientos!$S$2:$S$1994,0)),"-"))</f>
        <v>Semilla</v>
      </c>
      <c r="D28" s="3" t="str">
        <f>IF(A28="","",IFERROR(INDEX(Movimientos!$F$2:$F$1994,MATCH(A28&amp;"ENTRADA",Movimientos!$S$2:$S$1994,0)),"-"))</f>
        <v>Dactylis</v>
      </c>
      <c r="E28" s="3" t="str">
        <f>IF(A28="","",IFERROR(INDEX(Movimientos!$L$2:$L$1994,MATCH(A28&amp;"ENTRADA",Movimientos!$S$2:$S$1994,0)),"-"))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IF(A29="","",IFERROR(INDEX(Movimientos!$D$2:$D$1994,MATCH(A29&amp;"ENTRADA",Movimientos!$S$2:$S$1994,0)),"-"))</f>
        <v>Trebol Blanco E Zapican Ecotec AF</v>
      </c>
      <c r="C29" s="3" t="str">
        <f>IF(A29="","",IFERROR(INDEX(Movimientos!$E$2:$E$1994,MATCH(A29&amp;"ENTRADA",Movimientos!$S$2:$S$1994,0)),"-"))</f>
        <v>Semilla</v>
      </c>
      <c r="D29" s="3" t="str">
        <f>IF(A29="","",IFERROR(INDEX(Movimientos!$F$2:$F$1994,MATCH(A29&amp;"ENTRADA",Movimientos!$S$2:$S$1994,0)),"-"))</f>
        <v>Trebol Blanco</v>
      </c>
      <c r="E29" s="3" t="str">
        <f>IF(A29="","",IFERROR(INDEX(Movimientos!$L$2:$L$1994,MATCH(A29&amp;"ENTRADA",Movimientos!$S$2:$S$1994,0)),"-"))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IF(A30="","",IFERROR(INDEX(Movimientos!$D$2:$D$1994,MATCH(A30&amp;"ENTRADA",Movimientos!$S$2:$S$1994,0)),"-"))</f>
        <v>Trebol Rojo E116 Ecotec AF</v>
      </c>
      <c r="C30" s="3" t="str">
        <f>IF(A30="","",IFERROR(INDEX(Movimientos!$E$2:$E$1994,MATCH(A30&amp;"ENTRADA",Movimientos!$S$2:$S$1994,0)),"-"))</f>
        <v>Semilla</v>
      </c>
      <c r="D30" s="3" t="str">
        <f>IF(A30="","",IFERROR(INDEX(Movimientos!$F$2:$F$1994,MATCH(A30&amp;"ENTRADA",Movimientos!$S$2:$S$1994,0)),"-"))</f>
        <v xml:space="preserve">Trebol Rojo </v>
      </c>
      <c r="E30" s="3" t="str">
        <f>IF(A30="","",IFERROR(INDEX(Movimientos!$L$2:$L$1994,MATCH(A30&amp;"ENTRADA",Movimientos!$S$2:$S$1994,0)),"-"))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IF(A31="","",IFERROR(INDEX(Movimientos!$D$2:$D$1994,MATCH(A31&amp;"ENTRADA",Movimientos!$S$2:$S$1994,0)),"-"))</f>
        <v>Phalaris Stockman Comb</v>
      </c>
      <c r="C31" s="3" t="str">
        <f>IF(A31="","",IFERROR(INDEX(Movimientos!$E$2:$E$1994,MATCH(A31&amp;"ENTRADA",Movimientos!$S$2:$S$1994,0)),"-"))</f>
        <v>Semilla</v>
      </c>
      <c r="D31" s="3" t="str">
        <f>IF(A31="","",IFERROR(INDEX(Movimientos!$F$2:$F$1994,MATCH(A31&amp;"ENTRADA",Movimientos!$S$2:$S$1994,0)),"-"))</f>
        <v>Phalaris</v>
      </c>
      <c r="E31" s="3" t="str">
        <f>IF(A31="","",IFERROR(INDEX(Movimientos!$L$2:$L$1994,MATCH(A31&amp;"ENTRADA",Movimientos!$S$2:$S$1994,0)),"-"))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IF(A32="","",IFERROR(INDEX(Movimientos!$D$2:$D$1994,MATCH(A32&amp;"ENTRADA",Movimientos!$S$2:$S$1994,0)),"-"))</f>
        <v>Continuum CL</v>
      </c>
      <c r="C32" s="3" t="str">
        <f>IF(A32="","",IFERROR(INDEX(Movimientos!$E$2:$E$1994,MATCH(A32&amp;"ENTRADA",Movimientos!$S$2:$S$1994,0)),"-"))</f>
        <v>Semilla</v>
      </c>
      <c r="D32" s="3" t="str">
        <f>IF(A32="","",IFERROR(INDEX(Movimientos!$F$2:$F$1994,MATCH(A32&amp;"ENTRADA",Movimientos!$S$2:$S$1994,0)),"-"))</f>
        <v>Colza</v>
      </c>
      <c r="E32" s="3" t="str">
        <f>IF(A32="","",IFERROR(INDEX(Movimientos!$L$2:$L$1994,MATCH(A32&amp;"ENTRADA",Movimientos!$S$2:$S$1994,0)),"-"))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IF(A33="","",IFERROR(INDEX(Movimientos!$D$2:$D$1994,MATCH(A33&amp;"ENTRADA",Movimientos!$S$2:$S$1994,0)),"-"))</f>
        <v>Colza Hyola Solstice cl</v>
      </c>
      <c r="C33" s="3" t="str">
        <f>IF(A33="","",IFERROR(INDEX(Movimientos!$E$2:$E$1994,MATCH(A33&amp;"ENTRADA",Movimientos!$S$2:$S$1994,0)),"-"))</f>
        <v>Semilla</v>
      </c>
      <c r="D33" s="3" t="str">
        <f>IF(A33="","",IFERROR(INDEX(Movimientos!$F$2:$F$1994,MATCH(A33&amp;"ENTRADA",Movimientos!$S$2:$S$1994,0)),"-"))</f>
        <v>Colza</v>
      </c>
      <c r="E33" s="3" t="str">
        <f>IF(A33="","",IFERROR(INDEX(Movimientos!$L$2:$L$1994,MATCH(A33&amp;"ENTRADA",Movimientos!$S$2:$S$1994,0)),"-"))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IF(A34="","",IFERROR(INDEX(Movimientos!$D$2:$D$1994,MATCH(A34&amp;"ENTRADA",Movimientos!$S$2:$S$1994,0)),"-"))</f>
        <v xml:space="preserve">Avena propia </v>
      </c>
      <c r="C34" s="3" t="str">
        <f>IF(A34="","",IFERROR(INDEX(Movimientos!$E$2:$E$1994,MATCH(A34&amp;"ENTRADA",Movimientos!$S$2:$S$1994,0)),"-"))</f>
        <v>Semilla</v>
      </c>
      <c r="D34" s="3" t="str">
        <f>IF(A34="","",IFERROR(INDEX(Movimientos!$F$2:$F$1994,MATCH(A34&amp;"ENTRADA",Movimientos!$S$2:$S$1994,0)),"-"))</f>
        <v>Avena</v>
      </c>
      <c r="E34" s="3" t="str">
        <f>IF(A34="","",IFERROR(INDEX(Movimientos!$L$2:$L$1994,MATCH(A34&amp;"ENTRADA",Movimientos!$S$2:$S$1994,0)),"-"))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IF(A35="","",IFERROR(INDEX(Movimientos!$D$2:$D$1994,MATCH(A35&amp;"ENTRADA",Movimientos!$S$2:$S$1994,0)),"-"))</f>
        <v>Imazapir sal isopropilamina 24,2%</v>
      </c>
      <c r="C35" s="3" t="str">
        <f>IF(A35="","",IFERROR(INDEX(Movimientos!$E$2:$E$1994,MATCH(A35&amp;"ENTRADA",Movimientos!$S$2:$S$1994,0)),"-"))</f>
        <v>Herbicida</v>
      </c>
      <c r="D35" s="3" t="str">
        <f>IF(A35="","",IFERROR(INDEX(Movimientos!$F$2:$F$1994,MATCH(A35&amp;"ENTRADA",Movimientos!$S$2:$S$1994,0)),"-"))</f>
        <v>Postemergente</v>
      </c>
      <c r="E35" s="3" t="str">
        <f>IF(A35="","",IFERROR(INDEX(Movimientos!$L$2:$L$1994,MATCH(A35&amp;"ENTRADA",Movimientos!$S$2:$S$1994,0)),"-"))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IF(A36="","",IFERROR(INDEX(Movimientos!$D$2:$D$1994,MATCH(A36&amp;"ENTRADA",Movimientos!$S$2:$S$1994,0)),"-"))</f>
        <v>Esteres metílicos de aceite vegetal 42,5%</v>
      </c>
      <c r="C36" s="3" t="str">
        <f>IF(A36="","",IFERROR(INDEX(Movimientos!$E$2:$E$1994,MATCH(A36&amp;"ENTRADA",Movimientos!$S$2:$S$1994,0)),"-"))</f>
        <v>Coadyuvante</v>
      </c>
      <c r="D36" s="3">
        <f>IF(A36="","",IFERROR(INDEX(Movimientos!$F$2:$F$1994,MATCH(A36&amp;"ENTRADA",Movimientos!$S$2:$S$1994,0)),"-"))</f>
        <v>0</v>
      </c>
      <c r="E36" s="3" t="str">
        <f>IF(A36="","",IFERROR(INDEX(Movimientos!$L$2:$L$1994,MATCH(A36&amp;"ENTRADA",Movimientos!$S$2:$S$1994,0)),"-"))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IF(A37="","",IFERROR(INDEX(Movimientos!$D$2:$D$1994,MATCH(A37&amp;"ENTRADA",Movimientos!$S$2:$S$1994,0)),"-"))</f>
        <v>Alfalfa latte 920 gen protect plus</v>
      </c>
      <c r="C37" s="3" t="str">
        <f>IF(A37="","",IFERROR(INDEX(Movimientos!$E$2:$E$1994,MATCH(A37&amp;"ENTRADA",Movimientos!$S$2:$S$1994,0)),"-"))</f>
        <v>Semilla</v>
      </c>
      <c r="D37" s="3" t="str">
        <f>IF(A37="","",IFERROR(INDEX(Movimientos!$F$2:$F$1994,MATCH(A37&amp;"ENTRADA",Movimientos!$S$2:$S$1994,0)),"-"))</f>
        <v>Alfalfa</v>
      </c>
      <c r="E37" s="3" t="str">
        <f>IF(A37="","",IFERROR(INDEX(Movimientos!$L$2:$L$1994,MATCH(A37&amp;"ENTRADA",Movimientos!$S$2:$S$1994,0)),"-"))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IF(A38="","",IFERROR(INDEX(Movimientos!$D$2:$D$1994,MATCH(A38&amp;"ENTRADA",Movimientos!$S$2:$S$1994,0)),"-"))</f>
        <v xml:space="preserve">fertilizante foliar </v>
      </c>
      <c r="C38" s="3" t="str">
        <f>IF(A38="","",IFERROR(INDEX(Movimientos!$E$2:$E$1994,MATCH(A38&amp;"ENTRADA",Movimientos!$S$2:$S$1994,0)),"-"))</f>
        <v>Fertilizante</v>
      </c>
      <c r="D38" s="3">
        <f>IF(A38="","",IFERROR(INDEX(Movimientos!$F$2:$F$1994,MATCH(A38&amp;"ENTRADA",Movimientos!$S$2:$S$1994,0)),"-"))</f>
        <v>0</v>
      </c>
      <c r="E38" s="3" t="str">
        <f>IF(A38="","",IFERROR(INDEX(Movimientos!$L$2:$L$1994,MATCH(A38&amp;"ENTRADA",Movimientos!$S$2:$S$1994,0)),"-"))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IF(A39="","",IFERROR(INDEX(Movimientos!$D$2:$D$1994,MATCH(A39&amp;"ENTRADA",Movimientos!$S$2:$S$1994,0)),"-"))</f>
        <v>Colza 45y95cl</v>
      </c>
      <c r="C39" s="3" t="str">
        <f>IF(A39="","",IFERROR(INDEX(Movimientos!$E$2:$E$1994,MATCH(A39&amp;"ENTRADA",Movimientos!$S$2:$S$1994,0)),"-"))</f>
        <v>Semilla</v>
      </c>
      <c r="D39" s="3" t="str">
        <f>IF(A39="","",IFERROR(INDEX(Movimientos!$F$2:$F$1994,MATCH(A39&amp;"ENTRADA",Movimientos!$S$2:$S$1994,0)),"-"))</f>
        <v>Colza</v>
      </c>
      <c r="E39" s="3" t="str">
        <f>IF(A39="","",IFERROR(INDEX(Movimientos!$L$2:$L$1994,MATCH(A39&amp;"ENTRADA",Movimientos!$S$2:$S$1994,0)),"-"))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IF(A40="","",IFERROR(INDEX(Movimientos!$D$2:$D$1994,MATCH(A40&amp;"ENTRADA",Movimientos!$S$2:$S$1994,0)),"-"))</f>
        <v xml:space="preserve">Hydra hume </v>
      </c>
      <c r="C40" s="3" t="str">
        <f>IF(A40="","",IFERROR(INDEX(Movimientos!$E$2:$E$1994,MATCH(A40&amp;"ENTRADA",Movimientos!$S$2:$S$1994,0)),"-"))</f>
        <v>Biológico</v>
      </c>
      <c r="D40" s="3" t="str">
        <f>IF(A40="","",IFERROR(INDEX(Movimientos!$F$2:$F$1994,MATCH(A40&amp;"ENTRADA",Movimientos!$S$2:$S$1994,0)),"-"))</f>
        <v>Acidos Humicos</v>
      </c>
      <c r="E40" s="3" t="str">
        <f>IF(A40="","",IFERROR(INDEX(Movimientos!$L$2:$L$1994,MATCH(A40&amp;"ENTRADA",Movimientos!$S$2:$S$1994,0)),"-"))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IF(A41="","",IFERROR(INDEX(Movimientos!$D$2:$D$1994,MATCH(A41&amp;"ENTRADA",Movimientos!$S$2:$S$1994,0)),"-"))</f>
        <v>Silobolsa 9 pies</v>
      </c>
      <c r="C41" s="3" t="str">
        <f>IF(A41="","",IFERROR(INDEX(Movimientos!$E$2:$E$1994,MATCH(A41&amp;"ENTRADA",Movimientos!$S$2:$S$1994,0)),"-"))</f>
        <v>Silobolsa</v>
      </c>
      <c r="D41" s="3">
        <f>IF(A41="","",IFERROR(INDEX(Movimientos!$F$2:$F$1994,MATCH(A41&amp;"ENTRADA",Movimientos!$S$2:$S$1994,0)),"-"))</f>
        <v>0</v>
      </c>
      <c r="E41" s="3" t="str">
        <f>IF(A41="","",IFERROR(INDEX(Movimientos!$L$2:$L$1994,MATCH(A41&amp;"ENTRADA",Movimientos!$S$2:$S$1994,0)),"-"))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IF(A42="","",IFERROR(INDEX(Movimientos!$D$2:$D$1994,MATCH(A42&amp;"ENTRADA",Movimientos!$S$2:$S$1994,0)),"-"))</f>
        <v xml:space="preserve">festuca elodie </v>
      </c>
      <c r="C42" s="3" t="str">
        <f>IF(A42="","",IFERROR(INDEX(Movimientos!$E$2:$E$1994,MATCH(A42&amp;"ENTRADA",Movimientos!$S$2:$S$1994,0)),"-"))</f>
        <v>Semilla</v>
      </c>
      <c r="D42" s="3" t="str">
        <f>IF(A42="","",IFERROR(INDEX(Movimientos!$F$2:$F$1994,MATCH(A42&amp;"ENTRADA",Movimientos!$S$2:$S$1994,0)),"-"))</f>
        <v>Festuca</v>
      </c>
      <c r="E42" s="3" t="str">
        <f>IF(A42="","",IFERROR(INDEX(Movimientos!$L$2:$L$1994,MATCH(A42&amp;"ENTRADA",Movimientos!$S$2:$S$1994,0)),"-"))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IF(A43="","",IFERROR(INDEX(Movimientos!$D$2:$D$1994,MATCH(A43&amp;"ENTRADA",Movimientos!$S$2:$S$1994,0)),"-"))</f>
        <v xml:space="preserve">trebol blanco zapican </v>
      </c>
      <c r="C43" s="3" t="str">
        <f>IF(A43="","",IFERROR(INDEX(Movimientos!$E$2:$E$1994,MATCH(A43&amp;"ENTRADA",Movimientos!$S$2:$S$1994,0)),"-"))</f>
        <v>Semilla</v>
      </c>
      <c r="D43" s="3" t="str">
        <f>IF(A43="","",IFERROR(INDEX(Movimientos!$F$2:$F$1994,MATCH(A43&amp;"ENTRADA",Movimientos!$S$2:$S$1994,0)),"-"))</f>
        <v>Trebol Blanco</v>
      </c>
      <c r="E43" s="3" t="str">
        <f>IF(A43="","",IFERROR(INDEX(Movimientos!$L$2:$L$1994,MATCH(A43&amp;"ENTRADA",Movimientos!$S$2:$S$1994,0)),"-"))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IF(A44="","",IFERROR(INDEX(Movimientos!$D$2:$D$1994,MATCH(A44&amp;"ENTRADA",Movimientos!$S$2:$S$1994,0)),"-"))</f>
        <v>Fluroxypyr meptyl 34,91% + Halauxyfen methyl 1.64% + Cloquintocet mexyl 1.57%</v>
      </c>
      <c r="C44" s="3" t="str">
        <f>IF(A44="","",IFERROR(INDEX(Movimientos!$E$2:$E$1994,MATCH(A44&amp;"ENTRADA",Movimientos!$S$2:$S$1994,0)),"-"))</f>
        <v>Herbicida</v>
      </c>
      <c r="D44" s="3" t="str">
        <f>IF(A44="","",IFERROR(INDEX(Movimientos!$F$2:$F$1994,MATCH(A44&amp;"ENTRADA",Movimientos!$S$2:$S$1994,0)),"-"))</f>
        <v>Postemergente</v>
      </c>
      <c r="E44" s="3" t="str">
        <f>IF(A44="","",IFERROR(INDEX(Movimientos!$L$2:$L$1994,MATCH(A44&amp;"ENTRADA",Movimientos!$S$2:$S$1994,0)),"-"))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5435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IF(A45="","",IFERROR(INDEX(Movimientos!$D$2:$D$1994,MATCH(A45&amp;"ENTRADA",Movimientos!$S$2:$S$1994,0)),"-"))</f>
        <v>semilla trigo tipa</v>
      </c>
      <c r="C45" s="3" t="str">
        <f>IF(A45="","",IFERROR(INDEX(Movimientos!$E$2:$E$1994,MATCH(A45&amp;"ENTRADA",Movimientos!$S$2:$S$1994,0)),"-"))</f>
        <v>Semilla</v>
      </c>
      <c r="D45" s="3" t="str">
        <f>IF(A45="","",IFERROR(INDEX(Movimientos!$F$2:$F$1994,MATCH(A45&amp;"ENTRADA",Movimientos!$S$2:$S$1994,0)),"-"))</f>
        <v>Trigo</v>
      </c>
      <c r="E45" s="3" t="str">
        <f>IF(A45="","",IFERROR(INDEX(Movimientos!$L$2:$L$1994,MATCH(A45&amp;"ENTRADA",Movimientos!$S$2:$S$1994,0)),"-"))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IF(A46="","",IFERROR(INDEX(Movimientos!$D$2:$D$1994,MATCH(A46&amp;"ENTRADA",Movimientos!$S$2:$S$1994,0)),"-"))</f>
        <v>semillatrigo aromo</v>
      </c>
      <c r="C46" s="3" t="str">
        <f>IF(A46="","",IFERROR(INDEX(Movimientos!$E$2:$E$1994,MATCH(A46&amp;"ENTRADA",Movimientos!$S$2:$S$1994,0)),"-"))</f>
        <v>Semilla</v>
      </c>
      <c r="D46" s="3" t="str">
        <f>IF(A46="","",IFERROR(INDEX(Movimientos!$F$2:$F$1994,MATCH(A46&amp;"ENTRADA",Movimientos!$S$2:$S$1994,0)),"-"))</f>
        <v>Trigo</v>
      </c>
      <c r="E46" s="3" t="str">
        <f>IF(A46="","",IFERROR(INDEX(Movimientos!$L$2:$L$1994,MATCH(A46&amp;"ENTRADA",Movimientos!$S$2:$S$1994,0)),"-"))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IF(A47="","",IFERROR(INDEX(Movimientos!$D$2:$D$1994,MATCH(A47&amp;"ENTRADA",Movimientos!$S$2:$S$1994,0)),"-"))</f>
        <v>Nuola 300</v>
      </c>
      <c r="C47" s="3" t="str">
        <f>IF(A47="","",IFERROR(INDEX(Movimientos!$E$2:$E$1994,MATCH(A47&amp;"ENTRADA",Movimientos!$S$2:$S$1994,0)),"-"))</f>
        <v>Semilla</v>
      </c>
      <c r="D47" s="3" t="str">
        <f>IF(A47="","",IFERROR(INDEX(Movimientos!$F$2:$F$1994,MATCH(A47&amp;"ENTRADA",Movimientos!$S$2:$S$1994,0)),"-"))</f>
        <v>Colza</v>
      </c>
      <c r="E47" s="3" t="str">
        <f>IF(A47="","",IFERROR(INDEX(Movimientos!$L$2:$L$1994,MATCH(A47&amp;"ENTRADA",Movimientos!$S$2:$S$1994,0)),"-"))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IF(A48="","",IFERROR(INDEX(Movimientos!$D$2:$D$1994,MATCH(A48&amp;"ENTRADA",Movimientos!$S$2:$S$1994,0)),"-"))</f>
        <v xml:space="preserve">Keylate Zinc Plus </v>
      </c>
      <c r="C48" s="3" t="str">
        <f>IF(A48="","",IFERROR(INDEX(Movimientos!$E$2:$E$1994,MATCH(A48&amp;"ENTRADA",Movimientos!$S$2:$S$1994,0)),"-"))</f>
        <v>Fertilizante</v>
      </c>
      <c r="D48" s="3">
        <f>IF(A48="","",IFERROR(INDEX(Movimientos!$F$2:$F$1994,MATCH(A48&amp;"ENTRADA",Movimientos!$S$2:$S$1994,0)),"-"))</f>
        <v>0</v>
      </c>
      <c r="E48" s="3" t="str">
        <f>IF(A48="","",IFERROR(INDEX(Movimientos!$L$2:$L$1994,MATCH(A48&amp;"ENTRADA",Movimientos!$S$2:$S$1994,0)),"-"))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IF(A49="","",IFERROR(INDEX(Movimientos!$D$2:$D$1994,MATCH(A49&amp;"ENTRADA",Movimientos!$S$2:$S$1994,0)),"-"))</f>
        <v xml:space="preserve">Keylate Zinc Plus </v>
      </c>
      <c r="C49" s="3" t="str">
        <f>IF(A49="","",IFERROR(INDEX(Movimientos!$E$2:$E$1994,MATCH(A49&amp;"ENTRADA",Movimientos!$S$2:$S$1994,0)),"-"))</f>
        <v>Fertilizante</v>
      </c>
      <c r="D49" s="3">
        <f>IF(A49="","",IFERROR(INDEX(Movimientos!$F$2:$F$1994,MATCH(A49&amp;"ENTRADA",Movimientos!$S$2:$S$1994,0)),"-"))</f>
        <v>0</v>
      </c>
      <c r="E49" s="3" t="str">
        <f>IF(A49="","",IFERROR(INDEX(Movimientos!$L$2:$L$1994,MATCH(A49&amp;"ENTRADA",Movimientos!$S$2:$S$1994,0)),"-"))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IF(A50="","",IFERROR(INDEX(Movimientos!$D$2:$D$1994,MATCH(A50&amp;"ENTRADA",Movimientos!$S$2:$S$1994,0)),"-"))</f>
        <v>(Protioconazol 175 g/L + Piraclostrobin 142 g/L + Bixafen 125 g/L – SC)</v>
      </c>
      <c r="C50" s="3" t="str">
        <f>IF(A50="","",IFERROR(INDEX(Movimientos!$E$2:$E$1994,MATCH(A50&amp;"ENTRADA",Movimientos!$S$2:$S$1994,0)),"-"))</f>
        <v>Fungicida</v>
      </c>
      <c r="D50" s="3">
        <f>IF(A50="","",IFERROR(INDEX(Movimientos!$F$2:$F$1994,MATCH(A50&amp;"ENTRADA",Movimientos!$S$2:$S$1994,0)),"-"))</f>
        <v>0</v>
      </c>
      <c r="E50" s="3" t="str">
        <f>IF(A50="","",IFERROR(INDEX(Movimientos!$L$2:$L$1994,MATCH(A50&amp;"ENTRADA",Movimientos!$S$2:$S$1994,0)),"-"))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475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IF(A51="","",IFERROR(INDEX(Movimientos!$D$2:$D$1994,MATCH(A51&amp;"ENTRADA",Movimientos!$S$2:$S$1994,0)),"-"))</f>
        <v>Protioconazol 175g/l trifloxistrobin 150g/l bixafen 125g/l</v>
      </c>
      <c r="C51" s="3" t="str">
        <f>IF(A51="","",IFERROR(INDEX(Movimientos!$E$2:$E$1994,MATCH(A51&amp;"ENTRADA",Movimientos!$S$2:$S$1994,0)),"-"))</f>
        <v>Fungicida</v>
      </c>
      <c r="D51" s="3">
        <f>IF(A51="","",IFERROR(INDEX(Movimientos!$F$2:$F$1994,MATCH(A51&amp;"ENTRADA",Movimientos!$S$2:$S$1994,0)),"-"))</f>
        <v>0</v>
      </c>
      <c r="E51" s="3" t="str">
        <f>IF(A51="","",IFERROR(INDEX(Movimientos!$L$2:$L$1994,MATCH(A51&amp;"ENTRADA",Movimientos!$S$2:$S$1994,0)),"-"))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IF(A52="","",IFERROR(INDEX(Movimientos!$D$2:$D$1994,MATCH(A52&amp;"ENTRADA",Movimientos!$S$2:$S$1994,0)),"-"))</f>
        <v>Florasulam 20,0% Halauxyfen metil 20,85% Equivalente ácido Halauxyfen metil 20,0%</v>
      </c>
      <c r="C52" s="3" t="str">
        <f>IF(A52="","",IFERROR(INDEX(Movimientos!$E$2:$E$1994,MATCH(A52&amp;"ENTRADA",Movimientos!$S$2:$S$1994,0)),"-"))</f>
        <v>Herbicida</v>
      </c>
      <c r="D52" s="3" t="str">
        <f>IF(A52="","",IFERROR(INDEX(Movimientos!$F$2:$F$1994,MATCH(A52&amp;"ENTRADA",Movimientos!$S$2:$S$1994,0)),"-"))</f>
        <v>Postemergente</v>
      </c>
      <c r="E52" s="3" t="str">
        <f>IF(A52="","",IFERROR(INDEX(Movimientos!$L$2:$L$1994,MATCH(A52&amp;"ENTRADA",Movimientos!$S$2:$S$1994,0)),"-"))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IF(A53="","",IFERROR(INDEX(Movimientos!$D$2:$D$1994,MATCH(A53&amp;"ENTRADA",Movimientos!$S$2:$S$1994,0)),"-"))</f>
        <v>cebada osiris</v>
      </c>
      <c r="C53" s="3" t="str">
        <f>IF(A53="","",IFERROR(INDEX(Movimientos!$E$2:$E$1994,MATCH(A53&amp;"ENTRADA",Movimientos!$S$2:$S$1994,0)),"-"))</f>
        <v>Semilla</v>
      </c>
      <c r="D53" s="3" t="str">
        <f>IF(A53="","",IFERROR(INDEX(Movimientos!$F$2:$F$1994,MATCH(A53&amp;"ENTRADA",Movimientos!$S$2:$S$1994,0)),"-"))</f>
        <v>Cebada</v>
      </c>
      <c r="E53" s="3" t="str">
        <f>IF(A53="","",IFERROR(INDEX(Movimientos!$L$2:$L$1994,MATCH(A53&amp;"ENTRADA",Movimientos!$S$2:$S$1994,0)),"-"))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IF(A54="","",IFERROR(INDEX(Movimientos!$D$2:$D$1994,MATCH(A54&amp;"ENTRADA",Movimientos!$S$2:$S$1994,0)),"-"))</f>
        <v>Ácidos Húmicos / L-Triptofano puro / L- Metionina pura / Acreciactiv</v>
      </c>
      <c r="C54" s="3" t="str">
        <f>IF(A54="","",IFERROR(INDEX(Movimientos!$E$2:$E$1994,MATCH(A54&amp;"ENTRADA",Movimientos!$S$2:$S$1994,0)),"-"))</f>
        <v xml:space="preserve">Bioestimulante </v>
      </c>
      <c r="D54" s="3">
        <f>IF(A54="","",IFERROR(INDEX(Movimientos!$F$2:$F$1994,MATCH(A54&amp;"ENTRADA",Movimientos!$S$2:$S$1994,0)),"-"))</f>
        <v>0</v>
      </c>
      <c r="E54" s="3" t="str">
        <f>IF(A54="","",IFERROR(INDEX(Movimientos!$L$2:$L$1994,MATCH(A54&amp;"ENTRADA",Movimientos!$S$2:$S$1994,0)),"-"))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IF(A55="","",IFERROR(INDEX(Movimientos!$D$2:$D$1994,MATCH(A55&amp;"ENTRADA",Movimientos!$S$2:$S$1994,0)),"-"))</f>
        <v>0</v>
      </c>
      <c r="C55" s="3">
        <f>IF(A55="","",IFERROR(INDEX(Movimientos!$E$2:$E$1994,MATCH(A55&amp;"ENTRADA",Movimientos!$S$2:$S$1994,0)),"-"))</f>
        <v>0</v>
      </c>
      <c r="D55" s="3">
        <f>IF(A55="","",IFERROR(INDEX(Movimientos!$F$2:$F$1994,MATCH(A55&amp;"ENTRADA",Movimientos!$S$2:$S$1994,0)),"-"))</f>
        <v>0</v>
      </c>
      <c r="E55" s="3" t="str">
        <f>IF(A55="","",IFERROR(INDEX(Movimientos!$L$2:$L$1994,MATCH(A55&amp;"ENTRADA",Movimientos!$S$2:$S$1994,0)),"-"))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IF(A56="","",IFERROR(INDEX(Movimientos!$D$2:$D$1994,MATCH(A56&amp;"ENTRADA",Movimientos!$S$2:$S$1994,0)),"-"))</f>
        <v xml:space="preserve">fertilizante foliar </v>
      </c>
      <c r="C56" s="3" t="str">
        <f>IF(A56="","",IFERROR(INDEX(Movimientos!$E$2:$E$1994,MATCH(A56&amp;"ENTRADA",Movimientos!$S$2:$S$1994,0)),"-"))</f>
        <v>Fertilizante</v>
      </c>
      <c r="D56" s="3">
        <f>IF(A56="","",IFERROR(INDEX(Movimientos!$F$2:$F$1994,MATCH(A56&amp;"ENTRADA",Movimientos!$S$2:$S$1994,0)),"-"))</f>
        <v>0</v>
      </c>
      <c r="E56" s="3" t="str">
        <f>IF(A56="","",IFERROR(INDEX(Movimientos!$L$2:$L$1994,MATCH(A56&amp;"ENTRADA",Movimientos!$S$2:$S$1994,0)),"-"))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IF(A57="","",IFERROR(INDEX(Movimientos!$D$2:$D$1994,MATCH(A57&amp;"ENTRADA",Movimientos!$S$2:$S$1994,0)),"-"))</f>
        <v/>
      </c>
      <c r="C57" s="3" t="str">
        <f>IF(A57="","",IFERROR(INDEX(Movimientos!$E$2:$E$1994,MATCH(A57&amp;"ENTRADA",Movimientos!$S$2:$S$1994,0)),"-"))</f>
        <v/>
      </c>
      <c r="D57" s="3" t="str">
        <f>IF(A57="","",IFERROR(INDEX(Movimientos!$F$2:$F$1994,MATCH(A57&amp;"ENTRADA",Movimientos!$S$2:$S$1994,0)),"-"))</f>
        <v/>
      </c>
      <c r="E57" s="3" t="str">
        <f>IF(A57="","",IFERROR(INDEX(Movimientos!$L$2:$L$1994,MATCH(A57&amp;"ENTRADA",Movimientos!$S$2:$S$1994,0)),"-"))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IF(A58="","",IFERROR(INDEX(Movimientos!$D$2:$D$1994,MATCH(A58&amp;"ENTRADA",Movimientos!$S$2:$S$1994,0)),"-"))</f>
        <v/>
      </c>
      <c r="C58" s="3" t="str">
        <f>IF(A58="","",IFERROR(INDEX(Movimientos!$E$2:$E$1994,MATCH(A58&amp;"ENTRADA",Movimientos!$S$2:$S$1994,0)),"-"))</f>
        <v/>
      </c>
      <c r="D58" s="3" t="str">
        <f>IF(A58="","",IFERROR(INDEX(Movimientos!$F$2:$F$1994,MATCH(A58&amp;"ENTRADA",Movimientos!$S$2:$S$1994,0)),"-"))</f>
        <v/>
      </c>
      <c r="E58" s="3" t="str">
        <f>IF(A58="","",IFERROR(INDEX(Movimientos!$L$2:$L$1994,MATCH(A58&amp;"ENTRADA",Movimientos!$S$2:$S$1994,0)),"-"))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IF(A59="","",IFERROR(INDEX(Movimientos!$D$2:$D$1994,MATCH(A59&amp;"ENTRADA",Movimientos!$S$2:$S$1994,0)),"-"))</f>
        <v/>
      </c>
      <c r="C59" s="3" t="str">
        <f>IF(A59="","",IFERROR(INDEX(Movimientos!$E$2:$E$1994,MATCH(A59&amp;"ENTRADA",Movimientos!$S$2:$S$1994,0)),"-"))</f>
        <v/>
      </c>
      <c r="D59" s="3" t="str">
        <f>IF(A59="","",IFERROR(INDEX(Movimientos!$F$2:$F$1994,MATCH(A59&amp;"ENTRADA",Movimientos!$S$2:$S$1994,0)),"-"))</f>
        <v/>
      </c>
      <c r="E59" s="3" t="str">
        <f>IF(A59="","",IFERROR(INDEX(Movimientos!$L$2:$L$1994,MATCH(A59&amp;"ENTRADA",Movimientos!$S$2:$S$1994,0)),"-"))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IF(A60="","",IFERROR(INDEX(Movimientos!$D$2:$D$1994,MATCH(A60&amp;"ENTRADA",Movimientos!$S$2:$S$1994,0)),"-"))</f>
        <v/>
      </c>
      <c r="C60" s="3" t="str">
        <f>IF(A60="","",IFERROR(INDEX(Movimientos!$E$2:$E$1994,MATCH(A60&amp;"ENTRADA",Movimientos!$S$2:$S$1994,0)),"-"))</f>
        <v/>
      </c>
      <c r="D60" s="3" t="str">
        <f>IF(A60="","",IFERROR(INDEX(Movimientos!$F$2:$F$1994,MATCH(A60&amp;"ENTRADA",Movimientos!$S$2:$S$1994,0)),"-"))</f>
        <v/>
      </c>
      <c r="E60" s="3" t="str">
        <f>IF(A60="","",IFERROR(INDEX(Movimientos!$L$2:$L$1994,MATCH(A60&amp;"ENTRADA",Movimientos!$S$2:$S$1994,0)),"-"))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IF(A61="","",IFERROR(INDEX(Movimientos!$D$2:$D$1994,MATCH(A61&amp;"ENTRADA",Movimientos!$S$2:$S$1994,0)),"-"))</f>
        <v/>
      </c>
      <c r="C61" s="3" t="str">
        <f>IF(A61="","",IFERROR(INDEX(Movimientos!$E$2:$E$1994,MATCH(A61&amp;"ENTRADA",Movimientos!$S$2:$S$1994,0)),"-"))</f>
        <v/>
      </c>
      <c r="D61" s="3" t="str">
        <f>IF(A61="","",IFERROR(INDEX(Movimientos!$F$2:$F$1994,MATCH(A61&amp;"ENTRADA",Movimientos!$S$2:$S$1994,0)),"-"))</f>
        <v/>
      </c>
      <c r="E61" s="3" t="str">
        <f>IF(A61="","",IFERROR(INDEX(Movimientos!$L$2:$L$1994,MATCH(A61&amp;"ENTRADA",Movimientos!$S$2:$S$1994,0)),"-"))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IF(A62="","",IFERROR(INDEX(Movimientos!$D$2:$D$1994,MATCH(A62&amp;"ENTRADA",Movimientos!$S$2:$S$1994,0)),"-"))</f>
        <v/>
      </c>
      <c r="C62" s="3" t="str">
        <f>IF(A62="","",IFERROR(INDEX(Movimientos!$E$2:$E$1994,MATCH(A62&amp;"ENTRADA",Movimientos!$S$2:$S$1994,0)),"-"))</f>
        <v/>
      </c>
      <c r="D62" s="3" t="str">
        <f>IF(A62="","",IFERROR(INDEX(Movimientos!$F$2:$F$1994,MATCH(A62&amp;"ENTRADA",Movimientos!$S$2:$S$1994,0)),"-"))</f>
        <v/>
      </c>
      <c r="E62" s="3" t="str">
        <f>IF(A62="","",IFERROR(INDEX(Movimientos!$L$2:$L$1994,MATCH(A62&amp;"ENTRADA",Movimientos!$S$2:$S$1994,0)),"-"))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IF(A63="","",IFERROR(INDEX(Movimientos!$D$2:$D$1994,MATCH(A63&amp;"ENTRADA",Movimientos!$S$2:$S$1994,0)),"-"))</f>
        <v/>
      </c>
      <c r="C63" s="3" t="str">
        <f>IF(A63="","",IFERROR(INDEX(Movimientos!$E$2:$E$1994,MATCH(A63&amp;"ENTRADA",Movimientos!$S$2:$S$1994,0)),"-"))</f>
        <v/>
      </c>
      <c r="D63" s="3" t="str">
        <f>IF(A63="","",IFERROR(INDEX(Movimientos!$F$2:$F$1994,MATCH(A63&amp;"ENTRADA",Movimientos!$S$2:$S$1994,0)),"-"))</f>
        <v/>
      </c>
      <c r="E63" s="3" t="str">
        <f>IF(A63="","",IFERROR(INDEX(Movimientos!$L$2:$L$1994,MATCH(A63&amp;"ENTRADA",Movimientos!$S$2:$S$1994,0)),"-"))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IF(A64="","",IFERROR(INDEX(Movimientos!$D$2:$D$1994,MATCH(A64&amp;"ENTRADA",Movimientos!$S$2:$S$1994,0)),"-"))</f>
        <v/>
      </c>
      <c r="C64" s="3" t="str">
        <f>IF(A64="","",IFERROR(INDEX(Movimientos!$E$2:$E$1994,MATCH(A64&amp;"ENTRADA",Movimientos!$S$2:$S$1994,0)),"-"))</f>
        <v/>
      </c>
      <c r="D64" s="3" t="str">
        <f>IF(A64="","",IFERROR(INDEX(Movimientos!$F$2:$F$1994,MATCH(A64&amp;"ENTRADA",Movimientos!$S$2:$S$1994,0)),"-"))</f>
        <v/>
      </c>
      <c r="E64" s="3" t="str">
        <f>IF(A64="","",IFERROR(INDEX(Movimientos!$L$2:$L$1994,MATCH(A64&amp;"ENTRADA",Movimientos!$S$2:$S$1994,0)),"-"))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IF(A65="","",IFERROR(INDEX(Movimientos!$D$2:$D$1994,MATCH(A65&amp;"ENTRADA",Movimientos!$S$2:$S$1994,0)),"-"))</f>
        <v/>
      </c>
      <c r="C65" s="3" t="str">
        <f>IF(A65="","",IFERROR(INDEX(Movimientos!$E$2:$E$1994,MATCH(A65&amp;"ENTRADA",Movimientos!$S$2:$S$1994,0)),"-"))</f>
        <v/>
      </c>
      <c r="D65" s="3" t="str">
        <f>IF(A65="","",IFERROR(INDEX(Movimientos!$F$2:$F$1994,MATCH(A65&amp;"ENTRADA",Movimientos!$S$2:$S$1994,0)),"-"))</f>
        <v/>
      </c>
      <c r="E65" s="3" t="str">
        <f>IF(A65="","",IFERROR(INDEX(Movimientos!$L$2:$L$1994,MATCH(A65&amp;"ENTRADA",Movimientos!$S$2:$S$1994,0)),"-"))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IF(A66="","",IFERROR(INDEX(Movimientos!$D$2:$D$1994,MATCH(A66&amp;"ENTRADA",Movimientos!$S$2:$S$1994,0)),"-"))</f>
        <v/>
      </c>
      <c r="C66" s="3" t="str">
        <f>IF(A66="","",IFERROR(INDEX(Movimientos!$E$2:$E$1994,MATCH(A66&amp;"ENTRADA",Movimientos!$S$2:$S$1994,0)),"-"))</f>
        <v/>
      </c>
      <c r="D66" s="3" t="str">
        <f>IF(A66="","",IFERROR(INDEX(Movimientos!$F$2:$F$1994,MATCH(A66&amp;"ENTRADA",Movimientos!$S$2:$S$1994,0)),"-"))</f>
        <v/>
      </c>
      <c r="E66" s="3" t="str">
        <f>IF(A66="","",IFERROR(INDEX(Movimientos!$L$2:$L$1994,MATCH(A66&amp;"ENTRADA",Movimientos!$S$2:$S$1994,0)),"-"))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IF(A67="","",IFERROR(INDEX(Movimientos!$D$2:$D$1994,MATCH(A67&amp;"ENTRADA",Movimientos!$S$2:$S$1994,0)),"-"))</f>
        <v/>
      </c>
      <c r="C67" s="3" t="str">
        <f>IF(A67="","",IFERROR(INDEX(Movimientos!$E$2:$E$1994,MATCH(A67&amp;"ENTRADA",Movimientos!$S$2:$S$1994,0)),"-"))</f>
        <v/>
      </c>
      <c r="D67" s="3" t="str">
        <f>IF(A67="","",IFERROR(INDEX(Movimientos!$F$2:$F$1994,MATCH(A67&amp;"ENTRADA",Movimientos!$S$2:$S$1994,0)),"-"))</f>
        <v/>
      </c>
      <c r="E67" s="3" t="str">
        <f>IF(A67="","",IFERROR(INDEX(Movimientos!$L$2:$L$1994,MATCH(A67&amp;"ENTRADA",Movimientos!$S$2:$S$1994,0)),"-"))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IF(A68="","",IFERROR(INDEX(Movimientos!$D$2:$D$1994,MATCH(A68&amp;"ENTRADA",Movimientos!$S$2:$S$1994,0)),"-"))</f>
        <v/>
      </c>
      <c r="C68" s="3" t="str">
        <f>IF(A68="","",IFERROR(INDEX(Movimientos!$E$2:$E$1994,MATCH(A68&amp;"ENTRADA",Movimientos!$S$2:$S$1994,0)),"-"))</f>
        <v/>
      </c>
      <c r="D68" s="3" t="str">
        <f>IF(A68="","",IFERROR(INDEX(Movimientos!$F$2:$F$1994,MATCH(A68&amp;"ENTRADA",Movimientos!$S$2:$S$1994,0)),"-"))</f>
        <v/>
      </c>
      <c r="E68" s="3" t="str">
        <f>IF(A68="","",IFERROR(INDEX(Movimientos!$L$2:$L$1994,MATCH(A68&amp;"ENTRADA",Movimientos!$S$2:$S$1994,0)),"-"))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IF(A69="","",IFERROR(INDEX(Movimientos!$D$2:$D$1994,MATCH(A69&amp;"ENTRADA",Movimientos!$S$2:$S$1994,0)),"-"))</f>
        <v/>
      </c>
      <c r="C69" s="3" t="str">
        <f>IF(A69="","",IFERROR(INDEX(Movimientos!$E$2:$E$1994,MATCH(A69&amp;"ENTRADA",Movimientos!$S$2:$S$1994,0)),"-"))</f>
        <v/>
      </c>
      <c r="D69" s="3" t="str">
        <f>IF(A69="","",IFERROR(INDEX(Movimientos!$F$2:$F$1994,MATCH(A69&amp;"ENTRADA",Movimientos!$S$2:$S$1994,0)),"-"))</f>
        <v/>
      </c>
      <c r="E69" s="3" t="str">
        <f>IF(A69="","",IFERROR(INDEX(Movimientos!$L$2:$L$1994,MATCH(A69&amp;"ENTRADA",Movimientos!$S$2:$S$1994,0)),"-"))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IF(A70="","",IFERROR(INDEX(Movimientos!$D$2:$D$1994,MATCH(A70&amp;"ENTRADA",Movimientos!$S$2:$S$1994,0)),"-"))</f>
        <v/>
      </c>
      <c r="C70" s="3" t="str">
        <f>IF(A70="","",IFERROR(INDEX(Movimientos!$E$2:$E$1994,MATCH(A70&amp;"ENTRADA",Movimientos!$S$2:$S$1994,0)),"-"))</f>
        <v/>
      </c>
      <c r="D70" s="3" t="str">
        <f>IF(A70="","",IFERROR(INDEX(Movimientos!$F$2:$F$1994,MATCH(A70&amp;"ENTRADA",Movimientos!$S$2:$S$1994,0)),"-"))</f>
        <v/>
      </c>
      <c r="E70" s="3" t="str">
        <f>IF(A70="","",IFERROR(INDEX(Movimientos!$L$2:$L$1994,MATCH(A70&amp;"ENTRADA",Movimientos!$S$2:$S$1994,0)),"-"))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IF(A71="","",IFERROR(INDEX(Movimientos!$D$2:$D$1994,MATCH(A71&amp;"ENTRADA",Movimientos!$S$2:$S$1994,0)),"-"))</f>
        <v/>
      </c>
      <c r="C71" s="3" t="str">
        <f>IF(A71="","",IFERROR(INDEX(Movimientos!$E$2:$E$1994,MATCH(A71&amp;"ENTRADA",Movimientos!$S$2:$S$1994,0)),"-"))</f>
        <v/>
      </c>
      <c r="D71" s="3" t="str">
        <f>IF(A71="","",IFERROR(INDEX(Movimientos!$F$2:$F$1994,MATCH(A71&amp;"ENTRADA",Movimientos!$S$2:$S$1994,0)),"-"))</f>
        <v/>
      </c>
      <c r="E71" s="3" t="str">
        <f>IF(A71="","",IFERROR(INDEX(Movimientos!$L$2:$L$1994,MATCH(A71&amp;"ENTRADA",Movimientos!$S$2:$S$1994,0)),"-"))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IF(A72="","",IFERROR(INDEX(Movimientos!$D$2:$D$1994,MATCH(A72&amp;"ENTRADA",Movimientos!$S$2:$S$1994,0)),"-"))</f>
        <v/>
      </c>
      <c r="C72" s="3" t="str">
        <f>IF(A72="","",IFERROR(INDEX(Movimientos!$E$2:$E$1994,MATCH(A72&amp;"ENTRADA",Movimientos!$S$2:$S$1994,0)),"-"))</f>
        <v/>
      </c>
      <c r="D72" s="3" t="str">
        <f>IF(A72="","",IFERROR(INDEX(Movimientos!$F$2:$F$1994,MATCH(A72&amp;"ENTRADA",Movimientos!$S$2:$S$1994,0)),"-"))</f>
        <v/>
      </c>
      <c r="E72" s="3" t="str">
        <f>IF(A72="","",IFERROR(INDEX(Movimientos!$L$2:$L$1994,MATCH(A72&amp;"ENTRADA",Movimientos!$S$2:$S$1994,0)),"-"))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IF(A73="","",IFERROR(INDEX(Movimientos!$D$2:$D$1994,MATCH(A73&amp;"ENTRADA",Movimientos!$S$2:$S$1994,0)),"-"))</f>
        <v/>
      </c>
      <c r="C73" s="3" t="str">
        <f>IF(A73="","",IFERROR(INDEX(Movimientos!$E$2:$E$1994,MATCH(A73&amp;"ENTRADA",Movimientos!$S$2:$S$1994,0)),"-"))</f>
        <v/>
      </c>
      <c r="D73" s="3" t="str">
        <f>IF(A73="","",IFERROR(INDEX(Movimientos!$F$2:$F$1994,MATCH(A73&amp;"ENTRADA",Movimientos!$S$2:$S$1994,0)),"-"))</f>
        <v/>
      </c>
      <c r="E73" s="3" t="str">
        <f>IF(A73="","",IFERROR(INDEX(Movimientos!$L$2:$L$1994,MATCH(A73&amp;"ENTRADA",Movimientos!$S$2:$S$1994,0)),"-"))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IF(A74="","",IFERROR(INDEX(Movimientos!$D$2:$D$1994,MATCH(A74&amp;"ENTRADA",Movimientos!$S$2:$S$1994,0)),"-"))</f>
        <v/>
      </c>
      <c r="C74" s="3" t="str">
        <f>IF(A74="","",IFERROR(INDEX(Movimientos!$E$2:$E$1994,MATCH(A74&amp;"ENTRADA",Movimientos!$S$2:$S$1994,0)),"-"))</f>
        <v/>
      </c>
      <c r="D74" s="3" t="str">
        <f>IF(A74="","",IFERROR(INDEX(Movimientos!$F$2:$F$1994,MATCH(A74&amp;"ENTRADA",Movimientos!$S$2:$S$1994,0)),"-"))</f>
        <v/>
      </c>
      <c r="E74" s="3" t="str">
        <f>IF(A74="","",IFERROR(INDEX(Movimientos!$L$2:$L$1994,MATCH(A74&amp;"ENTRADA",Movimientos!$S$2:$S$1994,0)),"-"))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IF(A75="","",IFERROR(INDEX(Movimientos!$D$2:$D$1994,MATCH(A75&amp;"ENTRADA",Movimientos!$S$2:$S$1994,0)),"-"))</f>
        <v/>
      </c>
      <c r="C75" s="3" t="str">
        <f>IF(A75="","",IFERROR(INDEX(Movimientos!$E$2:$E$1994,MATCH(A75&amp;"ENTRADA",Movimientos!$S$2:$S$1994,0)),"-"))</f>
        <v/>
      </c>
      <c r="D75" s="3" t="str">
        <f>IF(A75="","",IFERROR(INDEX(Movimientos!$F$2:$F$1994,MATCH(A75&amp;"ENTRADA",Movimientos!$S$2:$S$1994,0)),"-"))</f>
        <v/>
      </c>
      <c r="E75" s="3" t="str">
        <f>IF(A75="","",IFERROR(INDEX(Movimientos!$L$2:$L$1994,MATCH(A75&amp;"ENTRADA",Movimientos!$S$2:$S$1994,0)),"-"))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IF(A76="","",IFERROR(INDEX(Movimientos!$D$2:$D$1994,MATCH(A76&amp;"ENTRADA",Movimientos!$S$2:$S$1994,0)),"-"))</f>
        <v/>
      </c>
      <c r="C76" s="3" t="str">
        <f>IF(A76="","",IFERROR(INDEX(Movimientos!$E$2:$E$1994,MATCH(A76&amp;"ENTRADA",Movimientos!$S$2:$S$1994,0)),"-"))</f>
        <v/>
      </c>
      <c r="D76" s="3" t="str">
        <f>IF(A76="","",IFERROR(INDEX(Movimientos!$F$2:$F$1994,MATCH(A76&amp;"ENTRADA",Movimientos!$S$2:$S$1994,0)),"-"))</f>
        <v/>
      </c>
      <c r="E76" s="3" t="str">
        <f>IF(A76="","",IFERROR(INDEX(Movimientos!$L$2:$L$1994,MATCH(A76&amp;"ENTRADA",Movimientos!$S$2:$S$1994,0)),"-"))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IF(A77="","",IFERROR(INDEX(Movimientos!$D$2:$D$1994,MATCH(A77&amp;"ENTRADA",Movimientos!$S$2:$S$1994,0)),"-"))</f>
        <v/>
      </c>
      <c r="C77" s="3" t="str">
        <f>IF(A77="","",IFERROR(INDEX(Movimientos!$E$2:$E$1994,MATCH(A77&amp;"ENTRADA",Movimientos!$S$2:$S$1994,0)),"-"))</f>
        <v/>
      </c>
      <c r="D77" s="3" t="str">
        <f>IF(A77="","",IFERROR(INDEX(Movimientos!$F$2:$F$1994,MATCH(A77&amp;"ENTRADA",Movimientos!$S$2:$S$1994,0)),"-"))</f>
        <v/>
      </c>
      <c r="E77" s="3" t="str">
        <f>IF(A77="","",IFERROR(INDEX(Movimientos!$L$2:$L$1994,MATCH(A77&amp;"ENTRADA",Movimientos!$S$2:$S$1994,0)),"-"))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IF(A78="","",IFERROR(INDEX(Movimientos!$D$2:$D$1994,MATCH(A78&amp;"ENTRADA",Movimientos!$S$2:$S$1994,0)),"-"))</f>
        <v/>
      </c>
      <c r="C78" s="3" t="str">
        <f>IF(A78="","",IFERROR(INDEX(Movimientos!$E$2:$E$1994,MATCH(A78&amp;"ENTRADA",Movimientos!$S$2:$S$1994,0)),"-"))</f>
        <v/>
      </c>
      <c r="D78" s="3" t="str">
        <f>IF(A78="","",IFERROR(INDEX(Movimientos!$F$2:$F$1994,MATCH(A78&amp;"ENTRADA",Movimientos!$S$2:$S$1994,0)),"-"))</f>
        <v/>
      </c>
      <c r="E78" s="3" t="str">
        <f>IF(A78="","",IFERROR(INDEX(Movimientos!$L$2:$L$1994,MATCH(A78&amp;"ENTRADA",Movimientos!$S$2:$S$1994,0)),"-"))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IF(A79="","",IFERROR(INDEX(Movimientos!$D$2:$D$1994,MATCH(A79&amp;"ENTRADA",Movimientos!$S$2:$S$1994,0)),"-"))</f>
        <v/>
      </c>
      <c r="C79" s="3" t="str">
        <f>IF(A79="","",IFERROR(INDEX(Movimientos!$E$2:$E$1994,MATCH(A79&amp;"ENTRADA",Movimientos!$S$2:$S$1994,0)),"-"))</f>
        <v/>
      </c>
      <c r="D79" s="3" t="str">
        <f>IF(A79="","",IFERROR(INDEX(Movimientos!$F$2:$F$1994,MATCH(A79&amp;"ENTRADA",Movimientos!$S$2:$S$1994,0)),"-"))</f>
        <v/>
      </c>
      <c r="E79" s="3" t="str">
        <f>IF(A79="","",IFERROR(INDEX(Movimientos!$L$2:$L$1994,MATCH(A79&amp;"ENTRADA",Movimientos!$S$2:$S$1994,0)),"-"))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IF(A80="","",IFERROR(INDEX(Movimientos!$D$2:$D$1994,MATCH(A80&amp;"ENTRADA",Movimientos!$S$2:$S$1994,0)),"-"))</f>
        <v/>
      </c>
      <c r="C80" s="3" t="str">
        <f>IF(A80="","",IFERROR(INDEX(Movimientos!$E$2:$E$1994,MATCH(A80&amp;"ENTRADA",Movimientos!$S$2:$S$1994,0)),"-"))</f>
        <v/>
      </c>
      <c r="D80" s="3" t="str">
        <f>IF(A80="","",IFERROR(INDEX(Movimientos!$F$2:$F$1994,MATCH(A80&amp;"ENTRADA",Movimientos!$S$2:$S$1994,0)),"-"))</f>
        <v/>
      </c>
      <c r="E80" s="3" t="str">
        <f>IF(A80="","",IFERROR(INDEX(Movimientos!$L$2:$L$1994,MATCH(A80&amp;"ENTRADA",Movimientos!$S$2:$S$1994,0)),"-"))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IF(A81="","",IFERROR(INDEX(Movimientos!$D$2:$D$1994,MATCH(A81&amp;"ENTRADA",Movimientos!$S$2:$S$1994,0)),"-"))</f>
        <v/>
      </c>
      <c r="C81" s="3" t="str">
        <f>IF(A81="","",IFERROR(INDEX(Movimientos!$E$2:$E$1994,MATCH(A81&amp;"ENTRADA",Movimientos!$S$2:$S$1994,0)),"-"))</f>
        <v/>
      </c>
      <c r="D81" s="3" t="str">
        <f>IF(A81="","",IFERROR(INDEX(Movimientos!$F$2:$F$1994,MATCH(A81&amp;"ENTRADA",Movimientos!$S$2:$S$1994,0)),"-"))</f>
        <v/>
      </c>
      <c r="E81" s="3" t="str">
        <f>IF(A81="","",IFERROR(INDEX(Movimientos!$L$2:$L$1994,MATCH(A81&amp;"ENTRADA",Movimientos!$S$2:$S$1994,0)),"-"))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IF(A82="","",IFERROR(INDEX(Movimientos!$D$2:$D$1994,MATCH(A82&amp;"ENTRADA",Movimientos!$S$2:$S$1994,0)),"-"))</f>
        <v/>
      </c>
      <c r="C82" s="3" t="str">
        <f>IF(A82="","",IFERROR(INDEX(Movimientos!$E$2:$E$1994,MATCH(A82&amp;"ENTRADA",Movimientos!$S$2:$S$1994,0)),"-"))</f>
        <v/>
      </c>
      <c r="D82" s="3" t="str">
        <f>IF(A82="","",IFERROR(INDEX(Movimientos!$F$2:$F$1994,MATCH(A82&amp;"ENTRADA",Movimientos!$S$2:$S$1994,0)),"-"))</f>
        <v/>
      </c>
      <c r="E82" s="3" t="str">
        <f>IF(A82="","",IFERROR(INDEX(Movimientos!$L$2:$L$1994,MATCH(A82&amp;"ENTRADA",Movimientos!$S$2:$S$1994,0)),"-"))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IF(A83="","",IFERROR(INDEX(Movimientos!$D$2:$D$1994,MATCH(A83&amp;"ENTRADA",Movimientos!$S$2:$S$1994,0)),"-"))</f>
        <v/>
      </c>
      <c r="C83" s="3" t="str">
        <f>IF(A83="","",IFERROR(INDEX(Movimientos!$E$2:$E$1994,MATCH(A83&amp;"ENTRADA",Movimientos!$S$2:$S$1994,0)),"-"))</f>
        <v/>
      </c>
      <c r="D83" s="3" t="str">
        <f>IF(A83="","",IFERROR(INDEX(Movimientos!$F$2:$F$1994,MATCH(A83&amp;"ENTRADA",Movimientos!$S$2:$S$1994,0)),"-"))</f>
        <v/>
      </c>
      <c r="E83" s="3" t="str">
        <f>IF(A83="","",IFERROR(INDEX(Movimientos!$L$2:$L$1994,MATCH(A83&amp;"ENTRADA",Movimientos!$S$2:$S$1994,0)),"-"))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IF(A84="","",IFERROR(INDEX(Movimientos!$D$2:$D$1994,MATCH(A84&amp;"ENTRADA",Movimientos!$S$2:$S$1994,0)),"-"))</f>
        <v/>
      </c>
      <c r="C84" s="3" t="str">
        <f>IF(A84="","",IFERROR(INDEX(Movimientos!$E$2:$E$1994,MATCH(A84&amp;"ENTRADA",Movimientos!$S$2:$S$1994,0)),"-"))</f>
        <v/>
      </c>
      <c r="D84" s="3" t="str">
        <f>IF(A84="","",IFERROR(INDEX(Movimientos!$F$2:$F$1994,MATCH(A84&amp;"ENTRADA",Movimientos!$S$2:$S$1994,0)),"-"))</f>
        <v/>
      </c>
      <c r="E84" s="3" t="str">
        <f>IF(A84="","",IFERROR(INDEX(Movimientos!$L$2:$L$1994,MATCH(A84&amp;"ENTRADA",Movimientos!$S$2:$S$1994,0)),"-"))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IF(A85="","",IFERROR(INDEX(Movimientos!$D$2:$D$1994,MATCH(A85&amp;"ENTRADA",Movimientos!$S$2:$S$1994,0)),"-"))</f>
        <v/>
      </c>
      <c r="C85" s="3" t="str">
        <f>IF(A85="","",IFERROR(INDEX(Movimientos!$E$2:$E$1994,MATCH(A85&amp;"ENTRADA",Movimientos!$S$2:$S$1994,0)),"-"))</f>
        <v/>
      </c>
      <c r="D85" s="3" t="str">
        <f>IF(A85="","",IFERROR(INDEX(Movimientos!$F$2:$F$1994,MATCH(A85&amp;"ENTRADA",Movimientos!$S$2:$S$1994,0)),"-"))</f>
        <v/>
      </c>
      <c r="E85" s="3" t="str">
        <f>IF(A85="","",IFERROR(INDEX(Movimientos!$L$2:$L$1994,MATCH(A85&amp;"ENTRADA",Movimientos!$S$2:$S$1994,0)),"-"))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IF(A86="","",IFERROR(INDEX(Movimientos!$D$2:$D$1994,MATCH(A86&amp;"ENTRADA",Movimientos!$S$2:$S$1994,0)),"-"))</f>
        <v/>
      </c>
      <c r="C86" s="3" t="str">
        <f>IF(A86="","",IFERROR(INDEX(Movimientos!$E$2:$E$1994,MATCH(A86&amp;"ENTRADA",Movimientos!$S$2:$S$1994,0)),"-"))</f>
        <v/>
      </c>
      <c r="D86" s="3" t="str">
        <f>IF(A86="","",IFERROR(INDEX(Movimientos!$F$2:$F$1994,MATCH(A86&amp;"ENTRADA",Movimientos!$S$2:$S$1994,0)),"-"))</f>
        <v/>
      </c>
      <c r="E86" s="3" t="str">
        <f>IF(A86="","",IFERROR(INDEX(Movimientos!$L$2:$L$1994,MATCH(A86&amp;"ENTRADA",Movimientos!$S$2:$S$1994,0)),"-"))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IF(A87="","",IFERROR(INDEX(Movimientos!$D$2:$D$1994,MATCH(A87&amp;"ENTRADA",Movimientos!$S$2:$S$1994,0)),"-"))</f>
        <v/>
      </c>
      <c r="C87" s="3" t="str">
        <f>IF(A87="","",IFERROR(INDEX(Movimientos!$E$2:$E$1994,MATCH(A87&amp;"ENTRADA",Movimientos!$S$2:$S$1994,0)),"-"))</f>
        <v/>
      </c>
      <c r="D87" s="3" t="str">
        <f>IF(A87="","",IFERROR(INDEX(Movimientos!$F$2:$F$1994,MATCH(A87&amp;"ENTRADA",Movimientos!$S$2:$S$1994,0)),"-"))</f>
        <v/>
      </c>
      <c r="E87" s="3" t="str">
        <f>IF(A87="","",IFERROR(INDEX(Movimientos!$L$2:$L$1994,MATCH(A87&amp;"ENTRADA",Movimientos!$S$2:$S$1994,0)),"-"))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IF(A88="","",IFERROR(INDEX(Movimientos!$D$2:$D$1994,MATCH(A88&amp;"ENTRADA",Movimientos!$S$2:$S$1994,0)),"-"))</f>
        <v/>
      </c>
      <c r="C88" s="3" t="str">
        <f>IF(A88="","",IFERROR(INDEX(Movimientos!$E$2:$E$1994,MATCH(A88&amp;"ENTRADA",Movimientos!$S$2:$S$1994,0)),"-"))</f>
        <v/>
      </c>
      <c r="D88" s="3" t="str">
        <f>IF(A88="","",IFERROR(INDEX(Movimientos!$F$2:$F$1994,MATCH(A88&amp;"ENTRADA",Movimientos!$S$2:$S$1994,0)),"-"))</f>
        <v/>
      </c>
      <c r="E88" s="3" t="str">
        <f>IF(A88="","",IFERROR(INDEX(Movimientos!$L$2:$L$1994,MATCH(A88&amp;"ENTRADA",Movimientos!$S$2:$S$1994,0)),"-"))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IF(A89="","",IFERROR(INDEX(Movimientos!$D$2:$D$1994,MATCH(A89&amp;"ENTRADA",Movimientos!$S$2:$S$1994,0)),"-"))</f>
        <v/>
      </c>
      <c r="C89" s="3" t="str">
        <f>IF(A89="","",IFERROR(INDEX(Movimientos!$E$2:$E$1994,MATCH(A89&amp;"ENTRADA",Movimientos!$S$2:$S$1994,0)),"-"))</f>
        <v/>
      </c>
      <c r="D89" s="3" t="str">
        <f>IF(A89="","",IFERROR(INDEX(Movimientos!$F$2:$F$1994,MATCH(A89&amp;"ENTRADA",Movimientos!$S$2:$S$1994,0)),"-"))</f>
        <v/>
      </c>
      <c r="E89" s="3" t="str">
        <f>IF(A89="","",IFERROR(INDEX(Movimientos!$L$2:$L$1994,MATCH(A89&amp;"ENTRADA",Movimientos!$S$2:$S$1994,0)),"-"))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IF(A90="","",IFERROR(INDEX(Movimientos!$D$2:$D$1994,MATCH(A90&amp;"ENTRADA",Movimientos!$S$2:$S$1994,0)),"-"))</f>
        <v/>
      </c>
      <c r="C90" s="3" t="str">
        <f>IF(A90="","",IFERROR(INDEX(Movimientos!$E$2:$E$1994,MATCH(A90&amp;"ENTRADA",Movimientos!$S$2:$S$1994,0)),"-"))</f>
        <v/>
      </c>
      <c r="D90" s="3" t="str">
        <f>IF(A90="","",IFERROR(INDEX(Movimientos!$F$2:$F$1994,MATCH(A90&amp;"ENTRADA",Movimientos!$S$2:$S$1994,0)),"-"))</f>
        <v/>
      </c>
      <c r="E90" s="3" t="str">
        <f>IF(A90="","",IFERROR(INDEX(Movimientos!$L$2:$L$1994,MATCH(A90&amp;"ENTRADA",Movimientos!$S$2:$S$1994,0)),"-"))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IF(A91="","",IFERROR(INDEX(Movimientos!$D$2:$D$1994,MATCH(A91&amp;"ENTRADA",Movimientos!$S$2:$S$1994,0)),"-"))</f>
        <v/>
      </c>
      <c r="C91" s="3" t="str">
        <f>IF(A91="","",IFERROR(INDEX(Movimientos!$E$2:$E$1994,MATCH(A91&amp;"ENTRADA",Movimientos!$S$2:$S$1994,0)),"-"))</f>
        <v/>
      </c>
      <c r="D91" s="3" t="str">
        <f>IF(A91="","",IFERROR(INDEX(Movimientos!$F$2:$F$1994,MATCH(A91&amp;"ENTRADA",Movimientos!$S$2:$S$1994,0)),"-"))</f>
        <v/>
      </c>
      <c r="E91" s="3" t="str">
        <f>IF(A91="","",IFERROR(INDEX(Movimientos!$L$2:$L$1994,MATCH(A91&amp;"ENTRADA",Movimientos!$S$2:$S$1994,0)),"-"))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IF(A92="","",IFERROR(INDEX(Movimientos!$D$2:$D$1994,MATCH(A92&amp;"ENTRADA",Movimientos!$S$2:$S$1994,0)),"-"))</f>
        <v/>
      </c>
      <c r="C92" s="3" t="str">
        <f>IF(A92="","",IFERROR(INDEX(Movimientos!$E$2:$E$1994,MATCH(A92&amp;"ENTRADA",Movimientos!$S$2:$S$1994,0)),"-"))</f>
        <v/>
      </c>
      <c r="D92" s="3" t="str">
        <f>IF(A92="","",IFERROR(INDEX(Movimientos!$F$2:$F$1994,MATCH(A92&amp;"ENTRADA",Movimientos!$S$2:$S$1994,0)),"-"))</f>
        <v/>
      </c>
      <c r="E92" s="3" t="str">
        <f>IF(A92="","",IFERROR(INDEX(Movimientos!$L$2:$L$1994,MATCH(A92&amp;"ENTRADA",Movimientos!$S$2:$S$1994,0)),"-"))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IF(A93="","",IFERROR(INDEX(Movimientos!$D$2:$D$1994,MATCH(A93&amp;"ENTRADA",Movimientos!$S$2:$S$1994,0)),"-"))</f>
        <v/>
      </c>
      <c r="C93" s="3" t="str">
        <f>IF(A93="","",IFERROR(INDEX(Movimientos!$E$2:$E$1994,MATCH(A93&amp;"ENTRADA",Movimientos!$S$2:$S$1994,0)),"-"))</f>
        <v/>
      </c>
      <c r="D93" s="3" t="str">
        <f>IF(A93="","",IFERROR(INDEX(Movimientos!$F$2:$F$1994,MATCH(A93&amp;"ENTRADA",Movimientos!$S$2:$S$1994,0)),"-"))</f>
        <v/>
      </c>
      <c r="E93" s="3" t="str">
        <f>IF(A93="","",IFERROR(INDEX(Movimientos!$L$2:$L$1994,MATCH(A93&amp;"ENTRADA",Movimientos!$S$2:$S$1994,0)),"-"))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IF(A94="","",IFERROR(INDEX(Movimientos!$D$2:$D$1994,MATCH(A94&amp;"ENTRADA",Movimientos!$S$2:$S$1994,0)),"-"))</f>
        <v/>
      </c>
      <c r="C94" s="3" t="str">
        <f>IF(A94="","",IFERROR(INDEX(Movimientos!$E$2:$E$1994,MATCH(A94&amp;"ENTRADA",Movimientos!$S$2:$S$1994,0)),"-"))</f>
        <v/>
      </c>
      <c r="D94" s="3" t="str">
        <f>IF(A94="","",IFERROR(INDEX(Movimientos!$F$2:$F$1994,MATCH(A94&amp;"ENTRADA",Movimientos!$S$2:$S$1994,0)),"-"))</f>
        <v/>
      </c>
      <c r="E94" s="3" t="str">
        <f>IF(A94="","",IFERROR(INDEX(Movimientos!$L$2:$L$1994,MATCH(A94&amp;"ENTRADA",Movimientos!$S$2:$S$1994,0)),"-"))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IF(A95="","",IFERROR(INDEX(Movimientos!$D$2:$D$1994,MATCH(A95&amp;"ENTRADA",Movimientos!$S$2:$S$1994,0)),"-"))</f>
        <v/>
      </c>
      <c r="C95" s="3" t="str">
        <f>IF(A95="","",IFERROR(INDEX(Movimientos!$E$2:$E$1994,MATCH(A95&amp;"ENTRADA",Movimientos!$S$2:$S$1994,0)),"-"))</f>
        <v/>
      </c>
      <c r="D95" s="3" t="str">
        <f>IF(A95="","",IFERROR(INDEX(Movimientos!$F$2:$F$1994,MATCH(A95&amp;"ENTRADA",Movimientos!$S$2:$S$1994,0)),"-"))</f>
        <v/>
      </c>
      <c r="E95" s="3" t="str">
        <f>IF(A95="","",IFERROR(INDEX(Movimientos!$L$2:$L$1994,MATCH(A95&amp;"ENTRADA",Movimientos!$S$2:$S$1994,0)),"-"))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IF(A96="","",IFERROR(INDEX(Movimientos!$D$2:$D$1994,MATCH(A96&amp;"ENTRADA",Movimientos!$S$2:$S$1994,0)),"-"))</f>
        <v/>
      </c>
      <c r="C96" s="3" t="str">
        <f>IF(A96="","",IFERROR(INDEX(Movimientos!$E$2:$E$1994,MATCH(A96&amp;"ENTRADA",Movimientos!$S$2:$S$1994,0)),"-"))</f>
        <v/>
      </c>
      <c r="D96" s="3" t="str">
        <f>IF(A96="","",IFERROR(INDEX(Movimientos!$F$2:$F$1994,MATCH(A96&amp;"ENTRADA",Movimientos!$S$2:$S$1994,0)),"-"))</f>
        <v/>
      </c>
      <c r="E96" s="3" t="str">
        <f>IF(A96="","",IFERROR(INDEX(Movimientos!$L$2:$L$1994,MATCH(A96&amp;"ENTRADA",Movimientos!$S$2:$S$1994,0)),"-"))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IF(A97="","",IFERROR(INDEX(Movimientos!$D$2:$D$1994,MATCH(A97&amp;"ENTRADA",Movimientos!$S$2:$S$1994,0)),"-"))</f>
        <v/>
      </c>
      <c r="C97" s="3" t="str">
        <f>IF(A97="","",IFERROR(INDEX(Movimientos!$E$2:$E$1994,MATCH(A97&amp;"ENTRADA",Movimientos!$S$2:$S$1994,0)),"-"))</f>
        <v/>
      </c>
      <c r="D97" s="3" t="str">
        <f>IF(A97="","",IFERROR(INDEX(Movimientos!$F$2:$F$1994,MATCH(A97&amp;"ENTRADA",Movimientos!$S$2:$S$1994,0)),"-"))</f>
        <v/>
      </c>
      <c r="E97" s="3" t="str">
        <f>IF(A97="","",IFERROR(INDEX(Movimientos!$L$2:$L$1994,MATCH(A97&amp;"ENTRADA",Movimientos!$S$2:$S$1994,0)),"-"))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IF(A98="","",IFERROR(INDEX(Movimientos!$D$2:$D$1994,MATCH(A98&amp;"ENTRADA",Movimientos!$S$2:$S$1994,0)),"-"))</f>
        <v/>
      </c>
      <c r="C98" s="3" t="str">
        <f>IF(A98="","",IFERROR(INDEX(Movimientos!$E$2:$E$1994,MATCH(A98&amp;"ENTRADA",Movimientos!$S$2:$S$1994,0)),"-"))</f>
        <v/>
      </c>
      <c r="D98" s="3" t="str">
        <f>IF(A98="","",IFERROR(INDEX(Movimientos!$F$2:$F$1994,MATCH(A98&amp;"ENTRADA",Movimientos!$S$2:$S$1994,0)),"-"))</f>
        <v/>
      </c>
      <c r="E98" s="3" t="str">
        <f>IF(A98="","",IFERROR(INDEX(Movimientos!$L$2:$L$1994,MATCH(A98&amp;"ENTRADA",Movimientos!$S$2:$S$1994,0)),"-"))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IF(A99="","",IFERROR(INDEX(Movimientos!$D$2:$D$1994,MATCH(A99&amp;"ENTRADA",Movimientos!$S$2:$S$1994,0)),"-"))</f>
        <v/>
      </c>
      <c r="C99" s="3" t="str">
        <f>IF(A99="","",IFERROR(INDEX(Movimientos!$E$2:$E$1994,MATCH(A99&amp;"ENTRADA",Movimientos!$S$2:$S$1994,0)),"-"))</f>
        <v/>
      </c>
      <c r="D99" s="3" t="str">
        <f>IF(A99="","",IFERROR(INDEX(Movimientos!$F$2:$F$1994,MATCH(A99&amp;"ENTRADA",Movimientos!$S$2:$S$1994,0)),"-"))</f>
        <v/>
      </c>
      <c r="E99" s="3" t="str">
        <f>IF(A99="","",IFERROR(INDEX(Movimientos!$L$2:$L$1994,MATCH(A99&amp;"ENTRADA",Movimientos!$S$2:$S$1994,0)),"-"))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IF(A100="","",IFERROR(INDEX(Movimientos!$D$2:$D$1994,MATCH(A100&amp;"ENTRADA",Movimientos!$S$2:$S$1994,0)),"-"))</f>
        <v/>
      </c>
      <c r="C100" s="3" t="str">
        <f>IF(A100="","",IFERROR(INDEX(Movimientos!$E$2:$E$1994,MATCH(A100&amp;"ENTRADA",Movimientos!$S$2:$S$1994,0)),"-"))</f>
        <v/>
      </c>
      <c r="D100" s="3" t="str">
        <f>IF(A100="","",IFERROR(INDEX(Movimientos!$F$2:$F$1994,MATCH(A100&amp;"ENTRADA",Movimientos!$S$2:$S$1994,0)),"-"))</f>
        <v/>
      </c>
      <c r="E100" s="3" t="str">
        <f>IF(A100="","",IFERROR(INDEX(Movimientos!$L$2:$L$1994,MATCH(A100&amp;"ENTRADA",Movimientos!$S$2:$S$1994,0)),"-"))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IF(A101="","",IFERROR(INDEX(Movimientos!$D$2:$D$1994,MATCH(A101&amp;"ENTRADA",Movimientos!$S$2:$S$1994,0)),"-"))</f>
        <v/>
      </c>
      <c r="C101" s="3" t="str">
        <f>IF(A101="","",IFERROR(INDEX(Movimientos!$E$2:$E$1994,MATCH(A101&amp;"ENTRADA",Movimientos!$S$2:$S$1994,0)),"-"))</f>
        <v/>
      </c>
      <c r="D101" s="3" t="str">
        <f>IF(A101="","",IFERROR(INDEX(Movimientos!$F$2:$F$1994,MATCH(A101&amp;"ENTRADA",Movimientos!$S$2:$S$1994,0)),"-"))</f>
        <v/>
      </c>
      <c r="E101" s="3" t="str">
        <f>IF(A101="","",IFERROR(INDEX(Movimientos!$L$2:$L$1994,MATCH(A101&amp;"ENTRADA",Movimientos!$S$2:$S$1994,0)),"-"))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IF(A102="","",IFERROR(INDEX(Movimientos!$D$2:$D$1994,MATCH(A102&amp;"ENTRADA",Movimientos!$S$2:$S$1994,0)),"-"))</f>
        <v/>
      </c>
      <c r="C102" s="3" t="str">
        <f>IF(A102="","",IFERROR(INDEX(Movimientos!$E$2:$E$1994,MATCH(A102&amp;"ENTRADA",Movimientos!$S$2:$S$1994,0)),"-"))</f>
        <v/>
      </c>
      <c r="D102" s="3" t="str">
        <f>IF(A102="","",IFERROR(INDEX(Movimientos!$F$2:$F$1994,MATCH(A102&amp;"ENTRADA",Movimientos!$S$2:$S$1994,0)),"-"))</f>
        <v/>
      </c>
      <c r="E102" s="3" t="str">
        <f>IF(A102="","",IFERROR(INDEX(Movimientos!$L$2:$L$1994,MATCH(A102&amp;"ENTRADA",Movimientos!$S$2:$S$1994,0)),"-"))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IF(A103="","",IFERROR(INDEX(Movimientos!$D$2:$D$1994,MATCH(A103&amp;"ENTRADA",Movimientos!$S$2:$S$1994,0)),"-"))</f>
        <v/>
      </c>
      <c r="C103" s="3" t="str">
        <f>IF(A103="","",IFERROR(INDEX(Movimientos!$E$2:$E$1994,MATCH(A103&amp;"ENTRADA",Movimientos!$S$2:$S$1994,0)),"-"))</f>
        <v/>
      </c>
      <c r="D103" s="3" t="str">
        <f>IF(A103="","",IFERROR(INDEX(Movimientos!$F$2:$F$1994,MATCH(A103&amp;"ENTRADA",Movimientos!$S$2:$S$1994,0)),"-"))</f>
        <v/>
      </c>
      <c r="E103" s="3" t="str">
        <f>IF(A103="","",IFERROR(INDEX(Movimientos!$L$2:$L$1994,MATCH(A103&amp;"ENTRADA",Movimientos!$S$2:$S$1994,0)),"-"))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IF(A104="","",IFERROR(INDEX(Movimientos!$D$2:$D$1994,MATCH(A104&amp;"ENTRADA",Movimientos!$S$2:$S$1994,0)),"-"))</f>
        <v/>
      </c>
      <c r="C104" s="3" t="str">
        <f>IF(A104="","",IFERROR(INDEX(Movimientos!$E$2:$E$1994,MATCH(A104&amp;"ENTRADA",Movimientos!$S$2:$S$1994,0)),"-"))</f>
        <v/>
      </c>
      <c r="D104" s="3" t="str">
        <f>IF(A104="","",IFERROR(INDEX(Movimientos!$F$2:$F$1994,MATCH(A104&amp;"ENTRADA",Movimientos!$S$2:$S$1994,0)),"-"))</f>
        <v/>
      </c>
      <c r="E104" s="3" t="str">
        <f>IF(A104="","",IFERROR(INDEX(Movimientos!$L$2:$L$1994,MATCH(A104&amp;"ENTRADA",Movimientos!$S$2:$S$1994,0)),"-"))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IF(A105="","",IFERROR(INDEX(Movimientos!$D$2:$D$1994,MATCH(A105&amp;"ENTRADA",Movimientos!$S$2:$S$1994,0)),"-"))</f>
        <v/>
      </c>
      <c r="C105" s="3" t="str">
        <f>IF(A105="","",IFERROR(INDEX(Movimientos!$E$2:$E$1994,MATCH(A105&amp;"ENTRADA",Movimientos!$S$2:$S$1994,0)),"-"))</f>
        <v/>
      </c>
      <c r="D105" s="3" t="str">
        <f>IF(A105="","",IFERROR(INDEX(Movimientos!$F$2:$F$1994,MATCH(A105&amp;"ENTRADA",Movimientos!$S$2:$S$1994,0)),"-"))</f>
        <v/>
      </c>
      <c r="E105" s="3" t="str">
        <f>IF(A105="","",IFERROR(INDEX(Movimientos!$L$2:$L$1994,MATCH(A105&amp;"ENTRADA",Movimientos!$S$2:$S$1994,0)),"-"))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IF(A106="","",IFERROR(INDEX(Movimientos!$D$2:$D$1994,MATCH(A106&amp;"ENTRADA",Movimientos!$S$2:$S$1994,0)),"-"))</f>
        <v/>
      </c>
      <c r="C106" s="3" t="str">
        <f>IF(A106="","",IFERROR(INDEX(Movimientos!$E$2:$E$1994,MATCH(A106&amp;"ENTRADA",Movimientos!$S$2:$S$1994,0)),"-"))</f>
        <v/>
      </c>
      <c r="D106" s="3" t="str">
        <f>IF(A106="","",IFERROR(INDEX(Movimientos!$F$2:$F$1994,MATCH(A106&amp;"ENTRADA",Movimientos!$S$2:$S$1994,0)),"-"))</f>
        <v/>
      </c>
      <c r="E106" s="3" t="str">
        <f>IF(A106="","",IFERROR(INDEX(Movimientos!$L$2:$L$1994,MATCH(A106&amp;"ENTRADA",Movimientos!$S$2:$S$1994,0)),"-"))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IF(A107="","",IFERROR(INDEX(Movimientos!$D$2:$D$1994,MATCH(A107&amp;"ENTRADA",Movimientos!$S$2:$S$1994,0)),"-"))</f>
        <v/>
      </c>
      <c r="C107" s="3" t="str">
        <f>IF(A107="","",IFERROR(INDEX(Movimientos!$E$2:$E$1994,MATCH(A107&amp;"ENTRADA",Movimientos!$S$2:$S$1994,0)),"-"))</f>
        <v/>
      </c>
      <c r="D107" s="3" t="str">
        <f>IF(A107="","",IFERROR(INDEX(Movimientos!$F$2:$F$1994,MATCH(A107&amp;"ENTRADA",Movimientos!$S$2:$S$1994,0)),"-"))</f>
        <v/>
      </c>
      <c r="E107" s="3" t="str">
        <f>IF(A107="","",IFERROR(INDEX(Movimientos!$L$2:$L$1994,MATCH(A107&amp;"ENTRADA",Movimientos!$S$2:$S$1994,0)),"-"))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IF(A108="","",IFERROR(INDEX(Movimientos!$D$2:$D$1994,MATCH(A108&amp;"ENTRADA",Movimientos!$S$2:$S$1994,0)),"-"))</f>
        <v/>
      </c>
      <c r="C108" s="3" t="str">
        <f>IF(A108="","",IFERROR(INDEX(Movimientos!$E$2:$E$1994,MATCH(A108&amp;"ENTRADA",Movimientos!$S$2:$S$1994,0)),"-"))</f>
        <v/>
      </c>
      <c r="D108" s="3" t="str">
        <f>IF(A108="","",IFERROR(INDEX(Movimientos!$F$2:$F$1994,MATCH(A108&amp;"ENTRADA",Movimientos!$S$2:$S$1994,0)),"-"))</f>
        <v/>
      </c>
      <c r="E108" s="3" t="str">
        <f>IF(A108="","",IFERROR(INDEX(Movimientos!$L$2:$L$1994,MATCH(A108&amp;"ENTRADA",Movimientos!$S$2:$S$1994,0)),"-"))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IF(A109="","",IFERROR(INDEX(Movimientos!$D$2:$D$1994,MATCH(A109&amp;"ENTRADA",Movimientos!$S$2:$S$1994,0)),"-"))</f>
        <v/>
      </c>
      <c r="C109" s="3" t="str">
        <f>IF(A109="","",IFERROR(INDEX(Movimientos!$E$2:$E$1994,MATCH(A109&amp;"ENTRADA",Movimientos!$S$2:$S$1994,0)),"-"))</f>
        <v/>
      </c>
      <c r="D109" s="3" t="str">
        <f>IF(A109="","",IFERROR(INDEX(Movimientos!$F$2:$F$1994,MATCH(A109&amp;"ENTRADA",Movimientos!$S$2:$S$1994,0)),"-"))</f>
        <v/>
      </c>
      <c r="E109" s="3" t="str">
        <f>IF(A109="","",IFERROR(INDEX(Movimientos!$L$2:$L$1994,MATCH(A109&amp;"ENTRADA",Movimientos!$S$2:$S$1994,0)),"-"))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IF(A110="","",IFERROR(INDEX(Movimientos!$D$2:$D$1994,MATCH(A110&amp;"ENTRADA",Movimientos!$S$2:$S$1994,0)),"-"))</f>
        <v/>
      </c>
      <c r="C110" s="3" t="str">
        <f>IF(A110="","",IFERROR(INDEX(Movimientos!$E$2:$E$1994,MATCH(A110&amp;"ENTRADA",Movimientos!$S$2:$S$1994,0)),"-"))</f>
        <v/>
      </c>
      <c r="D110" s="3" t="str">
        <f>IF(A110="","",IFERROR(INDEX(Movimientos!$F$2:$F$1994,MATCH(A110&amp;"ENTRADA",Movimientos!$S$2:$S$1994,0)),"-"))</f>
        <v/>
      </c>
      <c r="E110" s="3" t="str">
        <f>IF(A110="","",IFERROR(INDEX(Movimientos!$L$2:$L$1994,MATCH(A110&amp;"ENTRADA",Movimientos!$S$2:$S$1994,0)),"-"))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IF(A111="","",IFERROR(INDEX(Movimientos!$D$2:$D$1994,MATCH(A111&amp;"ENTRADA",Movimientos!$S$2:$S$1994,0)),"-"))</f>
        <v/>
      </c>
      <c r="C111" s="3" t="str">
        <f>IF(A111="","",IFERROR(INDEX(Movimientos!$E$2:$E$1994,MATCH(A111&amp;"ENTRADA",Movimientos!$S$2:$S$1994,0)),"-"))</f>
        <v/>
      </c>
      <c r="D111" s="3" t="str">
        <f>IF(A111="","",IFERROR(INDEX(Movimientos!$F$2:$F$1994,MATCH(A111&amp;"ENTRADA",Movimientos!$S$2:$S$1994,0)),"-"))</f>
        <v/>
      </c>
      <c r="E111" s="3" t="str">
        <f>IF(A111="","",IFERROR(INDEX(Movimientos!$L$2:$L$1994,MATCH(A111&amp;"ENTRADA",Movimientos!$S$2:$S$1994,0)),"-"))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IF(A112="","",IFERROR(INDEX(Movimientos!$D$2:$D$1994,MATCH(A112&amp;"ENTRADA",Movimientos!$S$2:$S$1994,0)),"-"))</f>
        <v/>
      </c>
      <c r="C112" s="3" t="str">
        <f>IF(A112="","",IFERROR(INDEX(Movimientos!$E$2:$E$1994,MATCH(A112&amp;"ENTRADA",Movimientos!$S$2:$S$1994,0)),"-"))</f>
        <v/>
      </c>
      <c r="D112" s="3" t="str">
        <f>IF(A112="","",IFERROR(INDEX(Movimientos!$F$2:$F$1994,MATCH(A112&amp;"ENTRADA",Movimientos!$S$2:$S$1994,0)),"-"))</f>
        <v/>
      </c>
      <c r="E112" s="3" t="str">
        <f>IF(A112="","",IFERROR(INDEX(Movimientos!$L$2:$L$1994,MATCH(A112&amp;"ENTRADA",Movimientos!$S$2:$S$1994,0)),"-"))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59" activePane="bottomLeft" state="frozen"/>
      <selection pane="bottomLeft" activeCell="J65" sqref="J6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2339</v>
      </c>
      <c r="B1" s="23" t="s">
        <v>2334</v>
      </c>
      <c r="C1" s="23" t="s">
        <v>2340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2341</v>
      </c>
      <c r="I1" s="18" t="s">
        <v>2342</v>
      </c>
      <c r="J1" s="18" t="s">
        <v>2343</v>
      </c>
      <c r="K1" s="18" t="s">
        <v>2344</v>
      </c>
    </row>
    <row r="2" spans="1:11">
      <c r="A2" s="16" t="s">
        <v>197</v>
      </c>
      <c r="B2" s="2" t="str">
        <f>IFERROR(INDEX(Movimientos!$C$2:$C$1994,MATCH(A2&amp;"ENTRADA",Movimientos!$R$2:$R$1994,0)),"-")</f>
        <v>Colza Curry CL</v>
      </c>
      <c r="C2" s="2" t="str">
        <f>IFERROR(INDEX(Movimientos!$D$2:$D$1994,MATCH(A2&amp;"ENTRADA",Movimientos!$R$2:$R$1994,0)),"-")</f>
        <v>CURRY CL</v>
      </c>
      <c r="D2" s="2" t="str">
        <f>IFERROR(INDEX(Movimientos!$E$2:$E$1994,MATCH(A2&amp;"ENTRADA",Movimientos!$R$2:$R$1994,0)),"-")</f>
        <v>Semilla</v>
      </c>
      <c r="E2" s="2" t="str">
        <f>IFERROR(INDEX(Movimientos!$F$2:$F$1994,MATCH(A2&amp;"ENTRADA",Movimientos!$R$2:$R$1994,0)),"-")</f>
        <v>Colza</v>
      </c>
      <c r="F2" s="2" t="str">
        <f>IFERROR(INDEX(Movimientos!$G$2:$G$1994,MATCH(A2&amp;"ENTRADA",Movimientos!$R$2:$R$1994,0)),"-")</f>
        <v>ERRO</v>
      </c>
      <c r="G2" s="2" t="str">
        <f>IFERROR(INDEX(Movimientos!$L$2:$L$1994,MATCH(A2&amp;"ENTRADA",Movimientos!$R$2:$R$1994,0)),"-")</f>
        <v>kg</v>
      </c>
      <c r="H2" s="17" t="str">
        <f>IFERROR(IF(INDEX(Movimientos!$M$2:$M$1994,MATCH(A2&amp;"ENTRADA",Movimientos!$R$2:$R$1994,0))=0,"S/D",INDEX(Movimientos!$M$2:$M$1994,MATCH(A2&amp;"ENTRADA",Movimientos!$R$2:$R$1994,0))),"S/D")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IFERROR(INDEX(Movimientos!$C$2:$C$1994,MATCH(A3&amp;"ENTRADA",Movimientos!$R$2:$R$1994,0)),"-")</f>
        <v>Korvetto</v>
      </c>
      <c r="C3" s="2" t="str">
        <f>IFERROR(INDEX(Movimientos!$D$2:$D$1994,MATCH(A3&amp;"ENTRADA",Movimientos!$R$2:$R$1994,0)),"-")</f>
        <v xml:space="preserve">Clopyralid 12% + Halauxyfen methyl 0,51% </v>
      </c>
      <c r="D3" s="2" t="str">
        <f>IFERROR(INDEX(Movimientos!$E$2:$E$1994,MATCH(A3&amp;"ENTRADA",Movimientos!$R$2:$R$1994,0)),"-")</f>
        <v>Herbicida</v>
      </c>
      <c r="E3" s="2" t="str">
        <f>IFERROR(INDEX(Movimientos!$F$2:$F$1994,MATCH(A3&amp;"ENTRADA",Movimientos!$R$2:$R$1994,0)),"-")</f>
        <v>Postemergente</v>
      </c>
      <c r="F3" s="2" t="str">
        <f>IFERROR(INDEX(Movimientos!$G$2:$G$1994,MATCH(A3&amp;"ENTRADA",Movimientos!$R$2:$R$1994,0)),"-")</f>
        <v>GS Agro</v>
      </c>
      <c r="G3" s="2" t="str">
        <f>IFERROR(INDEX(Movimientos!$L$2:$L$1994,MATCH(A3&amp;"ENTRADA",Movimientos!$R$2:$R$1994,0)),"-")</f>
        <v>L</v>
      </c>
      <c r="H3" s="17">
        <f>IFERROR(IF(INDEX(Movimientos!$M$2:$M$1994,MATCH(A3&amp;"ENTRADA",Movimientos!$R$2:$R$1994,0))=0,"S/D",INDEX(Movimientos!$M$2:$M$1994,MATCH(A3&amp;"ENTRADA",Movimientos!$R$2:$R$1994,0))),"S/D")</f>
        <v>46710</v>
      </c>
      <c r="I3" s="15">
        <f t="shared" ca="1" si="0"/>
        <v>416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IFERROR(INDEX(Movimientos!$C$2:$C$1994,MATCH(A4&amp;"ENTRADA",Movimientos!$R$2:$R$1994,0)),"-")</f>
        <v>Lontrel</v>
      </c>
      <c r="C4" s="2" t="str">
        <f>IFERROR(INDEX(Movimientos!$D$2:$D$1994,MATCH(A4&amp;"ENTRADA",Movimientos!$R$2:$R$1994,0)),"-")</f>
        <v>Clopyralid sal monoetanolamina 40.9%</v>
      </c>
      <c r="D4" s="2" t="str">
        <f>IFERROR(INDEX(Movimientos!$E$2:$E$1994,MATCH(A4&amp;"ENTRADA",Movimientos!$R$2:$R$1994,0)),"-")</f>
        <v>Herbicida</v>
      </c>
      <c r="E4" s="2" t="str">
        <f>IFERROR(INDEX(Movimientos!$F$2:$F$1994,MATCH(A4&amp;"ENTRADA",Movimientos!$R$2:$R$1994,0)),"-")</f>
        <v>Postemergente</v>
      </c>
      <c r="F4" s="2" t="str">
        <f>IFERROR(INDEX(Movimientos!$G$2:$G$1994,MATCH(A4&amp;"ENTRADA",Movimientos!$R$2:$R$1994,0)),"-")</f>
        <v>GS Agro</v>
      </c>
      <c r="G4" s="2" t="str">
        <f>IFERROR(INDEX(Movimientos!$L$2:$L$1994,MATCH(A4&amp;"ENTRADA",Movimientos!$R$2:$R$1994,0)),"-")</f>
        <v>L</v>
      </c>
      <c r="H4" s="17">
        <f>IFERROR(IF(INDEX(Movimientos!$M$2:$M$1994,MATCH(A4&amp;"ENTRADA",Movimientos!$R$2:$R$1994,0))=0,"S/D",INDEX(Movimientos!$M$2:$M$1994,MATCH(A4&amp;"ENTRADA",Movimientos!$R$2:$R$1994,0))),"S/D")</f>
        <v>46500</v>
      </c>
      <c r="I4" s="15">
        <f t="shared" ca="1" si="0"/>
        <v>206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IFERROR(INDEX(Movimientos!$C$2:$C$1994,MATCH(A5&amp;"ENTRADA",Movimientos!$R$2:$R$1994,0)),"-")</f>
        <v>Preside</v>
      </c>
      <c r="C5" s="2" t="str">
        <f>IFERROR(INDEX(Movimientos!$D$2:$D$1994,MATCH(A5&amp;"ENTRADA",Movimientos!$R$2:$R$1994,0)),"-")</f>
        <v>Flumetsulam 11,35%</v>
      </c>
      <c r="D5" s="2" t="str">
        <f>IFERROR(INDEX(Movimientos!$E$2:$E$1994,MATCH(A5&amp;"ENTRADA",Movimientos!$R$2:$R$1994,0)),"-")</f>
        <v>Herbicida</v>
      </c>
      <c r="E5" s="2" t="str">
        <f>IFERROR(INDEX(Movimientos!$F$2:$F$1994,MATCH(A5&amp;"ENTRADA",Movimientos!$R$2:$R$1994,0)),"-")</f>
        <v>Preemergente</v>
      </c>
      <c r="F5" s="2" t="str">
        <f>IFERROR(INDEX(Movimientos!$G$2:$G$1994,MATCH(A5&amp;"ENTRADA",Movimientos!$R$2:$R$1994,0)),"-")</f>
        <v>GS Agro</v>
      </c>
      <c r="G5" s="2" t="str">
        <f>IFERROR(INDEX(Movimientos!$L$2:$L$1994,MATCH(A5&amp;"ENTRADA",Movimientos!$R$2:$R$1994,0)),"-")</f>
        <v>L</v>
      </c>
      <c r="H5" s="17">
        <f>IFERROR(IF(INDEX(Movimientos!$M$2:$M$1994,MATCH(A5&amp;"ENTRADA",Movimientos!$R$2:$R$1994,0))=0,"S/D",INDEX(Movimientos!$M$2:$M$1994,MATCH(A5&amp;"ENTRADA",Movimientos!$R$2:$R$1994,0))),"S/D")</f>
        <v>46528</v>
      </c>
      <c r="I5" s="15">
        <f t="shared" ca="1" si="0"/>
        <v>234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2345</v>
      </c>
      <c r="B6" s="2" t="str">
        <f>IFERROR(INDEX(Movimientos!$C$2:$C$1994,MATCH(A6&amp;"ENTRADA",Movimientos!$R$2:$R$1994,0)),"-")</f>
        <v>Preside</v>
      </c>
      <c r="C6" s="2" t="str">
        <f>IFERROR(INDEX(Movimientos!$D$2:$D$1994,MATCH(A6&amp;"ENTRADA",Movimientos!$R$2:$R$1994,0)),"-")</f>
        <v>Flumetsulam 11,35%</v>
      </c>
      <c r="D6" s="2" t="str">
        <f>IFERROR(INDEX(Movimientos!$E$2:$E$1994,MATCH(A6&amp;"ENTRADA",Movimientos!$R$2:$R$1994,0)),"-")</f>
        <v>Herbicida</v>
      </c>
      <c r="E6" s="2" t="str">
        <f>IFERROR(INDEX(Movimientos!$F$2:$F$1994,MATCH(A6&amp;"ENTRADA",Movimientos!$R$2:$R$1994,0)),"-")</f>
        <v>Preemergente</v>
      </c>
      <c r="F6" s="2" t="str">
        <f>IFERROR(INDEX(Movimientos!$G$2:$G$1994,MATCH(A6&amp;"ENTRADA",Movimientos!$R$2:$R$1994,0)),"-")</f>
        <v>GS Agro</v>
      </c>
      <c r="G6" s="2" t="str">
        <f>IFERROR(INDEX(Movimientos!$L$2:$L$1994,MATCH(A6&amp;"ENTRADA",Movimientos!$R$2:$R$1994,0)),"-")</f>
        <v>L</v>
      </c>
      <c r="H6" s="17">
        <f>IFERROR(IF(INDEX(Movimientos!$M$2:$M$1994,MATCH(A6&amp;"ENTRADA",Movimientos!$R$2:$R$1994,0))=0,"S/D",INDEX(Movimientos!$M$2:$M$1994,MATCH(A6&amp;"ENTRADA",Movimientos!$R$2:$R$1994,0))),"S/D")</f>
        <v>46761</v>
      </c>
      <c r="I6" s="15">
        <f t="shared" ca="1" si="0"/>
        <v>467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IFERROR(INDEX(Movimientos!$C$2:$C$1994,MATCH(A7&amp;"ENTRADA",Movimientos!$R$2:$R$1994,0)),"-")</f>
        <v>Tordon 24K</v>
      </c>
      <c r="C7" s="2" t="str">
        <f>IFERROR(INDEX(Movimientos!$D$2:$D$1994,MATCH(A7&amp;"ENTRADA",Movimientos!$R$2:$R$1994,0)),"-")</f>
        <v>Picloram 24,9%</v>
      </c>
      <c r="D7" s="2" t="str">
        <f>IFERROR(INDEX(Movimientos!$E$2:$E$1994,MATCH(A7&amp;"ENTRADA",Movimientos!$R$2:$R$1994,0)),"-")</f>
        <v>Herbicida</v>
      </c>
      <c r="E7" s="2" t="str">
        <f>IFERROR(INDEX(Movimientos!$F$2:$F$1994,MATCH(A7&amp;"ENTRADA",Movimientos!$R$2:$R$1994,0)),"-")</f>
        <v>Postemergente</v>
      </c>
      <c r="F7" s="2" t="str">
        <f>IFERROR(INDEX(Movimientos!$G$2:$G$1994,MATCH(A7&amp;"ENTRADA",Movimientos!$R$2:$R$1994,0)),"-")</f>
        <v>GS Agro</v>
      </c>
      <c r="G7" s="2" t="str">
        <f>IFERROR(INDEX(Movimientos!$L$2:$L$1994,MATCH(A7&amp;"ENTRADA",Movimientos!$R$2:$R$1994,0)),"-")</f>
        <v>L</v>
      </c>
      <c r="H7" s="17">
        <f>IFERROR(IF(INDEX(Movimientos!$M$2:$M$1994,MATCH(A7&amp;"ENTRADA",Movimientos!$R$2:$R$1994,0))=0,"S/D",INDEX(Movimientos!$M$2:$M$1994,MATCH(A7&amp;"ENTRADA",Movimientos!$R$2:$R$1994,0))),"S/D")</f>
        <v>46517</v>
      </c>
      <c r="I7" s="15">
        <f t="shared" ca="1" si="0"/>
        <v>223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IFERROR(INDEX(Movimientos!$C$2:$C$1994,MATCH(A8&amp;"ENTRADA",Movimientos!$R$2:$R$1994,0)),"-")</f>
        <v>Tronador</v>
      </c>
      <c r="C8" s="2" t="str">
        <f>IFERROR(INDEX(Movimientos!$D$2:$D$1994,MATCH(A8&amp;"ENTRADA",Movimientos!$R$2:$R$1994,0)),"-")</f>
        <v>Halauxifen metil 3.3% + Aminopyralid 2.7% + Metsulfuron metil 20%</v>
      </c>
      <c r="D8" s="2" t="str">
        <f>IFERROR(INDEX(Movimientos!$E$2:$E$1994,MATCH(A8&amp;"ENTRADA",Movimientos!$R$2:$R$1994,0)),"-")</f>
        <v>Herbicida</v>
      </c>
      <c r="E8" s="2" t="str">
        <f>IFERROR(INDEX(Movimientos!$F$2:$F$1994,MATCH(A8&amp;"ENTRADA",Movimientos!$R$2:$R$1994,0)),"-")</f>
        <v>Postemergente</v>
      </c>
      <c r="F8" s="2" t="str">
        <f>IFERROR(INDEX(Movimientos!$G$2:$G$1994,MATCH(A8&amp;"ENTRADA",Movimientos!$R$2:$R$1994,0)),"-")</f>
        <v>GS Agro</v>
      </c>
      <c r="G8" s="2" t="str">
        <f>IFERROR(INDEX(Movimientos!$L$2:$L$1994,MATCH(A8&amp;"ENTRADA",Movimientos!$R$2:$R$1994,0)),"-")</f>
        <v>Pack</v>
      </c>
      <c r="H8" s="17">
        <f>IFERROR(IF(INDEX(Movimientos!$M$2:$M$1994,MATCH(A8&amp;"ENTRADA",Movimientos!$R$2:$R$1994,0))=0,"S/D",INDEX(Movimientos!$M$2:$M$1994,MATCH(A8&amp;"ENTRADA",Movimientos!$R$2:$R$1994,0))),"S/D")</f>
        <v>46443</v>
      </c>
      <c r="I8" s="15">
        <f t="shared" ca="1" si="0"/>
        <v>149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IFERROR(INDEX(Movimientos!$C$2:$C$1994,MATCH(A9&amp;"ENTRADA",Movimientos!$R$2:$R$1994,0)),"-")</f>
        <v>Venceweed extra</v>
      </c>
      <c r="C9" s="2" t="str">
        <f>IFERROR(INDEX(Movimientos!$D$2:$D$1994,MATCH(A9&amp;"ENTRADA",Movimientos!$R$2:$R$1994,0)),"-")</f>
        <v>2,4-Db-Butilo 93.1%</v>
      </c>
      <c r="D9" s="2" t="str">
        <f>IFERROR(INDEX(Movimientos!$E$2:$E$1994,MATCH(A9&amp;"ENTRADA",Movimientos!$R$2:$R$1994,0)),"-")</f>
        <v>Herbicida</v>
      </c>
      <c r="E9" s="2" t="str">
        <f>IFERROR(INDEX(Movimientos!$F$2:$F$1994,MATCH(A9&amp;"ENTRADA",Movimientos!$R$2:$R$1994,0)),"-")</f>
        <v>Postemergente</v>
      </c>
      <c r="F9" s="2" t="str">
        <f>IFERROR(INDEX(Movimientos!$G$2:$G$1994,MATCH(A9&amp;"ENTRADA",Movimientos!$R$2:$R$1994,0)),"-")</f>
        <v>GS Agro</v>
      </c>
      <c r="G9" s="2" t="str">
        <f>IFERROR(INDEX(Movimientos!$L$2:$L$1994,MATCH(A9&amp;"ENTRADA",Movimientos!$R$2:$R$1994,0)),"-")</f>
        <v>L</v>
      </c>
      <c r="H9" s="17">
        <f>IFERROR(IF(INDEX(Movimientos!$M$2:$M$1994,MATCH(A9&amp;"ENTRADA",Movimientos!$R$2:$R$1994,0))=0,"S/D",INDEX(Movimientos!$M$2:$M$1994,MATCH(A9&amp;"ENTRADA",Movimientos!$R$2:$R$1994,0))),"S/D")</f>
        <v>46737</v>
      </c>
      <c r="I9" s="15">
        <f t="shared" ref="I9:I68" ca="1" si="2">IF(OR(A9="",H9="S/D"),"S/D",H9-TODAY())</f>
        <v>443</v>
      </c>
      <c r="J9" s="5">
        <f>IF(A9="","",SUMIFS(Movimientos!$K:$K,Movimientos!$H:$H,A9))</f>
        <v>1710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IFERROR(INDEX(Movimientos!$C$2:$C$1994,MATCH(A10&amp;"ENTRADA",Movimientos!$R$2:$R$1994,0)),"-")</f>
        <v>Silobolsa</v>
      </c>
      <c r="C10" s="2" t="str">
        <f>IFERROR(INDEX(Movimientos!$D$2:$D$1994,MATCH(A10&amp;"ENTRADA",Movimientos!$R$2:$R$1994,0)),"-")</f>
        <v>Silobolsa 9 pies</v>
      </c>
      <c r="D10" s="2" t="str">
        <f>IFERROR(INDEX(Movimientos!$E$2:$E$1994,MATCH(A10&amp;"ENTRADA",Movimientos!$R$2:$R$1994,0)),"-")</f>
        <v>Silobolsa</v>
      </c>
      <c r="E10" s="2">
        <f>IFERROR(INDEX(Movimientos!$F$2:$F$1994,MATCH(A10&amp;"ENTRADA",Movimientos!$R$2:$R$1994,0)),"-")</f>
        <v>0</v>
      </c>
      <c r="F10" s="2" t="str">
        <f>IFERROR(INDEX(Movimientos!$G$2:$G$1994,MATCH(A10&amp;"ENTRADA",Movimientos!$R$2:$R$1994,0)),"-")</f>
        <v>AYP Agrogestiones</v>
      </c>
      <c r="G10" s="2" t="str">
        <f>IFERROR(INDEX(Movimientos!$L$2:$L$1994,MATCH(A10&amp;"ENTRADA",Movimientos!$R$2:$R$1994,0)),"-")</f>
        <v>unidad</v>
      </c>
      <c r="H10" s="17" t="str">
        <f>IFERROR(IF(INDEX(Movimientos!$M$2:$M$1994,MATCH(A10&amp;"ENTRADA",Movimientos!$R$2:$R$1994,0))=0,"S/D",INDEX(Movimientos!$M$2:$M$1994,MATCH(A10&amp;"ENTRADA",Movimientos!$R$2:$R$1994,0))),"S/D")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IFERROR(INDEX(Movimientos!$C$2:$C$1994,MATCH(A11&amp;"ENTRADA",Movimientos!$R$2:$R$1994,0)),"-")</f>
        <v>Dedalo elite</v>
      </c>
      <c r="C11" s="2" t="str">
        <f>IFERROR(INDEX(Movimientos!$D$2:$D$1994,MATCH(A11&amp;"ENTRADA",Movimientos!$R$2:$R$1994,0)),"-")</f>
        <v>2,4 D Acido 27.2%</v>
      </c>
      <c r="D11" s="2" t="str">
        <f>IFERROR(INDEX(Movimientos!$E$2:$E$1994,MATCH(A11&amp;"ENTRADA",Movimientos!$R$2:$R$1994,0)),"-")</f>
        <v>Herbicida</v>
      </c>
      <c r="E11" s="2" t="str">
        <f>IFERROR(INDEX(Movimientos!$F$2:$F$1994,MATCH(A11&amp;"ENTRADA",Movimientos!$R$2:$R$1994,0)),"-")</f>
        <v>Postemergente</v>
      </c>
      <c r="F11" s="2" t="str">
        <f>IFERROR(INDEX(Movimientos!$G$2:$G$1994,MATCH(A11&amp;"ENTRADA",Movimientos!$R$2:$R$1994,0)),"-")</f>
        <v>Agromil</v>
      </c>
      <c r="G11" s="2" t="str">
        <f>IFERROR(INDEX(Movimientos!$L$2:$L$1994,MATCH(A11&amp;"ENTRADA",Movimientos!$R$2:$R$1994,0)),"-")</f>
        <v>L</v>
      </c>
      <c r="H11" s="17">
        <f>IFERROR(IF(INDEX(Movimientos!$M$2:$M$1994,MATCH(A11&amp;"ENTRADA",Movimientos!$R$2:$R$1994,0))=0,"S/D",INDEX(Movimientos!$M$2:$M$1994,MATCH(A11&amp;"ENTRADA",Movimientos!$R$2:$R$1994,0))),"S/D")</f>
        <v>46725</v>
      </c>
      <c r="I11" s="15">
        <f t="shared" ca="1" si="2"/>
        <v>431</v>
      </c>
      <c r="J11" s="5">
        <f>IF(A11="","",SUMIFS(Movimientos!$K:$K,Movimientos!$H:$H,A11))</f>
        <v>6140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IFERROR(INDEX(Movimientos!$C$2:$C$1994,MATCH(A12&amp;"ENTRADA",Movimientos!$R$2:$R$1994,0)),"-")</f>
        <v>Raigrás E284</v>
      </c>
      <c r="C12" s="2" t="str">
        <f>IFERROR(INDEX(Movimientos!$D$2:$D$1994,MATCH(A12&amp;"ENTRADA",Movimientos!$R$2:$R$1994,0)),"-")</f>
        <v>Estanzuela 284</v>
      </c>
      <c r="D12" s="2" t="str">
        <f>IFERROR(INDEX(Movimientos!$E$2:$E$1994,MATCH(A12&amp;"ENTRADA",Movimientos!$R$2:$R$1994,0)),"-")</f>
        <v>Semilla</v>
      </c>
      <c r="E12" s="2" t="str">
        <f>IFERROR(INDEX(Movimientos!$F$2:$F$1994,MATCH(A12&amp;"ENTRADA",Movimientos!$R$2:$R$1994,0)),"-")</f>
        <v>Raigrás</v>
      </c>
      <c r="F12" s="2" t="str">
        <f>IFERROR(INDEX(Movimientos!$G$2:$G$1994,MATCH(A12&amp;"ENTRADA",Movimientos!$R$2:$R$1994,0)),"-")</f>
        <v>Granicor</v>
      </c>
      <c r="G12" s="2" t="str">
        <f>IFERROR(INDEX(Movimientos!$L$2:$L$1994,MATCH(A12&amp;"ENTRADA",Movimientos!$R$2:$R$1994,0)),"-")</f>
        <v>kg</v>
      </c>
      <c r="H12" s="17" t="str">
        <f>IFERROR(IF(INDEX(Movimientos!$M$2:$M$1994,MATCH(A12&amp;"ENTRADA",Movimientos!$R$2:$R$1994,0))=0,"S/D",INDEX(Movimientos!$M$2:$M$1994,MATCH(A12&amp;"ENTRADA",Movimientos!$R$2:$R$1994,0))),"S/D")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IFERROR(INDEX(Movimientos!$C$2:$C$1994,MATCH(A13&amp;"ENTRADA",Movimientos!$R$2:$R$1994,0)),"-")</f>
        <v>Starane Xtra</v>
      </c>
      <c r="C13" s="2" t="str">
        <f>IFERROR(INDEX(Movimientos!$D$2:$D$1994,MATCH(A13&amp;"ENTRADA",Movimientos!$R$2:$R$1994,0)),"-")</f>
        <v>Fluroxypyr Meptil 45,52%</v>
      </c>
      <c r="D13" s="2" t="str">
        <f>IFERROR(INDEX(Movimientos!$E$2:$E$1994,MATCH(A13&amp;"ENTRADA",Movimientos!$R$2:$R$1994,0)),"-")</f>
        <v>Herbicida</v>
      </c>
      <c r="E13" s="2" t="str">
        <f>IFERROR(INDEX(Movimientos!$F$2:$F$1994,MATCH(A13&amp;"ENTRADA",Movimientos!$R$2:$R$1994,0)),"-")</f>
        <v>Postemergente</v>
      </c>
      <c r="F13" s="2" t="str">
        <f>IFERROR(INDEX(Movimientos!$G$2:$G$1994,MATCH(A13&amp;"ENTRADA",Movimientos!$R$2:$R$1994,0)),"-")</f>
        <v>GS Agro</v>
      </c>
      <c r="G13" s="2" t="str">
        <f>IFERROR(INDEX(Movimientos!$L$2:$L$1994,MATCH(A13&amp;"ENTRADA",Movimientos!$R$2:$R$1994,0)),"-")</f>
        <v>L</v>
      </c>
      <c r="H13" s="17">
        <f>IFERROR(IF(INDEX(Movimientos!$M$2:$M$1994,MATCH(A13&amp;"ENTRADA",Movimientos!$R$2:$R$1994,0))=0,"S/D",INDEX(Movimientos!$M$2:$M$1994,MATCH(A13&amp;"ENTRADA",Movimientos!$R$2:$R$1994,0))),"S/D")</f>
        <v>46509</v>
      </c>
      <c r="I13" s="15">
        <f t="shared" ca="1" si="2"/>
        <v>215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IFERROR(INDEX(Movimientos!$C$2:$C$1994,MATCH(A14&amp;"ENTRADA",Movimientos!$R$2:$R$1994,0)),"-")</f>
        <v>Pixxaro</v>
      </c>
      <c r="C14" s="2" t="str">
        <f>IFERROR(INDEX(Movimientos!$D$2:$D$1994,MATCH(A14&amp;"ENTRADA",Movimientos!$R$2:$R$1994,0)),"-")</f>
        <v>Fluroxypyr meptyl 34,91% + Halauxyfen methyl 1.64% + Cloquintocet mexyl 1.57%</v>
      </c>
      <c r="D14" s="2" t="str">
        <f>IFERROR(INDEX(Movimientos!$E$2:$E$1994,MATCH(A14&amp;"ENTRADA",Movimientos!$R$2:$R$1994,0)),"-")</f>
        <v>Herbicida</v>
      </c>
      <c r="E14" s="2" t="str">
        <f>IFERROR(INDEX(Movimientos!$F$2:$F$1994,MATCH(A14&amp;"ENTRADA",Movimientos!$R$2:$R$1994,0)),"-")</f>
        <v>Postemergente</v>
      </c>
      <c r="F14" s="2" t="str">
        <f>IFERROR(INDEX(Movimientos!$G$2:$G$1994,MATCH(A14&amp;"ENTRADA",Movimientos!$R$2:$R$1994,0)),"-")</f>
        <v>GS Agro</v>
      </c>
      <c r="G14" s="2" t="str">
        <f>IFERROR(INDEX(Movimientos!$L$2:$L$1994,MATCH(A14&amp;"ENTRADA",Movimientos!$R$2:$R$1994,0)),"-")</f>
        <v>L</v>
      </c>
      <c r="H14" s="17">
        <f>IFERROR(IF(INDEX(Movimientos!$M$2:$M$1994,MATCH(A14&amp;"ENTRADA",Movimientos!$R$2:$R$1994,0))=0,"S/D",INDEX(Movimientos!$M$2:$M$1994,MATCH(A14&amp;"ENTRADA",Movimientos!$R$2:$R$1994,0))),"S/D")</f>
        <v>46397</v>
      </c>
      <c r="I14" s="15">
        <f t="shared" ca="1" si="2"/>
        <v>103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IFERROR(INDEX(Movimientos!$C$2:$C$1994,MATCH(A15&amp;"ENTRADA",Movimientos!$R$2:$R$1994,0)),"-")</f>
        <v>Colza Hyola 575 CL</v>
      </c>
      <c r="C15" s="2" t="str">
        <f>IFERROR(INDEX(Movimientos!$D$2:$D$1994,MATCH(A15&amp;"ENTRADA",Movimientos!$R$2:$R$1994,0)),"-")</f>
        <v>HYOLA 575 CL</v>
      </c>
      <c r="D15" s="2" t="str">
        <f>IFERROR(INDEX(Movimientos!$E$2:$E$1994,MATCH(A15&amp;"ENTRADA",Movimientos!$R$2:$R$1994,0)),"-")</f>
        <v>Semilla</v>
      </c>
      <c r="E15" s="2" t="str">
        <f>IFERROR(INDEX(Movimientos!$F$2:$F$1994,MATCH(A15&amp;"ENTRADA",Movimientos!$R$2:$R$1994,0)),"-")</f>
        <v>Colza</v>
      </c>
      <c r="F15" s="2" t="str">
        <f>IFERROR(INDEX(Movimientos!$G$2:$G$1994,MATCH(A15&amp;"ENTRADA",Movimientos!$R$2:$R$1994,0)),"-")</f>
        <v>ERRO</v>
      </c>
      <c r="G15" s="2" t="str">
        <f>IFERROR(INDEX(Movimientos!$L$2:$L$1994,MATCH(A15&amp;"ENTRADA",Movimientos!$R$2:$R$1994,0)),"-")</f>
        <v>kg</v>
      </c>
      <c r="H15" s="17" t="str">
        <f>IFERROR(IF(INDEX(Movimientos!$M$2:$M$1994,MATCH(A15&amp;"ENTRADA",Movimientos!$R$2:$R$1994,0))=0,"S/D",INDEX(Movimientos!$M$2:$M$1994,MATCH(A15&amp;"ENTRADA",Movimientos!$R$2:$R$1994,0))),"S/D")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IFERROR(INDEX(Movimientos!$C$2:$C$1994,MATCH(A16&amp;"ENTRADA",Movimientos!$R$2:$R$1994,0)),"-")</f>
        <v>Colza Apolo CL</v>
      </c>
      <c r="C16" s="2" t="str">
        <f>IFERROR(INDEX(Movimientos!$D$2:$D$1994,MATCH(A16&amp;"ENTRADA",Movimientos!$R$2:$R$1994,0)),"-")</f>
        <v>APOLO CL</v>
      </c>
      <c r="D16" s="2" t="str">
        <f>IFERROR(INDEX(Movimientos!$E$2:$E$1994,MATCH(A16&amp;"ENTRADA",Movimientos!$R$2:$R$1994,0)),"-")</f>
        <v>Semilla</v>
      </c>
      <c r="E16" s="2" t="str">
        <f>IFERROR(INDEX(Movimientos!$F$2:$F$1994,MATCH(A16&amp;"ENTRADA",Movimientos!$R$2:$R$1994,0)),"-")</f>
        <v>Colza</v>
      </c>
      <c r="F16" s="2" t="str">
        <f>IFERROR(INDEX(Movimientos!$G$2:$G$1994,MATCH(A16&amp;"ENTRADA",Movimientos!$R$2:$R$1994,0)),"-")</f>
        <v>ERRO</v>
      </c>
      <c r="G16" s="2" t="str">
        <f>IFERROR(INDEX(Movimientos!$L$2:$L$1994,MATCH(A16&amp;"ENTRADA",Movimientos!$R$2:$R$1994,0)),"-")</f>
        <v>kg</v>
      </c>
      <c r="H16" s="17" t="str">
        <f>IFERROR(IF(INDEX(Movimientos!$M$2:$M$1994,MATCH(A16&amp;"ENTRADA",Movimientos!$R$2:$R$1994,0))=0,"S/D",INDEX(Movimientos!$M$2:$M$1994,MATCH(A16&amp;"ENTRADA",Movimientos!$R$2:$R$1994,0))),"S/D")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IFERROR(INDEX(Movimientos!$C$2:$C$1994,MATCH(A17&amp;"ENTRADA",Movimientos!$R$2:$R$1994,0)),"-")</f>
        <v>Azuka</v>
      </c>
      <c r="C17" s="2" t="str">
        <f>IFERROR(INDEX(Movimientos!$D$2:$D$1994,MATCH(A17&amp;"ENTRADA",Movimientos!$R$2:$R$1994,0)),"-")</f>
        <v>Glifosato Sal DMA 608 g/L. Equivalente en glifosato 480 g/L</v>
      </c>
      <c r="D17" s="2" t="str">
        <f>IFERROR(INDEX(Movimientos!$E$2:$E$1994,MATCH(A17&amp;"ENTRADA",Movimientos!$R$2:$R$1994,0)),"-")</f>
        <v>Herbicida</v>
      </c>
      <c r="E17" s="2" t="str">
        <f>IFERROR(INDEX(Movimientos!$F$2:$F$1994,MATCH(A17&amp;"ENTRADA",Movimientos!$R$2:$R$1994,0)),"-")</f>
        <v>Postemergente</v>
      </c>
      <c r="F17" s="2" t="str">
        <f>IFERROR(INDEX(Movimientos!$G$2:$G$1994,MATCH(A17&amp;"ENTRADA",Movimientos!$R$2:$R$1994,0)),"-")</f>
        <v>Proquimur</v>
      </c>
      <c r="G17" s="2" t="str">
        <f>IFERROR(INDEX(Movimientos!$L$2:$L$1994,MATCH(A17&amp;"ENTRADA",Movimientos!$R$2:$R$1994,0)),"-")</f>
        <v>L</v>
      </c>
      <c r="H17" s="17">
        <f>IFERROR(IF(INDEX(Movimientos!$M$2:$M$1994,MATCH(A17&amp;"ENTRADA",Movimientos!$R$2:$R$1994,0))=0,"S/D",INDEX(Movimientos!$M$2:$M$1994,MATCH(A17&amp;"ENTRADA",Movimientos!$R$2:$R$1994,0))),"S/D")</f>
        <v>46692</v>
      </c>
      <c r="I17" s="15">
        <f t="shared" ca="1" si="2"/>
        <v>398</v>
      </c>
      <c r="J17" s="5">
        <f>IF(A17="","",SUMIFS(Movimientos!$K:$K,Movimientos!$H:$H,A17))</f>
        <v>27240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IFERROR(INDEX(Movimientos!$C$2:$C$1994,MATCH(A18&amp;"ENTRADA",Movimientos!$R$2:$R$1994,0)),"-")</f>
        <v>Pardo</v>
      </c>
      <c r="C18" s="2" t="str">
        <f>IFERROR(INDEX(Movimientos!$D$2:$D$1994,MATCH(A18&amp;"ENTRADA",Movimientos!$R$2:$R$1994,0)),"-")</f>
        <v>Clethodim 240 g/L</v>
      </c>
      <c r="D18" s="2" t="str">
        <f>IFERROR(INDEX(Movimientos!$E$2:$E$1994,MATCH(A18&amp;"ENTRADA",Movimientos!$R$2:$R$1994,0)),"-")</f>
        <v>Herbicida</v>
      </c>
      <c r="E18" s="2" t="str">
        <f>IFERROR(INDEX(Movimientos!$F$2:$F$1994,MATCH(A18&amp;"ENTRADA",Movimientos!$R$2:$R$1994,0)),"-")</f>
        <v>Postemergente</v>
      </c>
      <c r="F18" s="2" t="str">
        <f>IFERROR(INDEX(Movimientos!$G$2:$G$1994,MATCH(A18&amp;"ENTRADA",Movimientos!$R$2:$R$1994,0)),"-")</f>
        <v>Proquimur</v>
      </c>
      <c r="G18" s="2" t="str">
        <f>IFERROR(INDEX(Movimientos!$L$2:$L$1994,MATCH(A18&amp;"ENTRADA",Movimientos!$R$2:$R$1994,0)),"-")</f>
        <v>L</v>
      </c>
      <c r="H18" s="17">
        <f>IFERROR(IF(INDEX(Movimientos!$M$2:$M$1994,MATCH(A18&amp;"ENTRADA",Movimientos!$R$2:$R$1994,0))=0,"S/D",INDEX(Movimientos!$M$2:$M$1994,MATCH(A18&amp;"ENTRADA",Movimientos!$R$2:$R$1994,0))),"S/D")</f>
        <v>46753</v>
      </c>
      <c r="I18" s="15">
        <f t="shared" ca="1" si="2"/>
        <v>459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IFERROR(INDEX(Movimientos!$C$2:$C$1994,MATCH(A19&amp;"ENTRADA",Movimientos!$R$2:$R$1994,0)),"-")</f>
        <v>Harrier</v>
      </c>
      <c r="C19" s="2" t="str">
        <f>IFERROR(INDEX(Movimientos!$D$2:$D$1994,MATCH(A19&amp;"ENTRADA",Movimientos!$R$2:$R$1994,0)),"-")</f>
        <v>ALCOHOL LINEAL ETOXILADO 32.7%</v>
      </c>
      <c r="D19" s="2" t="str">
        <f>IFERROR(INDEX(Movimientos!$E$2:$E$1994,MATCH(A19&amp;"ENTRADA",Movimientos!$R$2:$R$1994,0)),"-")</f>
        <v>Coadyuvante</v>
      </c>
      <c r="E19" s="2">
        <f>IFERROR(INDEX(Movimientos!$F$2:$F$1994,MATCH(A19&amp;"ENTRADA",Movimientos!$R$2:$R$1994,0)),"-")</f>
        <v>0</v>
      </c>
      <c r="F19" s="2" t="str">
        <f>IFERROR(INDEX(Movimientos!$G$2:$G$1994,MATCH(A19&amp;"ENTRADA",Movimientos!$R$2:$R$1994,0)),"-")</f>
        <v>Don asdrual</v>
      </c>
      <c r="G19" s="2" t="str">
        <f>IFERROR(INDEX(Movimientos!$L$2:$L$1994,MATCH(A19&amp;"ENTRADA",Movimientos!$R$2:$R$1994,0)),"-")</f>
        <v>L</v>
      </c>
      <c r="H19" s="17">
        <f>IFERROR(IF(INDEX(Movimientos!$M$2:$M$1994,MATCH(A19&amp;"ENTRADA",Movimientos!$R$2:$R$1994,0))=0,"S/D",INDEX(Movimientos!$M$2:$M$1994,MATCH(A19&amp;"ENTRADA",Movimientos!$R$2:$R$1994,0))),"S/D")</f>
        <v>46661</v>
      </c>
      <c r="I19" s="15">
        <f t="shared" ca="1" si="2"/>
        <v>367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IFERROR(INDEX(Movimientos!$C$2:$C$1994,MATCH(A20&amp;"ENTRADA",Movimientos!$R$2:$R$1994,0)),"-")</f>
        <v>Harrier</v>
      </c>
      <c r="C20" s="2" t="str">
        <f>IFERROR(INDEX(Movimientos!$D$2:$D$1994,MATCH(A20&amp;"ENTRADA",Movimientos!$R$2:$R$1994,0)),"-")</f>
        <v>ALCOHOL LINEAL ETOXILADO 32.7%</v>
      </c>
      <c r="D20" s="2" t="str">
        <f>IFERROR(INDEX(Movimientos!$E$2:$E$1994,MATCH(A20&amp;"ENTRADA",Movimientos!$R$2:$R$1994,0)),"-")</f>
        <v>Coadyuvante</v>
      </c>
      <c r="E20" s="2">
        <f>IFERROR(INDEX(Movimientos!$F$2:$F$1994,MATCH(A20&amp;"ENTRADA",Movimientos!$R$2:$R$1994,0)),"-")</f>
        <v>0</v>
      </c>
      <c r="F20" s="2" t="str">
        <f>IFERROR(INDEX(Movimientos!$G$2:$G$1994,MATCH(A20&amp;"ENTRADA",Movimientos!$R$2:$R$1994,0)),"-")</f>
        <v>Don asdrual</v>
      </c>
      <c r="G20" s="2" t="str">
        <f>IFERROR(INDEX(Movimientos!$L$2:$L$1994,MATCH(A20&amp;"ENTRADA",Movimientos!$R$2:$R$1994,0)),"-")</f>
        <v>L</v>
      </c>
      <c r="H20" s="17">
        <f>IFERROR(IF(INDEX(Movimientos!$M$2:$M$1994,MATCH(A20&amp;"ENTRADA",Movimientos!$R$2:$R$1994,0))=0,"S/D",INDEX(Movimientos!$M$2:$M$1994,MATCH(A20&amp;"ENTRADA",Movimientos!$R$2:$R$1994,0))),"S/D")</f>
        <v>46813</v>
      </c>
      <c r="I20" s="15">
        <f t="shared" ca="1" si="2"/>
        <v>519</v>
      </c>
      <c r="J20" s="5">
        <f>IF(A20="","",SUMIFS(Movimientos!$K:$K,Movimientos!$H:$H,A20))</f>
        <v>9487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IFERROR(INDEX(Movimientos!$C$2:$C$1994,MATCH(A21&amp;"ENTRADA",Movimientos!$R$2:$R$1994,0)),"-")</f>
        <v>Full control</v>
      </c>
      <c r="C21" s="2" t="str">
        <f>IFERROR(INDEX(Movimientos!$D$2:$D$1994,MATCH(A21&amp;"ENTRADA",Movimientos!$R$2:$R$1994,0)),"-")</f>
        <v>ACIDO FOSFORICO 23 g</v>
      </c>
      <c r="D21" s="2" t="str">
        <f>IFERROR(INDEX(Movimientos!$E$2:$E$1994,MATCH(A21&amp;"ENTRADA",Movimientos!$R$2:$R$1994,0)),"-")</f>
        <v>Coadyuvante</v>
      </c>
      <c r="E21" s="2">
        <f>IFERROR(INDEX(Movimientos!$F$2:$F$1994,MATCH(A21&amp;"ENTRADA",Movimientos!$R$2:$R$1994,0)),"-")</f>
        <v>0</v>
      </c>
      <c r="F21" s="2" t="str">
        <f>IFERROR(INDEX(Movimientos!$G$2:$G$1994,MATCH(A21&amp;"ENTRADA",Movimientos!$R$2:$R$1994,0)),"-")</f>
        <v>Don asdrual</v>
      </c>
      <c r="G21" s="2" t="str">
        <f>IFERROR(INDEX(Movimientos!$L$2:$L$1994,MATCH(A21&amp;"ENTRADA",Movimientos!$R$2:$R$1994,0)),"-")</f>
        <v>L</v>
      </c>
      <c r="H21" s="17">
        <f>IFERROR(IF(INDEX(Movimientos!$M$2:$M$1994,MATCH(A21&amp;"ENTRADA",Movimientos!$R$2:$R$1994,0))=0,"S/D",INDEX(Movimientos!$M$2:$M$1994,MATCH(A21&amp;"ENTRADA",Movimientos!$R$2:$R$1994,0))),"S/D")</f>
        <v>46661</v>
      </c>
      <c r="I21" s="15">
        <f t="shared" ca="1" si="2"/>
        <v>367</v>
      </c>
      <c r="J21" s="5">
        <f>IF(A21="","",SUMIFS(Movimientos!$K:$K,Movimientos!$H:$H,A21))</f>
        <v>-728</v>
      </c>
      <c r="K21" s="13" t="str">
        <f t="shared" ca="1" si="1"/>
        <v>SIN STOCK</v>
      </c>
    </row>
    <row r="22" spans="1:11">
      <c r="A22" s="16" t="s">
        <v>468</v>
      </c>
      <c r="B22" s="2" t="str">
        <f>IFERROR(INDEX(Movimientos!$C$2:$C$1994,MATCH(A22&amp;"ENTRADA",Movimientos!$R$2:$R$1994,0)),"-")</f>
        <v>Maxi Drop</v>
      </c>
      <c r="C22" s="2" t="str">
        <f>IFERROR(INDEX(Movimientos!$D$2:$D$1994,MATCH(A22&amp;"ENTRADA",Movimientos!$R$2:$R$1994,0)),"-")</f>
        <v>ACEITE DE SOJA 48 g</v>
      </c>
      <c r="D22" s="2" t="str">
        <f>IFERROR(INDEX(Movimientos!$E$2:$E$1994,MATCH(A22&amp;"ENTRADA",Movimientos!$R$2:$R$1994,0)),"-")</f>
        <v>Coadyuvante</v>
      </c>
      <c r="E22" s="2">
        <f>IFERROR(INDEX(Movimientos!$F$2:$F$1994,MATCH(A22&amp;"ENTRADA",Movimientos!$R$2:$R$1994,0)),"-")</f>
        <v>0</v>
      </c>
      <c r="F22" s="2" t="str">
        <f>IFERROR(INDEX(Movimientos!$G$2:$G$1994,MATCH(A22&amp;"ENTRADA",Movimientos!$R$2:$R$1994,0)),"-")</f>
        <v>Don asdrual</v>
      </c>
      <c r="G22" s="2" t="str">
        <f>IFERROR(INDEX(Movimientos!$L$2:$L$1994,MATCH(A22&amp;"ENTRADA",Movimientos!$R$2:$R$1994,0)),"-")</f>
        <v>L</v>
      </c>
      <c r="H22" s="17">
        <f>IFERROR(IF(INDEX(Movimientos!$M$2:$M$1994,MATCH(A22&amp;"ENTRADA",Movimientos!$R$2:$R$1994,0))=0,"S/D",INDEX(Movimientos!$M$2:$M$1994,MATCH(A22&amp;"ENTRADA",Movimientos!$R$2:$R$1994,0))),"S/D")</f>
        <v>46388</v>
      </c>
      <c r="I22" s="15">
        <f t="shared" ca="1" si="2"/>
        <v>94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IFERROR(INDEX(Movimientos!$C$2:$C$1994,MATCH(A23&amp;"ENTRADA",Movimientos!$R$2:$R$1994,0)),"-")</f>
        <v>Axial</v>
      </c>
      <c r="C23" s="2" t="str">
        <f>IFERROR(INDEX(Movimientos!$D$2:$D$1994,MATCH(A23&amp;"ENTRADA",Movimientos!$R$2:$R$1994,0)),"-")</f>
        <v>PINOXADEN 5 GR + CLOQUINTOCET-MEXIL 1.25 GR</v>
      </c>
      <c r="D23" s="2" t="str">
        <f>IFERROR(INDEX(Movimientos!$E$2:$E$1994,MATCH(A23&amp;"ENTRADA",Movimientos!$R$2:$R$1994,0)),"-")</f>
        <v>Herbicida</v>
      </c>
      <c r="E23" s="2" t="str">
        <f>IFERROR(INDEX(Movimientos!$F$2:$F$1994,MATCH(A23&amp;"ENTRADA",Movimientos!$R$2:$R$1994,0)),"-")</f>
        <v>Postemergente</v>
      </c>
      <c r="F23" s="2" t="str">
        <f>IFERROR(INDEX(Movimientos!$G$2:$G$1994,MATCH(A23&amp;"ENTRADA",Movimientos!$R$2:$R$1994,0)),"-")</f>
        <v>GS Agro</v>
      </c>
      <c r="G23" s="2" t="str">
        <f>IFERROR(INDEX(Movimientos!$L$2:$L$1994,MATCH(A23&amp;"ENTRADA",Movimientos!$R$2:$R$1994,0)),"-")</f>
        <v>L</v>
      </c>
      <c r="H23" s="17">
        <f>IFERROR(IF(INDEX(Movimientos!$M$2:$M$1994,MATCH(A23&amp;"ENTRADA",Movimientos!$R$2:$R$1994,0))=0,"S/D",INDEX(Movimientos!$M$2:$M$1994,MATCH(A23&amp;"ENTRADA",Movimientos!$R$2:$R$1994,0))),"S/D")</f>
        <v>46419</v>
      </c>
      <c r="I23" s="15">
        <f t="shared" ca="1" si="2"/>
        <v>125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IFERROR(INDEX(Movimientos!$C$2:$C$1994,MATCH(A24&amp;"ENTRADA",Movimientos!$R$2:$R$1994,0)),"-")</f>
        <v>Colza Nuola 300</v>
      </c>
      <c r="C24" s="2" t="str">
        <f>IFERROR(INDEX(Movimientos!$D$2:$D$1994,MATCH(A24&amp;"ENTRADA",Movimientos!$R$2:$R$1994,0)),"-")</f>
        <v>Nuola 300</v>
      </c>
      <c r="D24" s="2" t="str">
        <f>IFERROR(INDEX(Movimientos!$E$2:$E$1994,MATCH(A24&amp;"ENTRADA",Movimientos!$R$2:$R$1994,0)),"-")</f>
        <v>Semilla</v>
      </c>
      <c r="E24" s="2" t="str">
        <f>IFERROR(INDEX(Movimientos!$F$2:$F$1994,MATCH(A24&amp;"ENTRADA",Movimientos!$R$2:$R$1994,0)),"-")</f>
        <v>Colza</v>
      </c>
      <c r="F24" s="2" t="str">
        <f>IFERROR(INDEX(Movimientos!$G$2:$G$1994,MATCH(A24&amp;"ENTRADA",Movimientos!$R$2:$R$1994,0)),"-")</f>
        <v>Agroterra</v>
      </c>
      <c r="G24" s="2" t="str">
        <f>IFERROR(INDEX(Movimientos!$L$2:$L$1994,MATCH(A24&amp;"ENTRADA",Movimientos!$R$2:$R$1994,0)),"-")</f>
        <v>kg</v>
      </c>
      <c r="H24" s="17" t="str">
        <f>IFERROR(IF(INDEX(Movimientos!$M$2:$M$1994,MATCH(A24&amp;"ENTRADA",Movimientos!$R$2:$R$1994,0))=0,"S/D",INDEX(Movimientos!$M$2:$M$1994,MATCH(A24&amp;"ENTRADA",Movimientos!$R$2:$R$1994,0))),"S/D")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IFERROR(INDEX(Movimientos!$C$2:$C$1994,MATCH(A25&amp;"ENTRADA",Movimientos!$R$2:$R$1994,0)),"-")</f>
        <v>Colza Ceres IMI</v>
      </c>
      <c r="C25" s="2" t="str">
        <f>IFERROR(INDEX(Movimientos!$D$2:$D$1994,MATCH(A25&amp;"ENTRADA",Movimientos!$R$2:$R$1994,0)),"-")</f>
        <v>Ceres IMI</v>
      </c>
      <c r="D25" s="2" t="str">
        <f>IFERROR(INDEX(Movimientos!$E$2:$E$1994,MATCH(A25&amp;"ENTRADA",Movimientos!$R$2:$R$1994,0)),"-")</f>
        <v>Semilla</v>
      </c>
      <c r="E25" s="2" t="str">
        <f>IFERROR(INDEX(Movimientos!$F$2:$F$1994,MATCH(A25&amp;"ENTRADA",Movimientos!$R$2:$R$1994,0)),"-")</f>
        <v>Colza</v>
      </c>
      <c r="F25" s="2" t="str">
        <f>IFERROR(INDEX(Movimientos!$G$2:$G$1994,MATCH(A25&amp;"ENTRADA",Movimientos!$R$2:$R$1994,0)),"-")</f>
        <v>Agroterra</v>
      </c>
      <c r="G25" s="2" t="str">
        <f>IFERROR(INDEX(Movimientos!$L$2:$L$1994,MATCH(A25&amp;"ENTRADA",Movimientos!$R$2:$R$1994,0)),"-")</f>
        <v>kg</v>
      </c>
      <c r="H25" s="17" t="str">
        <f>IFERROR(IF(INDEX(Movimientos!$M$2:$M$1994,MATCH(A25&amp;"ENTRADA",Movimientos!$R$2:$R$1994,0))=0,"S/D",INDEX(Movimientos!$M$2:$M$1994,MATCH(A25&amp;"ENTRADA",Movimientos!$R$2:$R$1994,0))),"S/D")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IFERROR(INDEX(Movimientos!$C$2:$C$1994,MATCH(A26&amp;"ENTRADA",Movimientos!$R$2:$R$1994,0)),"-")</f>
        <v>Festuca Carape</v>
      </c>
      <c r="C26" s="2" t="str">
        <f>IFERROR(INDEX(Movimientos!$D$2:$D$1994,MATCH(A26&amp;"ENTRADA",Movimientos!$R$2:$R$1994,0)),"-")</f>
        <v>Festuca Carape</v>
      </c>
      <c r="D26" s="2" t="str">
        <f>IFERROR(INDEX(Movimientos!$E$2:$E$1994,MATCH(A26&amp;"ENTRADA",Movimientos!$R$2:$R$1994,0)),"-")</f>
        <v>Semilla</v>
      </c>
      <c r="E26" s="2" t="str">
        <f>IFERROR(INDEX(Movimientos!$F$2:$F$1994,MATCH(A26&amp;"ENTRADA",Movimientos!$R$2:$R$1994,0)),"-")</f>
        <v>Festuca</v>
      </c>
      <c r="F26" s="2" t="str">
        <f>IFERROR(INDEX(Movimientos!$G$2:$G$1994,MATCH(A26&amp;"ENTRADA",Movimientos!$R$2:$R$1994,0)),"-")</f>
        <v>Megaagro</v>
      </c>
      <c r="G26" s="2" t="str">
        <f>IFERROR(INDEX(Movimientos!$L$2:$L$1994,MATCH(A26&amp;"ENTRADA",Movimientos!$R$2:$R$1994,0)),"-")</f>
        <v>kg</v>
      </c>
      <c r="H26" s="17" t="str">
        <f>IFERROR(IF(INDEX(Movimientos!$M$2:$M$1994,MATCH(A26&amp;"ENTRADA",Movimientos!$R$2:$R$1994,0))=0,"S/D",INDEX(Movimientos!$M$2:$M$1994,MATCH(A26&amp;"ENTRADA",Movimientos!$R$2:$R$1994,0))),"S/D")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IFERROR(INDEX(Movimientos!$C$2:$C$1994,MATCH(A27&amp;"ENTRADA",Movimientos!$R$2:$R$1994,0)),"-")</f>
        <v>Alfalfa Verdor</v>
      </c>
      <c r="C27" s="2" t="str">
        <f>IFERROR(INDEX(Movimientos!$D$2:$D$1994,MATCH(A27&amp;"ENTRADA",Movimientos!$R$2:$R$1994,0)),"-")</f>
        <v>Alfalfa Verdor momla 384-2n-04</v>
      </c>
      <c r="D27" s="2" t="str">
        <f>IFERROR(INDEX(Movimientos!$E$2:$E$1994,MATCH(A27&amp;"ENTRADA",Movimientos!$R$2:$R$1994,0)),"-")</f>
        <v>Semilla</v>
      </c>
      <c r="E27" s="2" t="str">
        <f>IFERROR(INDEX(Movimientos!$F$2:$F$1994,MATCH(A27&amp;"ENTRADA",Movimientos!$R$2:$R$1994,0)),"-")</f>
        <v>Alfalfa</v>
      </c>
      <c r="F27" s="2" t="str">
        <f>IFERROR(INDEX(Movimientos!$G$2:$G$1994,MATCH(A27&amp;"ENTRADA",Movimientos!$R$2:$R$1994,0)),"-")</f>
        <v>Megaagro</v>
      </c>
      <c r="G27" s="2" t="str">
        <f>IFERROR(INDEX(Movimientos!$L$2:$L$1994,MATCH(A27&amp;"ENTRADA",Movimientos!$R$2:$R$1994,0)),"-")</f>
        <v>kg</v>
      </c>
      <c r="H27" s="17" t="str">
        <f>IFERROR(IF(INDEX(Movimientos!$M$2:$M$1994,MATCH(A27&amp;"ENTRADA",Movimientos!$R$2:$R$1994,0))=0,"S/D",INDEX(Movimientos!$M$2:$M$1994,MATCH(A27&amp;"ENTRADA",Movimientos!$R$2:$R$1994,0))),"S/D")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IFERROR(INDEX(Movimientos!$C$2:$C$1994,MATCH(A28&amp;"ENTRADA",Movimientos!$R$2:$R$1994,0)),"-")</f>
        <v>Achicora Inia Nova</v>
      </c>
      <c r="C28" s="2" t="str">
        <f>IFERROR(INDEX(Movimientos!$D$2:$D$1994,MATCH(A28&amp;"ENTRADA",Movimientos!$R$2:$R$1994,0)),"-")</f>
        <v xml:space="preserve">Achicora inia nova </v>
      </c>
      <c r="D28" s="2" t="str">
        <f>IFERROR(INDEX(Movimientos!$E$2:$E$1994,MATCH(A28&amp;"ENTRADA",Movimientos!$R$2:$R$1994,0)),"-")</f>
        <v>Semilla</v>
      </c>
      <c r="E28" s="2" t="str">
        <f>IFERROR(INDEX(Movimientos!$F$2:$F$1994,MATCH(A28&amp;"ENTRADA",Movimientos!$R$2:$R$1994,0)),"-")</f>
        <v>Achicoria</v>
      </c>
      <c r="F28" s="2" t="str">
        <f>IFERROR(INDEX(Movimientos!$G$2:$G$1994,MATCH(A28&amp;"ENTRADA",Movimientos!$R$2:$R$1994,0)),"-")</f>
        <v>Megaagro</v>
      </c>
      <c r="G28" s="2" t="str">
        <f>IFERROR(INDEX(Movimientos!$L$2:$L$1994,MATCH(A28&amp;"ENTRADA",Movimientos!$R$2:$R$1994,0)),"-")</f>
        <v>kg</v>
      </c>
      <c r="H28" s="17" t="str">
        <f>IFERROR(IF(INDEX(Movimientos!$M$2:$M$1994,MATCH(A28&amp;"ENTRADA",Movimientos!$R$2:$R$1994,0))=0,"S/D",INDEX(Movimientos!$M$2:$M$1994,MATCH(A28&amp;"ENTRADA",Movimientos!$R$2:$R$1994,0))),"S/D")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IFERROR(INDEX(Movimientos!$C$2:$C$1994,MATCH(A29&amp;"ENTRADA",Movimientos!$R$2:$R$1994,0)),"-")</f>
        <v>Colza Nuola 300</v>
      </c>
      <c r="C29" s="2" t="str">
        <f>IFERROR(INDEX(Movimientos!$D$2:$D$1994,MATCH(A29&amp;"ENTRADA",Movimientos!$R$2:$R$1994,0)),"-")</f>
        <v>Nuola 300</v>
      </c>
      <c r="D29" s="2" t="str">
        <f>IFERROR(INDEX(Movimientos!$E$2:$E$1994,MATCH(A29&amp;"ENTRADA",Movimientos!$R$2:$R$1994,0)),"-")</f>
        <v>Semilla</v>
      </c>
      <c r="E29" s="2" t="str">
        <f>IFERROR(INDEX(Movimientos!$F$2:$F$1994,MATCH(A29&amp;"ENTRADA",Movimientos!$R$2:$R$1994,0)),"-")</f>
        <v>Colza</v>
      </c>
      <c r="F29" s="2" t="str">
        <f>IFERROR(INDEX(Movimientos!$G$2:$G$1994,MATCH(A29&amp;"ENTRADA",Movimientos!$R$2:$R$1994,0)),"-")</f>
        <v>Cargil</v>
      </c>
      <c r="G29" s="2" t="str">
        <f>IFERROR(INDEX(Movimientos!$L$2:$L$1994,MATCH(A29&amp;"ENTRADA",Movimientos!$R$2:$R$1994,0)),"-")</f>
        <v>kg</v>
      </c>
      <c r="H29" s="17" t="str">
        <f>IFERROR(IF(INDEX(Movimientos!$M$2:$M$1994,MATCH(A29&amp;"ENTRADA",Movimientos!$R$2:$R$1994,0))=0,"S/D",INDEX(Movimientos!$M$2:$M$1994,MATCH(A29&amp;"ENTRADA",Movimientos!$R$2:$R$1994,0))),"S/D")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IFERROR(INDEX(Movimientos!$C$2:$C$1994,MATCH(A30&amp;"ENTRADA",Movimientos!$R$2:$R$1994,0)),"-")</f>
        <v xml:space="preserve">Festuca Sortija C2 </v>
      </c>
      <c r="C30" s="2" t="str">
        <f>IFERROR(INDEX(Movimientos!$D$2:$D$1994,MATCH(A30&amp;"ENTRADA",Movimientos!$R$2:$R$1994,0)),"-")</f>
        <v>Festuca Sortija C2</v>
      </c>
      <c r="D30" s="2" t="str">
        <f>IFERROR(INDEX(Movimientos!$E$2:$E$1994,MATCH(A30&amp;"ENTRADA",Movimientos!$R$2:$R$1994,0)),"-")</f>
        <v>Semilla</v>
      </c>
      <c r="E30" s="2" t="str">
        <f>IFERROR(INDEX(Movimientos!$F$2:$F$1994,MATCH(A30&amp;"ENTRADA",Movimientos!$R$2:$R$1994,0)),"-")</f>
        <v>Festuca</v>
      </c>
      <c r="F30" s="2" t="str">
        <f>IFERROR(INDEX(Movimientos!$G$2:$G$1994,MATCH(A30&amp;"ENTRADA",Movimientos!$R$2:$R$1994,0)),"-")</f>
        <v>Agrofuturo</v>
      </c>
      <c r="G30" s="2" t="str">
        <f>IFERROR(INDEX(Movimientos!$L$2:$L$1994,MATCH(A30&amp;"ENTRADA",Movimientos!$R$2:$R$1994,0)),"-")</f>
        <v>kg</v>
      </c>
      <c r="H30" s="17" t="str">
        <f>IFERROR(IF(INDEX(Movimientos!$M$2:$M$1994,MATCH(A30&amp;"ENTRADA",Movimientos!$R$2:$R$1994,0))=0,"S/D",INDEX(Movimientos!$M$2:$M$1994,MATCH(A30&amp;"ENTRADA",Movimientos!$R$2:$R$1994,0))),"S/D")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IFERROR(INDEX(Movimientos!$C$2:$C$1994,MATCH(A31&amp;"ENTRADA",Movimientos!$R$2:$R$1994,0)),"-")</f>
        <v>Dactylis Drover</v>
      </c>
      <c r="C31" s="2" t="str">
        <f>IFERROR(INDEX(Movimientos!$D$2:$D$1994,MATCH(A31&amp;"ENTRADA",Movimientos!$R$2:$R$1994,0)),"-")</f>
        <v>Dactylis Drover ecotec af gram c2</v>
      </c>
      <c r="D31" s="2" t="str">
        <f>IFERROR(INDEX(Movimientos!$E$2:$E$1994,MATCH(A31&amp;"ENTRADA",Movimientos!$R$2:$R$1994,0)),"-")</f>
        <v>Semilla</v>
      </c>
      <c r="E31" s="2" t="str">
        <f>IFERROR(INDEX(Movimientos!$F$2:$F$1994,MATCH(A31&amp;"ENTRADA",Movimientos!$R$2:$R$1994,0)),"-")</f>
        <v>Dactylis</v>
      </c>
      <c r="F31" s="2" t="str">
        <f>IFERROR(INDEX(Movimientos!$G$2:$G$1994,MATCH(A31&amp;"ENTRADA",Movimientos!$R$2:$R$1994,0)),"-")</f>
        <v>Agrofuturo</v>
      </c>
      <c r="G31" s="2" t="str">
        <f>IFERROR(INDEX(Movimientos!$L$2:$L$1994,MATCH(A31&amp;"ENTRADA",Movimientos!$R$2:$R$1994,0)),"-")</f>
        <v>kg</v>
      </c>
      <c r="H31" s="17" t="str">
        <f>IFERROR(IF(INDEX(Movimientos!$M$2:$M$1994,MATCH(A31&amp;"ENTRADA",Movimientos!$R$2:$R$1994,0))=0,"S/D",INDEX(Movimientos!$M$2:$M$1994,MATCH(A31&amp;"ENTRADA",Movimientos!$R$2:$R$1994,0))),"S/D")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IFERROR(INDEX(Movimientos!$C$2:$C$1994,MATCH(A32&amp;"ENTRADA",Movimientos!$R$2:$R$1994,0)),"-")</f>
        <v>Trebol Blanco E Zapican</v>
      </c>
      <c r="C32" s="2" t="str">
        <f>IFERROR(INDEX(Movimientos!$D$2:$D$1994,MATCH(A32&amp;"ENTRADA",Movimientos!$R$2:$R$1994,0)),"-")</f>
        <v>Trebol Blanco E Zapican Ecotec AF</v>
      </c>
      <c r="D32" s="2" t="str">
        <f>IFERROR(INDEX(Movimientos!$E$2:$E$1994,MATCH(A32&amp;"ENTRADA",Movimientos!$R$2:$R$1994,0)),"-")</f>
        <v>Semilla</v>
      </c>
      <c r="E32" s="2" t="str">
        <f>IFERROR(INDEX(Movimientos!$F$2:$F$1994,MATCH(A32&amp;"ENTRADA",Movimientos!$R$2:$R$1994,0)),"-")</f>
        <v>Trebol Blanco</v>
      </c>
      <c r="F32" s="2" t="str">
        <f>IFERROR(INDEX(Movimientos!$G$2:$G$1994,MATCH(A32&amp;"ENTRADA",Movimientos!$R$2:$R$1994,0)),"-")</f>
        <v>Agrofuturo</v>
      </c>
      <c r="G32" s="2" t="str">
        <f>IFERROR(INDEX(Movimientos!$L$2:$L$1994,MATCH(A32&amp;"ENTRADA",Movimientos!$R$2:$R$1994,0)),"-")</f>
        <v>kg</v>
      </c>
      <c r="H32" s="17" t="str">
        <f>IFERROR(IF(INDEX(Movimientos!$M$2:$M$1994,MATCH(A32&amp;"ENTRADA",Movimientos!$R$2:$R$1994,0))=0,"S/D",INDEX(Movimientos!$M$2:$M$1994,MATCH(A32&amp;"ENTRADA",Movimientos!$R$2:$R$1994,0))),"S/D")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IFERROR(INDEX(Movimientos!$C$2:$C$1994,MATCH(A33&amp;"ENTRADA",Movimientos!$R$2:$R$1994,0)),"-")</f>
        <v>Trebol Rojo E116</v>
      </c>
      <c r="C33" s="2" t="str">
        <f>IFERROR(INDEX(Movimientos!$D$2:$D$1994,MATCH(A33&amp;"ENTRADA",Movimientos!$R$2:$R$1994,0)),"-")</f>
        <v>Trebol Rojo E116 Ecotec AF</v>
      </c>
      <c r="D33" s="2" t="str">
        <f>IFERROR(INDEX(Movimientos!$E$2:$E$1994,MATCH(A33&amp;"ENTRADA",Movimientos!$R$2:$R$1994,0)),"-")</f>
        <v>Semilla</v>
      </c>
      <c r="E33" s="2" t="str">
        <f>IFERROR(INDEX(Movimientos!$F$2:$F$1994,MATCH(A33&amp;"ENTRADA",Movimientos!$R$2:$R$1994,0)),"-")</f>
        <v xml:space="preserve">Trebol Rojo </v>
      </c>
      <c r="F33" s="2" t="str">
        <f>IFERROR(INDEX(Movimientos!$G$2:$G$1994,MATCH(A33&amp;"ENTRADA",Movimientos!$R$2:$R$1994,0)),"-")</f>
        <v>Agrofuturo</v>
      </c>
      <c r="G33" s="2" t="str">
        <f>IFERROR(INDEX(Movimientos!$L$2:$L$1994,MATCH(A33&amp;"ENTRADA",Movimientos!$R$2:$R$1994,0)),"-")</f>
        <v>kg</v>
      </c>
      <c r="H33" s="17" t="str">
        <f>IFERROR(IF(INDEX(Movimientos!$M$2:$M$1994,MATCH(A33&amp;"ENTRADA",Movimientos!$R$2:$R$1994,0))=0,"S/D",INDEX(Movimientos!$M$2:$M$1994,MATCH(A33&amp;"ENTRADA",Movimientos!$R$2:$R$1994,0))),"S/D")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IFERROR(INDEX(Movimientos!$C$2:$C$1994,MATCH(A34&amp;"ENTRADA",Movimientos!$R$2:$R$1994,0)),"-")</f>
        <v>Phalaris Stockman Comb</v>
      </c>
      <c r="C34" s="2" t="str">
        <f>IFERROR(INDEX(Movimientos!$D$2:$D$1994,MATCH(A34&amp;"ENTRADA",Movimientos!$R$2:$R$1994,0)),"-")</f>
        <v>Phalaris Stockman Comb</v>
      </c>
      <c r="D34" s="2" t="str">
        <f>IFERROR(INDEX(Movimientos!$E$2:$E$1994,MATCH(A34&amp;"ENTRADA",Movimientos!$R$2:$R$1994,0)),"-")</f>
        <v>Semilla</v>
      </c>
      <c r="E34" s="2" t="str">
        <f>IFERROR(INDEX(Movimientos!$F$2:$F$1994,MATCH(A34&amp;"ENTRADA",Movimientos!$R$2:$R$1994,0)),"-")</f>
        <v>Phalaris</v>
      </c>
      <c r="F34" s="2" t="str">
        <f>IFERROR(INDEX(Movimientos!$G$2:$G$1994,MATCH(A34&amp;"ENTRADA",Movimientos!$R$2:$R$1994,0)),"-")</f>
        <v>Agrofuturo</v>
      </c>
      <c r="G34" s="2" t="str">
        <f>IFERROR(INDEX(Movimientos!$L$2:$L$1994,MATCH(A34&amp;"ENTRADA",Movimientos!$R$2:$R$1994,0)),"-")</f>
        <v>kg</v>
      </c>
      <c r="H34" s="17" t="str">
        <f>IFERROR(IF(INDEX(Movimientos!$M$2:$M$1994,MATCH(A34&amp;"ENTRADA",Movimientos!$R$2:$R$1994,0))=0,"S/D",INDEX(Movimientos!$M$2:$M$1994,MATCH(A34&amp;"ENTRADA",Movimientos!$R$2:$R$1994,0))),"S/D")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IFERROR(INDEX(Movimientos!$C$2:$C$1994,MATCH(A35&amp;"ENTRADA",Movimientos!$R$2:$R$1994,0)),"-")</f>
        <v>Colza continuum Cl</v>
      </c>
      <c r="C35" s="2" t="str">
        <f>IFERROR(INDEX(Movimientos!$D$2:$D$1994,MATCH(A35&amp;"ENTRADA",Movimientos!$R$2:$R$1994,0)),"-")</f>
        <v>Continuum CL</v>
      </c>
      <c r="D35" s="2" t="str">
        <f>IFERROR(INDEX(Movimientos!$E$2:$E$1994,MATCH(A35&amp;"ENTRADA",Movimientos!$R$2:$R$1994,0)),"-")</f>
        <v>Semilla</v>
      </c>
      <c r="E35" s="2" t="str">
        <f>IFERROR(INDEX(Movimientos!$F$2:$F$1994,MATCH(A35&amp;"ENTRADA",Movimientos!$R$2:$R$1994,0)),"-")</f>
        <v>Colza</v>
      </c>
      <c r="F35" s="2" t="str">
        <f>IFERROR(INDEX(Movimientos!$G$2:$G$1994,MATCH(A35&amp;"ENTRADA",Movimientos!$R$2:$R$1994,0)),"-")</f>
        <v>ERRO</v>
      </c>
      <c r="G35" s="2" t="str">
        <f>IFERROR(INDEX(Movimientos!$L$2:$L$1994,MATCH(A35&amp;"ENTRADA",Movimientos!$R$2:$R$1994,0)),"-")</f>
        <v>kg</v>
      </c>
      <c r="H35" s="17" t="str">
        <f>IFERROR(IF(INDEX(Movimientos!$M$2:$M$1994,MATCH(A35&amp;"ENTRADA",Movimientos!$R$2:$R$1994,0))=0,"S/D",INDEX(Movimientos!$M$2:$M$1994,MATCH(A35&amp;"ENTRADA",Movimientos!$R$2:$R$1994,0))),"S/D")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IFERROR(INDEX(Movimientos!$C$2:$C$1994,MATCH(A36&amp;"ENTRADA",Movimientos!$R$2:$R$1994,0)),"-")</f>
        <v>Colza Hyola Solstice cl</v>
      </c>
      <c r="C36" s="2" t="str">
        <f>IFERROR(INDEX(Movimientos!$D$2:$D$1994,MATCH(A36&amp;"ENTRADA",Movimientos!$R$2:$R$1994,0)),"-")</f>
        <v>Colza Hyola Solstice cl</v>
      </c>
      <c r="D36" s="2" t="str">
        <f>IFERROR(INDEX(Movimientos!$E$2:$E$1994,MATCH(A36&amp;"ENTRADA",Movimientos!$R$2:$R$1994,0)),"-")</f>
        <v>Semilla</v>
      </c>
      <c r="E36" s="2" t="str">
        <f>IFERROR(INDEX(Movimientos!$F$2:$F$1994,MATCH(A36&amp;"ENTRADA",Movimientos!$R$2:$R$1994,0)),"-")</f>
        <v>Colza</v>
      </c>
      <c r="F36" s="2" t="str">
        <f>IFERROR(INDEX(Movimientos!$G$2:$G$1994,MATCH(A36&amp;"ENTRADA",Movimientos!$R$2:$R$1994,0)),"-")</f>
        <v>ERRO</v>
      </c>
      <c r="G36" s="2" t="str">
        <f>IFERROR(INDEX(Movimientos!$L$2:$L$1994,MATCH(A36&amp;"ENTRADA",Movimientos!$R$2:$R$1994,0)),"-")</f>
        <v>kg</v>
      </c>
      <c r="H36" s="17" t="str">
        <f>IFERROR(IF(INDEX(Movimientos!$M$2:$M$1994,MATCH(A36&amp;"ENTRADA",Movimientos!$R$2:$R$1994,0))=0,"S/D",INDEX(Movimientos!$M$2:$M$1994,MATCH(A36&amp;"ENTRADA",Movimientos!$R$2:$R$1994,0))),"S/D")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IFERROR(INDEX(Movimientos!$C$2:$C$1994,MATCH(A37&amp;"ENTRADA",Movimientos!$R$2:$R$1994,0)),"-")</f>
        <v xml:space="preserve">Avena </v>
      </c>
      <c r="C37" s="2" t="str">
        <f>IFERROR(INDEX(Movimientos!$D$2:$D$1994,MATCH(A37&amp;"ENTRADA",Movimientos!$R$2:$R$1994,0)),"-")</f>
        <v xml:space="preserve">Avena propia </v>
      </c>
      <c r="D37" s="2" t="str">
        <f>IFERROR(INDEX(Movimientos!$E$2:$E$1994,MATCH(A37&amp;"ENTRADA",Movimientos!$R$2:$R$1994,0)),"-")</f>
        <v>Semilla</v>
      </c>
      <c r="E37" s="2" t="str">
        <f>IFERROR(INDEX(Movimientos!$F$2:$F$1994,MATCH(A37&amp;"ENTRADA",Movimientos!$R$2:$R$1994,0)),"-")</f>
        <v>Avena</v>
      </c>
      <c r="F37" s="2">
        <f>IFERROR(INDEX(Movimientos!$G$2:$G$1994,MATCH(A37&amp;"ENTRADA",Movimientos!$R$2:$R$1994,0)),"-")</f>
        <v>0</v>
      </c>
      <c r="G37" s="2" t="str">
        <f>IFERROR(INDEX(Movimientos!$L$2:$L$1994,MATCH(A37&amp;"ENTRADA",Movimientos!$R$2:$R$1994,0)),"-")</f>
        <v>kg</v>
      </c>
      <c r="H37" s="17" t="str">
        <f>IFERROR(IF(INDEX(Movimientos!$M$2:$M$1994,MATCH(A37&amp;"ENTRADA",Movimientos!$R$2:$R$1994,0))=0,"S/D",INDEX(Movimientos!$M$2:$M$1994,MATCH(A37&amp;"ENTRADA",Movimientos!$R$2:$R$1994,0))),"S/D")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IFERROR(INDEX(Movimientos!$C$2:$C$1994,MATCH(A38&amp;"ENTRADA",Movimientos!$R$2:$R$1994,0)),"-")</f>
        <v>Arsenal</v>
      </c>
      <c r="C38" s="2" t="str">
        <f>IFERROR(INDEX(Movimientos!$D$2:$D$1994,MATCH(A38&amp;"ENTRADA",Movimientos!$R$2:$R$1994,0)),"-")</f>
        <v>Imazapir sal isopropilamina 24,2%</v>
      </c>
      <c r="D38" s="2" t="str">
        <f>IFERROR(INDEX(Movimientos!$E$2:$E$1994,MATCH(A38&amp;"ENTRADA",Movimientos!$R$2:$R$1994,0)),"-")</f>
        <v>Herbicida</v>
      </c>
      <c r="E38" s="2" t="str">
        <f>IFERROR(INDEX(Movimientos!$F$2:$F$1994,MATCH(A38&amp;"ENTRADA",Movimientos!$R$2:$R$1994,0)),"-")</f>
        <v>Postemergente</v>
      </c>
      <c r="F38" s="2" t="str">
        <f>IFERROR(INDEX(Movimientos!$G$2:$G$1994,MATCH(A38&amp;"ENTRADA",Movimientos!$R$2:$R$1994,0)),"-")</f>
        <v>ERRO</v>
      </c>
      <c r="G38" s="2" t="str">
        <f>IFERROR(INDEX(Movimientos!$L$2:$L$1994,MATCH(A38&amp;"ENTRADA",Movimientos!$R$2:$R$1994,0)),"-")</f>
        <v>L</v>
      </c>
      <c r="H38" s="17">
        <f>IFERROR(IF(INDEX(Movimientos!$M$2:$M$1994,MATCH(A38&amp;"ENTRADA",Movimientos!$R$2:$R$1994,0))=0,"S/D",INDEX(Movimientos!$M$2:$M$1994,MATCH(A38&amp;"ENTRADA",Movimientos!$R$2:$R$1994,0))),"S/D")</f>
        <v>46174</v>
      </c>
      <c r="I38" s="15">
        <f t="shared" ca="1" si="2"/>
        <v>-120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2346</v>
      </c>
      <c r="B39" s="2" t="str">
        <f>IFERROR(INDEX(Movimientos!$C$2:$C$1994,MATCH(A39&amp;"ENTRADA",Movimientos!$R$2:$R$1994,0)),"-")</f>
        <v>Dash HC</v>
      </c>
      <c r="C39" s="2" t="str">
        <f>IFERROR(INDEX(Movimientos!$D$2:$D$1994,MATCH(A39&amp;"ENTRADA",Movimientos!$R$2:$R$1994,0)),"-")</f>
        <v>Esteres metílicos de aceite vegetal 42,5%</v>
      </c>
      <c r="D39" s="2" t="str">
        <f>IFERROR(INDEX(Movimientos!$E$2:$E$1994,MATCH(A39&amp;"ENTRADA",Movimientos!$R$2:$R$1994,0)),"-")</f>
        <v>Coadyuvante</v>
      </c>
      <c r="E39" s="2">
        <f>IFERROR(INDEX(Movimientos!$F$2:$F$1994,MATCH(A39&amp;"ENTRADA",Movimientos!$R$2:$R$1994,0)),"-")</f>
        <v>0</v>
      </c>
      <c r="F39" s="2" t="str">
        <f>IFERROR(INDEX(Movimientos!$G$2:$G$1994,MATCH(A39&amp;"ENTRADA",Movimientos!$R$2:$R$1994,0)),"-")</f>
        <v>ERRO</v>
      </c>
      <c r="G39" s="2" t="str">
        <f>IFERROR(INDEX(Movimientos!$L$2:$L$1994,MATCH(A39&amp;"ENTRADA",Movimientos!$R$2:$R$1994,0)),"-")</f>
        <v>L</v>
      </c>
      <c r="H39" s="17">
        <f>IFERROR(IF(INDEX(Movimientos!$M$2:$M$1994,MATCH(A39&amp;"ENTRADA",Movimientos!$R$2:$R$1994,0))=0,"S/D",INDEX(Movimientos!$M$2:$M$1994,MATCH(A39&amp;"ENTRADA",Movimientos!$R$2:$R$1994,0))),"S/D")</f>
        <v>47574</v>
      </c>
      <c r="I39" s="15">
        <f t="shared" ca="1" si="2"/>
        <v>1280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IFERROR(INDEX(Movimientos!$C$2:$C$1994,MATCH(A40&amp;"ENTRADA",Movimientos!$R$2:$R$1994,0)),"-")</f>
        <v>Pixxaro</v>
      </c>
      <c r="C40" s="2" t="str">
        <f>IFERROR(INDEX(Movimientos!$D$2:$D$1994,MATCH(A40&amp;"ENTRADA",Movimientos!$R$2:$R$1994,0)),"-")</f>
        <v>Fluroxypyr meptyl 34,91% + Halauxyfen methyl 1.64% + Cloquintocet mexyl 1.57%</v>
      </c>
      <c r="D40" s="2" t="str">
        <f>IFERROR(INDEX(Movimientos!$E$2:$E$1994,MATCH(A40&amp;"ENTRADA",Movimientos!$R$2:$R$1994,0)),"-")</f>
        <v>Herbicida</v>
      </c>
      <c r="E40" s="2" t="str">
        <f>IFERROR(INDEX(Movimientos!$F$2:$F$1994,MATCH(A40&amp;"ENTRADA",Movimientos!$R$2:$R$1994,0)),"-")</f>
        <v>Postemergente</v>
      </c>
      <c r="F40" s="2" t="str">
        <f>IFERROR(INDEX(Movimientos!$G$2:$G$1994,MATCH(A40&amp;"ENTRADA",Movimientos!$R$2:$R$1994,0)),"-")</f>
        <v>GS Agro</v>
      </c>
      <c r="G40" s="2" t="str">
        <f>IFERROR(INDEX(Movimientos!$L$2:$L$1994,MATCH(A40&amp;"ENTRADA",Movimientos!$R$2:$R$1994,0)),"-")</f>
        <v>L</v>
      </c>
      <c r="H40" s="17">
        <f>IFERROR(IF(INDEX(Movimientos!$M$2:$M$1994,MATCH(A40&amp;"ENTRADA",Movimientos!$R$2:$R$1994,0))=0,"S/D",INDEX(Movimientos!$M$2:$M$1994,MATCH(A40&amp;"ENTRADA",Movimientos!$R$2:$R$1994,0))),"S/D")</f>
        <v>46801</v>
      </c>
      <c r="I40" s="15">
        <f t="shared" ca="1" si="2"/>
        <v>507</v>
      </c>
      <c r="J40" s="5">
        <f>IF(A40="","",SUMIFS(Movimientos!$K:$K,Movimientos!$H:$H,A40))</f>
        <v>435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IFERROR(INDEX(Movimientos!$C$2:$C$1994,MATCH(A41&amp;"ENTRADA",Movimientos!$R$2:$R$1994,0)),"-")</f>
        <v>Alfalfa Latte 920</v>
      </c>
      <c r="C41" s="2" t="str">
        <f>IFERROR(INDEX(Movimientos!$D$2:$D$1994,MATCH(A41&amp;"ENTRADA",Movimientos!$R$2:$R$1994,0)),"-")</f>
        <v>Alfalfa latte 920 gen protect plus</v>
      </c>
      <c r="D41" s="2" t="str">
        <f>IFERROR(INDEX(Movimientos!$E$2:$E$1994,MATCH(A41&amp;"ENTRADA",Movimientos!$R$2:$R$1994,0)),"-")</f>
        <v>Semilla</v>
      </c>
      <c r="E41" s="2" t="str">
        <f>IFERROR(INDEX(Movimientos!$F$2:$F$1994,MATCH(A41&amp;"ENTRADA",Movimientos!$R$2:$R$1994,0)),"-")</f>
        <v>Alfalfa</v>
      </c>
      <c r="F41" s="2" t="str">
        <f>IFERROR(INDEX(Movimientos!$G$2:$G$1994,MATCH(A41&amp;"ENTRADA",Movimientos!$R$2:$R$1994,0)),"-")</f>
        <v xml:space="preserve">Irmacor </v>
      </c>
      <c r="G41" s="2" t="str">
        <f>IFERROR(INDEX(Movimientos!$L$2:$L$1994,MATCH(A41&amp;"ENTRADA",Movimientos!$R$2:$R$1994,0)),"-")</f>
        <v>kg</v>
      </c>
      <c r="H41" s="17" t="str">
        <f>IFERROR(IF(INDEX(Movimientos!$M$2:$M$1994,MATCH(A41&amp;"ENTRADA",Movimientos!$R$2:$R$1994,0))=0,"S/D",INDEX(Movimientos!$M$2:$M$1994,MATCH(A41&amp;"ENTRADA",Movimientos!$R$2:$R$1994,0))),"S/D")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IFERROR(INDEX(Movimientos!$C$2:$C$1994,MATCH(A42&amp;"ENTRADA",Movimientos!$R$2:$R$1994,0)),"-")</f>
        <v>Lotus Nilo ht</v>
      </c>
      <c r="C42" s="2" t="str">
        <f>IFERROR(INDEX(Movimientos!$D$2:$D$1994,MATCH(A42&amp;"ENTRADA",Movimientos!$R$2:$R$1994,0)),"-")</f>
        <v>Lotus Nilo Ht Gen Protect Plus</v>
      </c>
      <c r="D42" s="2" t="str">
        <f>IFERROR(INDEX(Movimientos!$E$2:$E$1994,MATCH(A42&amp;"ENTRADA",Movimientos!$R$2:$R$1994,0)),"-")</f>
        <v>Semilla</v>
      </c>
      <c r="E42" s="2" t="str">
        <f>IFERROR(INDEX(Movimientos!$F$2:$F$1994,MATCH(A42&amp;"ENTRADA",Movimientos!$R$2:$R$1994,0)),"-")</f>
        <v>Lotus</v>
      </c>
      <c r="F42" s="2" t="str">
        <f>IFERROR(INDEX(Movimientos!$G$2:$G$1994,MATCH(A42&amp;"ENTRADA",Movimientos!$R$2:$R$1994,0)),"-")</f>
        <v xml:space="preserve">Irmacor </v>
      </c>
      <c r="G42" s="2" t="str">
        <f>IFERROR(INDEX(Movimientos!$L$2:$L$1994,MATCH(A42&amp;"ENTRADA",Movimientos!$R$2:$R$1994,0)),"-")</f>
        <v>kg</v>
      </c>
      <c r="H42" s="17" t="str">
        <f>IFERROR(IF(INDEX(Movimientos!$M$2:$M$1994,MATCH(A42&amp;"ENTRADA",Movimientos!$R$2:$R$1994,0))=0,"S/D",INDEX(Movimientos!$M$2:$M$1994,MATCH(A42&amp;"ENTRADA",Movimientos!$R$2:$R$1994,0))),"S/D")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IFERROR(INDEX(Movimientos!$C$2:$C$1994,MATCH(A43&amp;"ENTRADA",Movimientos!$R$2:$R$1994,0)),"-")</f>
        <v>Dactylis inia perseo</v>
      </c>
      <c r="C43" s="2" t="str">
        <f>IFERROR(INDEX(Movimientos!$D$2:$D$1994,MATCH(A43&amp;"ENTRADA",Movimientos!$R$2:$R$1994,0)),"-")</f>
        <v>Dactylis inia perseo cert +ins</v>
      </c>
      <c r="D43" s="2" t="str">
        <f>IFERROR(INDEX(Movimientos!$E$2:$E$1994,MATCH(A43&amp;"ENTRADA",Movimientos!$R$2:$R$1994,0)),"-")</f>
        <v>Semilla</v>
      </c>
      <c r="E43" s="2" t="str">
        <f>IFERROR(INDEX(Movimientos!$F$2:$F$1994,MATCH(A43&amp;"ENTRADA",Movimientos!$R$2:$R$1994,0)),"-")</f>
        <v>Dactylis</v>
      </c>
      <c r="F43" s="2" t="str">
        <f>IFERROR(INDEX(Movimientos!$G$2:$G$1994,MATCH(A43&amp;"ENTRADA",Movimientos!$R$2:$R$1994,0)),"-")</f>
        <v xml:space="preserve">Irmacor </v>
      </c>
      <c r="G43" s="2" t="str">
        <f>IFERROR(INDEX(Movimientos!$L$2:$L$1994,MATCH(A43&amp;"ENTRADA",Movimientos!$R$2:$R$1994,0)),"-")</f>
        <v>kg</v>
      </c>
      <c r="H43" s="17" t="str">
        <f>IFERROR(IF(INDEX(Movimientos!$M$2:$M$1994,MATCH(A43&amp;"ENTRADA",Movimientos!$R$2:$R$1994,0))=0,"S/D",INDEX(Movimientos!$M$2:$M$1994,MATCH(A43&amp;"ENTRADA",Movimientos!$R$2:$R$1994,0))),"S/D")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IFERROR(INDEX(Movimientos!$C$2:$C$1994,MATCH(A44&amp;"ENTRADA",Movimientos!$R$2:$R$1994,0)),"-")</f>
        <v>Colza 45y95cl</v>
      </c>
      <c r="C44" s="2" t="str">
        <f>IFERROR(INDEX(Movimientos!$D$2:$D$1994,MATCH(A44&amp;"ENTRADA",Movimientos!$R$2:$R$1994,0)),"-")</f>
        <v>Colza 45y95cl</v>
      </c>
      <c r="D44" s="2" t="str">
        <f>IFERROR(INDEX(Movimientos!$E$2:$E$1994,MATCH(A44&amp;"ENTRADA",Movimientos!$R$2:$R$1994,0)),"-")</f>
        <v>Semilla</v>
      </c>
      <c r="E44" s="2" t="str">
        <f>IFERROR(INDEX(Movimientos!$F$2:$F$1994,MATCH(A44&amp;"ENTRADA",Movimientos!$R$2:$R$1994,0)),"-")</f>
        <v>Colza</v>
      </c>
      <c r="F44" s="2" t="str">
        <f>IFERROR(INDEX(Movimientos!$G$2:$G$1994,MATCH(A44&amp;"ENTRADA",Movimientos!$R$2:$R$1994,0)),"-")</f>
        <v>GS Agro</v>
      </c>
      <c r="G44" s="2" t="str">
        <f>IFERROR(INDEX(Movimientos!$L$2:$L$1994,MATCH(A44&amp;"ENTRADA",Movimientos!$R$2:$R$1994,0)),"-")</f>
        <v>kg</v>
      </c>
      <c r="H44" s="17" t="str">
        <f>IFERROR(IF(INDEX(Movimientos!$M$2:$M$1994,MATCH(A44&amp;"ENTRADA",Movimientos!$R$2:$R$1994,0))=0,"S/D",INDEX(Movimientos!$M$2:$M$1994,MATCH(A44&amp;"ENTRADA",Movimientos!$R$2:$R$1994,0))),"S/D")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IFERROR(INDEX(Movimientos!$C$2:$C$1994,MATCH(A45&amp;"ENTRADA",Movimientos!$R$2:$R$1994,0)),"-")</f>
        <v>Festuca elodie curada</v>
      </c>
      <c r="C45" s="2" t="str">
        <f>IFERROR(INDEX(Movimientos!$D$2:$D$1994,MATCH(A45&amp;"ENTRADA",Movimientos!$R$2:$R$1994,0)),"-")</f>
        <v xml:space="preserve">festuca elodie </v>
      </c>
      <c r="D45" s="2" t="str">
        <f>IFERROR(INDEX(Movimientos!$E$2:$E$1994,MATCH(A45&amp;"ENTRADA",Movimientos!$R$2:$R$1994,0)),"-")</f>
        <v>Semilla</v>
      </c>
      <c r="E45" s="2" t="str">
        <f>IFERROR(INDEX(Movimientos!$F$2:$F$1994,MATCH(A45&amp;"ENTRADA",Movimientos!$R$2:$R$1994,0)),"-")</f>
        <v>Festuca</v>
      </c>
      <c r="F45" s="2" t="str">
        <f>IFERROR(INDEX(Movimientos!$G$2:$G$1994,MATCH(A45&amp;"ENTRADA",Movimientos!$R$2:$R$1994,0)),"-")</f>
        <v xml:space="preserve">Biosfer </v>
      </c>
      <c r="G45" s="2" t="str">
        <f>IFERROR(INDEX(Movimientos!$L$2:$L$1994,MATCH(A45&amp;"ENTRADA",Movimientos!$R$2:$R$1994,0)),"-")</f>
        <v>kg</v>
      </c>
      <c r="H45" s="17" t="str">
        <f>IFERROR(IF(INDEX(Movimientos!$M$2:$M$1994,MATCH(A45&amp;"ENTRADA",Movimientos!$R$2:$R$1994,0))=0,"S/D",INDEX(Movimientos!$M$2:$M$1994,MATCH(A45&amp;"ENTRADA",Movimientos!$R$2:$R$1994,0))),"S/D")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IFERROR(INDEX(Movimientos!$C$2:$C$1994,MATCH(A46&amp;"ENTRADA",Movimientos!$R$2:$R$1994,0)),"-")</f>
        <v xml:space="preserve">Trebol blanco Zapican inoculado </v>
      </c>
      <c r="C46" s="2" t="str">
        <f>IFERROR(INDEX(Movimientos!$D$2:$D$1994,MATCH(A46&amp;"ENTRADA",Movimientos!$R$2:$R$1994,0)),"-")</f>
        <v xml:space="preserve">trebol blanco zapican </v>
      </c>
      <c r="D46" s="2" t="str">
        <f>IFERROR(INDEX(Movimientos!$E$2:$E$1994,MATCH(A46&amp;"ENTRADA",Movimientos!$R$2:$R$1994,0)),"-")</f>
        <v>Semilla</v>
      </c>
      <c r="E46" s="2" t="str">
        <f>IFERROR(INDEX(Movimientos!$F$2:$F$1994,MATCH(A46&amp;"ENTRADA",Movimientos!$R$2:$R$1994,0)),"-")</f>
        <v>Trebol Blanco</v>
      </c>
      <c r="F46" s="2" t="str">
        <f>IFERROR(INDEX(Movimientos!$G$2:$G$1994,MATCH(A46&amp;"ENTRADA",Movimientos!$R$2:$R$1994,0)),"-")</f>
        <v xml:space="preserve">Biosfer </v>
      </c>
      <c r="G46" s="2" t="str">
        <f>IFERROR(INDEX(Movimientos!$L$2:$L$1994,MATCH(A46&amp;"ENTRADA",Movimientos!$R$2:$R$1994,0)),"-")</f>
        <v>kg</v>
      </c>
      <c r="H46" s="17" t="str">
        <f>IFERROR(IF(INDEX(Movimientos!$M$2:$M$1994,MATCH(A46&amp;"ENTRADA",Movimientos!$R$2:$R$1994,0))=0,"S/D",INDEX(Movimientos!$M$2:$M$1994,MATCH(A46&amp;"ENTRADA",Movimientos!$R$2:$R$1994,0))),"S/D")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2347</v>
      </c>
      <c r="B47" s="2" t="str">
        <f>IFERROR(INDEX(Movimientos!$C$2:$C$1994,MATCH(A47&amp;"ENTRADA",Movimientos!$R$2:$R$1994,0)),"-")</f>
        <v>-</v>
      </c>
      <c r="C47" s="2" t="str">
        <f>IFERROR(INDEX(Movimientos!$D$2:$D$1994,MATCH(A47&amp;"ENTRADA",Movimientos!$R$2:$R$1994,0)),"-")</f>
        <v>-</v>
      </c>
      <c r="D47" s="2" t="str">
        <f>IFERROR(INDEX(Movimientos!$E$2:$E$1994,MATCH(A47&amp;"ENTRADA",Movimientos!$R$2:$R$1994,0)),"-")</f>
        <v>-</v>
      </c>
      <c r="E47" s="2" t="str">
        <f>IFERROR(INDEX(Movimientos!$F$2:$F$1994,MATCH(A47&amp;"ENTRADA",Movimientos!$R$2:$R$1994,0)),"-")</f>
        <v>-</v>
      </c>
      <c r="F47" s="2" t="str">
        <f>IFERROR(INDEX(Movimientos!$G$2:$G$1994,MATCH(A47&amp;"ENTRADA",Movimientos!$R$2:$R$1994,0)),"-")</f>
        <v>-</v>
      </c>
      <c r="G47" s="2" t="str">
        <f>IFERROR(INDEX(Movimientos!$L$2:$L$1994,MATCH(A47&amp;"ENTRADA",Movimientos!$R$2:$R$1994,0)),"-")</f>
        <v>-</v>
      </c>
      <c r="H47" s="17" t="str">
        <f>IFERROR(IF(INDEX(Movimientos!$M$2:$M$1994,MATCH(A47&amp;"ENTRADA",Movimientos!$R$2:$R$1994,0))=0,"S/D",INDEX(Movimientos!$M$2:$M$1994,MATCH(A47&amp;"ENTRADA",Movimientos!$R$2:$R$1994,0))),"S/D")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IFERROR(INDEX(Movimientos!$C$2:$C$1994,MATCH(A48&amp;"ENTRADA",Movimientos!$R$2:$R$1994,0)),"-")</f>
        <v>Colza Nuola 300</v>
      </c>
      <c r="C48" s="2" t="str">
        <f>IFERROR(INDEX(Movimientos!$D$2:$D$1994,MATCH(A48&amp;"ENTRADA",Movimientos!$R$2:$R$1994,0)),"-")</f>
        <v>Nuola 300</v>
      </c>
      <c r="D48" s="2" t="str">
        <f>IFERROR(INDEX(Movimientos!$E$2:$E$1994,MATCH(A48&amp;"ENTRADA",Movimientos!$R$2:$R$1994,0)),"-")</f>
        <v>Semilla</v>
      </c>
      <c r="E48" s="2" t="str">
        <f>IFERROR(INDEX(Movimientos!$F$2:$F$1994,MATCH(A48&amp;"ENTRADA",Movimientos!$R$2:$R$1994,0)),"-")</f>
        <v>Colza</v>
      </c>
      <c r="F48" s="2" t="str">
        <f>IFERROR(INDEX(Movimientos!$G$2:$G$1994,MATCH(A48&amp;"ENTRADA",Movimientos!$R$2:$R$1994,0)),"-")</f>
        <v xml:space="preserve">Biosfer </v>
      </c>
      <c r="G48" s="2" t="str">
        <f>IFERROR(INDEX(Movimientos!$L$2:$L$1994,MATCH(A48&amp;"ENTRADA",Movimientos!$R$2:$R$1994,0)),"-")</f>
        <v>kg</v>
      </c>
      <c r="H48" s="17" t="str">
        <f>IFERROR(IF(INDEX(Movimientos!$M$2:$M$1994,MATCH(A48&amp;"ENTRADA",Movimientos!$R$2:$R$1994,0))=0,"S/D",INDEX(Movimientos!$M$2:$M$1994,MATCH(A48&amp;"ENTRADA",Movimientos!$R$2:$R$1994,0))),"S/D")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IFERROR(INDEX(Movimientos!$C$2:$C$1994,MATCH(A49&amp;"ENTRADA",Movimientos!$R$2:$R$1994,0)),"-")</f>
        <v xml:space="preserve">Zinc Plus </v>
      </c>
      <c r="C49" s="2" t="str">
        <f>IFERROR(INDEX(Movimientos!$D$2:$D$1994,MATCH(A49&amp;"ENTRADA",Movimientos!$R$2:$R$1994,0)),"-")</f>
        <v xml:space="preserve">Keylate Zinc Plus </v>
      </c>
      <c r="D49" s="2" t="str">
        <f>IFERROR(INDEX(Movimientos!$E$2:$E$1994,MATCH(A49&amp;"ENTRADA",Movimientos!$R$2:$R$1994,0)),"-")</f>
        <v>Fertilizante</v>
      </c>
      <c r="E49" s="2">
        <f>IFERROR(INDEX(Movimientos!$F$2:$F$1994,MATCH(A49&amp;"ENTRADA",Movimientos!$R$2:$R$1994,0)),"-")</f>
        <v>0</v>
      </c>
      <c r="F49" s="2" t="str">
        <f>IFERROR(INDEX(Movimientos!$G$2:$G$1994,MATCH(A49&amp;"ENTRADA",Movimientos!$R$2:$R$1994,0)),"-")</f>
        <v>GS Agro</v>
      </c>
      <c r="G49" s="2" t="str">
        <f>IFERROR(INDEX(Movimientos!$L$2:$L$1994,MATCH(A49&amp;"ENTRADA",Movimientos!$R$2:$R$1994,0)),"-")</f>
        <v>L</v>
      </c>
      <c r="H49" s="17" t="str">
        <f>IFERROR(IF(INDEX(Movimientos!$M$2:$M$1994,MATCH(A49&amp;"ENTRADA",Movimientos!$R$2:$R$1994,0))=0,"S/D",INDEX(Movimientos!$M$2:$M$1994,MATCH(A49&amp;"ENTRADA",Movimientos!$R$2:$R$1994,0))),"S/D")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IFERROR(INDEX(Movimientos!$C$2:$C$1994,MATCH(A50&amp;"ENTRADA",Movimientos!$R$2:$R$1994,0)),"-")</f>
        <v>Hydra Hume</v>
      </c>
      <c r="C50" s="2" t="str">
        <f>IFERROR(INDEX(Movimientos!$D$2:$D$1994,MATCH(A50&amp;"ENTRADA",Movimientos!$R$2:$R$1994,0)),"-")</f>
        <v xml:space="preserve">Hydra hume </v>
      </c>
      <c r="D50" s="2" t="str">
        <f>IFERROR(INDEX(Movimientos!$E$2:$E$1994,MATCH(A50&amp;"ENTRADA",Movimientos!$R$2:$R$1994,0)),"-")</f>
        <v>Biológico</v>
      </c>
      <c r="E50" s="2" t="str">
        <f>IFERROR(INDEX(Movimientos!$F$2:$F$1994,MATCH(A50&amp;"ENTRADA",Movimientos!$R$2:$R$1994,0)),"-")</f>
        <v>Acidos Humicos</v>
      </c>
      <c r="F50" s="2" t="str">
        <f>IFERROR(INDEX(Movimientos!$G$2:$G$1994,MATCH(A50&amp;"ENTRADA",Movimientos!$R$2:$R$1994,0)),"-")</f>
        <v>Granicor</v>
      </c>
      <c r="G50" s="2" t="str">
        <f>IFERROR(INDEX(Movimientos!$L$2:$L$1994,MATCH(A50&amp;"ENTRADA",Movimientos!$R$2:$R$1994,0)),"-")</f>
        <v>L</v>
      </c>
      <c r="H50" s="17">
        <f>IFERROR(IF(INDEX(Movimientos!$M$2:$M$1994,MATCH(A50&amp;"ENTRADA",Movimientos!$R$2:$R$1994,0))=0,"S/D",INDEX(Movimientos!$M$2:$M$1994,MATCH(A50&amp;"ENTRADA",Movimientos!$R$2:$R$1994,0))),"S/D")</f>
        <v>46634</v>
      </c>
      <c r="I50" s="15">
        <f t="shared" ca="1" si="2"/>
        <v>340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IFERROR(INDEX(Movimientos!$C$2:$C$1994,MATCH(A51&amp;"ENTRADA",Movimientos!$R$2:$R$1994,0)),"-")</f>
        <v xml:space="preserve">cripton xpro </v>
      </c>
      <c r="C51" s="2" t="str">
        <f>IFERROR(INDEX(Movimientos!$D$2:$D$1994,MATCH(A51&amp;"ENTRADA",Movimientos!$R$2:$R$1994,0)),"-")</f>
        <v>Protioconazol 175g/l trifloxistrobin 150g/l bixafen 125g/l</v>
      </c>
      <c r="D51" s="2" t="str">
        <f>IFERROR(INDEX(Movimientos!$E$2:$E$1994,MATCH(A51&amp;"ENTRADA",Movimientos!$R$2:$R$1994,0)),"-")</f>
        <v>Fungicida</v>
      </c>
      <c r="E51" s="2">
        <f>IFERROR(INDEX(Movimientos!$F$2:$F$1994,MATCH(A51&amp;"ENTRADA",Movimientos!$R$2:$R$1994,0)),"-")</f>
        <v>0</v>
      </c>
      <c r="F51" s="2" t="str">
        <f>IFERROR(INDEX(Movimientos!$G$2:$G$1994,MATCH(A51&amp;"ENTRADA",Movimientos!$R$2:$R$1994,0)),"-")</f>
        <v>Agromil</v>
      </c>
      <c r="G51" s="2" t="str">
        <f>IFERROR(INDEX(Movimientos!$L$2:$L$1994,MATCH(A51&amp;"ENTRADA",Movimientos!$R$2:$R$1994,0)),"-")</f>
        <v>L</v>
      </c>
      <c r="H51" s="17">
        <f>IFERROR(IF(INDEX(Movimientos!$M$2:$M$1994,MATCH(A51&amp;"ENTRADA",Movimientos!$R$2:$R$1994,0))=0,"S/D",INDEX(Movimientos!$M$2:$M$1994,MATCH(A51&amp;"ENTRADA",Movimientos!$R$2:$R$1994,0))),"S/D")</f>
        <v>46476</v>
      </c>
      <c r="I51" s="15">
        <f t="shared" ca="1" si="2"/>
        <v>182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IFERROR(INDEX(Movimientos!$C$2:$C$1994,MATCH(A52&amp;"ENTRADA",Movimientos!$R$2:$R$1994,0)),"-")</f>
        <v>vitagrow</v>
      </c>
      <c r="C52" s="2" t="str">
        <f>IFERROR(INDEX(Movimientos!$D$2:$D$1994,MATCH(A52&amp;"ENTRADA",Movimientos!$R$2:$R$1994,0)),"-")</f>
        <v xml:space="preserve">fertilizante foliar </v>
      </c>
      <c r="D52" s="2" t="str">
        <f>IFERROR(INDEX(Movimientos!$E$2:$E$1994,MATCH(A52&amp;"ENTRADA",Movimientos!$R$2:$R$1994,0)),"-")</f>
        <v>Fertilizante</v>
      </c>
      <c r="E52" s="2">
        <f>IFERROR(INDEX(Movimientos!$F$2:$F$1994,MATCH(A52&amp;"ENTRADA",Movimientos!$R$2:$R$1994,0)),"-")</f>
        <v>0</v>
      </c>
      <c r="F52" s="2" t="str">
        <f>IFERROR(INDEX(Movimientos!$G$2:$G$1994,MATCH(A52&amp;"ENTRADA",Movimientos!$R$2:$R$1994,0)),"-")</f>
        <v>Agromil</v>
      </c>
      <c r="G52" s="2" t="str">
        <f>IFERROR(INDEX(Movimientos!$L$2:$L$1994,MATCH(A52&amp;"ENTRADA",Movimientos!$R$2:$R$1994,0)),"-")</f>
        <v>kg</v>
      </c>
      <c r="H52" s="17">
        <f>IFERROR(IF(INDEX(Movimientos!$M$2:$M$1994,MATCH(A52&amp;"ENTRADA",Movimientos!$R$2:$R$1994,0))=0,"S/D",INDEX(Movimientos!$M$2:$M$1994,MATCH(A52&amp;"ENTRADA",Movimientos!$R$2:$R$1994,0))),"S/D")</f>
        <v>47098</v>
      </c>
      <c r="I52" s="15">
        <f t="shared" ca="1" si="2"/>
        <v>804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2348</v>
      </c>
      <c r="B53" s="2" t="str">
        <f>IFERROR(INDEX(Movimientos!$C$2:$C$1994,MATCH(A53&amp;"ENTRADA",Movimientos!$R$2:$R$1994,0)),"-")</f>
        <v xml:space="preserve">semilla comprada cebada </v>
      </c>
      <c r="C53" s="2" t="str">
        <f>IFERROR(INDEX(Movimientos!$D$2:$D$1994,MATCH(A53&amp;"ENTRADA",Movimientos!$R$2:$R$1994,0)),"-")</f>
        <v>cebada osiris</v>
      </c>
      <c r="D53" s="2" t="str">
        <f>IFERROR(INDEX(Movimientos!$E$2:$E$1994,MATCH(A53&amp;"ENTRADA",Movimientos!$R$2:$R$1994,0)),"-")</f>
        <v>Semilla</v>
      </c>
      <c r="E53" s="2" t="str">
        <f>IFERROR(INDEX(Movimientos!$F$2:$F$1994,MATCH(A53&amp;"ENTRADA",Movimientos!$R$2:$R$1994,0)),"-")</f>
        <v>Cebada</v>
      </c>
      <c r="F53" s="2">
        <f>IFERROR(INDEX(Movimientos!$G$2:$G$1994,MATCH(A53&amp;"ENTRADA",Movimientos!$R$2:$R$1994,0)),"-")</f>
        <v>0</v>
      </c>
      <c r="G53" s="2" t="str">
        <f>IFERROR(INDEX(Movimientos!$L$2:$L$1994,MATCH(A53&amp;"ENTRADA",Movimientos!$R$2:$R$1994,0)),"-")</f>
        <v>kg</v>
      </c>
      <c r="H53" s="17" t="str">
        <f>IFERROR(IF(INDEX(Movimientos!$M$2:$M$1994,MATCH(A53&amp;"ENTRADA",Movimientos!$R$2:$R$1994,0))=0,"S/D",INDEX(Movimientos!$M$2:$M$1994,MATCH(A53&amp;"ENTRADA",Movimientos!$R$2:$R$1994,0))),"S/D")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IFERROR(INDEX(Movimientos!$C$2:$C$1994,MATCH(A54&amp;"ENTRADA",Movimientos!$R$2:$R$1994,0)),"-")</f>
        <v>Paradigm</v>
      </c>
      <c r="C54" s="2" t="str">
        <f>IFERROR(INDEX(Movimientos!$D$2:$D$1994,MATCH(A54&amp;"ENTRADA",Movimientos!$R$2:$R$1994,0)),"-")</f>
        <v>Florasulam 20,0% Halauxyfen metil 20,85% Equivalente ácido Halauxyfen metil 20,0%</v>
      </c>
      <c r="D54" s="2" t="str">
        <f>IFERROR(INDEX(Movimientos!$E$2:$E$1994,MATCH(A54&amp;"ENTRADA",Movimientos!$R$2:$R$1994,0)),"-")</f>
        <v>Herbicida</v>
      </c>
      <c r="E54" s="2" t="str">
        <f>IFERROR(INDEX(Movimientos!$F$2:$F$1994,MATCH(A54&amp;"ENTRADA",Movimientos!$R$2:$R$1994,0)),"-")</f>
        <v>Postemergente</v>
      </c>
      <c r="F54" s="2" t="str">
        <f>IFERROR(INDEX(Movimientos!$G$2:$G$1994,MATCH(A54&amp;"ENTRADA",Movimientos!$R$2:$R$1994,0)),"-")</f>
        <v>GS Agro</v>
      </c>
      <c r="G54" s="2" t="str">
        <f>IFERROR(INDEX(Movimientos!$L$2:$L$1994,MATCH(A54&amp;"ENTRADA",Movimientos!$R$2:$R$1994,0)),"-")</f>
        <v>kg</v>
      </c>
      <c r="H54" s="17" t="str">
        <f>IFERROR(IF(INDEX(Movimientos!$M$2:$M$1994,MATCH(A54&amp;"ENTRADA",Movimientos!$R$2:$R$1994,0))=0,"S/D",INDEX(Movimientos!$M$2:$M$1994,MATCH(A54&amp;"ENTRADA",Movimientos!$R$2:$R$1994,0))),"S/D")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IFERROR(INDEX(Movimientos!$C$2:$C$1994,MATCH(A55&amp;"ENTRADA",Movimientos!$R$2:$R$1994,0)),"-")</f>
        <v>Unico Max</v>
      </c>
      <c r="C55" s="2" t="str">
        <f>IFERROR(INDEX(Movimientos!$D$2:$D$1994,MATCH(A55&amp;"ENTRADA",Movimientos!$R$2:$R$1994,0)),"-")</f>
        <v>(Protioconazol 175 g/L + Piraclostrobin 142 g/L + Bixafen 125 g/L – SC)</v>
      </c>
      <c r="D55" s="2" t="str">
        <f>IFERROR(INDEX(Movimientos!$E$2:$E$1994,MATCH(A55&amp;"ENTRADA",Movimientos!$R$2:$R$1994,0)),"-")</f>
        <v>Fungicida</v>
      </c>
      <c r="E55" s="2">
        <f>IFERROR(INDEX(Movimientos!$F$2:$F$1994,MATCH(A55&amp;"ENTRADA",Movimientos!$R$2:$R$1994,0)),"-")</f>
        <v>0</v>
      </c>
      <c r="F55" s="2" t="str">
        <f>IFERROR(INDEX(Movimientos!$G$2:$G$1994,MATCH(A55&amp;"ENTRADA",Movimientos!$R$2:$R$1994,0)),"-")</f>
        <v>Proquimur</v>
      </c>
      <c r="G55" s="2" t="str">
        <f>IFERROR(INDEX(Movimientos!$L$2:$L$1994,MATCH(A55&amp;"ENTRADA",Movimientos!$R$2:$R$1994,0)),"-")</f>
        <v>L</v>
      </c>
      <c r="H55" s="17">
        <f>IFERROR(IF(INDEX(Movimientos!$M$2:$M$1994,MATCH(A55&amp;"ENTRADA",Movimientos!$R$2:$R$1994,0))=0,"S/D",INDEX(Movimientos!$M$2:$M$1994,MATCH(A55&amp;"ENTRADA",Movimientos!$R$2:$R$1994,0))),"S/D")</f>
        <v>46569</v>
      </c>
      <c r="I55" s="15">
        <f t="shared" ca="1" si="2"/>
        <v>275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797</v>
      </c>
      <c r="B56" s="2" t="str">
        <f>IFERROR(INDEX(Movimientos!$C$2:$C$1994,MATCH(A56&amp;"ENTRADA",Movimientos!$R$2:$R$1994,0)),"-")</f>
        <v xml:space="preserve">cripton xpro </v>
      </c>
      <c r="C56" s="2" t="str">
        <f>IFERROR(INDEX(Movimientos!$D$2:$D$1994,MATCH(A56&amp;"ENTRADA",Movimientos!$R$2:$R$1994,0)),"-")</f>
        <v>Protioconazol 175g/l trifloxistrobin 150g/l bixafen 125g/l</v>
      </c>
      <c r="D56" s="2" t="str">
        <f>IFERROR(INDEX(Movimientos!$E$2:$E$1994,MATCH(A56&amp;"ENTRADA",Movimientos!$R$2:$R$1994,0)),"-")</f>
        <v>Fungicida</v>
      </c>
      <c r="E56" s="2">
        <f>IFERROR(INDEX(Movimientos!$F$2:$F$1994,MATCH(A56&amp;"ENTRADA",Movimientos!$R$2:$R$1994,0)),"-")</f>
        <v>0</v>
      </c>
      <c r="F56" s="2" t="str">
        <f>IFERROR(INDEX(Movimientos!$G$2:$G$1994,MATCH(A56&amp;"ENTRADA",Movimientos!$R$2:$R$1994,0)),"-")</f>
        <v>Agroterra</v>
      </c>
      <c r="G56" s="2" t="str">
        <f>IFERROR(INDEX(Movimientos!$L$2:$L$1994,MATCH(A56&amp;"ENTRADA",Movimientos!$R$2:$R$1994,0)),"-")</f>
        <v>L</v>
      </c>
      <c r="H56" s="17">
        <f>IFERROR(IF(INDEX(Movimientos!$M$2:$M$1994,MATCH(A56&amp;"ENTRADA",Movimientos!$R$2:$R$1994,0))=0,"S/D",INDEX(Movimientos!$M$2:$M$1994,MATCH(A56&amp;"ENTRADA",Movimientos!$R$2:$R$1994,0))),"S/D")</f>
        <v>46584</v>
      </c>
      <c r="I56" s="15">
        <f t="shared" ca="1" si="2"/>
        <v>290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IFERROR(INDEX(Movimientos!$C$2:$C$1994,MATCH(A57&amp;"ENTRADA",Movimientos!$R$2:$R$1994,0)),"-")</f>
        <v>Silobolsa</v>
      </c>
      <c r="C57" s="2" t="str">
        <f>IFERROR(INDEX(Movimientos!$D$2:$D$1994,MATCH(A57&amp;"ENTRADA",Movimientos!$R$2:$R$1994,0)),"-")</f>
        <v>Silobolsa 9 pies</v>
      </c>
      <c r="D57" s="2" t="str">
        <f>IFERROR(INDEX(Movimientos!$E$2:$E$1994,MATCH(A57&amp;"ENTRADA",Movimientos!$R$2:$R$1994,0)),"-")</f>
        <v>Silobolsa</v>
      </c>
      <c r="E57" s="2">
        <f>IFERROR(INDEX(Movimientos!$F$2:$F$1994,MATCH(A57&amp;"ENTRADA",Movimientos!$R$2:$R$1994,0)),"-")</f>
        <v>0</v>
      </c>
      <c r="F57" s="2" t="str">
        <f>IFERROR(INDEX(Movimientos!$G$2:$G$1994,MATCH(A57&amp;"ENTRADA",Movimientos!$R$2:$R$1994,0)),"-")</f>
        <v>AYP Agrogestiones</v>
      </c>
      <c r="G57" s="2" t="str">
        <f>IFERROR(INDEX(Movimientos!$L$2:$L$1994,MATCH(A57&amp;"ENTRADA",Movimientos!$R$2:$R$1994,0)),"-")</f>
        <v>unidad</v>
      </c>
      <c r="H57" s="17" t="str">
        <f>IFERROR(IF(INDEX(Movimientos!$M$2:$M$1994,MATCH(A57&amp;"ENTRADA",Movimientos!$R$2:$R$1994,0))=0,"S/D",INDEX(Movimientos!$M$2:$M$1994,MATCH(A57&amp;"ENTRADA",Movimientos!$R$2:$R$1994,0))),"S/D")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IFERROR(INDEX(Movimientos!$C$2:$C$1994,MATCH(A58&amp;"ENTRADA",Movimientos!$R$2:$R$1994,0)),"-")</f>
        <v>-</v>
      </c>
      <c r="C58" s="2" t="str">
        <f>IFERROR(INDEX(Movimientos!$D$2:$D$1994,MATCH(A58&amp;"ENTRADA",Movimientos!$R$2:$R$1994,0)),"-")</f>
        <v>-</v>
      </c>
      <c r="D58" s="2" t="str">
        <f>IFERROR(INDEX(Movimientos!$E$2:$E$1994,MATCH(A58&amp;"ENTRADA",Movimientos!$R$2:$R$1994,0)),"-")</f>
        <v>-</v>
      </c>
      <c r="E58" s="2" t="str">
        <f>IFERROR(INDEX(Movimientos!$F$2:$F$1994,MATCH(A58&amp;"ENTRADA",Movimientos!$R$2:$R$1994,0)),"-")</f>
        <v>-</v>
      </c>
      <c r="F58" s="2" t="str">
        <f>IFERROR(INDEX(Movimientos!$G$2:$G$1994,MATCH(A58&amp;"ENTRADA",Movimientos!$R$2:$R$1994,0)),"-")</f>
        <v>-</v>
      </c>
      <c r="G58" s="2" t="str">
        <f>IFERROR(INDEX(Movimientos!$L$2:$L$1994,MATCH(A58&amp;"ENTRADA",Movimientos!$R$2:$R$1994,0)),"-")</f>
        <v>-</v>
      </c>
      <c r="H58" s="17" t="str">
        <f>IFERROR(IF(INDEX(Movimientos!$M$2:$M$1994,MATCH(A58&amp;"ENTRADA",Movimientos!$R$2:$R$1994,0))=0,"S/D",INDEX(Movimientos!$M$2:$M$1994,MATCH(A58&amp;"ENTRADA",Movimientos!$R$2:$R$1994,0))),"S/D")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820</v>
      </c>
      <c r="B59" s="2" t="str">
        <f>IFERROR(INDEX(Movimientos!$C$2:$C$1994,MATCH(A59&amp;"ENTRADA",Movimientos!$R$2:$R$1994,0)),"-")</f>
        <v>semilla miaz DK 69-62 TRE</v>
      </c>
      <c r="C59" s="2" t="str">
        <f>IFERROR(INDEX(Movimientos!$D$2:$D$1994,MATCH(A59&amp;"ENTRADA",Movimientos!$R$2:$R$1994,0)),"-")</f>
        <v xml:space="preserve">semilla comprada maíz </v>
      </c>
      <c r="D59" s="2" t="str">
        <f>IFERROR(INDEX(Movimientos!$E$2:$E$1994,MATCH(A59&amp;"ENTRADA",Movimientos!$R$2:$R$1994,0)),"-")</f>
        <v>Semilla</v>
      </c>
      <c r="E59" s="2" t="str">
        <f>IFERROR(INDEX(Movimientos!$F$2:$F$1994,MATCH(A59&amp;"ENTRADA",Movimientos!$R$2:$R$1994,0)),"-")</f>
        <v>Maíz</v>
      </c>
      <c r="F59" s="2" t="str">
        <f>IFERROR(INDEX(Movimientos!$G$2:$G$1994,MATCH(A59&amp;"ENTRADA",Movimientos!$R$2:$R$1994,0)),"-")</f>
        <v>Agroterra</v>
      </c>
      <c r="G59" s="2" t="str">
        <f>IFERROR(INDEX(Movimientos!$L$2:$L$1994,MATCH(A59&amp;"ENTRADA",Movimientos!$R$2:$R$1994,0)),"-")</f>
        <v>bolsa</v>
      </c>
      <c r="H59" s="17" t="str">
        <f>IFERROR(IF(INDEX(Movimientos!$M$2:$M$1994,MATCH(A59&amp;"ENTRADA",Movimientos!$R$2:$R$1994,0))=0,"S/D",INDEX(Movimientos!$M$2:$M$1994,MATCH(A59&amp;"ENTRADA",Movimientos!$R$2:$R$1994,0))),"S/D")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822</v>
      </c>
      <c r="B60" s="2" t="str">
        <f>IFERROR(INDEX(Movimientos!$C$2:$C$1994,MATCH(A60&amp;"ENTRADA",Movimientos!$R$2:$R$1994,0)),"-")</f>
        <v>semilla maiz DK 72-10 RR2C5 refugio</v>
      </c>
      <c r="C60" s="2" t="str">
        <f>IFERROR(INDEX(Movimientos!$D$2:$D$1994,MATCH(A60&amp;"ENTRADA",Movimientos!$R$2:$R$1994,0)),"-")</f>
        <v xml:space="preserve">semilla comprada maíz </v>
      </c>
      <c r="D60" s="2" t="str">
        <f>IFERROR(INDEX(Movimientos!$E$2:$E$1994,MATCH(A60&amp;"ENTRADA",Movimientos!$R$2:$R$1994,0)),"-")</f>
        <v>Semilla</v>
      </c>
      <c r="E60" s="2" t="str">
        <f>IFERROR(INDEX(Movimientos!$F$2:$F$1994,MATCH(A60&amp;"ENTRADA",Movimientos!$R$2:$R$1994,0)),"-")</f>
        <v>Maíz</v>
      </c>
      <c r="F60" s="2" t="str">
        <f>IFERROR(INDEX(Movimientos!$G$2:$G$1994,MATCH(A60&amp;"ENTRADA",Movimientos!$R$2:$R$1994,0)),"-")</f>
        <v>Agroterra</v>
      </c>
      <c r="G60" s="2" t="str">
        <f>IFERROR(INDEX(Movimientos!$L$2:$L$1994,MATCH(A60&amp;"ENTRADA",Movimientos!$R$2:$R$1994,0)),"-")</f>
        <v>bolsa</v>
      </c>
      <c r="H60" s="17" t="str">
        <f>IFERROR(IF(INDEX(Movimientos!$M$2:$M$1994,MATCH(A60&amp;"ENTRADA",Movimientos!$R$2:$R$1994,0))=0,"S/D",INDEX(Movimientos!$M$2:$M$1994,MATCH(A60&amp;"ENTRADA",Movimientos!$R$2:$R$1994,0))),"S/D")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964</v>
      </c>
      <c r="B61" s="2" t="str">
        <f>IFERROR(INDEX(Movimientos!$C$2:$C$1994,MATCH(A61&amp;"ENTRADA",Movimientos!$R$2:$R$1994,0)),"-")</f>
        <v>semilla maiz DK 73-03 TRE</v>
      </c>
      <c r="C61" s="2" t="str">
        <f>IFERROR(INDEX(Movimientos!$D$2:$D$1994,MATCH(A61&amp;"ENTRADA",Movimientos!$R$2:$R$1994,0)),"-")</f>
        <v xml:space="preserve">semilla comprada maíz </v>
      </c>
      <c r="D61" s="2" t="str">
        <f>IFERROR(INDEX(Movimientos!$E$2:$E$1994,MATCH(A61&amp;"ENTRADA",Movimientos!$R$2:$R$1994,0)),"-")</f>
        <v>Semilla</v>
      </c>
      <c r="E61" s="2" t="str">
        <f>IFERROR(INDEX(Movimientos!$F$2:$F$1994,MATCH(A61&amp;"ENTRADA",Movimientos!$R$2:$R$1994,0)),"-")</f>
        <v>Maíz</v>
      </c>
      <c r="F61" s="2" t="str">
        <f>IFERROR(INDEX(Movimientos!$G$2:$G$1994,MATCH(A61&amp;"ENTRADA",Movimientos!$R$2:$R$1994,0)),"-")</f>
        <v>Agroterra</v>
      </c>
      <c r="G61" s="2" t="str">
        <f>IFERROR(INDEX(Movimientos!$L$2:$L$1994,MATCH(A61&amp;"ENTRADA",Movimientos!$R$2:$R$1994,0)),"-")</f>
        <v>bolsa</v>
      </c>
      <c r="H61" s="17" t="str">
        <f>IFERROR(IF(INDEX(Movimientos!$M$2:$M$1994,MATCH(A61&amp;"ENTRADA",Movimientos!$R$2:$R$1994,0))=0,"S/D",INDEX(Movimientos!$M$2:$M$1994,MATCH(A61&amp;"ENTRADA",Movimientos!$R$2:$R$1994,0))),"S/D")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IFERROR(INDEX(Movimientos!$C$2:$C$1994,MATCH(A62&amp;"ENTRADA",Movimientos!$R$2:$R$1994,0)),"-")</f>
        <v>Acrecio</v>
      </c>
      <c r="C62" s="2" t="str">
        <f>IFERROR(INDEX(Movimientos!$D$2:$D$1994,MATCH(A62&amp;"ENTRADA",Movimientos!$R$2:$R$1994,0)),"-")</f>
        <v>Ácidos Húmicos / L-Triptofano puro / L- Metionina pura / Acreciactiv</v>
      </c>
      <c r="D62" s="2" t="str">
        <f>IFERROR(INDEX(Movimientos!$E$2:$E$1994,MATCH(A62&amp;"ENTRADA",Movimientos!$R$2:$R$1994,0)),"-")</f>
        <v xml:space="preserve">Bioestimulante </v>
      </c>
      <c r="E62" s="2">
        <f>IFERROR(INDEX(Movimientos!$F$2:$F$1994,MATCH(A62&amp;"ENTRADA",Movimientos!$R$2:$R$1994,0)),"-")</f>
        <v>0</v>
      </c>
      <c r="F62" s="2" t="str">
        <f>IFERROR(INDEX(Movimientos!$G$2:$G$1994,MATCH(A62&amp;"ENTRADA",Movimientos!$R$2:$R$1994,0)),"-")</f>
        <v>Agroterra</v>
      </c>
      <c r="G62" s="2" t="str">
        <f>IFERROR(INDEX(Movimientos!$L$2:$L$1994,MATCH(A62&amp;"ENTRADA",Movimientos!$R$2:$R$1994,0)),"-")</f>
        <v>L</v>
      </c>
      <c r="H62" s="17">
        <f>IFERROR(IF(INDEX(Movimientos!$M$2:$M$1994,MATCH(A62&amp;"ENTRADA",Movimientos!$R$2:$R$1994,0))=0,"S/D",INDEX(Movimientos!$M$2:$M$1994,MATCH(A62&amp;"ENTRADA",Movimientos!$R$2:$R$1994,0))),"S/D")</f>
        <v>47119</v>
      </c>
      <c r="I62" s="15">
        <f t="shared" ca="1" si="2"/>
        <v>825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IFERROR(INDEX(Movimientos!$C$2:$C$1994,MATCH(A63&amp;"ENTRADA",Movimientos!$R$2:$R$1994,0)),"-")</f>
        <v xml:space="preserve">Bioavanza plus </v>
      </c>
      <c r="C63" s="2">
        <f>IFERROR(INDEX(Movimientos!$D$2:$D$1994,MATCH(A63&amp;"ENTRADA",Movimientos!$R$2:$R$1994,0)),"-")</f>
        <v>0</v>
      </c>
      <c r="D63" s="2">
        <f>IFERROR(INDEX(Movimientos!$E$2:$E$1994,MATCH(A63&amp;"ENTRADA",Movimientos!$R$2:$R$1994,0)),"-")</f>
        <v>0</v>
      </c>
      <c r="E63" s="2">
        <f>IFERROR(INDEX(Movimientos!$F$2:$F$1994,MATCH(A63&amp;"ENTRADA",Movimientos!$R$2:$R$1994,0)),"-")</f>
        <v>0</v>
      </c>
      <c r="F63" s="2" t="str">
        <f>IFERROR(INDEX(Movimientos!$G$2:$G$1994,MATCH(A63&amp;"ENTRADA",Movimientos!$R$2:$R$1994,0)),"-")</f>
        <v>Agroterra</v>
      </c>
      <c r="G63" s="2" t="str">
        <f>IFERROR(INDEX(Movimientos!$L$2:$L$1994,MATCH(A63&amp;"ENTRADA",Movimientos!$R$2:$R$1994,0)),"-")</f>
        <v>L</v>
      </c>
      <c r="H63" s="17">
        <f>IFERROR(IF(INDEX(Movimientos!$M$2:$M$1994,MATCH(A63&amp;"ENTRADA",Movimientos!$R$2:$R$1994,0))=0,"S/D",INDEX(Movimientos!$M$2:$M$1994,MATCH(A63&amp;"ENTRADA",Movimientos!$R$2:$R$1994,0))),"S/D")</f>
        <v>47146</v>
      </c>
      <c r="I63" s="15">
        <f t="shared" ca="1" si="2"/>
        <v>852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936</v>
      </c>
      <c r="B64" s="2" t="str">
        <f>IFERROR(INDEX(Movimientos!$C$2:$C$1994,MATCH(A64&amp;"ENTRADA",Movimientos!$R$2:$R$1994,0)),"-")</f>
        <v>Pardo</v>
      </c>
      <c r="C64" s="2" t="str">
        <f>IFERROR(INDEX(Movimientos!$D$2:$D$1994,MATCH(A64&amp;"ENTRADA",Movimientos!$R$2:$R$1994,0)),"-")</f>
        <v>Clethodim 240 g/L</v>
      </c>
      <c r="D64" s="2" t="str">
        <f>IFERROR(INDEX(Movimientos!$E$2:$E$1994,MATCH(A64&amp;"ENTRADA",Movimientos!$R$2:$R$1994,0)),"-")</f>
        <v>Herbicida</v>
      </c>
      <c r="E64" s="2" t="str">
        <f>IFERROR(INDEX(Movimientos!$F$2:$F$1994,MATCH(A64&amp;"ENTRADA",Movimientos!$R$2:$R$1994,0)),"-")</f>
        <v>Postemergente</v>
      </c>
      <c r="F64" s="2" t="str">
        <f>IFERROR(INDEX(Movimientos!$G$2:$G$1994,MATCH(A64&amp;"ENTRADA",Movimientos!$R$2:$R$1994,0)),"-")</f>
        <v>Proquimur</v>
      </c>
      <c r="G64" s="2" t="str">
        <f>IFERROR(INDEX(Movimientos!$L$2:$L$1994,MATCH(A64&amp;"ENTRADA",Movimientos!$R$2:$R$1994,0)),"-")</f>
        <v>L</v>
      </c>
      <c r="H64" s="17">
        <f>IFERROR(IF(INDEX(Movimientos!$M$2:$M$1994,MATCH(A64&amp;"ENTRADA",Movimientos!$R$2:$R$1994,0))=0,"S/D",INDEX(Movimientos!$M$2:$M$1994,MATCH(A64&amp;"ENTRADA",Movimientos!$R$2:$R$1994,0))),"S/D")</f>
        <v>46813</v>
      </c>
      <c r="I64" s="15">
        <f t="shared" ca="1" si="2"/>
        <v>519</v>
      </c>
      <c r="J64" s="5">
        <f>IF(A64="","",SUMIFS(Movimientos!$K:$K,Movimientos!$H:$H,A64))</f>
        <v>2280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IFERROR(INDEX(Movimientos!$C$2:$C$1994,MATCH(A65&amp;"ENTRADA",Movimientos!$R$2:$R$1994,0)),"-")</f>
        <v>Azuka</v>
      </c>
      <c r="C65" s="2" t="str">
        <f>IFERROR(INDEX(Movimientos!$D$2:$D$1994,MATCH(A65&amp;"ENTRADA",Movimientos!$R$2:$R$1994,0)),"-")</f>
        <v>Glifosato Sal DMA 608 g/L. Equivalente en glifosato 480 g/L</v>
      </c>
      <c r="D65" s="2" t="str">
        <f>IFERROR(INDEX(Movimientos!$E$2:$E$1994,MATCH(A65&amp;"ENTRADA",Movimientos!$R$2:$R$1994,0)),"-")</f>
        <v>Herbicida</v>
      </c>
      <c r="E65" s="2" t="str">
        <f>IFERROR(INDEX(Movimientos!$F$2:$F$1994,MATCH(A65&amp;"ENTRADA",Movimientos!$R$2:$R$1994,0)),"-")</f>
        <v>Postemergente</v>
      </c>
      <c r="F65" s="2" t="str">
        <f>IFERROR(INDEX(Movimientos!$G$2:$G$1994,MATCH(A65&amp;"ENTRADA",Movimientos!$R$2:$R$1994,0)),"-")</f>
        <v>Proquimur</v>
      </c>
      <c r="G65" s="2" t="str">
        <f>IFERROR(INDEX(Movimientos!$L$2:$L$1994,MATCH(A65&amp;"ENTRADA",Movimientos!$R$2:$R$1994,0)),"-")</f>
        <v>L</v>
      </c>
      <c r="H65" s="17">
        <f>IFERROR(IF(INDEX(Movimientos!$M$2:$M$1994,MATCH(A65&amp;"ENTRADA",Movimientos!$R$2:$R$1994,0))=0,"S/D",INDEX(Movimientos!$M$2:$M$1994,MATCH(A65&amp;"ENTRADA",Movimientos!$R$2:$R$1994,0))),"S/D")</f>
        <v>46863</v>
      </c>
      <c r="I65" s="15">
        <f t="shared" ca="1" si="2"/>
        <v>569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657</v>
      </c>
      <c r="B66" s="2" t="str">
        <f>IFERROR(INDEX(Movimientos!$C$2:$C$1994,MATCH(A66&amp;"ENTRADA",Movimientos!$R$2:$R$1994,0)),"-")</f>
        <v xml:space="preserve">Harrier Drone </v>
      </c>
      <c r="C66" s="2">
        <f>IFERROR(INDEX(Movimientos!$D$2:$D$1994,MATCH(A66&amp;"ENTRADA",Movimientos!$R$2:$R$1994,0)),"-")</f>
        <v>0</v>
      </c>
      <c r="D66" s="2" t="str">
        <f>IFERROR(INDEX(Movimientos!$E$2:$E$1994,MATCH(A66&amp;"ENTRADA",Movimientos!$R$2:$R$1994,0)),"-")</f>
        <v>Coadyuvante</v>
      </c>
      <c r="E66" s="2">
        <f>IFERROR(INDEX(Movimientos!$F$2:$F$1994,MATCH(A66&amp;"ENTRADA",Movimientos!$R$2:$R$1994,0)),"-")</f>
        <v>0</v>
      </c>
      <c r="F66" s="2" t="str">
        <f>IFERROR(INDEX(Movimientos!$G$2:$G$1994,MATCH(A66&amp;"ENTRADA",Movimientos!$R$2:$R$1994,0)),"-")</f>
        <v>Don asdrual</v>
      </c>
      <c r="G66" s="2" t="str">
        <f>IFERROR(INDEX(Movimientos!$L$2:$L$1994,MATCH(A66&amp;"ENTRADA",Movimientos!$R$2:$R$1994,0)),"-")</f>
        <v>L</v>
      </c>
      <c r="H66" s="17" t="str">
        <f>IFERROR(IF(INDEX(Movimientos!$M$2:$M$1994,MATCH(A66&amp;"ENTRADA",Movimientos!$R$2:$R$1994,0))=0,"S/D",INDEX(Movimientos!$M$2:$M$1994,MATCH(A66&amp;"ENTRADA",Movimientos!$R$2:$R$1994,0))),"S/D")</f>
        <v>S/D</v>
      </c>
      <c r="I66" s="15" t="str">
        <f t="shared" ca="1" si="2"/>
        <v>S/D</v>
      </c>
      <c r="J66" s="5">
        <f>IF(A66="","",SUMIFS(Movimientos!$K:$K,Movimientos!$H:$H,A66))</f>
        <v>170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IFERROR(INDEX(Movimientos!$C$2:$C$1994,MATCH(A67&amp;"ENTRADA",Movimientos!$R$2:$R$1994,0)),"-")</f>
        <v>Unico Max</v>
      </c>
      <c r="C67" s="2" t="str">
        <f>IFERROR(INDEX(Movimientos!$D$2:$D$1994,MATCH(A67&amp;"ENTRADA",Movimientos!$R$2:$R$1994,0)),"-")</f>
        <v>(Protioconazol 175 g/L + Piraclostrobin 142 g/L + Bixafen 125 g/L – SC)</v>
      </c>
      <c r="D67" s="2" t="str">
        <f>IFERROR(INDEX(Movimientos!$E$2:$E$1994,MATCH(A67&amp;"ENTRADA",Movimientos!$R$2:$R$1994,0)),"-")</f>
        <v>Fungicida</v>
      </c>
      <c r="E67" s="2">
        <f>IFERROR(INDEX(Movimientos!$F$2:$F$1994,MATCH(A67&amp;"ENTRADA",Movimientos!$R$2:$R$1994,0)),"-")</f>
        <v>0</v>
      </c>
      <c r="F67" s="2" t="str">
        <f>IFERROR(INDEX(Movimientos!$G$2:$G$1994,MATCH(A67&amp;"ENTRADA",Movimientos!$R$2:$R$1994,0)),"-")</f>
        <v>Proquimur</v>
      </c>
      <c r="G67" s="2" t="str">
        <f>IFERROR(INDEX(Movimientos!$L$2:$L$1994,MATCH(A67&amp;"ENTRADA",Movimientos!$R$2:$R$1994,0)),"-")</f>
        <v>L</v>
      </c>
      <c r="H67" s="17" t="str">
        <f>IFERROR(IF(INDEX(Movimientos!$M$2:$M$1994,MATCH(A67&amp;"ENTRADA",Movimientos!$R$2:$R$1994,0))=0,"S/D",INDEX(Movimientos!$M$2:$M$1994,MATCH(A67&amp;"ENTRADA",Movimientos!$R$2:$R$1994,0))),"S/D")</f>
        <v>S/D</v>
      </c>
      <c r="I67" s="15" t="str">
        <f t="shared" ca="1" si="2"/>
        <v>S/D</v>
      </c>
      <c r="J67" s="5">
        <f>IF(A67="","",SUMIFS(Movimientos!$K:$K,Movimientos!$H:$H,A67))</f>
        <v>410</v>
      </c>
      <c r="K67" s="13" t="str">
        <f t="shared" ca="1" si="3"/>
        <v>OK</v>
      </c>
    </row>
    <row r="68" spans="1:11" ht="14.25">
      <c r="A68" t="s">
        <v>834</v>
      </c>
      <c r="B68" s="2" t="str">
        <f>IFERROR(INDEX(Movimientos!$C$2:$C$1994,MATCH(A68&amp;"ENTRADA",Movimientos!$R$2:$R$1994,0)),"-")</f>
        <v>Hydra Hume</v>
      </c>
      <c r="C68" s="2" t="str">
        <f>IFERROR(INDEX(Movimientos!$D$2:$D$1994,MATCH(A68&amp;"ENTRADA",Movimientos!$R$2:$R$1994,0)),"-")</f>
        <v xml:space="preserve">Hydra hume </v>
      </c>
      <c r="D68" s="2" t="str">
        <f>IFERROR(INDEX(Movimientos!$E$2:$E$1994,MATCH(A68&amp;"ENTRADA",Movimientos!$R$2:$R$1994,0)),"-")</f>
        <v>Biológico</v>
      </c>
      <c r="E68" s="2" t="str">
        <f>IFERROR(INDEX(Movimientos!$F$2:$F$1994,MATCH(A68&amp;"ENTRADA",Movimientos!$R$2:$R$1994,0)),"-")</f>
        <v>Acidos Humicos</v>
      </c>
      <c r="F68" s="2" t="str">
        <f>IFERROR(INDEX(Movimientos!$G$2:$G$1994,MATCH(A68&amp;"ENTRADA",Movimientos!$R$2:$R$1994,0)),"-")</f>
        <v>Granicor</v>
      </c>
      <c r="G68" s="2" t="str">
        <f>IFERROR(INDEX(Movimientos!$L$2:$L$1994,MATCH(A68&amp;"ENTRADA",Movimientos!$R$2:$R$1994,0)),"-")</f>
        <v>L</v>
      </c>
      <c r="H68" s="17" t="str">
        <f>IFERROR(IF(INDEX(Movimientos!$M$2:$M$1994,MATCH(A68&amp;"ENTRADA",Movimientos!$R$2:$R$1994,0))=0,"S/D",INDEX(Movimientos!$M$2:$M$1994,MATCH(A68&amp;"ENTRADA",Movimientos!$R$2:$R$1994,0))),"S/D")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808</v>
      </c>
      <c r="B69" s="2" t="str">
        <f>IFERROR(INDEX(Movimientos!$C$2:$C$1994,MATCH(A69&amp;"ENTRADA",Movimientos!$R$2:$R$1994,0)),"-")</f>
        <v>semilla comprada maiz illinois 2773</v>
      </c>
      <c r="C69" s="2" t="str">
        <f>IFERROR(INDEX(Movimientos!$D$2:$D$1994,MATCH(A69&amp;"ENTRADA",Movimientos!$R$2:$R$1994,0)),"-")</f>
        <v xml:space="preserve">sem maiz illinois 2773 trecepta Maiz 1era </v>
      </c>
      <c r="D69" s="2" t="str">
        <f>IFERROR(INDEX(Movimientos!$E$2:$E$1994,MATCH(A69&amp;"ENTRADA",Movimientos!$R$2:$R$1994,0)),"-")</f>
        <v>Semilla</v>
      </c>
      <c r="E69" s="2" t="str">
        <f>IFERROR(INDEX(Movimientos!$F$2:$F$1994,MATCH(A69&amp;"ENTRADA",Movimientos!$R$2:$R$1994,0)),"-")</f>
        <v>Maíz</v>
      </c>
      <c r="F69" s="2" t="str">
        <f>IFERROR(INDEX(Movimientos!$G$2:$G$1994,MATCH(A69&amp;"ENTRADA",Movimientos!$R$2:$R$1994,0)),"-")</f>
        <v>ERRO</v>
      </c>
      <c r="G69" s="2" t="str">
        <f>IFERROR(INDEX(Movimientos!$L$2:$L$1994,MATCH(A69&amp;"ENTRADA",Movimientos!$R$2:$R$1994,0)),"-")</f>
        <v>bolsa</v>
      </c>
      <c r="H69" s="17" t="str">
        <f>IFERROR(IF(INDEX(Movimientos!$M$2:$M$1994,MATCH(A69&amp;"ENTRADA",Movimientos!$R$2:$R$1994,0))=0,"S/D",INDEX(Movimientos!$M$2:$M$1994,MATCH(A69&amp;"ENTRADA",Movimientos!$R$2:$R$1994,0))),"S/D")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804</v>
      </c>
      <c r="B70" s="2" t="str">
        <f>IFERROR(INDEX(Movimientos!$C$2:$C$1994,MATCH(A70&amp;"ENTRADA",Movimientos!$R$2:$R$1994,0)),"-")</f>
        <v xml:space="preserve">semilla comprada maiz illinois 7.24 </v>
      </c>
      <c r="C70" s="2" t="str">
        <f>IFERROR(INDEX(Movimientos!$D$2:$D$1994,MATCH(A70&amp;"ENTRADA",Movimientos!$R$2:$R$1994,0)),"-")</f>
        <v>sem maiz illinois 7.24 trecepta Maiz 1era</v>
      </c>
      <c r="D70" s="2" t="str">
        <f>IFERROR(INDEX(Movimientos!$E$2:$E$1994,MATCH(A70&amp;"ENTRADA",Movimientos!$R$2:$R$1994,0)),"-")</f>
        <v>Semilla</v>
      </c>
      <c r="E70" s="2" t="str">
        <f>IFERROR(INDEX(Movimientos!$F$2:$F$1994,MATCH(A70&amp;"ENTRADA",Movimientos!$R$2:$R$1994,0)),"-")</f>
        <v>Maíz</v>
      </c>
      <c r="F70" s="2" t="str">
        <f>IFERROR(INDEX(Movimientos!$G$2:$G$1994,MATCH(A70&amp;"ENTRADA",Movimientos!$R$2:$R$1994,0)),"-")</f>
        <v>ERRO</v>
      </c>
      <c r="G70" s="2" t="str">
        <f>IFERROR(INDEX(Movimientos!$L$2:$L$1994,MATCH(A70&amp;"ENTRADA",Movimientos!$R$2:$R$1994,0)),"-")</f>
        <v>bolsa</v>
      </c>
      <c r="H70" s="17" t="str">
        <f>IFERROR(IF(INDEX(Movimientos!$M$2:$M$1994,MATCH(A70&amp;"ENTRADA",Movimientos!$R$2:$R$1994,0))=0,"S/D",INDEX(Movimientos!$M$2:$M$1994,MATCH(A70&amp;"ENTRADA",Movimientos!$R$2:$R$1994,0))),"S/D")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806</v>
      </c>
      <c r="B71" s="2" t="str">
        <f>IFERROR(INDEX(Movimientos!$C$2:$C$1994,MATCH(A71&amp;"ENTRADA",Movimientos!$R$2:$R$1994,0)),"-")</f>
        <v xml:space="preserve">refugio semilla maiz illinois </v>
      </c>
      <c r="C71" s="2" t="str">
        <f>IFERROR(INDEX(Movimientos!$D$2:$D$1994,MATCH(A71&amp;"ENTRADA",Movimientos!$R$2:$R$1994,0)),"-")</f>
        <v>refugio semi maiz illinoiz b2 z</v>
      </c>
      <c r="D71" s="2" t="str">
        <f>IFERROR(INDEX(Movimientos!$E$2:$E$1994,MATCH(A71&amp;"ENTRADA",Movimientos!$R$2:$R$1994,0)),"-")</f>
        <v>Semilla</v>
      </c>
      <c r="E71" s="2" t="str">
        <f>IFERROR(INDEX(Movimientos!$F$2:$F$1994,MATCH(A71&amp;"ENTRADA",Movimientos!$R$2:$R$1994,0)),"-")</f>
        <v>Maíz</v>
      </c>
      <c r="F71" s="2" t="str">
        <f>IFERROR(INDEX(Movimientos!$G$2:$G$1994,MATCH(A71&amp;"ENTRADA",Movimientos!$R$2:$R$1994,0)),"-")</f>
        <v>ERRO</v>
      </c>
      <c r="G71" s="2" t="str">
        <f>IFERROR(INDEX(Movimientos!$L$2:$L$1994,MATCH(A71&amp;"ENTRADA",Movimientos!$R$2:$R$1994,0)),"-")</f>
        <v>bolsa</v>
      </c>
      <c r="H71" s="17" t="str">
        <f>IFERROR(IF(INDEX(Movimientos!$M$2:$M$1994,MATCH(A71&amp;"ENTRADA",Movimientos!$R$2:$R$1994,0))=0,"S/D",INDEX(Movimientos!$M$2:$M$1994,MATCH(A71&amp;"ENTRADA",Movimientos!$R$2:$R$1994,0))),"S/D")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2349</v>
      </c>
      <c r="B72" s="2" t="str">
        <f>IFERROR(INDEX(Movimientos!$C$2:$C$1994,MATCH(A72&amp;"ENTRADA",Movimientos!$R$2:$R$1994,0)),"-")</f>
        <v>semilla maiz NK842</v>
      </c>
      <c r="C72" s="2" t="str">
        <f>IFERROR(INDEX(Movimientos!$D$2:$D$1994,MATCH(A72&amp;"ENTRADA",Movimientos!$R$2:$R$1994,0)),"-")</f>
        <v xml:space="preserve">semilla maiz nk 842 viptera Maiz 1era </v>
      </c>
      <c r="D72" s="2" t="str">
        <f>IFERROR(INDEX(Movimientos!$E$2:$E$1994,MATCH(A72&amp;"ENTRADA",Movimientos!$R$2:$R$1994,0)),"-")</f>
        <v>Semilla</v>
      </c>
      <c r="E72" s="2" t="str">
        <f>IFERROR(INDEX(Movimientos!$F$2:$F$1994,MATCH(A72&amp;"ENTRADA",Movimientos!$R$2:$R$1994,0)),"-")</f>
        <v>Maíz</v>
      </c>
      <c r="F72" s="2" t="str">
        <f>IFERROR(INDEX(Movimientos!$G$2:$G$1994,MATCH(A72&amp;"ENTRADA",Movimientos!$R$2:$R$1994,0)),"-")</f>
        <v xml:space="preserve">Biosfer </v>
      </c>
      <c r="G72" s="2" t="str">
        <f>IFERROR(INDEX(Movimientos!$L$2:$L$1994,MATCH(A72&amp;"ENTRADA",Movimientos!$R$2:$R$1994,0)),"-")</f>
        <v>bolsa</v>
      </c>
      <c r="H72" s="17" t="str">
        <f>IFERROR(IF(INDEX(Movimientos!$M$2:$M$1994,MATCH(A72&amp;"ENTRADA",Movimientos!$R$2:$R$1994,0))=0,"S/D",INDEX(Movimientos!$M$2:$M$1994,MATCH(A72&amp;"ENTRADA",Movimientos!$R$2:$R$1994,0))),"S/D")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851</v>
      </c>
      <c r="B73" s="2" t="str">
        <f>IFERROR(INDEX(Movimientos!$C$2:$C$1994,MATCH(A73&amp;"ENTRADA",Movimientos!$R$2:$R$1994,0)),"-")</f>
        <v>Acuron uno</v>
      </c>
      <c r="C73" s="2" t="str">
        <f>IFERROR(INDEX(Movimientos!$D$2:$D$1994,MATCH(A73&amp;"ENTRADA",Movimientos!$R$2:$R$1994,0)),"-")</f>
        <v>Biciclopirona</v>
      </c>
      <c r="D73" s="2" t="str">
        <f>IFERROR(INDEX(Movimientos!$E$2:$E$1994,MATCH(A73&amp;"ENTRADA",Movimientos!$R$2:$R$1994,0)),"-")</f>
        <v>Herbicida</v>
      </c>
      <c r="E73" s="2" t="str">
        <f>IFERROR(INDEX(Movimientos!$F$2:$F$1994,MATCH(A73&amp;"ENTRADA",Movimientos!$R$2:$R$1994,0)),"-")</f>
        <v>Preemergente</v>
      </c>
      <c r="F73" s="2" t="str">
        <f>IFERROR(INDEX(Movimientos!$G$2:$G$1994,MATCH(A73&amp;"ENTRADA",Movimientos!$R$2:$R$1994,0)),"-")</f>
        <v>Maccio</v>
      </c>
      <c r="G73" s="2" t="str">
        <f>IFERROR(INDEX(Movimientos!$L$2:$L$1994,MATCH(A73&amp;"ENTRADA",Movimientos!$R$2:$R$1994,0)),"-")</f>
        <v>L</v>
      </c>
      <c r="H73" s="17">
        <f>IFERROR(IF(INDEX(Movimientos!$M$2:$M$1994,MATCH(A73&amp;"ENTRADA",Movimientos!$R$2:$R$1994,0))=0,"S/D",INDEX(Movimientos!$M$2:$M$1994,MATCH(A73&amp;"ENTRADA",Movimientos!$R$2:$R$1994,0))),"S/D")</f>
        <v>46865</v>
      </c>
      <c r="I73" s="15">
        <f t="shared" ca="1" si="4"/>
        <v>571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119</v>
      </c>
      <c r="B74" s="2" t="str">
        <f>IFERROR(INDEX(Movimientos!$C$2:$C$1994,MATCH(A74&amp;"ENTRADA",Movimientos!$R$2:$R$1994,0)),"-")</f>
        <v>Azuka</v>
      </c>
      <c r="C74" s="2" t="str">
        <f>IFERROR(INDEX(Movimientos!$D$2:$D$1994,MATCH(A74&amp;"ENTRADA",Movimientos!$R$2:$R$1994,0)),"-")</f>
        <v>Glifosato Sal DMA 608 g/L. Equivalente en glifosato 480 g/L</v>
      </c>
      <c r="D74" s="2" t="str">
        <f>IFERROR(INDEX(Movimientos!$E$2:$E$1994,MATCH(A74&amp;"ENTRADA",Movimientos!$R$2:$R$1994,0)),"-")</f>
        <v>Herbicida</v>
      </c>
      <c r="E74" s="2" t="str">
        <f>IFERROR(INDEX(Movimientos!$F$2:$F$1994,MATCH(A74&amp;"ENTRADA",Movimientos!$R$2:$R$1994,0)),"-")</f>
        <v>Postemergente</v>
      </c>
      <c r="F74" s="2" t="str">
        <f>IFERROR(INDEX(Movimientos!$G$2:$G$1994,MATCH(A74&amp;"ENTRADA",Movimientos!$R$2:$R$1994,0)),"-")</f>
        <v>Proquimur</v>
      </c>
      <c r="G74" s="2" t="str">
        <f>IFERROR(INDEX(Movimientos!$L$2:$L$1994,MATCH(A74&amp;"ENTRADA",Movimientos!$R$2:$R$1994,0)),"-")</f>
        <v>L</v>
      </c>
      <c r="H74" s="17">
        <f>IFERROR(IF(INDEX(Movimientos!$M$2:$M$1994,MATCH(A74&amp;"ENTRADA",Movimientos!$R$2:$R$1994,0))=0,"S/D",INDEX(Movimientos!$M$2:$M$1994,MATCH(A74&amp;"ENTRADA",Movimientos!$R$2:$R$1994,0))),"S/D")</f>
        <v>46692</v>
      </c>
      <c r="I74" s="15">
        <f t="shared" ca="1" si="4"/>
        <v>398</v>
      </c>
      <c r="J74" s="5">
        <f>IF(A74="","",SUMIFS(Movimientos!$K:$K,Movimientos!$H:$H,A74))</f>
        <v>27240</v>
      </c>
      <c r="K74" s="13" t="str">
        <f t="shared" ca="1" si="3"/>
        <v>OK</v>
      </c>
    </row>
    <row r="75" spans="1:11">
      <c r="A75" s="16" t="s">
        <v>2350</v>
      </c>
      <c r="B75" s="2" t="str">
        <f>IFERROR(INDEX(Movimientos!$C$2:$C$1994,MATCH(A75&amp;"ENTRADA",Movimientos!$R$2:$R$1994,0)),"-")</f>
        <v>-</v>
      </c>
      <c r="C75" s="2" t="str">
        <f>IFERROR(INDEX(Movimientos!$D$2:$D$1994,MATCH(A75&amp;"ENTRADA",Movimientos!$R$2:$R$1994,0)),"-")</f>
        <v>-</v>
      </c>
      <c r="D75" s="2" t="str">
        <f>IFERROR(INDEX(Movimientos!$E$2:$E$1994,MATCH(A75&amp;"ENTRADA",Movimientos!$R$2:$R$1994,0)),"-")</f>
        <v>-</v>
      </c>
      <c r="E75" s="2" t="str">
        <f>IFERROR(INDEX(Movimientos!$F$2:$F$1994,MATCH(A75&amp;"ENTRADA",Movimientos!$R$2:$R$1994,0)),"-")</f>
        <v>-</v>
      </c>
      <c r="F75" s="2" t="str">
        <f>IFERROR(INDEX(Movimientos!$G$2:$G$1994,MATCH(A75&amp;"ENTRADA",Movimientos!$R$2:$R$1994,0)),"-")</f>
        <v>-</v>
      </c>
      <c r="G75" s="2" t="str">
        <f>IFERROR(INDEX(Movimientos!$L$2:$L$1994,MATCH(A75&amp;"ENTRADA",Movimientos!$R$2:$R$1994,0)),"-")</f>
        <v>-</v>
      </c>
      <c r="H75" s="17" t="str">
        <f>IFERROR(IF(INDEX(Movimientos!$M$2:$M$1994,MATCH(A75&amp;"ENTRADA",Movimientos!$R$2:$R$1994,0))=0,"S/D",INDEX(Movimientos!$M$2:$M$1994,MATCH(A75&amp;"ENTRADA",Movimientos!$R$2:$R$1994,0))),"S/D")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2351</v>
      </c>
      <c r="B76" s="2" t="str">
        <f>IFERROR(INDEX(Movimientos!$C$2:$C$1994,MATCH(A76&amp;"ENTRADA",Movimientos!$R$2:$R$1994,0)),"-")</f>
        <v>-</v>
      </c>
      <c r="C76" s="2" t="str">
        <f>IFERROR(INDEX(Movimientos!$D$2:$D$1994,MATCH(A76&amp;"ENTRADA",Movimientos!$R$2:$R$1994,0)),"-")</f>
        <v>-</v>
      </c>
      <c r="D76" s="2" t="str">
        <f>IFERROR(INDEX(Movimientos!$E$2:$E$1994,MATCH(A76&amp;"ENTRADA",Movimientos!$R$2:$R$1994,0)),"-")</f>
        <v>-</v>
      </c>
      <c r="E76" s="2" t="str">
        <f>IFERROR(INDEX(Movimientos!$F$2:$F$1994,MATCH(A76&amp;"ENTRADA",Movimientos!$R$2:$R$1994,0)),"-")</f>
        <v>-</v>
      </c>
      <c r="F76" s="2" t="str">
        <f>IFERROR(INDEX(Movimientos!$G$2:$G$1994,MATCH(A76&amp;"ENTRADA",Movimientos!$R$2:$R$1994,0)),"-")</f>
        <v>-</v>
      </c>
      <c r="G76" s="2" t="str">
        <f>IFERROR(INDEX(Movimientos!$L$2:$L$1994,MATCH(A76&amp;"ENTRADA",Movimientos!$R$2:$R$1994,0)),"-")</f>
        <v>-</v>
      </c>
      <c r="H76" s="17" t="str">
        <f>IFERROR(IF(INDEX(Movimientos!$M$2:$M$1994,MATCH(A76&amp;"ENTRADA",Movimientos!$R$2:$R$1994,0))=0,"S/D",INDEX(Movimientos!$M$2:$M$1994,MATCH(A76&amp;"ENTRADA",Movimientos!$R$2:$R$1994,0))),"S/D")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2352</v>
      </c>
      <c r="B77" s="2" t="str">
        <f>IFERROR(INDEX(Movimientos!$C$2:$C$1994,MATCH(A77&amp;"ENTRADA",Movimientos!$R$2:$R$1994,0)),"-")</f>
        <v>-</v>
      </c>
      <c r="C77" s="2" t="str">
        <f>IFERROR(INDEX(Movimientos!$D$2:$D$1994,MATCH(A77&amp;"ENTRADA",Movimientos!$R$2:$R$1994,0)),"-")</f>
        <v>-</v>
      </c>
      <c r="D77" s="2" t="str">
        <f>IFERROR(INDEX(Movimientos!$E$2:$E$1994,MATCH(A77&amp;"ENTRADA",Movimientos!$R$2:$R$1994,0)),"-")</f>
        <v>-</v>
      </c>
      <c r="E77" s="2" t="str">
        <f>IFERROR(INDEX(Movimientos!$F$2:$F$1994,MATCH(A77&amp;"ENTRADA",Movimientos!$R$2:$R$1994,0)),"-")</f>
        <v>-</v>
      </c>
      <c r="F77" s="2" t="str">
        <f>IFERROR(INDEX(Movimientos!$G$2:$G$1994,MATCH(A77&amp;"ENTRADA",Movimientos!$R$2:$R$1994,0)),"-")</f>
        <v>-</v>
      </c>
      <c r="G77" s="2" t="str">
        <f>IFERROR(INDEX(Movimientos!$L$2:$L$1994,MATCH(A77&amp;"ENTRADA",Movimientos!$R$2:$R$1994,0)),"-")</f>
        <v>-</v>
      </c>
      <c r="H77" s="17" t="str">
        <f>IFERROR(IF(INDEX(Movimientos!$M$2:$M$1994,MATCH(A77&amp;"ENTRADA",Movimientos!$R$2:$R$1994,0))=0,"S/D",INDEX(Movimientos!$M$2:$M$1994,MATCH(A77&amp;"ENTRADA",Movimientos!$R$2:$R$1994,0))),"S/D")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2353</v>
      </c>
      <c r="B78" s="2" t="str">
        <f>IFERROR(INDEX(Movimientos!$C$2:$C$1994,MATCH(A78&amp;"ENTRADA",Movimientos!$R$2:$R$1994,0)),"-")</f>
        <v>-</v>
      </c>
      <c r="C78" s="2" t="str">
        <f>IFERROR(INDEX(Movimientos!$D$2:$D$1994,MATCH(A78&amp;"ENTRADA",Movimientos!$R$2:$R$1994,0)),"-")</f>
        <v>-</v>
      </c>
      <c r="D78" s="2" t="str">
        <f>IFERROR(INDEX(Movimientos!$E$2:$E$1994,MATCH(A78&amp;"ENTRADA",Movimientos!$R$2:$R$1994,0)),"-")</f>
        <v>-</v>
      </c>
      <c r="E78" s="2" t="str">
        <f>IFERROR(INDEX(Movimientos!$F$2:$F$1994,MATCH(A78&amp;"ENTRADA",Movimientos!$R$2:$R$1994,0)),"-")</f>
        <v>-</v>
      </c>
      <c r="F78" s="2" t="str">
        <f>IFERROR(INDEX(Movimientos!$G$2:$G$1994,MATCH(A78&amp;"ENTRADA",Movimientos!$R$2:$R$1994,0)),"-")</f>
        <v>-</v>
      </c>
      <c r="G78" s="2" t="str">
        <f>IFERROR(INDEX(Movimientos!$L$2:$L$1994,MATCH(A78&amp;"ENTRADA",Movimientos!$R$2:$R$1994,0)),"-")</f>
        <v>-</v>
      </c>
      <c r="H78" s="17" t="str">
        <f>IFERROR(IF(INDEX(Movimientos!$M$2:$M$1994,MATCH(A78&amp;"ENTRADA",Movimientos!$R$2:$R$1994,0))=0,"S/D",INDEX(Movimientos!$M$2:$M$1994,MATCH(A78&amp;"ENTRADA",Movimientos!$R$2:$R$1994,0))),"S/D")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2354</v>
      </c>
      <c r="B79" s="2" t="str">
        <f>IFERROR(INDEX(Movimientos!$C$2:$C$1994,MATCH(A79&amp;"ENTRADA",Movimientos!$R$2:$R$1994,0)),"-")</f>
        <v>-</v>
      </c>
      <c r="C79" s="2" t="str">
        <f>IFERROR(INDEX(Movimientos!$D$2:$D$1994,MATCH(A79&amp;"ENTRADA",Movimientos!$R$2:$R$1994,0)),"-")</f>
        <v>-</v>
      </c>
      <c r="D79" s="2" t="str">
        <f>IFERROR(INDEX(Movimientos!$E$2:$E$1994,MATCH(A79&amp;"ENTRADA",Movimientos!$R$2:$R$1994,0)),"-")</f>
        <v>-</v>
      </c>
      <c r="E79" s="2" t="str">
        <f>IFERROR(INDEX(Movimientos!$F$2:$F$1994,MATCH(A79&amp;"ENTRADA",Movimientos!$R$2:$R$1994,0)),"-")</f>
        <v>-</v>
      </c>
      <c r="F79" s="2" t="str">
        <f>IFERROR(INDEX(Movimientos!$G$2:$G$1994,MATCH(A79&amp;"ENTRADA",Movimientos!$R$2:$R$1994,0)),"-")</f>
        <v>-</v>
      </c>
      <c r="G79" s="2" t="str">
        <f>IFERROR(INDEX(Movimientos!$L$2:$L$1994,MATCH(A79&amp;"ENTRADA",Movimientos!$R$2:$R$1994,0)),"-")</f>
        <v>-</v>
      </c>
      <c r="H79" s="17" t="str">
        <f>IFERROR(IF(INDEX(Movimientos!$M$2:$M$1994,MATCH(A79&amp;"ENTRADA",Movimientos!$R$2:$R$1994,0))=0,"S/D",INDEX(Movimientos!$M$2:$M$1994,MATCH(A79&amp;"ENTRADA",Movimientos!$R$2:$R$1994,0))),"S/D")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2355</v>
      </c>
      <c r="B80" s="2" t="str">
        <f>IFERROR(INDEX(Movimientos!$C$2:$C$1994,MATCH(A80&amp;"ENTRADA",Movimientos!$R$2:$R$1994,0)),"-")</f>
        <v>-</v>
      </c>
      <c r="C80" s="2" t="str">
        <f>IFERROR(INDEX(Movimientos!$D$2:$D$1994,MATCH(A80&amp;"ENTRADA",Movimientos!$R$2:$R$1994,0)),"-")</f>
        <v>-</v>
      </c>
      <c r="D80" s="2" t="str">
        <f>IFERROR(INDEX(Movimientos!$E$2:$E$1994,MATCH(A80&amp;"ENTRADA",Movimientos!$R$2:$R$1994,0)),"-")</f>
        <v>-</v>
      </c>
      <c r="E80" s="2" t="str">
        <f>IFERROR(INDEX(Movimientos!$F$2:$F$1994,MATCH(A80&amp;"ENTRADA",Movimientos!$R$2:$R$1994,0)),"-")</f>
        <v>-</v>
      </c>
      <c r="F80" s="2" t="str">
        <f>IFERROR(INDEX(Movimientos!$G$2:$G$1994,MATCH(A80&amp;"ENTRADA",Movimientos!$R$2:$R$1994,0)),"-")</f>
        <v>-</v>
      </c>
      <c r="G80" s="2" t="str">
        <f>IFERROR(INDEX(Movimientos!$L$2:$L$1994,MATCH(A80&amp;"ENTRADA",Movimientos!$R$2:$R$1994,0)),"-")</f>
        <v>-</v>
      </c>
      <c r="H80" s="17" t="str">
        <f>IFERROR(IF(INDEX(Movimientos!$M$2:$M$1994,MATCH(A80&amp;"ENTRADA",Movimientos!$R$2:$R$1994,0))=0,"S/D",INDEX(Movimientos!$M$2:$M$1994,MATCH(A80&amp;"ENTRADA",Movimientos!$R$2:$R$1994,0))),"S/D")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2356</v>
      </c>
      <c r="B81" s="2" t="str">
        <f>IFERROR(INDEX(Movimientos!$C$2:$C$1994,MATCH(A81&amp;"ENTRADA",Movimientos!$R$2:$R$1994,0)),"-")</f>
        <v>-</v>
      </c>
      <c r="C81" s="2" t="str">
        <f>IFERROR(INDEX(Movimientos!$D$2:$D$1994,MATCH(A81&amp;"ENTRADA",Movimientos!$R$2:$R$1994,0)),"-")</f>
        <v>-</v>
      </c>
      <c r="D81" s="2" t="str">
        <f>IFERROR(INDEX(Movimientos!$E$2:$E$1994,MATCH(A81&amp;"ENTRADA",Movimientos!$R$2:$R$1994,0)),"-")</f>
        <v>-</v>
      </c>
      <c r="E81" s="2" t="str">
        <f>IFERROR(INDEX(Movimientos!$F$2:$F$1994,MATCH(A81&amp;"ENTRADA",Movimientos!$R$2:$R$1994,0)),"-")</f>
        <v>-</v>
      </c>
      <c r="F81" s="2" t="str">
        <f>IFERROR(INDEX(Movimientos!$G$2:$G$1994,MATCH(A81&amp;"ENTRADA",Movimientos!$R$2:$R$1994,0)),"-")</f>
        <v>-</v>
      </c>
      <c r="G81" s="2" t="str">
        <f>IFERROR(INDEX(Movimientos!$L$2:$L$1994,MATCH(A81&amp;"ENTRADA",Movimientos!$R$2:$R$1994,0)),"-")</f>
        <v>-</v>
      </c>
      <c r="H81" s="17" t="str">
        <f>IFERROR(IF(INDEX(Movimientos!$M$2:$M$1994,MATCH(A81&amp;"ENTRADA",Movimientos!$R$2:$R$1994,0))=0,"S/D",INDEX(Movimientos!$M$2:$M$1994,MATCH(A81&amp;"ENTRADA",Movimientos!$R$2:$R$1994,0))),"S/D")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2357</v>
      </c>
      <c r="B82" s="2" t="str">
        <f>IFERROR(INDEX(Movimientos!$C$2:$C$1994,MATCH(A82&amp;"ENTRADA",Movimientos!$R$2:$R$1994,0)),"-")</f>
        <v>-</v>
      </c>
      <c r="C82" s="2" t="str">
        <f>IFERROR(INDEX(Movimientos!$D$2:$D$1994,MATCH(A82&amp;"ENTRADA",Movimientos!$R$2:$R$1994,0)),"-")</f>
        <v>-</v>
      </c>
      <c r="D82" s="2" t="str">
        <f>IFERROR(INDEX(Movimientos!$E$2:$E$1994,MATCH(A82&amp;"ENTRADA",Movimientos!$R$2:$R$1994,0)),"-")</f>
        <v>-</v>
      </c>
      <c r="E82" s="2" t="str">
        <f>IFERROR(INDEX(Movimientos!$F$2:$F$1994,MATCH(A82&amp;"ENTRADA",Movimientos!$R$2:$R$1994,0)),"-")</f>
        <v>-</v>
      </c>
      <c r="F82" s="2" t="str">
        <f>IFERROR(INDEX(Movimientos!$G$2:$G$1994,MATCH(A82&amp;"ENTRADA",Movimientos!$R$2:$R$1994,0)),"-")</f>
        <v>-</v>
      </c>
      <c r="G82" s="2" t="str">
        <f>IFERROR(INDEX(Movimientos!$L$2:$L$1994,MATCH(A82&amp;"ENTRADA",Movimientos!$R$2:$R$1994,0)),"-")</f>
        <v>-</v>
      </c>
      <c r="H82" s="17" t="str">
        <f>IFERROR(IF(INDEX(Movimientos!$M$2:$M$1994,MATCH(A82&amp;"ENTRADA",Movimientos!$R$2:$R$1994,0))=0,"S/D",INDEX(Movimientos!$M$2:$M$1994,MATCH(A82&amp;"ENTRADA",Movimientos!$R$2:$R$1994,0))),"S/D")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2358</v>
      </c>
      <c r="B83" s="2" t="str">
        <f>IFERROR(INDEX(Movimientos!$C$2:$C$1994,MATCH(A83&amp;"ENTRADA",Movimientos!$R$2:$R$1994,0)),"-")</f>
        <v>-</v>
      </c>
      <c r="C83" s="2" t="str">
        <f>IFERROR(INDEX(Movimientos!$D$2:$D$1994,MATCH(A83&amp;"ENTRADA",Movimientos!$R$2:$R$1994,0)),"-")</f>
        <v>-</v>
      </c>
      <c r="D83" s="2" t="str">
        <f>IFERROR(INDEX(Movimientos!$E$2:$E$1994,MATCH(A83&amp;"ENTRADA",Movimientos!$R$2:$R$1994,0)),"-")</f>
        <v>-</v>
      </c>
      <c r="E83" s="2" t="str">
        <f>IFERROR(INDEX(Movimientos!$F$2:$F$1994,MATCH(A83&amp;"ENTRADA",Movimientos!$R$2:$R$1994,0)),"-")</f>
        <v>-</v>
      </c>
      <c r="F83" s="2" t="str">
        <f>IFERROR(INDEX(Movimientos!$G$2:$G$1994,MATCH(A83&amp;"ENTRADA",Movimientos!$R$2:$R$1994,0)),"-")</f>
        <v>-</v>
      </c>
      <c r="G83" s="2" t="str">
        <f>IFERROR(INDEX(Movimientos!$L$2:$L$1994,MATCH(A83&amp;"ENTRADA",Movimientos!$R$2:$R$1994,0)),"-")</f>
        <v>-</v>
      </c>
      <c r="H83" s="17" t="str">
        <f>IFERROR(IF(INDEX(Movimientos!$M$2:$M$1994,MATCH(A83&amp;"ENTRADA",Movimientos!$R$2:$R$1994,0))=0,"S/D",INDEX(Movimientos!$M$2:$M$1994,MATCH(A83&amp;"ENTRADA",Movimientos!$R$2:$R$1994,0))),"S/D")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2359</v>
      </c>
      <c r="B84" s="2" t="str">
        <f>IFERROR(INDEX(Movimientos!$C$2:$C$1994,MATCH(A84&amp;"ENTRADA",Movimientos!$R$2:$R$1994,0)),"-")</f>
        <v>-</v>
      </c>
      <c r="C84" s="2" t="str">
        <f>IFERROR(INDEX(Movimientos!$D$2:$D$1994,MATCH(A84&amp;"ENTRADA",Movimientos!$R$2:$R$1994,0)),"-")</f>
        <v>-</v>
      </c>
      <c r="D84" s="2" t="str">
        <f>IFERROR(INDEX(Movimientos!$E$2:$E$1994,MATCH(A84&amp;"ENTRADA",Movimientos!$R$2:$R$1994,0)),"-")</f>
        <v>-</v>
      </c>
      <c r="E84" s="2" t="str">
        <f>IFERROR(INDEX(Movimientos!$F$2:$F$1994,MATCH(A84&amp;"ENTRADA",Movimientos!$R$2:$R$1994,0)),"-")</f>
        <v>-</v>
      </c>
      <c r="F84" s="2" t="str">
        <f>IFERROR(INDEX(Movimientos!$G$2:$G$1994,MATCH(A84&amp;"ENTRADA",Movimientos!$R$2:$R$1994,0)),"-")</f>
        <v>-</v>
      </c>
      <c r="G84" s="2" t="str">
        <f>IFERROR(INDEX(Movimientos!$L$2:$L$1994,MATCH(A84&amp;"ENTRADA",Movimientos!$R$2:$R$1994,0)),"-")</f>
        <v>-</v>
      </c>
      <c r="H84" s="17" t="str">
        <f>IFERROR(IF(INDEX(Movimientos!$M$2:$M$1994,MATCH(A84&amp;"ENTRADA",Movimientos!$R$2:$R$1994,0))=0,"S/D",INDEX(Movimientos!$M$2:$M$1994,MATCH(A84&amp;"ENTRADA",Movimientos!$R$2:$R$1994,0))),"S/D")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2360</v>
      </c>
      <c r="B85" s="2" t="str">
        <f>IFERROR(INDEX(Movimientos!$C$2:$C$1994,MATCH(A85&amp;"ENTRADA",Movimientos!$R$2:$R$1994,0)),"-")</f>
        <v>-</v>
      </c>
      <c r="C85" s="2" t="str">
        <f>IFERROR(INDEX(Movimientos!$D$2:$D$1994,MATCH(A85&amp;"ENTRADA",Movimientos!$R$2:$R$1994,0)),"-")</f>
        <v>-</v>
      </c>
      <c r="D85" s="2" t="str">
        <f>IFERROR(INDEX(Movimientos!$E$2:$E$1994,MATCH(A85&amp;"ENTRADA",Movimientos!$R$2:$R$1994,0)),"-")</f>
        <v>-</v>
      </c>
      <c r="E85" s="2" t="str">
        <f>IFERROR(INDEX(Movimientos!$F$2:$F$1994,MATCH(A85&amp;"ENTRADA",Movimientos!$R$2:$R$1994,0)),"-")</f>
        <v>-</v>
      </c>
      <c r="F85" s="2" t="str">
        <f>IFERROR(INDEX(Movimientos!$G$2:$G$1994,MATCH(A85&amp;"ENTRADA",Movimientos!$R$2:$R$1994,0)),"-")</f>
        <v>-</v>
      </c>
      <c r="G85" s="2" t="str">
        <f>IFERROR(INDEX(Movimientos!$L$2:$L$1994,MATCH(A85&amp;"ENTRADA",Movimientos!$R$2:$R$1994,0)),"-")</f>
        <v>-</v>
      </c>
      <c r="H85" s="17" t="str">
        <f>IFERROR(IF(INDEX(Movimientos!$M$2:$M$1994,MATCH(A85&amp;"ENTRADA",Movimientos!$R$2:$R$1994,0))=0,"S/D",INDEX(Movimientos!$M$2:$M$1994,MATCH(A85&amp;"ENTRADA",Movimientos!$R$2:$R$1994,0))),"S/D")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2361</v>
      </c>
      <c r="B86" s="2" t="str">
        <f>IFERROR(INDEX(Movimientos!$C$2:$C$1994,MATCH(A86&amp;"ENTRADA",Movimientos!$R$2:$R$1994,0)),"-")</f>
        <v>-</v>
      </c>
      <c r="C86" s="2" t="str">
        <f>IFERROR(INDEX(Movimientos!$D$2:$D$1994,MATCH(A86&amp;"ENTRADA",Movimientos!$R$2:$R$1994,0)),"-")</f>
        <v>-</v>
      </c>
      <c r="D86" s="2" t="str">
        <f>IFERROR(INDEX(Movimientos!$E$2:$E$1994,MATCH(A86&amp;"ENTRADA",Movimientos!$R$2:$R$1994,0)),"-")</f>
        <v>-</v>
      </c>
      <c r="E86" s="2" t="str">
        <f>IFERROR(INDEX(Movimientos!$F$2:$F$1994,MATCH(A86&amp;"ENTRADA",Movimientos!$R$2:$R$1994,0)),"-")</f>
        <v>-</v>
      </c>
      <c r="F86" s="2" t="str">
        <f>IFERROR(INDEX(Movimientos!$G$2:$G$1994,MATCH(A86&amp;"ENTRADA",Movimientos!$R$2:$R$1994,0)),"-")</f>
        <v>-</v>
      </c>
      <c r="G86" s="2" t="str">
        <f>IFERROR(INDEX(Movimientos!$L$2:$L$1994,MATCH(A86&amp;"ENTRADA",Movimientos!$R$2:$R$1994,0)),"-")</f>
        <v>-</v>
      </c>
      <c r="H86" s="17" t="str">
        <f>IFERROR(IF(INDEX(Movimientos!$M$2:$M$1994,MATCH(A86&amp;"ENTRADA",Movimientos!$R$2:$R$1994,0))=0,"S/D",INDEX(Movimientos!$M$2:$M$1994,MATCH(A86&amp;"ENTRADA",Movimientos!$R$2:$R$1994,0))),"S/D")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2362</v>
      </c>
      <c r="B87" s="2" t="str">
        <f>IFERROR(INDEX(Movimientos!$C$2:$C$1994,MATCH(A87&amp;"ENTRADA",Movimientos!$R$2:$R$1994,0)),"-")</f>
        <v>-</v>
      </c>
      <c r="C87" s="2" t="str">
        <f>IFERROR(INDEX(Movimientos!$D$2:$D$1994,MATCH(A87&amp;"ENTRADA",Movimientos!$R$2:$R$1994,0)),"-")</f>
        <v>-</v>
      </c>
      <c r="D87" s="2" t="str">
        <f>IFERROR(INDEX(Movimientos!$E$2:$E$1994,MATCH(A87&amp;"ENTRADA",Movimientos!$R$2:$R$1994,0)),"-")</f>
        <v>-</v>
      </c>
      <c r="E87" s="2" t="str">
        <f>IFERROR(INDEX(Movimientos!$F$2:$F$1994,MATCH(A87&amp;"ENTRADA",Movimientos!$R$2:$R$1994,0)),"-")</f>
        <v>-</v>
      </c>
      <c r="F87" s="2" t="str">
        <f>IFERROR(INDEX(Movimientos!$G$2:$G$1994,MATCH(A87&amp;"ENTRADA",Movimientos!$R$2:$R$1994,0)),"-")</f>
        <v>-</v>
      </c>
      <c r="G87" s="2" t="str">
        <f>IFERROR(INDEX(Movimientos!$L$2:$L$1994,MATCH(A87&amp;"ENTRADA",Movimientos!$R$2:$R$1994,0)),"-")</f>
        <v>-</v>
      </c>
      <c r="H87" s="17" t="str">
        <f>IFERROR(IF(INDEX(Movimientos!$M$2:$M$1994,MATCH(A87&amp;"ENTRADA",Movimientos!$R$2:$R$1994,0))=0,"S/D",INDEX(Movimientos!$M$2:$M$1994,MATCH(A87&amp;"ENTRADA",Movimientos!$R$2:$R$1994,0))),"S/D")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2363</v>
      </c>
      <c r="B88" s="2" t="str">
        <f>IFERROR(INDEX(Movimientos!$C$2:$C$1994,MATCH(A88&amp;"ENTRADA",Movimientos!$R$2:$R$1994,0)),"-")</f>
        <v>-</v>
      </c>
      <c r="C88" s="2" t="str">
        <f>IFERROR(INDEX(Movimientos!$D$2:$D$1994,MATCH(A88&amp;"ENTRADA",Movimientos!$R$2:$R$1994,0)),"-")</f>
        <v>-</v>
      </c>
      <c r="D88" s="2" t="str">
        <f>IFERROR(INDEX(Movimientos!$E$2:$E$1994,MATCH(A88&amp;"ENTRADA",Movimientos!$R$2:$R$1994,0)),"-")</f>
        <v>-</v>
      </c>
      <c r="E88" s="2" t="str">
        <f>IFERROR(INDEX(Movimientos!$F$2:$F$1994,MATCH(A88&amp;"ENTRADA",Movimientos!$R$2:$R$1994,0)),"-")</f>
        <v>-</v>
      </c>
      <c r="F88" s="2" t="str">
        <f>IFERROR(INDEX(Movimientos!$G$2:$G$1994,MATCH(A88&amp;"ENTRADA",Movimientos!$R$2:$R$1994,0)),"-")</f>
        <v>-</v>
      </c>
      <c r="G88" s="2" t="str">
        <f>IFERROR(INDEX(Movimientos!$L$2:$L$1994,MATCH(A88&amp;"ENTRADA",Movimientos!$R$2:$R$1994,0)),"-")</f>
        <v>-</v>
      </c>
      <c r="H88" s="17" t="str">
        <f>IFERROR(IF(INDEX(Movimientos!$M$2:$M$1994,MATCH(A88&amp;"ENTRADA",Movimientos!$R$2:$R$1994,0))=0,"S/D",INDEX(Movimientos!$M$2:$M$1994,MATCH(A88&amp;"ENTRADA",Movimientos!$R$2:$R$1994,0))),"S/D")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2364</v>
      </c>
      <c r="B89" s="2" t="str">
        <f>IFERROR(INDEX(Movimientos!$C$2:$C$1994,MATCH(A89&amp;"ENTRADA",Movimientos!$R$2:$R$1994,0)),"-")</f>
        <v>-</v>
      </c>
      <c r="C89" s="2" t="str">
        <f>IFERROR(INDEX(Movimientos!$D$2:$D$1994,MATCH(A89&amp;"ENTRADA",Movimientos!$R$2:$R$1994,0)),"-")</f>
        <v>-</v>
      </c>
      <c r="D89" s="2" t="str">
        <f>IFERROR(INDEX(Movimientos!$E$2:$E$1994,MATCH(A89&amp;"ENTRADA",Movimientos!$R$2:$R$1994,0)),"-")</f>
        <v>-</v>
      </c>
      <c r="E89" s="2" t="str">
        <f>IFERROR(INDEX(Movimientos!$F$2:$F$1994,MATCH(A89&amp;"ENTRADA",Movimientos!$R$2:$R$1994,0)),"-")</f>
        <v>-</v>
      </c>
      <c r="F89" s="2" t="str">
        <f>IFERROR(INDEX(Movimientos!$G$2:$G$1994,MATCH(A89&amp;"ENTRADA",Movimientos!$R$2:$R$1994,0)),"-")</f>
        <v>-</v>
      </c>
      <c r="G89" s="2" t="str">
        <f>IFERROR(INDEX(Movimientos!$L$2:$L$1994,MATCH(A89&amp;"ENTRADA",Movimientos!$R$2:$R$1994,0)),"-")</f>
        <v>-</v>
      </c>
      <c r="H89" s="17" t="str">
        <f>IFERROR(IF(INDEX(Movimientos!$M$2:$M$1994,MATCH(A89&amp;"ENTRADA",Movimientos!$R$2:$R$1994,0))=0,"S/D",INDEX(Movimientos!$M$2:$M$1994,MATCH(A89&amp;"ENTRADA",Movimientos!$R$2:$R$1994,0))),"S/D")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2365</v>
      </c>
      <c r="B90" s="2" t="str">
        <f>IFERROR(INDEX(Movimientos!$C$2:$C$1994,MATCH(A90&amp;"ENTRADA",Movimientos!$R$2:$R$1994,0)),"-")</f>
        <v>-</v>
      </c>
      <c r="C90" s="2" t="str">
        <f>IFERROR(INDEX(Movimientos!$D$2:$D$1994,MATCH(A90&amp;"ENTRADA",Movimientos!$R$2:$R$1994,0)),"-")</f>
        <v>-</v>
      </c>
      <c r="D90" s="2" t="str">
        <f>IFERROR(INDEX(Movimientos!$E$2:$E$1994,MATCH(A90&amp;"ENTRADA",Movimientos!$R$2:$R$1994,0)),"-")</f>
        <v>-</v>
      </c>
      <c r="E90" s="2" t="str">
        <f>IFERROR(INDEX(Movimientos!$F$2:$F$1994,MATCH(A90&amp;"ENTRADA",Movimientos!$R$2:$R$1994,0)),"-")</f>
        <v>-</v>
      </c>
      <c r="F90" s="2" t="str">
        <f>IFERROR(INDEX(Movimientos!$G$2:$G$1994,MATCH(A90&amp;"ENTRADA",Movimientos!$R$2:$R$1994,0)),"-")</f>
        <v>-</v>
      </c>
      <c r="G90" s="2" t="str">
        <f>IFERROR(INDEX(Movimientos!$L$2:$L$1994,MATCH(A90&amp;"ENTRADA",Movimientos!$R$2:$R$1994,0)),"-")</f>
        <v>-</v>
      </c>
      <c r="H90" s="17" t="str">
        <f>IFERROR(IF(INDEX(Movimientos!$M$2:$M$1994,MATCH(A90&amp;"ENTRADA",Movimientos!$R$2:$R$1994,0))=0,"S/D",INDEX(Movimientos!$M$2:$M$1994,MATCH(A90&amp;"ENTRADA",Movimientos!$R$2:$R$1994,0))),"S/D")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2366</v>
      </c>
      <c r="B91" s="2" t="str">
        <f>IFERROR(INDEX(Movimientos!$C$2:$C$1994,MATCH(A91&amp;"ENTRADA",Movimientos!$R$2:$R$1994,0)),"-")</f>
        <v>-</v>
      </c>
      <c r="C91" s="2" t="str">
        <f>IFERROR(INDEX(Movimientos!$D$2:$D$1994,MATCH(A91&amp;"ENTRADA",Movimientos!$R$2:$R$1994,0)),"-")</f>
        <v>-</v>
      </c>
      <c r="D91" s="2" t="str">
        <f>IFERROR(INDEX(Movimientos!$E$2:$E$1994,MATCH(A91&amp;"ENTRADA",Movimientos!$R$2:$R$1994,0)),"-")</f>
        <v>-</v>
      </c>
      <c r="E91" s="2" t="str">
        <f>IFERROR(INDEX(Movimientos!$F$2:$F$1994,MATCH(A91&amp;"ENTRADA",Movimientos!$R$2:$R$1994,0)),"-")</f>
        <v>-</v>
      </c>
      <c r="F91" s="2" t="str">
        <f>IFERROR(INDEX(Movimientos!$G$2:$G$1994,MATCH(A91&amp;"ENTRADA",Movimientos!$R$2:$R$1994,0)),"-")</f>
        <v>-</v>
      </c>
      <c r="G91" s="2" t="str">
        <f>IFERROR(INDEX(Movimientos!$L$2:$L$1994,MATCH(A91&amp;"ENTRADA",Movimientos!$R$2:$R$1994,0)),"-")</f>
        <v>-</v>
      </c>
      <c r="H91" s="17" t="str">
        <f>IFERROR(IF(INDEX(Movimientos!$M$2:$M$1994,MATCH(A91&amp;"ENTRADA",Movimientos!$R$2:$R$1994,0))=0,"S/D",INDEX(Movimientos!$M$2:$M$1994,MATCH(A91&amp;"ENTRADA",Movimientos!$R$2:$R$1994,0))),"S/D")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2367</v>
      </c>
      <c r="B92" s="2" t="str">
        <f>IFERROR(INDEX(Movimientos!$C$2:$C$1994,MATCH(A92&amp;"ENTRADA",Movimientos!$R$2:$R$1994,0)),"-")</f>
        <v>-</v>
      </c>
      <c r="C92" s="2" t="str">
        <f>IFERROR(INDEX(Movimientos!$D$2:$D$1994,MATCH(A92&amp;"ENTRADA",Movimientos!$R$2:$R$1994,0)),"-")</f>
        <v>-</v>
      </c>
      <c r="D92" s="2" t="str">
        <f>IFERROR(INDEX(Movimientos!$E$2:$E$1994,MATCH(A92&amp;"ENTRADA",Movimientos!$R$2:$R$1994,0)),"-")</f>
        <v>-</v>
      </c>
      <c r="E92" s="2" t="str">
        <f>IFERROR(INDEX(Movimientos!$F$2:$F$1994,MATCH(A92&amp;"ENTRADA",Movimientos!$R$2:$R$1994,0)),"-")</f>
        <v>-</v>
      </c>
      <c r="F92" s="2" t="str">
        <f>IFERROR(INDEX(Movimientos!$G$2:$G$1994,MATCH(A92&amp;"ENTRADA",Movimientos!$R$2:$R$1994,0)),"-")</f>
        <v>-</v>
      </c>
      <c r="G92" s="2" t="str">
        <f>IFERROR(INDEX(Movimientos!$L$2:$L$1994,MATCH(A92&amp;"ENTRADA",Movimientos!$R$2:$R$1994,0)),"-")</f>
        <v>-</v>
      </c>
      <c r="H92" s="17" t="str">
        <f>IFERROR(IF(INDEX(Movimientos!$M$2:$M$1994,MATCH(A92&amp;"ENTRADA",Movimientos!$R$2:$R$1994,0))=0,"S/D",INDEX(Movimientos!$M$2:$M$1994,MATCH(A92&amp;"ENTRADA",Movimientos!$R$2:$R$1994,0))),"S/D")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2368</v>
      </c>
      <c r="B93" s="2" t="str">
        <f>IFERROR(INDEX(Movimientos!$C$2:$C$1994,MATCH(A93&amp;"ENTRADA",Movimientos!$R$2:$R$1994,0)),"-")</f>
        <v>-</v>
      </c>
      <c r="C93" s="2" t="str">
        <f>IFERROR(INDEX(Movimientos!$D$2:$D$1994,MATCH(A93&amp;"ENTRADA",Movimientos!$R$2:$R$1994,0)),"-")</f>
        <v>-</v>
      </c>
      <c r="D93" s="2" t="str">
        <f>IFERROR(INDEX(Movimientos!$E$2:$E$1994,MATCH(A93&amp;"ENTRADA",Movimientos!$R$2:$R$1994,0)),"-")</f>
        <v>-</v>
      </c>
      <c r="E93" s="2" t="str">
        <f>IFERROR(INDEX(Movimientos!$F$2:$F$1994,MATCH(A93&amp;"ENTRADA",Movimientos!$R$2:$R$1994,0)),"-")</f>
        <v>-</v>
      </c>
      <c r="F93" s="2" t="str">
        <f>IFERROR(INDEX(Movimientos!$G$2:$G$1994,MATCH(A93&amp;"ENTRADA",Movimientos!$R$2:$R$1994,0)),"-")</f>
        <v>-</v>
      </c>
      <c r="G93" s="2" t="str">
        <f>IFERROR(INDEX(Movimientos!$L$2:$L$1994,MATCH(A93&amp;"ENTRADA",Movimientos!$R$2:$R$1994,0)),"-")</f>
        <v>-</v>
      </c>
      <c r="H93" s="17" t="str">
        <f>IFERROR(IF(INDEX(Movimientos!$M$2:$M$1994,MATCH(A93&amp;"ENTRADA",Movimientos!$R$2:$R$1994,0))=0,"S/D",INDEX(Movimientos!$M$2:$M$1994,MATCH(A93&amp;"ENTRADA",Movimientos!$R$2:$R$1994,0))),"S/D")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2369</v>
      </c>
      <c r="B94" s="2" t="str">
        <f>IFERROR(INDEX(Movimientos!$C$2:$C$1994,MATCH(A94&amp;"ENTRADA",Movimientos!$R$2:$R$1994,0)),"-")</f>
        <v>-</v>
      </c>
      <c r="C94" s="2" t="str">
        <f>IFERROR(INDEX(Movimientos!$D$2:$D$1994,MATCH(A94&amp;"ENTRADA",Movimientos!$R$2:$R$1994,0)),"-")</f>
        <v>-</v>
      </c>
      <c r="D94" s="2" t="str">
        <f>IFERROR(INDEX(Movimientos!$E$2:$E$1994,MATCH(A94&amp;"ENTRADA",Movimientos!$R$2:$R$1994,0)),"-")</f>
        <v>-</v>
      </c>
      <c r="E94" s="2" t="str">
        <f>IFERROR(INDEX(Movimientos!$F$2:$F$1994,MATCH(A94&amp;"ENTRADA",Movimientos!$R$2:$R$1994,0)),"-")</f>
        <v>-</v>
      </c>
      <c r="F94" s="2" t="str">
        <f>IFERROR(INDEX(Movimientos!$G$2:$G$1994,MATCH(A94&amp;"ENTRADA",Movimientos!$R$2:$R$1994,0)),"-")</f>
        <v>-</v>
      </c>
      <c r="G94" s="2" t="str">
        <f>IFERROR(INDEX(Movimientos!$L$2:$L$1994,MATCH(A94&amp;"ENTRADA",Movimientos!$R$2:$R$1994,0)),"-")</f>
        <v>-</v>
      </c>
      <c r="H94" s="17" t="str">
        <f>IFERROR(IF(INDEX(Movimientos!$M$2:$M$1994,MATCH(A94&amp;"ENTRADA",Movimientos!$R$2:$R$1994,0))=0,"S/D",INDEX(Movimientos!$M$2:$M$1994,MATCH(A94&amp;"ENTRADA",Movimientos!$R$2:$R$1994,0))),"S/D")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2370</v>
      </c>
      <c r="B95" s="2" t="str">
        <f>IFERROR(INDEX(Movimientos!$C$2:$C$1994,MATCH(A95&amp;"ENTRADA",Movimientos!$R$2:$R$1994,0)),"-")</f>
        <v>-</v>
      </c>
      <c r="C95" s="2" t="str">
        <f>IFERROR(INDEX(Movimientos!$D$2:$D$1994,MATCH(A95&amp;"ENTRADA",Movimientos!$R$2:$R$1994,0)),"-")</f>
        <v>-</v>
      </c>
      <c r="D95" s="2" t="str">
        <f>IFERROR(INDEX(Movimientos!$E$2:$E$1994,MATCH(A95&amp;"ENTRADA",Movimientos!$R$2:$R$1994,0)),"-")</f>
        <v>-</v>
      </c>
      <c r="E95" s="2" t="str">
        <f>IFERROR(INDEX(Movimientos!$F$2:$F$1994,MATCH(A95&amp;"ENTRADA",Movimientos!$R$2:$R$1994,0)),"-")</f>
        <v>-</v>
      </c>
      <c r="F95" s="2" t="str">
        <f>IFERROR(INDEX(Movimientos!$G$2:$G$1994,MATCH(A95&amp;"ENTRADA",Movimientos!$R$2:$R$1994,0)),"-")</f>
        <v>-</v>
      </c>
      <c r="G95" s="2" t="str">
        <f>IFERROR(INDEX(Movimientos!$L$2:$L$1994,MATCH(A95&amp;"ENTRADA",Movimientos!$R$2:$R$1994,0)),"-")</f>
        <v>-</v>
      </c>
      <c r="H95" s="17" t="str">
        <f>IFERROR(IF(INDEX(Movimientos!$M$2:$M$1994,MATCH(A95&amp;"ENTRADA",Movimientos!$R$2:$R$1994,0))=0,"S/D",INDEX(Movimientos!$M$2:$M$1994,MATCH(A95&amp;"ENTRADA",Movimientos!$R$2:$R$1994,0))),"S/D")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2371</v>
      </c>
      <c r="B96" s="2" t="str">
        <f>IFERROR(INDEX(Movimientos!$C$2:$C$1994,MATCH(A96&amp;"ENTRADA",Movimientos!$R$2:$R$1994,0)),"-")</f>
        <v>-</v>
      </c>
      <c r="C96" s="2" t="str">
        <f>IFERROR(INDEX(Movimientos!$D$2:$D$1994,MATCH(A96&amp;"ENTRADA",Movimientos!$R$2:$R$1994,0)),"-")</f>
        <v>-</v>
      </c>
      <c r="D96" s="2" t="str">
        <f>IFERROR(INDEX(Movimientos!$E$2:$E$1994,MATCH(A96&amp;"ENTRADA",Movimientos!$R$2:$R$1994,0)),"-")</f>
        <v>-</v>
      </c>
      <c r="E96" s="2" t="str">
        <f>IFERROR(INDEX(Movimientos!$F$2:$F$1994,MATCH(A96&amp;"ENTRADA",Movimientos!$R$2:$R$1994,0)),"-")</f>
        <v>-</v>
      </c>
      <c r="F96" s="2" t="str">
        <f>IFERROR(INDEX(Movimientos!$G$2:$G$1994,MATCH(A96&amp;"ENTRADA",Movimientos!$R$2:$R$1994,0)),"-")</f>
        <v>-</v>
      </c>
      <c r="G96" s="2" t="str">
        <f>IFERROR(INDEX(Movimientos!$L$2:$L$1994,MATCH(A96&amp;"ENTRADA",Movimientos!$R$2:$R$1994,0)),"-")</f>
        <v>-</v>
      </c>
      <c r="H96" s="17" t="str">
        <f>IFERROR(IF(INDEX(Movimientos!$M$2:$M$1994,MATCH(A96&amp;"ENTRADA",Movimientos!$R$2:$R$1994,0))=0,"S/D",INDEX(Movimientos!$M$2:$M$1994,MATCH(A96&amp;"ENTRADA",Movimientos!$R$2:$R$1994,0))),"S/D")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2372</v>
      </c>
      <c r="B97" s="2" t="str">
        <f>IFERROR(INDEX(Movimientos!$C$2:$C$1994,MATCH(A97&amp;"ENTRADA",Movimientos!$R$2:$R$1994,0)),"-")</f>
        <v>-</v>
      </c>
      <c r="C97" s="2" t="str">
        <f>IFERROR(INDEX(Movimientos!$D$2:$D$1994,MATCH(A97&amp;"ENTRADA",Movimientos!$R$2:$R$1994,0)),"-")</f>
        <v>-</v>
      </c>
      <c r="D97" s="2" t="str">
        <f>IFERROR(INDEX(Movimientos!$E$2:$E$1994,MATCH(A97&amp;"ENTRADA",Movimientos!$R$2:$R$1994,0)),"-")</f>
        <v>-</v>
      </c>
      <c r="E97" s="2" t="str">
        <f>IFERROR(INDEX(Movimientos!$F$2:$F$1994,MATCH(A97&amp;"ENTRADA",Movimientos!$R$2:$R$1994,0)),"-")</f>
        <v>-</v>
      </c>
      <c r="F97" s="2" t="str">
        <f>IFERROR(INDEX(Movimientos!$G$2:$G$1994,MATCH(A97&amp;"ENTRADA",Movimientos!$R$2:$R$1994,0)),"-")</f>
        <v>-</v>
      </c>
      <c r="G97" s="2" t="str">
        <f>IFERROR(INDEX(Movimientos!$L$2:$L$1994,MATCH(A97&amp;"ENTRADA",Movimientos!$R$2:$R$1994,0)),"-")</f>
        <v>-</v>
      </c>
      <c r="H97" s="17" t="str">
        <f>IFERROR(IF(INDEX(Movimientos!$M$2:$M$1994,MATCH(A97&amp;"ENTRADA",Movimientos!$R$2:$R$1994,0))=0,"S/D",INDEX(Movimientos!$M$2:$M$1994,MATCH(A97&amp;"ENTRADA",Movimientos!$R$2:$R$1994,0))),"S/D")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2373</v>
      </c>
      <c r="B98" s="2" t="str">
        <f>IFERROR(INDEX(Movimientos!$C$2:$C$1994,MATCH(A98&amp;"ENTRADA",Movimientos!$R$2:$R$1994,0)),"-")</f>
        <v>-</v>
      </c>
      <c r="C98" s="2" t="str">
        <f>IFERROR(INDEX(Movimientos!$D$2:$D$1994,MATCH(A98&amp;"ENTRADA",Movimientos!$R$2:$R$1994,0)),"-")</f>
        <v>-</v>
      </c>
      <c r="D98" s="2" t="str">
        <f>IFERROR(INDEX(Movimientos!$E$2:$E$1994,MATCH(A98&amp;"ENTRADA",Movimientos!$R$2:$R$1994,0)),"-")</f>
        <v>-</v>
      </c>
      <c r="E98" s="2" t="str">
        <f>IFERROR(INDEX(Movimientos!$F$2:$F$1994,MATCH(A98&amp;"ENTRADA",Movimientos!$R$2:$R$1994,0)),"-")</f>
        <v>-</v>
      </c>
      <c r="F98" s="2" t="str">
        <f>IFERROR(INDEX(Movimientos!$G$2:$G$1994,MATCH(A98&amp;"ENTRADA",Movimientos!$R$2:$R$1994,0)),"-")</f>
        <v>-</v>
      </c>
      <c r="G98" s="2" t="str">
        <f>IFERROR(INDEX(Movimientos!$L$2:$L$1994,MATCH(A98&amp;"ENTRADA",Movimientos!$R$2:$R$1994,0)),"-")</f>
        <v>-</v>
      </c>
      <c r="H98" s="17" t="str">
        <f>IFERROR(IF(INDEX(Movimientos!$M$2:$M$1994,MATCH(A98&amp;"ENTRADA",Movimientos!$R$2:$R$1994,0))=0,"S/D",INDEX(Movimientos!$M$2:$M$1994,MATCH(A98&amp;"ENTRADA",Movimientos!$R$2:$R$1994,0))),"S/D")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2374</v>
      </c>
      <c r="B99" s="2" t="str">
        <f>IFERROR(INDEX(Movimientos!$C$2:$C$1994,MATCH(A99&amp;"ENTRADA",Movimientos!$R$2:$R$1994,0)),"-")</f>
        <v>-</v>
      </c>
      <c r="C99" s="2" t="str">
        <f>IFERROR(INDEX(Movimientos!$D$2:$D$1994,MATCH(A99&amp;"ENTRADA",Movimientos!$R$2:$R$1994,0)),"-")</f>
        <v>-</v>
      </c>
      <c r="D99" s="2" t="str">
        <f>IFERROR(INDEX(Movimientos!$E$2:$E$1994,MATCH(A99&amp;"ENTRADA",Movimientos!$R$2:$R$1994,0)),"-")</f>
        <v>-</v>
      </c>
      <c r="E99" s="2" t="str">
        <f>IFERROR(INDEX(Movimientos!$F$2:$F$1994,MATCH(A99&amp;"ENTRADA",Movimientos!$R$2:$R$1994,0)),"-")</f>
        <v>-</v>
      </c>
      <c r="F99" s="2" t="str">
        <f>IFERROR(INDEX(Movimientos!$G$2:$G$1994,MATCH(A99&amp;"ENTRADA",Movimientos!$R$2:$R$1994,0)),"-")</f>
        <v>-</v>
      </c>
      <c r="G99" s="2" t="str">
        <f>IFERROR(INDEX(Movimientos!$L$2:$L$1994,MATCH(A99&amp;"ENTRADA",Movimientos!$R$2:$R$1994,0)),"-")</f>
        <v>-</v>
      </c>
      <c r="H99" s="17" t="str">
        <f>IFERROR(IF(INDEX(Movimientos!$M$2:$M$1994,MATCH(A99&amp;"ENTRADA",Movimientos!$R$2:$R$1994,0))=0,"S/D",INDEX(Movimientos!$M$2:$M$1994,MATCH(A99&amp;"ENTRADA",Movimientos!$R$2:$R$1994,0))),"S/D")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2375</v>
      </c>
      <c r="B100" s="2" t="str">
        <f>IFERROR(INDEX(Movimientos!$C$2:$C$1994,MATCH(A100&amp;"ENTRADA",Movimientos!$R$2:$R$1994,0)),"-")</f>
        <v>-</v>
      </c>
      <c r="C100" s="2" t="str">
        <f>IFERROR(INDEX(Movimientos!$D$2:$D$1994,MATCH(A100&amp;"ENTRADA",Movimientos!$R$2:$R$1994,0)),"-")</f>
        <v>-</v>
      </c>
      <c r="D100" s="2" t="str">
        <f>IFERROR(INDEX(Movimientos!$E$2:$E$1994,MATCH(A100&amp;"ENTRADA",Movimientos!$R$2:$R$1994,0)),"-")</f>
        <v>-</v>
      </c>
      <c r="E100" s="2" t="str">
        <f>IFERROR(INDEX(Movimientos!$F$2:$F$1994,MATCH(A100&amp;"ENTRADA",Movimientos!$R$2:$R$1994,0)),"-")</f>
        <v>-</v>
      </c>
      <c r="F100" s="2" t="str">
        <f>IFERROR(INDEX(Movimientos!$G$2:$G$1994,MATCH(A100&amp;"ENTRADA",Movimientos!$R$2:$R$1994,0)),"-")</f>
        <v>-</v>
      </c>
      <c r="G100" s="2" t="str">
        <f>IFERROR(INDEX(Movimientos!$L$2:$L$1994,MATCH(A100&amp;"ENTRADA",Movimientos!$R$2:$R$1994,0)),"-")</f>
        <v>-</v>
      </c>
      <c r="H100" s="17" t="str">
        <f>IFERROR(IF(INDEX(Movimientos!$M$2:$M$1994,MATCH(A100&amp;"ENTRADA",Movimientos!$R$2:$R$1994,0))=0,"S/D",INDEX(Movimientos!$M$2:$M$1994,MATCH(A100&amp;"ENTRADA",Movimientos!$R$2:$R$1994,0))),"S/D")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2376</v>
      </c>
      <c r="B101" s="2" t="str">
        <f>IFERROR(INDEX(Movimientos!$C$2:$C$1994,MATCH(A101&amp;"ENTRADA",Movimientos!$R$2:$R$1994,0)),"-")</f>
        <v>-</v>
      </c>
      <c r="C101" s="2" t="str">
        <f>IFERROR(INDEX(Movimientos!$D$2:$D$1994,MATCH(A101&amp;"ENTRADA",Movimientos!$R$2:$R$1994,0)),"-")</f>
        <v>-</v>
      </c>
      <c r="D101" s="2" t="str">
        <f>IFERROR(INDEX(Movimientos!$E$2:$E$1994,MATCH(A101&amp;"ENTRADA",Movimientos!$R$2:$R$1994,0)),"-")</f>
        <v>-</v>
      </c>
      <c r="E101" s="2" t="str">
        <f>IFERROR(INDEX(Movimientos!$F$2:$F$1994,MATCH(A101&amp;"ENTRADA",Movimientos!$R$2:$R$1994,0)),"-")</f>
        <v>-</v>
      </c>
      <c r="F101" s="2" t="str">
        <f>IFERROR(INDEX(Movimientos!$G$2:$G$1994,MATCH(A101&amp;"ENTRADA",Movimientos!$R$2:$R$1994,0)),"-")</f>
        <v>-</v>
      </c>
      <c r="G101" s="2" t="str">
        <f>IFERROR(INDEX(Movimientos!$L$2:$L$1994,MATCH(A101&amp;"ENTRADA",Movimientos!$R$2:$R$1994,0)),"-")</f>
        <v>-</v>
      </c>
      <c r="H101" s="17" t="str">
        <f>IFERROR(IF(INDEX(Movimientos!$M$2:$M$1994,MATCH(A101&amp;"ENTRADA",Movimientos!$R$2:$R$1994,0))=0,"S/D",INDEX(Movimientos!$M$2:$M$1994,MATCH(A101&amp;"ENTRADA",Movimientos!$R$2:$R$1994,0))),"S/D")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2377</v>
      </c>
      <c r="B102" s="2" t="str">
        <f>IFERROR(INDEX(Movimientos!$C$2:$C$1994,MATCH(A102&amp;"ENTRADA",Movimientos!$R$2:$R$1994,0)),"-")</f>
        <v>-</v>
      </c>
      <c r="C102" s="2" t="str">
        <f>IFERROR(INDEX(Movimientos!$D$2:$D$1994,MATCH(A102&amp;"ENTRADA",Movimientos!$R$2:$R$1994,0)),"-")</f>
        <v>-</v>
      </c>
      <c r="D102" s="2" t="str">
        <f>IFERROR(INDEX(Movimientos!$E$2:$E$1994,MATCH(A102&amp;"ENTRADA",Movimientos!$R$2:$R$1994,0)),"-")</f>
        <v>-</v>
      </c>
      <c r="E102" s="2" t="str">
        <f>IFERROR(INDEX(Movimientos!$F$2:$F$1994,MATCH(A102&amp;"ENTRADA",Movimientos!$R$2:$R$1994,0)),"-")</f>
        <v>-</v>
      </c>
      <c r="F102" s="2" t="str">
        <f>IFERROR(INDEX(Movimientos!$G$2:$G$1994,MATCH(A102&amp;"ENTRADA",Movimientos!$R$2:$R$1994,0)),"-")</f>
        <v>-</v>
      </c>
      <c r="G102" s="2" t="str">
        <f>IFERROR(INDEX(Movimientos!$L$2:$L$1994,MATCH(A102&amp;"ENTRADA",Movimientos!$R$2:$R$1994,0)),"-")</f>
        <v>-</v>
      </c>
      <c r="H102" s="17" t="str">
        <f>IFERROR(IF(INDEX(Movimientos!$M$2:$M$1994,MATCH(A102&amp;"ENTRADA",Movimientos!$R$2:$R$1994,0))=0,"S/D",INDEX(Movimientos!$M$2:$M$1994,MATCH(A102&amp;"ENTRADA",Movimientos!$R$2:$R$1994,0))),"S/D")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2378</v>
      </c>
      <c r="B103" s="2" t="str">
        <f>IFERROR(INDEX(Movimientos!$C$2:$C$1994,MATCH(A103&amp;"ENTRADA",Movimientos!$R$2:$R$1994,0)),"-")</f>
        <v>-</v>
      </c>
      <c r="C103" s="2" t="str">
        <f>IFERROR(INDEX(Movimientos!$D$2:$D$1994,MATCH(A103&amp;"ENTRADA",Movimientos!$R$2:$R$1994,0)),"-")</f>
        <v>-</v>
      </c>
      <c r="D103" s="2" t="str">
        <f>IFERROR(INDEX(Movimientos!$E$2:$E$1994,MATCH(A103&amp;"ENTRADA",Movimientos!$R$2:$R$1994,0)),"-")</f>
        <v>-</v>
      </c>
      <c r="E103" s="2" t="str">
        <f>IFERROR(INDEX(Movimientos!$F$2:$F$1994,MATCH(A103&amp;"ENTRADA",Movimientos!$R$2:$R$1994,0)),"-")</f>
        <v>-</v>
      </c>
      <c r="F103" s="2" t="str">
        <f>IFERROR(INDEX(Movimientos!$G$2:$G$1994,MATCH(A103&amp;"ENTRADA",Movimientos!$R$2:$R$1994,0)),"-")</f>
        <v>-</v>
      </c>
      <c r="G103" s="2" t="str">
        <f>IFERROR(INDEX(Movimientos!$L$2:$L$1994,MATCH(A103&amp;"ENTRADA",Movimientos!$R$2:$R$1994,0)),"-")</f>
        <v>-</v>
      </c>
      <c r="H103" s="17" t="str">
        <f>IFERROR(IF(INDEX(Movimientos!$M$2:$M$1994,MATCH(A103&amp;"ENTRADA",Movimientos!$R$2:$R$1994,0))=0,"S/D",INDEX(Movimientos!$M$2:$M$1994,MATCH(A103&amp;"ENTRADA",Movimientos!$R$2:$R$1994,0))),"S/D")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2379</v>
      </c>
      <c r="B104" s="2" t="str">
        <f>IFERROR(INDEX(Movimientos!$C$2:$C$1994,MATCH(A104&amp;"ENTRADA",Movimientos!$R$2:$R$1994,0)),"-")</f>
        <v>-</v>
      </c>
      <c r="C104" s="2" t="str">
        <f>IFERROR(INDEX(Movimientos!$D$2:$D$1994,MATCH(A104&amp;"ENTRADA",Movimientos!$R$2:$R$1994,0)),"-")</f>
        <v>-</v>
      </c>
      <c r="D104" s="2" t="str">
        <f>IFERROR(INDEX(Movimientos!$E$2:$E$1994,MATCH(A104&amp;"ENTRADA",Movimientos!$R$2:$R$1994,0)),"-")</f>
        <v>-</v>
      </c>
      <c r="E104" s="2" t="str">
        <f>IFERROR(INDEX(Movimientos!$F$2:$F$1994,MATCH(A104&amp;"ENTRADA",Movimientos!$R$2:$R$1994,0)),"-")</f>
        <v>-</v>
      </c>
      <c r="F104" s="2" t="str">
        <f>IFERROR(INDEX(Movimientos!$G$2:$G$1994,MATCH(A104&amp;"ENTRADA",Movimientos!$R$2:$R$1994,0)),"-")</f>
        <v>-</v>
      </c>
      <c r="G104" s="2" t="str">
        <f>IFERROR(INDEX(Movimientos!$L$2:$L$1994,MATCH(A104&amp;"ENTRADA",Movimientos!$R$2:$R$1994,0)),"-")</f>
        <v>-</v>
      </c>
      <c r="H104" s="17" t="str">
        <f>IFERROR(IF(INDEX(Movimientos!$M$2:$M$1994,MATCH(A104&amp;"ENTRADA",Movimientos!$R$2:$R$1994,0))=0,"S/D",INDEX(Movimientos!$M$2:$M$1994,MATCH(A104&amp;"ENTRADA",Movimientos!$R$2:$R$1994,0))),"S/D")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2380</v>
      </c>
      <c r="B105" s="2" t="str">
        <f>IFERROR(INDEX(Movimientos!$C$2:$C$1994,MATCH(A105&amp;"ENTRADA",Movimientos!$R$2:$R$1994,0)),"-")</f>
        <v>-</v>
      </c>
      <c r="C105" s="2" t="str">
        <f>IFERROR(INDEX(Movimientos!$D$2:$D$1994,MATCH(A105&amp;"ENTRADA",Movimientos!$R$2:$R$1994,0)),"-")</f>
        <v>-</v>
      </c>
      <c r="D105" s="2" t="str">
        <f>IFERROR(INDEX(Movimientos!$E$2:$E$1994,MATCH(A105&amp;"ENTRADA",Movimientos!$R$2:$R$1994,0)),"-")</f>
        <v>-</v>
      </c>
      <c r="E105" s="2" t="str">
        <f>IFERROR(INDEX(Movimientos!$F$2:$F$1994,MATCH(A105&amp;"ENTRADA",Movimientos!$R$2:$R$1994,0)),"-")</f>
        <v>-</v>
      </c>
      <c r="F105" s="2" t="str">
        <f>IFERROR(INDEX(Movimientos!$G$2:$G$1994,MATCH(A105&amp;"ENTRADA",Movimientos!$R$2:$R$1994,0)),"-")</f>
        <v>-</v>
      </c>
      <c r="G105" s="2" t="str">
        <f>IFERROR(INDEX(Movimientos!$L$2:$L$1994,MATCH(A105&amp;"ENTRADA",Movimientos!$R$2:$R$1994,0)),"-")</f>
        <v>-</v>
      </c>
      <c r="H105" s="17" t="str">
        <f>IFERROR(IF(INDEX(Movimientos!$M$2:$M$1994,MATCH(A105&amp;"ENTRADA",Movimientos!$R$2:$R$1994,0))=0,"S/D",INDEX(Movimientos!$M$2:$M$1994,MATCH(A105&amp;"ENTRADA",Movimientos!$R$2:$R$1994,0))),"S/D")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2381</v>
      </c>
      <c r="B106" s="2" t="str">
        <f>IFERROR(INDEX(Movimientos!$C$2:$C$1994,MATCH(A106&amp;"ENTRADA",Movimientos!$R$2:$R$1994,0)),"-")</f>
        <v>-</v>
      </c>
      <c r="C106" s="2" t="str">
        <f>IFERROR(INDEX(Movimientos!$D$2:$D$1994,MATCH(A106&amp;"ENTRADA",Movimientos!$R$2:$R$1994,0)),"-")</f>
        <v>-</v>
      </c>
      <c r="D106" s="2" t="str">
        <f>IFERROR(INDEX(Movimientos!$E$2:$E$1994,MATCH(A106&amp;"ENTRADA",Movimientos!$R$2:$R$1994,0)),"-")</f>
        <v>-</v>
      </c>
      <c r="E106" s="2" t="str">
        <f>IFERROR(INDEX(Movimientos!$F$2:$F$1994,MATCH(A106&amp;"ENTRADA",Movimientos!$R$2:$R$1994,0)),"-")</f>
        <v>-</v>
      </c>
      <c r="F106" s="2" t="str">
        <f>IFERROR(INDEX(Movimientos!$G$2:$G$1994,MATCH(A106&amp;"ENTRADA",Movimientos!$R$2:$R$1994,0)),"-")</f>
        <v>-</v>
      </c>
      <c r="G106" s="2" t="str">
        <f>IFERROR(INDEX(Movimientos!$L$2:$L$1994,MATCH(A106&amp;"ENTRADA",Movimientos!$R$2:$R$1994,0)),"-")</f>
        <v>-</v>
      </c>
      <c r="H106" s="17" t="str">
        <f>IFERROR(IF(INDEX(Movimientos!$M$2:$M$1994,MATCH(A106&amp;"ENTRADA",Movimientos!$R$2:$R$1994,0))=0,"S/D",INDEX(Movimientos!$M$2:$M$1994,MATCH(A106&amp;"ENTRADA",Movimientos!$R$2:$R$1994,0))),"S/D")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2382</v>
      </c>
      <c r="B107" s="2" t="str">
        <f>IFERROR(INDEX(Movimientos!$C$2:$C$1994,MATCH(A107&amp;"ENTRADA",Movimientos!$R$2:$R$1994,0)),"-")</f>
        <v>-</v>
      </c>
      <c r="C107" s="2" t="str">
        <f>IFERROR(INDEX(Movimientos!$D$2:$D$1994,MATCH(A107&amp;"ENTRADA",Movimientos!$R$2:$R$1994,0)),"-")</f>
        <v>-</v>
      </c>
      <c r="D107" s="2" t="str">
        <f>IFERROR(INDEX(Movimientos!$E$2:$E$1994,MATCH(A107&amp;"ENTRADA",Movimientos!$R$2:$R$1994,0)),"-")</f>
        <v>-</v>
      </c>
      <c r="E107" s="2" t="str">
        <f>IFERROR(INDEX(Movimientos!$F$2:$F$1994,MATCH(A107&amp;"ENTRADA",Movimientos!$R$2:$R$1994,0)),"-")</f>
        <v>-</v>
      </c>
      <c r="F107" s="2" t="str">
        <f>IFERROR(INDEX(Movimientos!$G$2:$G$1994,MATCH(A107&amp;"ENTRADA",Movimientos!$R$2:$R$1994,0)),"-")</f>
        <v>-</v>
      </c>
      <c r="G107" s="2" t="str">
        <f>IFERROR(INDEX(Movimientos!$L$2:$L$1994,MATCH(A107&amp;"ENTRADA",Movimientos!$R$2:$R$1994,0)),"-")</f>
        <v>-</v>
      </c>
      <c r="H107" s="17" t="str">
        <f>IFERROR(IF(INDEX(Movimientos!$M$2:$M$1994,MATCH(A107&amp;"ENTRADA",Movimientos!$R$2:$R$1994,0))=0,"S/D",INDEX(Movimientos!$M$2:$M$1994,MATCH(A107&amp;"ENTRADA",Movimientos!$R$2:$R$1994,0))),"S/D")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2383</v>
      </c>
      <c r="B108" s="2" t="str">
        <f>IFERROR(INDEX(Movimientos!$C$2:$C$1994,MATCH(A108&amp;"ENTRADA",Movimientos!$R$2:$R$1994,0)),"-")</f>
        <v>-</v>
      </c>
      <c r="C108" s="2" t="str">
        <f>IFERROR(INDEX(Movimientos!$D$2:$D$1994,MATCH(A108&amp;"ENTRADA",Movimientos!$R$2:$R$1994,0)),"-")</f>
        <v>-</v>
      </c>
      <c r="D108" s="2" t="str">
        <f>IFERROR(INDEX(Movimientos!$E$2:$E$1994,MATCH(A108&amp;"ENTRADA",Movimientos!$R$2:$R$1994,0)),"-")</f>
        <v>-</v>
      </c>
      <c r="E108" s="2" t="str">
        <f>IFERROR(INDEX(Movimientos!$F$2:$F$1994,MATCH(A108&amp;"ENTRADA",Movimientos!$R$2:$R$1994,0)),"-")</f>
        <v>-</v>
      </c>
      <c r="F108" s="2" t="str">
        <f>IFERROR(INDEX(Movimientos!$G$2:$G$1994,MATCH(A108&amp;"ENTRADA",Movimientos!$R$2:$R$1994,0)),"-")</f>
        <v>-</v>
      </c>
      <c r="G108" s="2" t="str">
        <f>IFERROR(INDEX(Movimientos!$L$2:$L$1994,MATCH(A108&amp;"ENTRADA",Movimientos!$R$2:$R$1994,0)),"-")</f>
        <v>-</v>
      </c>
      <c r="H108" s="17" t="str">
        <f>IFERROR(IF(INDEX(Movimientos!$M$2:$M$1994,MATCH(A108&amp;"ENTRADA",Movimientos!$R$2:$R$1994,0))=0,"S/D",INDEX(Movimientos!$M$2:$M$1994,MATCH(A108&amp;"ENTRADA",Movimientos!$R$2:$R$1994,0))),"S/D")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2384</v>
      </c>
      <c r="B109" s="2" t="str">
        <f>IFERROR(INDEX(Movimientos!$C$2:$C$1994,MATCH(A109&amp;"ENTRADA",Movimientos!$R$2:$R$1994,0)),"-")</f>
        <v>-</v>
      </c>
      <c r="C109" s="2" t="str">
        <f>IFERROR(INDEX(Movimientos!$D$2:$D$1994,MATCH(A109&amp;"ENTRADA",Movimientos!$R$2:$R$1994,0)),"-")</f>
        <v>-</v>
      </c>
      <c r="D109" s="2" t="str">
        <f>IFERROR(INDEX(Movimientos!$E$2:$E$1994,MATCH(A109&amp;"ENTRADA",Movimientos!$R$2:$R$1994,0)),"-")</f>
        <v>-</v>
      </c>
      <c r="E109" s="2" t="str">
        <f>IFERROR(INDEX(Movimientos!$F$2:$F$1994,MATCH(A109&amp;"ENTRADA",Movimientos!$R$2:$R$1994,0)),"-")</f>
        <v>-</v>
      </c>
      <c r="F109" s="2" t="str">
        <f>IFERROR(INDEX(Movimientos!$G$2:$G$1994,MATCH(A109&amp;"ENTRADA",Movimientos!$R$2:$R$1994,0)),"-")</f>
        <v>-</v>
      </c>
      <c r="G109" s="2" t="str">
        <f>IFERROR(INDEX(Movimientos!$L$2:$L$1994,MATCH(A109&amp;"ENTRADA",Movimientos!$R$2:$R$1994,0)),"-")</f>
        <v>-</v>
      </c>
      <c r="H109" s="17" t="str">
        <f>IFERROR(IF(INDEX(Movimientos!$M$2:$M$1994,MATCH(A109&amp;"ENTRADA",Movimientos!$R$2:$R$1994,0))=0,"S/D",INDEX(Movimientos!$M$2:$M$1994,MATCH(A109&amp;"ENTRADA",Movimientos!$R$2:$R$1994,0))),"S/D")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2385</v>
      </c>
      <c r="B110" s="2" t="str">
        <f>IFERROR(INDEX(Movimientos!$C$2:$C$1994,MATCH(A110&amp;"ENTRADA",Movimientos!$R$2:$R$1994,0)),"-")</f>
        <v>-</v>
      </c>
      <c r="C110" s="2" t="str">
        <f>IFERROR(INDEX(Movimientos!$D$2:$D$1994,MATCH(A110&amp;"ENTRADA",Movimientos!$R$2:$R$1994,0)),"-")</f>
        <v>-</v>
      </c>
      <c r="D110" s="2" t="str">
        <f>IFERROR(INDEX(Movimientos!$E$2:$E$1994,MATCH(A110&amp;"ENTRADA",Movimientos!$R$2:$R$1994,0)),"-")</f>
        <v>-</v>
      </c>
      <c r="E110" s="2" t="str">
        <f>IFERROR(INDEX(Movimientos!$F$2:$F$1994,MATCH(A110&amp;"ENTRADA",Movimientos!$R$2:$R$1994,0)),"-")</f>
        <v>-</v>
      </c>
      <c r="F110" s="2" t="str">
        <f>IFERROR(INDEX(Movimientos!$G$2:$G$1994,MATCH(A110&amp;"ENTRADA",Movimientos!$R$2:$R$1994,0)),"-")</f>
        <v>-</v>
      </c>
      <c r="G110" s="2" t="str">
        <f>IFERROR(INDEX(Movimientos!$L$2:$L$1994,MATCH(A110&amp;"ENTRADA",Movimientos!$R$2:$R$1994,0)),"-")</f>
        <v>-</v>
      </c>
      <c r="H110" s="17" t="str">
        <f>IFERROR(IF(INDEX(Movimientos!$M$2:$M$1994,MATCH(A110&amp;"ENTRADA",Movimientos!$R$2:$R$1994,0))=0,"S/D",INDEX(Movimientos!$M$2:$M$1994,MATCH(A110&amp;"ENTRADA",Movimientos!$R$2:$R$1994,0))),"S/D")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2386</v>
      </c>
      <c r="B111" s="2" t="str">
        <f>IFERROR(INDEX(Movimientos!$C$2:$C$1994,MATCH(A111&amp;"ENTRADA",Movimientos!$R$2:$R$1994,0)),"-")</f>
        <v>-</v>
      </c>
      <c r="C111" s="2" t="str">
        <f>IFERROR(INDEX(Movimientos!$D$2:$D$1994,MATCH(A111&amp;"ENTRADA",Movimientos!$R$2:$R$1994,0)),"-")</f>
        <v>-</v>
      </c>
      <c r="D111" s="2" t="str">
        <f>IFERROR(INDEX(Movimientos!$E$2:$E$1994,MATCH(A111&amp;"ENTRADA",Movimientos!$R$2:$R$1994,0)),"-")</f>
        <v>-</v>
      </c>
      <c r="E111" s="2" t="str">
        <f>IFERROR(INDEX(Movimientos!$F$2:$F$1994,MATCH(A111&amp;"ENTRADA",Movimientos!$R$2:$R$1994,0)),"-")</f>
        <v>-</v>
      </c>
      <c r="F111" s="2" t="str">
        <f>IFERROR(INDEX(Movimientos!$G$2:$G$1994,MATCH(A111&amp;"ENTRADA",Movimientos!$R$2:$R$1994,0)),"-")</f>
        <v>-</v>
      </c>
      <c r="G111" s="2" t="str">
        <f>IFERROR(INDEX(Movimientos!$L$2:$L$1994,MATCH(A111&amp;"ENTRADA",Movimientos!$R$2:$R$1994,0)),"-")</f>
        <v>-</v>
      </c>
      <c r="H111" s="17" t="str">
        <f>IFERROR(IF(INDEX(Movimientos!$M$2:$M$1994,MATCH(A111&amp;"ENTRADA",Movimientos!$R$2:$R$1994,0))=0,"S/D",INDEX(Movimientos!$M$2:$M$1994,MATCH(A111&amp;"ENTRADA",Movimientos!$R$2:$R$1994,0))),"S/D")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2387</v>
      </c>
      <c r="B112" s="2" t="str">
        <f>IFERROR(INDEX(Movimientos!$C$2:$C$1994,MATCH(A112&amp;"ENTRADA",Movimientos!$R$2:$R$1994,0)),"-")</f>
        <v>-</v>
      </c>
      <c r="C112" s="2" t="str">
        <f>IFERROR(INDEX(Movimientos!$D$2:$D$1994,MATCH(A112&amp;"ENTRADA",Movimientos!$R$2:$R$1994,0)),"-")</f>
        <v>-</v>
      </c>
      <c r="D112" s="2" t="str">
        <f>IFERROR(INDEX(Movimientos!$E$2:$E$1994,MATCH(A112&amp;"ENTRADA",Movimientos!$R$2:$R$1994,0)),"-")</f>
        <v>-</v>
      </c>
      <c r="E112" s="2" t="str">
        <f>IFERROR(INDEX(Movimientos!$F$2:$F$1994,MATCH(A112&amp;"ENTRADA",Movimientos!$R$2:$R$1994,0)),"-")</f>
        <v>-</v>
      </c>
      <c r="F112" s="2" t="str">
        <f>IFERROR(INDEX(Movimientos!$G$2:$G$1994,MATCH(A112&amp;"ENTRADA",Movimientos!$R$2:$R$1994,0)),"-")</f>
        <v>-</v>
      </c>
      <c r="G112" s="2" t="str">
        <f>IFERROR(INDEX(Movimientos!$L$2:$L$1994,MATCH(A112&amp;"ENTRADA",Movimientos!$R$2:$R$1994,0)),"-")</f>
        <v>-</v>
      </c>
      <c r="H112" s="17" t="str">
        <f>IFERROR(IF(INDEX(Movimientos!$M$2:$M$1994,MATCH(A112&amp;"ENTRADA",Movimientos!$R$2:$R$1994,0))=0,"S/D",INDEX(Movimientos!$M$2:$M$1994,MATCH(A112&amp;"ENTRADA",Movimientos!$R$2:$R$1994,0))),"S/D")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2388</v>
      </c>
      <c r="B113" s="2" t="str">
        <f>IFERROR(INDEX(Movimientos!$C$2:$C$1994,MATCH(A113&amp;"ENTRADA",Movimientos!$R$2:$R$1994,0)),"-")</f>
        <v>-</v>
      </c>
      <c r="C113" s="2" t="str">
        <f>IFERROR(INDEX(Movimientos!$D$2:$D$1994,MATCH(A113&amp;"ENTRADA",Movimientos!$R$2:$R$1994,0)),"-")</f>
        <v>-</v>
      </c>
      <c r="D113" s="2" t="str">
        <f>IFERROR(INDEX(Movimientos!$E$2:$E$1994,MATCH(A113&amp;"ENTRADA",Movimientos!$R$2:$R$1994,0)),"-")</f>
        <v>-</v>
      </c>
      <c r="E113" s="2" t="str">
        <f>IFERROR(INDEX(Movimientos!$F$2:$F$1994,MATCH(A113&amp;"ENTRADA",Movimientos!$R$2:$R$1994,0)),"-")</f>
        <v>-</v>
      </c>
      <c r="F113" s="2" t="str">
        <f>IFERROR(INDEX(Movimientos!$G$2:$G$1994,MATCH(A113&amp;"ENTRADA",Movimientos!$R$2:$R$1994,0)),"-")</f>
        <v>-</v>
      </c>
      <c r="G113" s="2" t="str">
        <f>IFERROR(INDEX(Movimientos!$L$2:$L$1994,MATCH(A113&amp;"ENTRADA",Movimientos!$R$2:$R$1994,0)),"-")</f>
        <v>-</v>
      </c>
      <c r="H113" s="17" t="str">
        <f>IFERROR(IF(INDEX(Movimientos!$M$2:$M$1994,MATCH(A113&amp;"ENTRADA",Movimientos!$R$2:$R$1994,0))=0,"S/D",INDEX(Movimientos!$M$2:$M$1994,MATCH(A113&amp;"ENTRADA",Movimientos!$R$2:$R$1994,0))),"S/D")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2389</v>
      </c>
      <c r="B114" s="2" t="str">
        <f>IFERROR(INDEX(Movimientos!$C$2:$C$1994,MATCH(A114&amp;"ENTRADA",Movimientos!$R$2:$R$1994,0)),"-")</f>
        <v>-</v>
      </c>
      <c r="C114" s="2" t="str">
        <f>IFERROR(INDEX(Movimientos!$D$2:$D$1994,MATCH(A114&amp;"ENTRADA",Movimientos!$R$2:$R$1994,0)),"-")</f>
        <v>-</v>
      </c>
      <c r="D114" s="2" t="str">
        <f>IFERROR(INDEX(Movimientos!$E$2:$E$1994,MATCH(A114&amp;"ENTRADA",Movimientos!$R$2:$R$1994,0)),"-")</f>
        <v>-</v>
      </c>
      <c r="E114" s="2" t="str">
        <f>IFERROR(INDEX(Movimientos!$F$2:$F$1994,MATCH(A114&amp;"ENTRADA",Movimientos!$R$2:$R$1994,0)),"-")</f>
        <v>-</v>
      </c>
      <c r="F114" s="2" t="str">
        <f>IFERROR(INDEX(Movimientos!$G$2:$G$1994,MATCH(A114&amp;"ENTRADA",Movimientos!$R$2:$R$1994,0)),"-")</f>
        <v>-</v>
      </c>
      <c r="G114" s="2" t="str">
        <f>IFERROR(INDEX(Movimientos!$L$2:$L$1994,MATCH(A114&amp;"ENTRADA",Movimientos!$R$2:$R$1994,0)),"-")</f>
        <v>-</v>
      </c>
      <c r="H114" s="17" t="str">
        <f>IFERROR(IF(INDEX(Movimientos!$M$2:$M$1994,MATCH(A114&amp;"ENTRADA",Movimientos!$R$2:$R$1994,0))=0,"S/D",INDEX(Movimientos!$M$2:$M$1994,MATCH(A114&amp;"ENTRADA",Movimientos!$R$2:$R$1994,0))),"S/D")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2390</v>
      </c>
      <c r="B115" s="2" t="str">
        <f>IFERROR(INDEX(Movimientos!$C$2:$C$1994,MATCH(A115&amp;"ENTRADA",Movimientos!$R$2:$R$1994,0)),"-")</f>
        <v>-</v>
      </c>
      <c r="C115" s="2" t="str">
        <f>IFERROR(INDEX(Movimientos!$D$2:$D$1994,MATCH(A115&amp;"ENTRADA",Movimientos!$R$2:$R$1994,0)),"-")</f>
        <v>-</v>
      </c>
      <c r="D115" s="2" t="str">
        <f>IFERROR(INDEX(Movimientos!$E$2:$E$1994,MATCH(A115&amp;"ENTRADA",Movimientos!$R$2:$R$1994,0)),"-")</f>
        <v>-</v>
      </c>
      <c r="E115" s="2" t="str">
        <f>IFERROR(INDEX(Movimientos!$F$2:$F$1994,MATCH(A115&amp;"ENTRADA",Movimientos!$R$2:$R$1994,0)),"-")</f>
        <v>-</v>
      </c>
      <c r="F115" s="2" t="str">
        <f>IFERROR(INDEX(Movimientos!$G$2:$G$1994,MATCH(A115&amp;"ENTRADA",Movimientos!$R$2:$R$1994,0)),"-")</f>
        <v>-</v>
      </c>
      <c r="G115" s="2" t="str">
        <f>IFERROR(INDEX(Movimientos!$L$2:$L$1994,MATCH(A115&amp;"ENTRADA",Movimientos!$R$2:$R$1994,0)),"-")</f>
        <v>-</v>
      </c>
      <c r="H115" s="17" t="str">
        <f>IFERROR(IF(INDEX(Movimientos!$M$2:$M$1994,MATCH(A115&amp;"ENTRADA",Movimientos!$R$2:$R$1994,0))=0,"S/D",INDEX(Movimientos!$M$2:$M$1994,MATCH(A115&amp;"ENTRADA",Movimientos!$R$2:$R$1994,0))),"S/D")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2391</v>
      </c>
      <c r="B116" s="2" t="str">
        <f>IFERROR(INDEX(Movimientos!$C$2:$C$1994,MATCH(A116&amp;"ENTRADA",Movimientos!$R$2:$R$1994,0)),"-")</f>
        <v>-</v>
      </c>
      <c r="C116" s="2" t="str">
        <f>IFERROR(INDEX(Movimientos!$D$2:$D$1994,MATCH(A116&amp;"ENTRADA",Movimientos!$R$2:$R$1994,0)),"-")</f>
        <v>-</v>
      </c>
      <c r="D116" s="2" t="str">
        <f>IFERROR(INDEX(Movimientos!$E$2:$E$1994,MATCH(A116&amp;"ENTRADA",Movimientos!$R$2:$R$1994,0)),"-")</f>
        <v>-</v>
      </c>
      <c r="E116" s="2" t="str">
        <f>IFERROR(INDEX(Movimientos!$F$2:$F$1994,MATCH(A116&amp;"ENTRADA",Movimientos!$R$2:$R$1994,0)),"-")</f>
        <v>-</v>
      </c>
      <c r="F116" s="2" t="str">
        <f>IFERROR(INDEX(Movimientos!$G$2:$G$1994,MATCH(A116&amp;"ENTRADA",Movimientos!$R$2:$R$1994,0)),"-")</f>
        <v>-</v>
      </c>
      <c r="G116" s="2" t="str">
        <f>IFERROR(INDEX(Movimientos!$L$2:$L$1994,MATCH(A116&amp;"ENTRADA",Movimientos!$R$2:$R$1994,0)),"-")</f>
        <v>-</v>
      </c>
      <c r="H116" s="17" t="str">
        <f>IFERROR(IF(INDEX(Movimientos!$M$2:$M$1994,MATCH(A116&amp;"ENTRADA",Movimientos!$R$2:$R$1994,0))=0,"S/D",INDEX(Movimientos!$M$2:$M$1994,MATCH(A116&amp;"ENTRADA",Movimientos!$R$2:$R$1994,0))),"S/D")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2392</v>
      </c>
      <c r="B117" s="2" t="str">
        <f>IFERROR(INDEX(Movimientos!$C$2:$C$1994,MATCH(A117&amp;"ENTRADA",Movimientos!$R$2:$R$1994,0)),"-")</f>
        <v>-</v>
      </c>
      <c r="C117" s="2" t="str">
        <f>IFERROR(INDEX(Movimientos!$D$2:$D$1994,MATCH(A117&amp;"ENTRADA",Movimientos!$R$2:$R$1994,0)),"-")</f>
        <v>-</v>
      </c>
      <c r="D117" s="2" t="str">
        <f>IFERROR(INDEX(Movimientos!$E$2:$E$1994,MATCH(A117&amp;"ENTRADA",Movimientos!$R$2:$R$1994,0)),"-")</f>
        <v>-</v>
      </c>
      <c r="E117" s="2" t="str">
        <f>IFERROR(INDEX(Movimientos!$F$2:$F$1994,MATCH(A117&amp;"ENTRADA",Movimientos!$R$2:$R$1994,0)),"-")</f>
        <v>-</v>
      </c>
      <c r="F117" s="2" t="str">
        <f>IFERROR(INDEX(Movimientos!$G$2:$G$1994,MATCH(A117&amp;"ENTRADA",Movimientos!$R$2:$R$1994,0)),"-")</f>
        <v>-</v>
      </c>
      <c r="G117" s="2" t="str">
        <f>IFERROR(INDEX(Movimientos!$L$2:$L$1994,MATCH(A117&amp;"ENTRADA",Movimientos!$R$2:$R$1994,0)),"-")</f>
        <v>-</v>
      </c>
      <c r="H117" s="17" t="str">
        <f>IFERROR(IF(INDEX(Movimientos!$M$2:$M$1994,MATCH(A117&amp;"ENTRADA",Movimientos!$R$2:$R$1994,0))=0,"S/D",INDEX(Movimientos!$M$2:$M$1994,MATCH(A117&amp;"ENTRADA",Movimientos!$R$2:$R$1994,0))),"S/D")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2393</v>
      </c>
      <c r="B118" s="2" t="str">
        <f>IFERROR(INDEX(Movimientos!$C$2:$C$1994,MATCH(A118&amp;"ENTRADA",Movimientos!$R$2:$R$1994,0)),"-")</f>
        <v>-</v>
      </c>
      <c r="C118" s="2" t="str">
        <f>IFERROR(INDEX(Movimientos!$D$2:$D$1994,MATCH(A118&amp;"ENTRADA",Movimientos!$R$2:$R$1994,0)),"-")</f>
        <v>-</v>
      </c>
      <c r="D118" s="2" t="str">
        <f>IFERROR(INDEX(Movimientos!$E$2:$E$1994,MATCH(A118&amp;"ENTRADA",Movimientos!$R$2:$R$1994,0)),"-")</f>
        <v>-</v>
      </c>
      <c r="E118" s="2" t="str">
        <f>IFERROR(INDEX(Movimientos!$F$2:$F$1994,MATCH(A118&amp;"ENTRADA",Movimientos!$R$2:$R$1994,0)),"-")</f>
        <v>-</v>
      </c>
      <c r="F118" s="2" t="str">
        <f>IFERROR(INDEX(Movimientos!$G$2:$G$1994,MATCH(A118&amp;"ENTRADA",Movimientos!$R$2:$R$1994,0)),"-")</f>
        <v>-</v>
      </c>
      <c r="G118" s="2" t="str">
        <f>IFERROR(INDEX(Movimientos!$L$2:$L$1994,MATCH(A118&amp;"ENTRADA",Movimientos!$R$2:$R$1994,0)),"-")</f>
        <v>-</v>
      </c>
      <c r="H118" s="17" t="str">
        <f>IFERROR(IF(INDEX(Movimientos!$M$2:$M$1994,MATCH(A118&amp;"ENTRADA",Movimientos!$R$2:$R$1994,0))=0,"S/D",INDEX(Movimientos!$M$2:$M$1994,MATCH(A118&amp;"ENTRADA",Movimientos!$R$2:$R$1994,0))),"S/D")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2394</v>
      </c>
      <c r="B119" s="2" t="str">
        <f>IFERROR(INDEX(Movimientos!$C$2:$C$1994,MATCH(A119&amp;"ENTRADA",Movimientos!$R$2:$R$1994,0)),"-")</f>
        <v>-</v>
      </c>
      <c r="C119" s="2" t="str">
        <f>IFERROR(INDEX(Movimientos!$D$2:$D$1994,MATCH(A119&amp;"ENTRADA",Movimientos!$R$2:$R$1994,0)),"-")</f>
        <v>-</v>
      </c>
      <c r="D119" s="2" t="str">
        <f>IFERROR(INDEX(Movimientos!$E$2:$E$1994,MATCH(A119&amp;"ENTRADA",Movimientos!$R$2:$R$1994,0)),"-")</f>
        <v>-</v>
      </c>
      <c r="E119" s="2" t="str">
        <f>IFERROR(INDEX(Movimientos!$F$2:$F$1994,MATCH(A119&amp;"ENTRADA",Movimientos!$R$2:$R$1994,0)),"-")</f>
        <v>-</v>
      </c>
      <c r="F119" s="2" t="str">
        <f>IFERROR(INDEX(Movimientos!$G$2:$G$1994,MATCH(A119&amp;"ENTRADA",Movimientos!$R$2:$R$1994,0)),"-")</f>
        <v>-</v>
      </c>
      <c r="G119" s="2" t="str">
        <f>IFERROR(INDEX(Movimientos!$L$2:$L$1994,MATCH(A119&amp;"ENTRADA",Movimientos!$R$2:$R$1994,0)),"-")</f>
        <v>-</v>
      </c>
      <c r="H119" s="17" t="str">
        <f>IFERROR(IF(INDEX(Movimientos!$M$2:$M$1994,MATCH(A119&amp;"ENTRADA",Movimientos!$R$2:$R$1994,0))=0,"S/D",INDEX(Movimientos!$M$2:$M$1994,MATCH(A119&amp;"ENTRADA",Movimientos!$R$2:$R$1994,0))),"S/D")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2395</v>
      </c>
      <c r="B120" s="2" t="str">
        <f>IFERROR(INDEX(Movimientos!$C$2:$C$1994,MATCH(A120&amp;"ENTRADA",Movimientos!$R$2:$R$1994,0)),"-")</f>
        <v>-</v>
      </c>
      <c r="C120" s="2" t="str">
        <f>IFERROR(INDEX(Movimientos!$D$2:$D$1994,MATCH(A120&amp;"ENTRADA",Movimientos!$R$2:$R$1994,0)),"-")</f>
        <v>-</v>
      </c>
      <c r="D120" s="2" t="str">
        <f>IFERROR(INDEX(Movimientos!$E$2:$E$1994,MATCH(A120&amp;"ENTRADA",Movimientos!$R$2:$R$1994,0)),"-")</f>
        <v>-</v>
      </c>
      <c r="E120" s="2" t="str">
        <f>IFERROR(INDEX(Movimientos!$F$2:$F$1994,MATCH(A120&amp;"ENTRADA",Movimientos!$R$2:$R$1994,0)),"-")</f>
        <v>-</v>
      </c>
      <c r="F120" s="2" t="str">
        <f>IFERROR(INDEX(Movimientos!$G$2:$G$1994,MATCH(A120&amp;"ENTRADA",Movimientos!$R$2:$R$1994,0)),"-")</f>
        <v>-</v>
      </c>
      <c r="G120" s="2" t="str">
        <f>IFERROR(INDEX(Movimientos!$L$2:$L$1994,MATCH(A120&amp;"ENTRADA",Movimientos!$R$2:$R$1994,0)),"-")</f>
        <v>-</v>
      </c>
      <c r="H120" s="17" t="str">
        <f>IFERROR(IF(INDEX(Movimientos!$M$2:$M$1994,MATCH(A120&amp;"ENTRADA",Movimientos!$R$2:$R$1994,0))=0,"S/D",INDEX(Movimientos!$M$2:$M$1994,MATCH(A120&amp;"ENTRADA",Movimientos!$R$2:$R$1994,0))),"S/D")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2396</v>
      </c>
      <c r="B121" s="2" t="str">
        <f>IFERROR(INDEX(Movimientos!$C$2:$C$1994,MATCH(A121&amp;"ENTRADA",Movimientos!$R$2:$R$1994,0)),"-")</f>
        <v>-</v>
      </c>
      <c r="C121" s="2" t="str">
        <f>IFERROR(INDEX(Movimientos!$D$2:$D$1994,MATCH(A121&amp;"ENTRADA",Movimientos!$R$2:$R$1994,0)),"-")</f>
        <v>-</v>
      </c>
      <c r="D121" s="2" t="str">
        <f>IFERROR(INDEX(Movimientos!$E$2:$E$1994,MATCH(A121&amp;"ENTRADA",Movimientos!$R$2:$R$1994,0)),"-")</f>
        <v>-</v>
      </c>
      <c r="E121" s="2" t="str">
        <f>IFERROR(INDEX(Movimientos!$F$2:$F$1994,MATCH(A121&amp;"ENTRADA",Movimientos!$R$2:$R$1994,0)),"-")</f>
        <v>-</v>
      </c>
      <c r="F121" s="2" t="str">
        <f>IFERROR(INDEX(Movimientos!$G$2:$G$1994,MATCH(A121&amp;"ENTRADA",Movimientos!$R$2:$R$1994,0)),"-")</f>
        <v>-</v>
      </c>
      <c r="G121" s="2" t="str">
        <f>IFERROR(INDEX(Movimientos!$L$2:$L$1994,MATCH(A121&amp;"ENTRADA",Movimientos!$R$2:$R$1994,0)),"-")</f>
        <v>-</v>
      </c>
      <c r="H121" s="17" t="str">
        <f>IFERROR(IF(INDEX(Movimientos!$M$2:$M$1994,MATCH(A121&amp;"ENTRADA",Movimientos!$R$2:$R$1994,0))=0,"S/D",INDEX(Movimientos!$M$2:$M$1994,MATCH(A121&amp;"ENTRADA",Movimientos!$R$2:$R$1994,0))),"S/D")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2397</v>
      </c>
      <c r="B122" s="2" t="str">
        <f>IFERROR(INDEX(Movimientos!$C$2:$C$1994,MATCH(A122&amp;"ENTRADA",Movimientos!$R$2:$R$1994,0)),"-")</f>
        <v>-</v>
      </c>
      <c r="C122" s="2" t="str">
        <f>IFERROR(INDEX(Movimientos!$D$2:$D$1994,MATCH(A122&amp;"ENTRADA",Movimientos!$R$2:$R$1994,0)),"-")</f>
        <v>-</v>
      </c>
      <c r="D122" s="2" t="str">
        <f>IFERROR(INDEX(Movimientos!$E$2:$E$1994,MATCH(A122&amp;"ENTRADA",Movimientos!$R$2:$R$1994,0)),"-")</f>
        <v>-</v>
      </c>
      <c r="E122" s="2" t="str">
        <f>IFERROR(INDEX(Movimientos!$F$2:$F$1994,MATCH(A122&amp;"ENTRADA",Movimientos!$R$2:$R$1994,0)),"-")</f>
        <v>-</v>
      </c>
      <c r="F122" s="2" t="str">
        <f>IFERROR(INDEX(Movimientos!$G$2:$G$1994,MATCH(A122&amp;"ENTRADA",Movimientos!$R$2:$R$1994,0)),"-")</f>
        <v>-</v>
      </c>
      <c r="G122" s="2" t="str">
        <f>IFERROR(INDEX(Movimientos!$L$2:$L$1994,MATCH(A122&amp;"ENTRADA",Movimientos!$R$2:$R$1994,0)),"-")</f>
        <v>-</v>
      </c>
      <c r="H122" s="17" t="str">
        <f>IFERROR(IF(INDEX(Movimientos!$M$2:$M$1994,MATCH(A122&amp;"ENTRADA",Movimientos!$R$2:$R$1994,0))=0,"S/D",INDEX(Movimientos!$M$2:$M$1994,MATCH(A122&amp;"ENTRADA",Movimientos!$R$2:$R$1994,0))),"S/D")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2398</v>
      </c>
      <c r="B123" s="2" t="str">
        <f>IFERROR(INDEX(Movimientos!$C$2:$C$1994,MATCH(A123&amp;"ENTRADA",Movimientos!$R$2:$R$1994,0)),"-")</f>
        <v>-</v>
      </c>
      <c r="C123" s="2" t="str">
        <f>IFERROR(INDEX(Movimientos!$D$2:$D$1994,MATCH(A123&amp;"ENTRADA",Movimientos!$R$2:$R$1994,0)),"-")</f>
        <v>-</v>
      </c>
      <c r="D123" s="2" t="str">
        <f>IFERROR(INDEX(Movimientos!$E$2:$E$1994,MATCH(A123&amp;"ENTRADA",Movimientos!$R$2:$R$1994,0)),"-")</f>
        <v>-</v>
      </c>
      <c r="E123" s="2" t="str">
        <f>IFERROR(INDEX(Movimientos!$F$2:$F$1994,MATCH(A123&amp;"ENTRADA",Movimientos!$R$2:$R$1994,0)),"-")</f>
        <v>-</v>
      </c>
      <c r="F123" s="2" t="str">
        <f>IFERROR(INDEX(Movimientos!$G$2:$G$1994,MATCH(A123&amp;"ENTRADA",Movimientos!$R$2:$R$1994,0)),"-")</f>
        <v>-</v>
      </c>
      <c r="G123" s="2" t="str">
        <f>IFERROR(INDEX(Movimientos!$L$2:$L$1994,MATCH(A123&amp;"ENTRADA",Movimientos!$R$2:$R$1994,0)),"-")</f>
        <v>-</v>
      </c>
      <c r="H123" s="17" t="str">
        <f>IFERROR(IF(INDEX(Movimientos!$M$2:$M$1994,MATCH(A123&amp;"ENTRADA",Movimientos!$R$2:$R$1994,0))=0,"S/D",INDEX(Movimientos!$M$2:$M$1994,MATCH(A123&amp;"ENTRADA",Movimientos!$R$2:$R$1994,0))),"S/D")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2399</v>
      </c>
      <c r="B124" s="2" t="str">
        <f>IFERROR(INDEX(Movimientos!$C$2:$C$1994,MATCH(A124&amp;"ENTRADA",Movimientos!$R$2:$R$1994,0)),"-")</f>
        <v>-</v>
      </c>
      <c r="C124" s="2" t="str">
        <f>IFERROR(INDEX(Movimientos!$D$2:$D$1994,MATCH(A124&amp;"ENTRADA",Movimientos!$R$2:$R$1994,0)),"-")</f>
        <v>-</v>
      </c>
      <c r="D124" s="2" t="str">
        <f>IFERROR(INDEX(Movimientos!$E$2:$E$1994,MATCH(A124&amp;"ENTRADA",Movimientos!$R$2:$R$1994,0)),"-")</f>
        <v>-</v>
      </c>
      <c r="E124" s="2" t="str">
        <f>IFERROR(INDEX(Movimientos!$F$2:$F$1994,MATCH(A124&amp;"ENTRADA",Movimientos!$R$2:$R$1994,0)),"-")</f>
        <v>-</v>
      </c>
      <c r="F124" s="2" t="str">
        <f>IFERROR(INDEX(Movimientos!$G$2:$G$1994,MATCH(A124&amp;"ENTRADA",Movimientos!$R$2:$R$1994,0)),"-")</f>
        <v>-</v>
      </c>
      <c r="G124" s="2" t="str">
        <f>IFERROR(INDEX(Movimientos!$L$2:$L$1994,MATCH(A124&amp;"ENTRADA",Movimientos!$R$2:$R$1994,0)),"-")</f>
        <v>-</v>
      </c>
      <c r="H124" s="17" t="str">
        <f>IFERROR(IF(INDEX(Movimientos!$M$2:$M$1994,MATCH(A124&amp;"ENTRADA",Movimientos!$R$2:$R$1994,0))=0,"S/D",INDEX(Movimientos!$M$2:$M$1994,MATCH(A124&amp;"ENTRADA",Movimientos!$R$2:$R$1994,0))),"S/D")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2400</v>
      </c>
      <c r="B125" s="2" t="str">
        <f>IFERROR(INDEX(Movimientos!$C$2:$C$1994,MATCH(A125&amp;"ENTRADA",Movimientos!$R$2:$R$1994,0)),"-")</f>
        <v>-</v>
      </c>
      <c r="C125" s="2" t="str">
        <f>IFERROR(INDEX(Movimientos!$D$2:$D$1994,MATCH(A125&amp;"ENTRADA",Movimientos!$R$2:$R$1994,0)),"-")</f>
        <v>-</v>
      </c>
      <c r="D125" s="2" t="str">
        <f>IFERROR(INDEX(Movimientos!$E$2:$E$1994,MATCH(A125&amp;"ENTRADA",Movimientos!$R$2:$R$1994,0)),"-")</f>
        <v>-</v>
      </c>
      <c r="E125" s="2" t="str">
        <f>IFERROR(INDEX(Movimientos!$F$2:$F$1994,MATCH(A125&amp;"ENTRADA",Movimientos!$R$2:$R$1994,0)),"-")</f>
        <v>-</v>
      </c>
      <c r="F125" s="2" t="str">
        <f>IFERROR(INDEX(Movimientos!$G$2:$G$1994,MATCH(A125&amp;"ENTRADA",Movimientos!$R$2:$R$1994,0)),"-")</f>
        <v>-</v>
      </c>
      <c r="G125" s="2" t="str">
        <f>IFERROR(INDEX(Movimientos!$L$2:$L$1994,MATCH(A125&amp;"ENTRADA",Movimientos!$R$2:$R$1994,0)),"-")</f>
        <v>-</v>
      </c>
      <c r="H125" s="17" t="str">
        <f>IFERROR(IF(INDEX(Movimientos!$M$2:$M$1994,MATCH(A125&amp;"ENTRADA",Movimientos!$R$2:$R$1994,0))=0,"S/D",INDEX(Movimientos!$M$2:$M$1994,MATCH(A125&amp;"ENTRADA",Movimientos!$R$2:$R$1994,0))),"S/D")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2401</v>
      </c>
      <c r="B126" s="2" t="str">
        <f>IFERROR(INDEX(Movimientos!$C$2:$C$1994,MATCH(A126&amp;"ENTRADA",Movimientos!$R$2:$R$1994,0)),"-")</f>
        <v>-</v>
      </c>
      <c r="C126" s="2" t="str">
        <f>IFERROR(INDEX(Movimientos!$D$2:$D$1994,MATCH(A126&amp;"ENTRADA",Movimientos!$R$2:$R$1994,0)),"-")</f>
        <v>-</v>
      </c>
      <c r="D126" s="2" t="str">
        <f>IFERROR(INDEX(Movimientos!$E$2:$E$1994,MATCH(A126&amp;"ENTRADA",Movimientos!$R$2:$R$1994,0)),"-")</f>
        <v>-</v>
      </c>
      <c r="E126" s="2" t="str">
        <f>IFERROR(INDEX(Movimientos!$F$2:$F$1994,MATCH(A126&amp;"ENTRADA",Movimientos!$R$2:$R$1994,0)),"-")</f>
        <v>-</v>
      </c>
      <c r="F126" s="2" t="str">
        <f>IFERROR(INDEX(Movimientos!$G$2:$G$1994,MATCH(A126&amp;"ENTRADA",Movimientos!$R$2:$R$1994,0)),"-")</f>
        <v>-</v>
      </c>
      <c r="G126" s="2" t="str">
        <f>IFERROR(INDEX(Movimientos!$L$2:$L$1994,MATCH(A126&amp;"ENTRADA",Movimientos!$R$2:$R$1994,0)),"-")</f>
        <v>-</v>
      </c>
      <c r="H126" s="17" t="str">
        <f>IFERROR(IF(INDEX(Movimientos!$M$2:$M$1994,MATCH(A126&amp;"ENTRADA",Movimientos!$R$2:$R$1994,0))=0,"S/D",INDEX(Movimientos!$M$2:$M$1994,MATCH(A126&amp;"ENTRADA",Movimientos!$R$2:$R$1994,0))),"S/D")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2402</v>
      </c>
      <c r="B127" s="2" t="str">
        <f>IFERROR(INDEX(Movimientos!$C$2:$C$1994,MATCH(A127&amp;"ENTRADA",Movimientos!$R$2:$R$1994,0)),"-")</f>
        <v>-</v>
      </c>
      <c r="C127" s="2" t="str">
        <f>IFERROR(INDEX(Movimientos!$D$2:$D$1994,MATCH(A127&amp;"ENTRADA",Movimientos!$R$2:$R$1994,0)),"-")</f>
        <v>-</v>
      </c>
      <c r="D127" s="2" t="str">
        <f>IFERROR(INDEX(Movimientos!$E$2:$E$1994,MATCH(A127&amp;"ENTRADA",Movimientos!$R$2:$R$1994,0)),"-")</f>
        <v>-</v>
      </c>
      <c r="E127" s="2" t="str">
        <f>IFERROR(INDEX(Movimientos!$F$2:$F$1994,MATCH(A127&amp;"ENTRADA",Movimientos!$R$2:$R$1994,0)),"-")</f>
        <v>-</v>
      </c>
      <c r="F127" s="2" t="str">
        <f>IFERROR(INDEX(Movimientos!$G$2:$G$1994,MATCH(A127&amp;"ENTRADA",Movimientos!$R$2:$R$1994,0)),"-")</f>
        <v>-</v>
      </c>
      <c r="G127" s="2" t="str">
        <f>IFERROR(INDEX(Movimientos!$L$2:$L$1994,MATCH(A127&amp;"ENTRADA",Movimientos!$R$2:$R$1994,0)),"-")</f>
        <v>-</v>
      </c>
      <c r="H127" s="17" t="str">
        <f>IFERROR(IF(INDEX(Movimientos!$M$2:$M$1994,MATCH(A127&amp;"ENTRADA",Movimientos!$R$2:$R$1994,0))=0,"S/D",INDEX(Movimientos!$M$2:$M$1994,MATCH(A127&amp;"ENTRADA",Movimientos!$R$2:$R$1994,0))),"S/D")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2403</v>
      </c>
      <c r="B128" s="2" t="str">
        <f>IFERROR(INDEX(Movimientos!$C$2:$C$1994,MATCH(A128&amp;"ENTRADA",Movimientos!$R$2:$R$1994,0)),"-")</f>
        <v>-</v>
      </c>
      <c r="C128" s="2" t="str">
        <f>IFERROR(INDEX(Movimientos!$D$2:$D$1994,MATCH(A128&amp;"ENTRADA",Movimientos!$R$2:$R$1994,0)),"-")</f>
        <v>-</v>
      </c>
      <c r="D128" s="2" t="str">
        <f>IFERROR(INDEX(Movimientos!$E$2:$E$1994,MATCH(A128&amp;"ENTRADA",Movimientos!$R$2:$R$1994,0)),"-")</f>
        <v>-</v>
      </c>
      <c r="E128" s="2" t="str">
        <f>IFERROR(INDEX(Movimientos!$F$2:$F$1994,MATCH(A128&amp;"ENTRADA",Movimientos!$R$2:$R$1994,0)),"-")</f>
        <v>-</v>
      </c>
      <c r="F128" s="2" t="str">
        <f>IFERROR(INDEX(Movimientos!$G$2:$G$1994,MATCH(A128&amp;"ENTRADA",Movimientos!$R$2:$R$1994,0)),"-")</f>
        <v>-</v>
      </c>
      <c r="G128" s="2" t="str">
        <f>IFERROR(INDEX(Movimientos!$L$2:$L$1994,MATCH(A128&amp;"ENTRADA",Movimientos!$R$2:$R$1994,0)),"-")</f>
        <v>-</v>
      </c>
      <c r="H128" s="17" t="str">
        <f>IFERROR(IF(INDEX(Movimientos!$M$2:$M$1994,MATCH(A128&amp;"ENTRADA",Movimientos!$R$2:$R$1994,0))=0,"S/D",INDEX(Movimientos!$M$2:$M$1994,MATCH(A128&amp;"ENTRADA",Movimientos!$R$2:$R$1994,0))),"S/D")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2404</v>
      </c>
      <c r="B129" s="2" t="str">
        <f>IFERROR(INDEX(Movimientos!$C$2:$C$1994,MATCH(A129&amp;"ENTRADA",Movimientos!$R$2:$R$1994,0)),"-")</f>
        <v>-</v>
      </c>
      <c r="C129" s="2" t="str">
        <f>IFERROR(INDEX(Movimientos!$D$2:$D$1994,MATCH(A129&amp;"ENTRADA",Movimientos!$R$2:$R$1994,0)),"-")</f>
        <v>-</v>
      </c>
      <c r="D129" s="2" t="str">
        <f>IFERROR(INDEX(Movimientos!$E$2:$E$1994,MATCH(A129&amp;"ENTRADA",Movimientos!$R$2:$R$1994,0)),"-")</f>
        <v>-</v>
      </c>
      <c r="E129" s="2" t="str">
        <f>IFERROR(INDEX(Movimientos!$F$2:$F$1994,MATCH(A129&amp;"ENTRADA",Movimientos!$R$2:$R$1994,0)),"-")</f>
        <v>-</v>
      </c>
      <c r="F129" s="2" t="str">
        <f>IFERROR(INDEX(Movimientos!$G$2:$G$1994,MATCH(A129&amp;"ENTRADA",Movimientos!$R$2:$R$1994,0)),"-")</f>
        <v>-</v>
      </c>
      <c r="G129" s="2" t="str">
        <f>IFERROR(INDEX(Movimientos!$L$2:$L$1994,MATCH(A129&amp;"ENTRADA",Movimientos!$R$2:$R$1994,0)),"-")</f>
        <v>-</v>
      </c>
      <c r="H129" s="17" t="str">
        <f>IFERROR(IF(INDEX(Movimientos!$M$2:$M$1994,MATCH(A129&amp;"ENTRADA",Movimientos!$R$2:$R$1994,0))=0,"S/D",INDEX(Movimientos!$M$2:$M$1994,MATCH(A129&amp;"ENTRADA",Movimientos!$R$2:$R$1994,0))),"S/D")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2405</v>
      </c>
      <c r="B130" s="2" t="str">
        <f>IFERROR(INDEX(Movimientos!$C$2:$C$1994,MATCH(A130&amp;"ENTRADA",Movimientos!$R$2:$R$1994,0)),"-")</f>
        <v>-</v>
      </c>
      <c r="C130" s="2" t="str">
        <f>IFERROR(INDEX(Movimientos!$D$2:$D$1994,MATCH(A130&amp;"ENTRADA",Movimientos!$R$2:$R$1994,0)),"-")</f>
        <v>-</v>
      </c>
      <c r="D130" s="2" t="str">
        <f>IFERROR(INDEX(Movimientos!$E$2:$E$1994,MATCH(A130&amp;"ENTRADA",Movimientos!$R$2:$R$1994,0)),"-")</f>
        <v>-</v>
      </c>
      <c r="E130" s="2" t="str">
        <f>IFERROR(INDEX(Movimientos!$F$2:$F$1994,MATCH(A130&amp;"ENTRADA",Movimientos!$R$2:$R$1994,0)),"-")</f>
        <v>-</v>
      </c>
      <c r="F130" s="2" t="str">
        <f>IFERROR(INDEX(Movimientos!$G$2:$G$1994,MATCH(A130&amp;"ENTRADA",Movimientos!$R$2:$R$1994,0)),"-")</f>
        <v>-</v>
      </c>
      <c r="G130" s="2" t="str">
        <f>IFERROR(INDEX(Movimientos!$L$2:$L$1994,MATCH(A130&amp;"ENTRADA",Movimientos!$R$2:$R$1994,0)),"-")</f>
        <v>-</v>
      </c>
      <c r="H130" s="17" t="str">
        <f>IFERROR(IF(INDEX(Movimientos!$M$2:$M$1994,MATCH(A130&amp;"ENTRADA",Movimientos!$R$2:$R$1994,0))=0,"S/D",INDEX(Movimientos!$M$2:$M$1994,MATCH(A130&amp;"ENTRADA",Movimientos!$R$2:$R$1994,0))),"S/D")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2406</v>
      </c>
      <c r="B131" s="2" t="str">
        <f>IFERROR(INDEX(Movimientos!$C$2:$C$1994,MATCH(A131&amp;"ENTRADA",Movimientos!$R$2:$R$1994,0)),"-")</f>
        <v>-</v>
      </c>
      <c r="C131" s="2" t="str">
        <f>IFERROR(INDEX(Movimientos!$D$2:$D$1994,MATCH(A131&amp;"ENTRADA",Movimientos!$R$2:$R$1994,0)),"-")</f>
        <v>-</v>
      </c>
      <c r="D131" s="2" t="str">
        <f>IFERROR(INDEX(Movimientos!$E$2:$E$1994,MATCH(A131&amp;"ENTRADA",Movimientos!$R$2:$R$1994,0)),"-")</f>
        <v>-</v>
      </c>
      <c r="E131" s="2" t="str">
        <f>IFERROR(INDEX(Movimientos!$F$2:$F$1994,MATCH(A131&amp;"ENTRADA",Movimientos!$R$2:$R$1994,0)),"-")</f>
        <v>-</v>
      </c>
      <c r="F131" s="2" t="str">
        <f>IFERROR(INDEX(Movimientos!$G$2:$G$1994,MATCH(A131&amp;"ENTRADA",Movimientos!$R$2:$R$1994,0)),"-")</f>
        <v>-</v>
      </c>
      <c r="G131" s="2" t="str">
        <f>IFERROR(INDEX(Movimientos!$L$2:$L$1994,MATCH(A131&amp;"ENTRADA",Movimientos!$R$2:$R$1994,0)),"-")</f>
        <v>-</v>
      </c>
      <c r="H131" s="17" t="str">
        <f>IFERROR(IF(INDEX(Movimientos!$M$2:$M$1994,MATCH(A131&amp;"ENTRADA",Movimientos!$R$2:$R$1994,0))=0,"S/D",INDEX(Movimientos!$M$2:$M$1994,MATCH(A131&amp;"ENTRADA",Movimientos!$R$2:$R$1994,0))),"S/D")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2407</v>
      </c>
      <c r="B132" s="2" t="str">
        <f>IFERROR(INDEX(Movimientos!$C$2:$C$1994,MATCH(A132&amp;"ENTRADA",Movimientos!$R$2:$R$1994,0)),"-")</f>
        <v>-</v>
      </c>
      <c r="C132" s="2" t="str">
        <f>IFERROR(INDEX(Movimientos!$D$2:$D$1994,MATCH(A132&amp;"ENTRADA",Movimientos!$R$2:$R$1994,0)),"-")</f>
        <v>-</v>
      </c>
      <c r="D132" s="2" t="str">
        <f>IFERROR(INDEX(Movimientos!$E$2:$E$1994,MATCH(A132&amp;"ENTRADA",Movimientos!$R$2:$R$1994,0)),"-")</f>
        <v>-</v>
      </c>
      <c r="E132" s="2" t="str">
        <f>IFERROR(INDEX(Movimientos!$F$2:$F$1994,MATCH(A132&amp;"ENTRADA",Movimientos!$R$2:$R$1994,0)),"-")</f>
        <v>-</v>
      </c>
      <c r="F132" s="2" t="str">
        <f>IFERROR(INDEX(Movimientos!$G$2:$G$1994,MATCH(A132&amp;"ENTRADA",Movimientos!$R$2:$R$1994,0)),"-")</f>
        <v>-</v>
      </c>
      <c r="G132" s="2" t="str">
        <f>IFERROR(INDEX(Movimientos!$L$2:$L$1994,MATCH(A132&amp;"ENTRADA",Movimientos!$R$2:$R$1994,0)),"-")</f>
        <v>-</v>
      </c>
      <c r="H132" s="17" t="str">
        <f>IFERROR(IF(INDEX(Movimientos!$M$2:$M$1994,MATCH(A132&amp;"ENTRADA",Movimientos!$R$2:$R$1994,0))=0,"S/D",INDEX(Movimientos!$M$2:$M$1994,MATCH(A132&amp;"ENTRADA",Movimientos!$R$2:$R$1994,0))),"S/D")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2408</v>
      </c>
      <c r="B133" s="2" t="str">
        <f>IFERROR(INDEX(Movimientos!$C$2:$C$1994,MATCH(A133&amp;"ENTRADA",Movimientos!$R$2:$R$1994,0)),"-")</f>
        <v>-</v>
      </c>
      <c r="C133" s="2" t="str">
        <f>IFERROR(INDEX(Movimientos!$D$2:$D$1994,MATCH(A133&amp;"ENTRADA",Movimientos!$R$2:$R$1994,0)),"-")</f>
        <v>-</v>
      </c>
      <c r="D133" s="2" t="str">
        <f>IFERROR(INDEX(Movimientos!$E$2:$E$1994,MATCH(A133&amp;"ENTRADA",Movimientos!$R$2:$R$1994,0)),"-")</f>
        <v>-</v>
      </c>
      <c r="E133" s="2" t="str">
        <f>IFERROR(INDEX(Movimientos!$F$2:$F$1994,MATCH(A133&amp;"ENTRADA",Movimientos!$R$2:$R$1994,0)),"-")</f>
        <v>-</v>
      </c>
      <c r="F133" s="2" t="str">
        <f>IFERROR(INDEX(Movimientos!$G$2:$G$1994,MATCH(A133&amp;"ENTRADA",Movimientos!$R$2:$R$1994,0)),"-")</f>
        <v>-</v>
      </c>
      <c r="G133" s="2" t="str">
        <f>IFERROR(INDEX(Movimientos!$L$2:$L$1994,MATCH(A133&amp;"ENTRADA",Movimientos!$R$2:$R$1994,0)),"-")</f>
        <v>-</v>
      </c>
      <c r="H133" s="17" t="str">
        <f>IFERROR(IF(INDEX(Movimientos!$M$2:$M$1994,MATCH(A133&amp;"ENTRADA",Movimientos!$R$2:$R$1994,0))=0,"S/D",INDEX(Movimientos!$M$2:$M$1994,MATCH(A133&amp;"ENTRADA",Movimientos!$R$2:$R$1994,0))),"S/D")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2409</v>
      </c>
      <c r="B134" s="2" t="str">
        <f>IFERROR(INDEX(Movimientos!$C$2:$C$1994,MATCH(A134&amp;"ENTRADA",Movimientos!$R$2:$R$1994,0)),"-")</f>
        <v>-</v>
      </c>
      <c r="C134" s="2" t="str">
        <f>IFERROR(INDEX(Movimientos!$D$2:$D$1994,MATCH(A134&amp;"ENTRADA",Movimientos!$R$2:$R$1994,0)),"-")</f>
        <v>-</v>
      </c>
      <c r="D134" s="2" t="str">
        <f>IFERROR(INDEX(Movimientos!$E$2:$E$1994,MATCH(A134&amp;"ENTRADA",Movimientos!$R$2:$R$1994,0)),"-")</f>
        <v>-</v>
      </c>
      <c r="E134" s="2" t="str">
        <f>IFERROR(INDEX(Movimientos!$F$2:$F$1994,MATCH(A134&amp;"ENTRADA",Movimientos!$R$2:$R$1994,0)),"-")</f>
        <v>-</v>
      </c>
      <c r="F134" s="2" t="str">
        <f>IFERROR(INDEX(Movimientos!$G$2:$G$1994,MATCH(A134&amp;"ENTRADA",Movimientos!$R$2:$R$1994,0)),"-")</f>
        <v>-</v>
      </c>
      <c r="G134" s="2" t="str">
        <f>IFERROR(INDEX(Movimientos!$L$2:$L$1994,MATCH(A134&amp;"ENTRADA",Movimientos!$R$2:$R$1994,0)),"-")</f>
        <v>-</v>
      </c>
      <c r="H134" s="17" t="str">
        <f>IFERROR(IF(INDEX(Movimientos!$M$2:$M$1994,MATCH(A134&amp;"ENTRADA",Movimientos!$R$2:$R$1994,0))=0,"S/D",INDEX(Movimientos!$M$2:$M$1994,MATCH(A134&amp;"ENTRADA",Movimientos!$R$2:$R$1994,0))),"S/D")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2410</v>
      </c>
      <c r="B135" s="2" t="str">
        <f>IFERROR(INDEX(Movimientos!$C$2:$C$1994,MATCH(A135&amp;"ENTRADA",Movimientos!$R$2:$R$1994,0)),"-")</f>
        <v>-</v>
      </c>
      <c r="C135" s="2" t="str">
        <f>IFERROR(INDEX(Movimientos!$D$2:$D$1994,MATCH(A135&amp;"ENTRADA",Movimientos!$R$2:$R$1994,0)),"-")</f>
        <v>-</v>
      </c>
      <c r="D135" s="2" t="str">
        <f>IFERROR(INDEX(Movimientos!$E$2:$E$1994,MATCH(A135&amp;"ENTRADA",Movimientos!$R$2:$R$1994,0)),"-")</f>
        <v>-</v>
      </c>
      <c r="E135" s="2" t="str">
        <f>IFERROR(INDEX(Movimientos!$F$2:$F$1994,MATCH(A135&amp;"ENTRADA",Movimientos!$R$2:$R$1994,0)),"-")</f>
        <v>-</v>
      </c>
      <c r="F135" s="2" t="str">
        <f>IFERROR(INDEX(Movimientos!$G$2:$G$1994,MATCH(A135&amp;"ENTRADA",Movimientos!$R$2:$R$1994,0)),"-")</f>
        <v>-</v>
      </c>
      <c r="G135" s="2" t="str">
        <f>IFERROR(INDEX(Movimientos!$L$2:$L$1994,MATCH(A135&amp;"ENTRADA",Movimientos!$R$2:$R$1994,0)),"-")</f>
        <v>-</v>
      </c>
      <c r="H135" s="17" t="str">
        <f>IFERROR(IF(INDEX(Movimientos!$M$2:$M$1994,MATCH(A135&amp;"ENTRADA",Movimientos!$R$2:$R$1994,0))=0,"S/D",INDEX(Movimientos!$M$2:$M$1994,MATCH(A135&amp;"ENTRADA",Movimientos!$R$2:$R$1994,0))),"S/D")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2411</v>
      </c>
      <c r="B136" s="2" t="str">
        <f>IFERROR(INDEX(Movimientos!$C$2:$C$1994,MATCH(A136&amp;"ENTRADA",Movimientos!$R$2:$R$1994,0)),"-")</f>
        <v>-</v>
      </c>
      <c r="C136" s="2" t="str">
        <f>IFERROR(INDEX(Movimientos!$D$2:$D$1994,MATCH(A136&amp;"ENTRADA",Movimientos!$R$2:$R$1994,0)),"-")</f>
        <v>-</v>
      </c>
      <c r="D136" s="2" t="str">
        <f>IFERROR(INDEX(Movimientos!$E$2:$E$1994,MATCH(A136&amp;"ENTRADA",Movimientos!$R$2:$R$1994,0)),"-")</f>
        <v>-</v>
      </c>
      <c r="E136" s="2" t="str">
        <f>IFERROR(INDEX(Movimientos!$F$2:$F$1994,MATCH(A136&amp;"ENTRADA",Movimientos!$R$2:$R$1994,0)),"-")</f>
        <v>-</v>
      </c>
      <c r="F136" s="2" t="str">
        <f>IFERROR(INDEX(Movimientos!$G$2:$G$1994,MATCH(A136&amp;"ENTRADA",Movimientos!$R$2:$R$1994,0)),"-")</f>
        <v>-</v>
      </c>
      <c r="G136" s="2" t="str">
        <f>IFERROR(INDEX(Movimientos!$L$2:$L$1994,MATCH(A136&amp;"ENTRADA",Movimientos!$R$2:$R$1994,0)),"-")</f>
        <v>-</v>
      </c>
      <c r="H136" s="17" t="str">
        <f>IFERROR(IF(INDEX(Movimientos!$M$2:$M$1994,MATCH(A136&amp;"ENTRADA",Movimientos!$R$2:$R$1994,0))=0,"S/D",INDEX(Movimientos!$M$2:$M$1994,MATCH(A136&amp;"ENTRADA",Movimientos!$R$2:$R$1994,0))),"S/D")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2412</v>
      </c>
      <c r="B137" s="2" t="str">
        <f>IFERROR(INDEX(Movimientos!$C$2:$C$1994,MATCH(A137&amp;"ENTRADA",Movimientos!$R$2:$R$1994,0)),"-")</f>
        <v>-</v>
      </c>
      <c r="C137" s="2" t="str">
        <f>IFERROR(INDEX(Movimientos!$D$2:$D$1994,MATCH(A137&amp;"ENTRADA",Movimientos!$R$2:$R$1994,0)),"-")</f>
        <v>-</v>
      </c>
      <c r="D137" s="2" t="str">
        <f>IFERROR(INDEX(Movimientos!$E$2:$E$1994,MATCH(A137&amp;"ENTRADA",Movimientos!$R$2:$R$1994,0)),"-")</f>
        <v>-</v>
      </c>
      <c r="E137" s="2" t="str">
        <f>IFERROR(INDEX(Movimientos!$F$2:$F$1994,MATCH(A137&amp;"ENTRADA",Movimientos!$R$2:$R$1994,0)),"-")</f>
        <v>-</v>
      </c>
      <c r="F137" s="2" t="str">
        <f>IFERROR(INDEX(Movimientos!$G$2:$G$1994,MATCH(A137&amp;"ENTRADA",Movimientos!$R$2:$R$1994,0)),"-")</f>
        <v>-</v>
      </c>
      <c r="G137" s="2" t="str">
        <f>IFERROR(INDEX(Movimientos!$L$2:$L$1994,MATCH(A137&amp;"ENTRADA",Movimientos!$R$2:$R$1994,0)),"-")</f>
        <v>-</v>
      </c>
      <c r="H137" s="17" t="str">
        <f>IFERROR(IF(INDEX(Movimientos!$M$2:$M$1994,MATCH(A137&amp;"ENTRADA",Movimientos!$R$2:$R$1994,0))=0,"S/D",INDEX(Movimientos!$M$2:$M$1994,MATCH(A137&amp;"ENTRADA",Movimientos!$R$2:$R$1994,0))),"S/D")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2413</v>
      </c>
      <c r="B138" s="2" t="str">
        <f>IFERROR(INDEX(Movimientos!$C$2:$C$1994,MATCH(A138&amp;"ENTRADA",Movimientos!$R$2:$R$1994,0)),"-")</f>
        <v>-</v>
      </c>
      <c r="C138" s="2" t="str">
        <f>IFERROR(INDEX(Movimientos!$D$2:$D$1994,MATCH(A138&amp;"ENTRADA",Movimientos!$R$2:$R$1994,0)),"-")</f>
        <v>-</v>
      </c>
      <c r="D138" s="2" t="str">
        <f>IFERROR(INDEX(Movimientos!$E$2:$E$1994,MATCH(A138&amp;"ENTRADA",Movimientos!$R$2:$R$1994,0)),"-")</f>
        <v>-</v>
      </c>
      <c r="E138" s="2" t="str">
        <f>IFERROR(INDEX(Movimientos!$F$2:$F$1994,MATCH(A138&amp;"ENTRADA",Movimientos!$R$2:$R$1994,0)),"-")</f>
        <v>-</v>
      </c>
      <c r="F138" s="2" t="str">
        <f>IFERROR(INDEX(Movimientos!$G$2:$G$1994,MATCH(A138&amp;"ENTRADA",Movimientos!$R$2:$R$1994,0)),"-")</f>
        <v>-</v>
      </c>
      <c r="G138" s="2" t="str">
        <f>IFERROR(INDEX(Movimientos!$L$2:$L$1994,MATCH(A138&amp;"ENTRADA",Movimientos!$R$2:$R$1994,0)),"-")</f>
        <v>-</v>
      </c>
      <c r="H138" s="17" t="str">
        <f>IFERROR(IF(INDEX(Movimientos!$M$2:$M$1994,MATCH(A138&amp;"ENTRADA",Movimientos!$R$2:$R$1994,0))=0,"S/D",INDEX(Movimientos!$M$2:$M$1994,MATCH(A138&amp;"ENTRADA",Movimientos!$R$2:$R$1994,0))),"S/D")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2414</v>
      </c>
      <c r="B139" s="2" t="str">
        <f>IFERROR(INDEX(Movimientos!$C$2:$C$1994,MATCH(A139&amp;"ENTRADA",Movimientos!$R$2:$R$1994,0)),"-")</f>
        <v>-</v>
      </c>
      <c r="C139" s="2" t="str">
        <f>IFERROR(INDEX(Movimientos!$D$2:$D$1994,MATCH(A139&amp;"ENTRADA",Movimientos!$R$2:$R$1994,0)),"-")</f>
        <v>-</v>
      </c>
      <c r="D139" s="2" t="str">
        <f>IFERROR(INDEX(Movimientos!$E$2:$E$1994,MATCH(A139&amp;"ENTRADA",Movimientos!$R$2:$R$1994,0)),"-")</f>
        <v>-</v>
      </c>
      <c r="E139" s="2" t="str">
        <f>IFERROR(INDEX(Movimientos!$F$2:$F$1994,MATCH(A139&amp;"ENTRADA",Movimientos!$R$2:$R$1994,0)),"-")</f>
        <v>-</v>
      </c>
      <c r="F139" s="2" t="str">
        <f>IFERROR(INDEX(Movimientos!$G$2:$G$1994,MATCH(A139&amp;"ENTRADA",Movimientos!$R$2:$R$1994,0)),"-")</f>
        <v>-</v>
      </c>
      <c r="G139" s="2" t="str">
        <f>IFERROR(INDEX(Movimientos!$L$2:$L$1994,MATCH(A139&amp;"ENTRADA",Movimientos!$R$2:$R$1994,0)),"-")</f>
        <v>-</v>
      </c>
      <c r="H139" s="17" t="str">
        <f>IFERROR(IF(INDEX(Movimientos!$M$2:$M$1994,MATCH(A139&amp;"ENTRADA",Movimientos!$R$2:$R$1994,0))=0,"S/D",INDEX(Movimientos!$M$2:$M$1994,MATCH(A139&amp;"ENTRADA",Movimientos!$R$2:$R$1994,0))),"S/D")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2415</v>
      </c>
      <c r="B140" s="2" t="str">
        <f>IFERROR(INDEX(Movimientos!$C$2:$C$1994,MATCH(A140&amp;"ENTRADA",Movimientos!$R$2:$R$1994,0)),"-")</f>
        <v>-</v>
      </c>
      <c r="C140" s="2" t="str">
        <f>IFERROR(INDEX(Movimientos!$D$2:$D$1994,MATCH(A140&amp;"ENTRADA",Movimientos!$R$2:$R$1994,0)),"-")</f>
        <v>-</v>
      </c>
      <c r="D140" s="2" t="str">
        <f>IFERROR(INDEX(Movimientos!$E$2:$E$1994,MATCH(A140&amp;"ENTRADA",Movimientos!$R$2:$R$1994,0)),"-")</f>
        <v>-</v>
      </c>
      <c r="E140" s="2" t="str">
        <f>IFERROR(INDEX(Movimientos!$F$2:$F$1994,MATCH(A140&amp;"ENTRADA",Movimientos!$R$2:$R$1994,0)),"-")</f>
        <v>-</v>
      </c>
      <c r="F140" s="2" t="str">
        <f>IFERROR(INDEX(Movimientos!$G$2:$G$1994,MATCH(A140&amp;"ENTRADA",Movimientos!$R$2:$R$1994,0)),"-")</f>
        <v>-</v>
      </c>
      <c r="G140" s="2" t="str">
        <f>IFERROR(INDEX(Movimientos!$L$2:$L$1994,MATCH(A140&amp;"ENTRADA",Movimientos!$R$2:$R$1994,0)),"-")</f>
        <v>-</v>
      </c>
      <c r="H140" s="17" t="str">
        <f>IFERROR(IF(INDEX(Movimientos!$M$2:$M$1994,MATCH(A140&amp;"ENTRADA",Movimientos!$R$2:$R$1994,0))=0,"S/D",INDEX(Movimientos!$M$2:$M$1994,MATCH(A140&amp;"ENTRADA",Movimientos!$R$2:$R$1994,0))),"S/D")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2416</v>
      </c>
      <c r="B141" s="2" t="str">
        <f>IFERROR(INDEX(Movimientos!$C$2:$C$1994,MATCH(A141&amp;"ENTRADA",Movimientos!$R$2:$R$1994,0)),"-")</f>
        <v>-</v>
      </c>
      <c r="C141" s="2" t="str">
        <f>IFERROR(INDEX(Movimientos!$D$2:$D$1994,MATCH(A141&amp;"ENTRADA",Movimientos!$R$2:$R$1994,0)),"-")</f>
        <v>-</v>
      </c>
      <c r="D141" s="2" t="str">
        <f>IFERROR(INDEX(Movimientos!$E$2:$E$1994,MATCH(A141&amp;"ENTRADA",Movimientos!$R$2:$R$1994,0)),"-")</f>
        <v>-</v>
      </c>
      <c r="E141" s="2" t="str">
        <f>IFERROR(INDEX(Movimientos!$F$2:$F$1994,MATCH(A141&amp;"ENTRADA",Movimientos!$R$2:$R$1994,0)),"-")</f>
        <v>-</v>
      </c>
      <c r="F141" s="2" t="str">
        <f>IFERROR(INDEX(Movimientos!$G$2:$G$1994,MATCH(A141&amp;"ENTRADA",Movimientos!$R$2:$R$1994,0)),"-")</f>
        <v>-</v>
      </c>
      <c r="G141" s="2" t="str">
        <f>IFERROR(INDEX(Movimientos!$L$2:$L$1994,MATCH(A141&amp;"ENTRADA",Movimientos!$R$2:$R$1994,0)),"-")</f>
        <v>-</v>
      </c>
      <c r="H141" s="17" t="str">
        <f>IFERROR(IF(INDEX(Movimientos!$M$2:$M$1994,MATCH(A141&amp;"ENTRADA",Movimientos!$R$2:$R$1994,0))=0,"S/D",INDEX(Movimientos!$M$2:$M$1994,MATCH(A141&amp;"ENTRADA",Movimientos!$R$2:$R$1994,0))),"S/D")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2417</v>
      </c>
      <c r="B142" s="2" t="str">
        <f>IFERROR(INDEX(Movimientos!$C$2:$C$1994,MATCH(A142&amp;"ENTRADA",Movimientos!$R$2:$R$1994,0)),"-")</f>
        <v>-</v>
      </c>
      <c r="C142" s="2" t="str">
        <f>IFERROR(INDEX(Movimientos!$D$2:$D$1994,MATCH(A142&amp;"ENTRADA",Movimientos!$R$2:$R$1994,0)),"-")</f>
        <v>-</v>
      </c>
      <c r="D142" s="2" t="str">
        <f>IFERROR(INDEX(Movimientos!$E$2:$E$1994,MATCH(A142&amp;"ENTRADA",Movimientos!$R$2:$R$1994,0)),"-")</f>
        <v>-</v>
      </c>
      <c r="E142" s="2" t="str">
        <f>IFERROR(INDEX(Movimientos!$F$2:$F$1994,MATCH(A142&amp;"ENTRADA",Movimientos!$R$2:$R$1994,0)),"-")</f>
        <v>-</v>
      </c>
      <c r="F142" s="2" t="str">
        <f>IFERROR(INDEX(Movimientos!$G$2:$G$1994,MATCH(A142&amp;"ENTRADA",Movimientos!$R$2:$R$1994,0)),"-")</f>
        <v>-</v>
      </c>
      <c r="G142" s="2" t="str">
        <f>IFERROR(INDEX(Movimientos!$L$2:$L$1994,MATCH(A142&amp;"ENTRADA",Movimientos!$R$2:$R$1994,0)),"-")</f>
        <v>-</v>
      </c>
      <c r="H142" s="17" t="str">
        <f>IFERROR(IF(INDEX(Movimientos!$M$2:$M$1994,MATCH(A142&amp;"ENTRADA",Movimientos!$R$2:$R$1994,0))=0,"S/D",INDEX(Movimientos!$M$2:$M$1994,MATCH(A142&amp;"ENTRADA",Movimientos!$R$2:$R$1994,0))),"S/D")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2418</v>
      </c>
      <c r="B143" s="2" t="str">
        <f>IFERROR(INDEX(Movimientos!$C$2:$C$1994,MATCH(A143&amp;"ENTRADA",Movimientos!$R$2:$R$1994,0)),"-")</f>
        <v>-</v>
      </c>
      <c r="C143" s="2" t="str">
        <f>IFERROR(INDEX(Movimientos!$D$2:$D$1994,MATCH(A143&amp;"ENTRADA",Movimientos!$R$2:$R$1994,0)),"-")</f>
        <v>-</v>
      </c>
      <c r="D143" s="2" t="str">
        <f>IFERROR(INDEX(Movimientos!$E$2:$E$1994,MATCH(A143&amp;"ENTRADA",Movimientos!$R$2:$R$1994,0)),"-")</f>
        <v>-</v>
      </c>
      <c r="E143" s="2" t="str">
        <f>IFERROR(INDEX(Movimientos!$F$2:$F$1994,MATCH(A143&amp;"ENTRADA",Movimientos!$R$2:$R$1994,0)),"-")</f>
        <v>-</v>
      </c>
      <c r="F143" s="2" t="str">
        <f>IFERROR(INDEX(Movimientos!$G$2:$G$1994,MATCH(A143&amp;"ENTRADA",Movimientos!$R$2:$R$1994,0)),"-")</f>
        <v>-</v>
      </c>
      <c r="G143" s="2" t="str">
        <f>IFERROR(INDEX(Movimientos!$L$2:$L$1994,MATCH(A143&amp;"ENTRADA",Movimientos!$R$2:$R$1994,0)),"-")</f>
        <v>-</v>
      </c>
      <c r="H143" s="17" t="str">
        <f>IFERROR(IF(INDEX(Movimientos!$M$2:$M$1994,MATCH(A143&amp;"ENTRADA",Movimientos!$R$2:$R$1994,0))=0,"S/D",INDEX(Movimientos!$M$2:$M$1994,MATCH(A143&amp;"ENTRADA",Movimientos!$R$2:$R$1994,0))),"S/D")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2419</v>
      </c>
      <c r="B144" s="2" t="str">
        <f>IFERROR(INDEX(Movimientos!$C$2:$C$1994,MATCH(A144&amp;"ENTRADA",Movimientos!$R$2:$R$1994,0)),"-")</f>
        <v>-</v>
      </c>
      <c r="C144" s="2" t="str">
        <f>IFERROR(INDEX(Movimientos!$D$2:$D$1994,MATCH(A144&amp;"ENTRADA",Movimientos!$R$2:$R$1994,0)),"-")</f>
        <v>-</v>
      </c>
      <c r="D144" s="2" t="str">
        <f>IFERROR(INDEX(Movimientos!$E$2:$E$1994,MATCH(A144&amp;"ENTRADA",Movimientos!$R$2:$R$1994,0)),"-")</f>
        <v>-</v>
      </c>
      <c r="E144" s="2" t="str">
        <f>IFERROR(INDEX(Movimientos!$F$2:$F$1994,MATCH(A144&amp;"ENTRADA",Movimientos!$R$2:$R$1994,0)),"-")</f>
        <v>-</v>
      </c>
      <c r="F144" s="2" t="str">
        <f>IFERROR(INDEX(Movimientos!$G$2:$G$1994,MATCH(A144&amp;"ENTRADA",Movimientos!$R$2:$R$1994,0)),"-")</f>
        <v>-</v>
      </c>
      <c r="G144" s="2" t="str">
        <f>IFERROR(INDEX(Movimientos!$L$2:$L$1994,MATCH(A144&amp;"ENTRADA",Movimientos!$R$2:$R$1994,0)),"-")</f>
        <v>-</v>
      </c>
      <c r="H144" s="17" t="str">
        <f>IFERROR(IF(INDEX(Movimientos!$M$2:$M$1994,MATCH(A144&amp;"ENTRADA",Movimientos!$R$2:$R$1994,0))=0,"S/D",INDEX(Movimientos!$M$2:$M$1994,MATCH(A144&amp;"ENTRADA",Movimientos!$R$2:$R$1994,0))),"S/D")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2420</v>
      </c>
      <c r="B145" s="2" t="str">
        <f>IFERROR(INDEX(Movimientos!$C$2:$C$1994,MATCH(A145&amp;"ENTRADA",Movimientos!$R$2:$R$1994,0)),"-")</f>
        <v>-</v>
      </c>
      <c r="C145" s="2" t="str">
        <f>IFERROR(INDEX(Movimientos!$D$2:$D$1994,MATCH(A145&amp;"ENTRADA",Movimientos!$R$2:$R$1994,0)),"-")</f>
        <v>-</v>
      </c>
      <c r="D145" s="2" t="str">
        <f>IFERROR(INDEX(Movimientos!$E$2:$E$1994,MATCH(A145&amp;"ENTRADA",Movimientos!$R$2:$R$1994,0)),"-")</f>
        <v>-</v>
      </c>
      <c r="E145" s="2" t="str">
        <f>IFERROR(INDEX(Movimientos!$F$2:$F$1994,MATCH(A145&amp;"ENTRADA",Movimientos!$R$2:$R$1994,0)),"-")</f>
        <v>-</v>
      </c>
      <c r="F145" s="2" t="str">
        <f>IFERROR(INDEX(Movimientos!$G$2:$G$1994,MATCH(A145&amp;"ENTRADA",Movimientos!$R$2:$R$1994,0)),"-")</f>
        <v>-</v>
      </c>
      <c r="G145" s="2" t="str">
        <f>IFERROR(INDEX(Movimientos!$L$2:$L$1994,MATCH(A145&amp;"ENTRADA",Movimientos!$R$2:$R$1994,0)),"-")</f>
        <v>-</v>
      </c>
      <c r="H145" s="17" t="str">
        <f>IFERROR(IF(INDEX(Movimientos!$M$2:$M$1994,MATCH(A145&amp;"ENTRADA",Movimientos!$R$2:$R$1994,0))=0,"S/D",INDEX(Movimientos!$M$2:$M$1994,MATCH(A145&amp;"ENTRADA",Movimientos!$R$2:$R$1994,0))),"S/D")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2421</v>
      </c>
      <c r="B146" s="2" t="str">
        <f>IFERROR(INDEX(Movimientos!$C$2:$C$1994,MATCH(A146&amp;"ENTRADA",Movimientos!$R$2:$R$1994,0)),"-")</f>
        <v>-</v>
      </c>
      <c r="C146" s="2" t="str">
        <f>IFERROR(INDEX(Movimientos!$D$2:$D$1994,MATCH(A146&amp;"ENTRADA",Movimientos!$R$2:$R$1994,0)),"-")</f>
        <v>-</v>
      </c>
      <c r="D146" s="2" t="str">
        <f>IFERROR(INDEX(Movimientos!$E$2:$E$1994,MATCH(A146&amp;"ENTRADA",Movimientos!$R$2:$R$1994,0)),"-")</f>
        <v>-</v>
      </c>
      <c r="E146" s="2" t="str">
        <f>IFERROR(INDEX(Movimientos!$F$2:$F$1994,MATCH(A146&amp;"ENTRADA",Movimientos!$R$2:$R$1994,0)),"-")</f>
        <v>-</v>
      </c>
      <c r="F146" s="2" t="str">
        <f>IFERROR(INDEX(Movimientos!$G$2:$G$1994,MATCH(A146&amp;"ENTRADA",Movimientos!$R$2:$R$1994,0)),"-")</f>
        <v>-</v>
      </c>
      <c r="G146" s="2" t="str">
        <f>IFERROR(INDEX(Movimientos!$L$2:$L$1994,MATCH(A146&amp;"ENTRADA",Movimientos!$R$2:$R$1994,0)),"-")</f>
        <v>-</v>
      </c>
      <c r="H146" s="17" t="str">
        <f>IFERROR(IF(INDEX(Movimientos!$M$2:$M$1994,MATCH(A146&amp;"ENTRADA",Movimientos!$R$2:$R$1994,0))=0,"S/D",INDEX(Movimientos!$M$2:$M$1994,MATCH(A146&amp;"ENTRADA",Movimientos!$R$2:$R$1994,0))),"S/D")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2422</v>
      </c>
      <c r="B147" s="2" t="str">
        <f>IFERROR(INDEX(Movimientos!$C$2:$C$1994,MATCH(A147&amp;"ENTRADA",Movimientos!$R$2:$R$1994,0)),"-")</f>
        <v>-</v>
      </c>
      <c r="C147" s="2" t="str">
        <f>IFERROR(INDEX(Movimientos!$D$2:$D$1994,MATCH(A147&amp;"ENTRADA",Movimientos!$R$2:$R$1994,0)),"-")</f>
        <v>-</v>
      </c>
      <c r="D147" s="2" t="str">
        <f>IFERROR(INDEX(Movimientos!$E$2:$E$1994,MATCH(A147&amp;"ENTRADA",Movimientos!$R$2:$R$1994,0)),"-")</f>
        <v>-</v>
      </c>
      <c r="E147" s="2" t="str">
        <f>IFERROR(INDEX(Movimientos!$F$2:$F$1994,MATCH(A147&amp;"ENTRADA",Movimientos!$R$2:$R$1994,0)),"-")</f>
        <v>-</v>
      </c>
      <c r="F147" s="2" t="str">
        <f>IFERROR(INDEX(Movimientos!$G$2:$G$1994,MATCH(A147&amp;"ENTRADA",Movimientos!$R$2:$R$1994,0)),"-")</f>
        <v>-</v>
      </c>
      <c r="G147" s="2" t="str">
        <f>IFERROR(INDEX(Movimientos!$L$2:$L$1994,MATCH(A147&amp;"ENTRADA",Movimientos!$R$2:$R$1994,0)),"-")</f>
        <v>-</v>
      </c>
      <c r="H147" s="17" t="str">
        <f>IFERROR(IF(INDEX(Movimientos!$M$2:$M$1994,MATCH(A147&amp;"ENTRADA",Movimientos!$R$2:$R$1994,0))=0,"S/D",INDEX(Movimientos!$M$2:$M$1994,MATCH(A147&amp;"ENTRADA",Movimientos!$R$2:$R$1994,0))),"S/D")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2423</v>
      </c>
      <c r="B148" s="2" t="str">
        <f>IFERROR(INDEX(Movimientos!$C$2:$C$1994,MATCH(A148&amp;"ENTRADA",Movimientos!$R$2:$R$1994,0)),"-")</f>
        <v>-</v>
      </c>
      <c r="C148" s="2" t="str">
        <f>IFERROR(INDEX(Movimientos!$D$2:$D$1994,MATCH(A148&amp;"ENTRADA",Movimientos!$R$2:$R$1994,0)),"-")</f>
        <v>-</v>
      </c>
      <c r="D148" s="2" t="str">
        <f>IFERROR(INDEX(Movimientos!$E$2:$E$1994,MATCH(A148&amp;"ENTRADA",Movimientos!$R$2:$R$1994,0)),"-")</f>
        <v>-</v>
      </c>
      <c r="E148" s="2" t="str">
        <f>IFERROR(INDEX(Movimientos!$F$2:$F$1994,MATCH(A148&amp;"ENTRADA",Movimientos!$R$2:$R$1994,0)),"-")</f>
        <v>-</v>
      </c>
      <c r="F148" s="2" t="str">
        <f>IFERROR(INDEX(Movimientos!$G$2:$G$1994,MATCH(A148&amp;"ENTRADA",Movimientos!$R$2:$R$1994,0)),"-")</f>
        <v>-</v>
      </c>
      <c r="G148" s="2" t="str">
        <f>IFERROR(INDEX(Movimientos!$L$2:$L$1994,MATCH(A148&amp;"ENTRADA",Movimientos!$R$2:$R$1994,0)),"-")</f>
        <v>-</v>
      </c>
      <c r="H148" s="17" t="str">
        <f>IFERROR(IF(INDEX(Movimientos!$M$2:$M$1994,MATCH(A148&amp;"ENTRADA",Movimientos!$R$2:$R$1994,0))=0,"S/D",INDEX(Movimientos!$M$2:$M$1994,MATCH(A148&amp;"ENTRADA",Movimientos!$R$2:$R$1994,0))),"S/D")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2424</v>
      </c>
      <c r="B149" s="2" t="str">
        <f>IFERROR(INDEX(Movimientos!$C$2:$C$1994,MATCH(A149&amp;"ENTRADA",Movimientos!$R$2:$R$1994,0)),"-")</f>
        <v>-</v>
      </c>
      <c r="C149" s="2" t="str">
        <f>IFERROR(INDEX(Movimientos!$D$2:$D$1994,MATCH(A149&amp;"ENTRADA",Movimientos!$R$2:$R$1994,0)),"-")</f>
        <v>-</v>
      </c>
      <c r="D149" s="2" t="str">
        <f>IFERROR(INDEX(Movimientos!$E$2:$E$1994,MATCH(A149&amp;"ENTRADA",Movimientos!$R$2:$R$1994,0)),"-")</f>
        <v>-</v>
      </c>
      <c r="E149" s="2" t="str">
        <f>IFERROR(INDEX(Movimientos!$F$2:$F$1994,MATCH(A149&amp;"ENTRADA",Movimientos!$R$2:$R$1994,0)),"-")</f>
        <v>-</v>
      </c>
      <c r="F149" s="2" t="str">
        <f>IFERROR(INDEX(Movimientos!$G$2:$G$1994,MATCH(A149&amp;"ENTRADA",Movimientos!$R$2:$R$1994,0)),"-")</f>
        <v>-</v>
      </c>
      <c r="G149" s="2" t="str">
        <f>IFERROR(INDEX(Movimientos!$L$2:$L$1994,MATCH(A149&amp;"ENTRADA",Movimientos!$R$2:$R$1994,0)),"-")</f>
        <v>-</v>
      </c>
      <c r="H149" s="17" t="str">
        <f>IFERROR(IF(INDEX(Movimientos!$M$2:$M$1994,MATCH(A149&amp;"ENTRADA",Movimientos!$R$2:$R$1994,0))=0,"S/D",INDEX(Movimientos!$M$2:$M$1994,MATCH(A149&amp;"ENTRADA",Movimientos!$R$2:$R$1994,0))),"S/D")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2425</v>
      </c>
      <c r="B150" s="2" t="str">
        <f>IFERROR(INDEX(Movimientos!$C$2:$C$1994,MATCH(A150&amp;"ENTRADA",Movimientos!$R$2:$R$1994,0)),"-")</f>
        <v>-</v>
      </c>
      <c r="C150" s="2" t="str">
        <f>IFERROR(INDEX(Movimientos!$D$2:$D$1994,MATCH(A150&amp;"ENTRADA",Movimientos!$R$2:$R$1994,0)),"-")</f>
        <v>-</v>
      </c>
      <c r="D150" s="2" t="str">
        <f>IFERROR(INDEX(Movimientos!$E$2:$E$1994,MATCH(A150&amp;"ENTRADA",Movimientos!$R$2:$R$1994,0)),"-")</f>
        <v>-</v>
      </c>
      <c r="E150" s="2" t="str">
        <f>IFERROR(INDEX(Movimientos!$F$2:$F$1994,MATCH(A150&amp;"ENTRADA",Movimientos!$R$2:$R$1994,0)),"-")</f>
        <v>-</v>
      </c>
      <c r="F150" s="2" t="str">
        <f>IFERROR(INDEX(Movimientos!$G$2:$G$1994,MATCH(A150&amp;"ENTRADA",Movimientos!$R$2:$R$1994,0)),"-")</f>
        <v>-</v>
      </c>
      <c r="G150" s="2" t="str">
        <f>IFERROR(INDEX(Movimientos!$L$2:$L$1994,MATCH(A150&amp;"ENTRADA",Movimientos!$R$2:$R$1994,0)),"-")</f>
        <v>-</v>
      </c>
      <c r="H150" s="17" t="str">
        <f>IFERROR(IF(INDEX(Movimientos!$M$2:$M$1994,MATCH(A150&amp;"ENTRADA",Movimientos!$R$2:$R$1994,0))=0,"S/D",INDEX(Movimientos!$M$2:$M$1994,MATCH(A150&amp;"ENTRADA",Movimientos!$R$2:$R$1994,0))),"S/D")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2426</v>
      </c>
      <c r="B151" s="2" t="str">
        <f>IFERROR(INDEX(Movimientos!$C$2:$C$1994,MATCH(A151&amp;"ENTRADA",Movimientos!$R$2:$R$1994,0)),"-")</f>
        <v>-</v>
      </c>
      <c r="C151" s="2" t="str">
        <f>IFERROR(INDEX(Movimientos!$D$2:$D$1994,MATCH(A151&amp;"ENTRADA",Movimientos!$R$2:$R$1994,0)),"-")</f>
        <v>-</v>
      </c>
      <c r="D151" s="2" t="str">
        <f>IFERROR(INDEX(Movimientos!$E$2:$E$1994,MATCH(A151&amp;"ENTRADA",Movimientos!$R$2:$R$1994,0)),"-")</f>
        <v>-</v>
      </c>
      <c r="E151" s="2" t="str">
        <f>IFERROR(INDEX(Movimientos!$F$2:$F$1994,MATCH(A151&amp;"ENTRADA",Movimientos!$R$2:$R$1994,0)),"-")</f>
        <v>-</v>
      </c>
      <c r="F151" s="2" t="str">
        <f>IFERROR(INDEX(Movimientos!$G$2:$G$1994,MATCH(A151&amp;"ENTRADA",Movimientos!$R$2:$R$1994,0)),"-")</f>
        <v>-</v>
      </c>
      <c r="G151" s="2" t="str">
        <f>IFERROR(INDEX(Movimientos!$L$2:$L$1994,MATCH(A151&amp;"ENTRADA",Movimientos!$R$2:$R$1994,0)),"-")</f>
        <v>-</v>
      </c>
      <c r="H151" s="17" t="str">
        <f>IFERROR(IF(INDEX(Movimientos!$M$2:$M$1994,MATCH(A151&amp;"ENTRADA",Movimientos!$R$2:$R$1994,0))=0,"S/D",INDEX(Movimientos!$M$2:$M$1994,MATCH(A151&amp;"ENTRADA",Movimientos!$R$2:$R$1994,0))),"S/D")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2427</v>
      </c>
      <c r="B152" s="2" t="str">
        <f>IFERROR(INDEX(Movimientos!$C$2:$C$1994,MATCH(A152&amp;"ENTRADA",Movimientos!$R$2:$R$1994,0)),"-")</f>
        <v>-</v>
      </c>
      <c r="C152" s="2" t="str">
        <f>IFERROR(INDEX(Movimientos!$D$2:$D$1994,MATCH(A152&amp;"ENTRADA",Movimientos!$R$2:$R$1994,0)),"-")</f>
        <v>-</v>
      </c>
      <c r="D152" s="2" t="str">
        <f>IFERROR(INDEX(Movimientos!$E$2:$E$1994,MATCH(A152&amp;"ENTRADA",Movimientos!$R$2:$R$1994,0)),"-")</f>
        <v>-</v>
      </c>
      <c r="E152" s="2" t="str">
        <f>IFERROR(INDEX(Movimientos!$F$2:$F$1994,MATCH(A152&amp;"ENTRADA",Movimientos!$R$2:$R$1994,0)),"-")</f>
        <v>-</v>
      </c>
      <c r="F152" s="2" t="str">
        <f>IFERROR(INDEX(Movimientos!$G$2:$G$1994,MATCH(A152&amp;"ENTRADA",Movimientos!$R$2:$R$1994,0)),"-")</f>
        <v>-</v>
      </c>
      <c r="G152" s="2" t="str">
        <f>IFERROR(INDEX(Movimientos!$L$2:$L$1994,MATCH(A152&amp;"ENTRADA",Movimientos!$R$2:$R$1994,0)),"-")</f>
        <v>-</v>
      </c>
      <c r="H152" s="17" t="str">
        <f>IFERROR(IF(INDEX(Movimientos!$M$2:$M$1994,MATCH(A152&amp;"ENTRADA",Movimientos!$R$2:$R$1994,0))=0,"S/D",INDEX(Movimientos!$M$2:$M$1994,MATCH(A152&amp;"ENTRADA",Movimientos!$R$2:$R$1994,0))),"S/D")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2428</v>
      </c>
      <c r="B153" s="2" t="str">
        <f>IFERROR(INDEX(Movimientos!$C$2:$C$1994,MATCH(A153&amp;"ENTRADA",Movimientos!$R$2:$R$1994,0)),"-")</f>
        <v>-</v>
      </c>
      <c r="C153" s="2" t="str">
        <f>IFERROR(INDEX(Movimientos!$D$2:$D$1994,MATCH(A153&amp;"ENTRADA",Movimientos!$R$2:$R$1994,0)),"-")</f>
        <v>-</v>
      </c>
      <c r="D153" s="2" t="str">
        <f>IFERROR(INDEX(Movimientos!$E$2:$E$1994,MATCH(A153&amp;"ENTRADA",Movimientos!$R$2:$R$1994,0)),"-")</f>
        <v>-</v>
      </c>
      <c r="E153" s="2" t="str">
        <f>IFERROR(INDEX(Movimientos!$F$2:$F$1994,MATCH(A153&amp;"ENTRADA",Movimientos!$R$2:$R$1994,0)),"-")</f>
        <v>-</v>
      </c>
      <c r="F153" s="2" t="str">
        <f>IFERROR(INDEX(Movimientos!$G$2:$G$1994,MATCH(A153&amp;"ENTRADA",Movimientos!$R$2:$R$1994,0)),"-")</f>
        <v>-</v>
      </c>
      <c r="G153" s="2" t="str">
        <f>IFERROR(INDEX(Movimientos!$L$2:$L$1994,MATCH(A153&amp;"ENTRADA",Movimientos!$R$2:$R$1994,0)),"-")</f>
        <v>-</v>
      </c>
      <c r="H153" s="17" t="str">
        <f>IFERROR(IF(INDEX(Movimientos!$M$2:$M$1994,MATCH(A153&amp;"ENTRADA",Movimientos!$R$2:$R$1994,0))=0,"S/D",INDEX(Movimientos!$M$2:$M$1994,MATCH(A153&amp;"ENTRADA",Movimientos!$R$2:$R$1994,0))),"S/D")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2429</v>
      </c>
      <c r="B154" s="2" t="str">
        <f>IFERROR(INDEX(Movimientos!$C$2:$C$1994,MATCH(A154&amp;"ENTRADA",Movimientos!$R$2:$R$1994,0)),"-")</f>
        <v>-</v>
      </c>
      <c r="C154" s="2" t="str">
        <f>IFERROR(INDEX(Movimientos!$D$2:$D$1994,MATCH(A154&amp;"ENTRADA",Movimientos!$R$2:$R$1994,0)),"-")</f>
        <v>-</v>
      </c>
      <c r="D154" s="2" t="str">
        <f>IFERROR(INDEX(Movimientos!$E$2:$E$1994,MATCH(A154&amp;"ENTRADA",Movimientos!$R$2:$R$1994,0)),"-")</f>
        <v>-</v>
      </c>
      <c r="E154" s="2" t="str">
        <f>IFERROR(INDEX(Movimientos!$F$2:$F$1994,MATCH(A154&amp;"ENTRADA",Movimientos!$R$2:$R$1994,0)),"-")</f>
        <v>-</v>
      </c>
      <c r="F154" s="2" t="str">
        <f>IFERROR(INDEX(Movimientos!$G$2:$G$1994,MATCH(A154&amp;"ENTRADA",Movimientos!$R$2:$R$1994,0)),"-")</f>
        <v>-</v>
      </c>
      <c r="G154" s="2" t="str">
        <f>IFERROR(INDEX(Movimientos!$L$2:$L$1994,MATCH(A154&amp;"ENTRADA",Movimientos!$R$2:$R$1994,0)),"-")</f>
        <v>-</v>
      </c>
      <c r="H154" s="17" t="str">
        <f>IFERROR(IF(INDEX(Movimientos!$M$2:$M$1994,MATCH(A154&amp;"ENTRADA",Movimientos!$R$2:$R$1994,0))=0,"S/D",INDEX(Movimientos!$M$2:$M$1994,MATCH(A154&amp;"ENTRADA",Movimientos!$R$2:$R$1994,0))),"S/D")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2430</v>
      </c>
      <c r="B155" s="2" t="str">
        <f>IFERROR(INDEX(Movimientos!$C$2:$C$1994,MATCH(A155&amp;"ENTRADA",Movimientos!$R$2:$R$1994,0)),"-")</f>
        <v>-</v>
      </c>
      <c r="C155" s="2" t="str">
        <f>IFERROR(INDEX(Movimientos!$D$2:$D$1994,MATCH(A155&amp;"ENTRADA",Movimientos!$R$2:$R$1994,0)),"-")</f>
        <v>-</v>
      </c>
      <c r="D155" s="2" t="str">
        <f>IFERROR(INDEX(Movimientos!$E$2:$E$1994,MATCH(A155&amp;"ENTRADA",Movimientos!$R$2:$R$1994,0)),"-")</f>
        <v>-</v>
      </c>
      <c r="E155" s="2" t="str">
        <f>IFERROR(INDEX(Movimientos!$F$2:$F$1994,MATCH(A155&amp;"ENTRADA",Movimientos!$R$2:$R$1994,0)),"-")</f>
        <v>-</v>
      </c>
      <c r="F155" s="2" t="str">
        <f>IFERROR(INDEX(Movimientos!$G$2:$G$1994,MATCH(A155&amp;"ENTRADA",Movimientos!$R$2:$R$1994,0)),"-")</f>
        <v>-</v>
      </c>
      <c r="G155" s="2" t="str">
        <f>IFERROR(INDEX(Movimientos!$L$2:$L$1994,MATCH(A155&amp;"ENTRADA",Movimientos!$R$2:$R$1994,0)),"-")</f>
        <v>-</v>
      </c>
      <c r="H155" s="17" t="str">
        <f>IFERROR(IF(INDEX(Movimientos!$M$2:$M$1994,MATCH(A155&amp;"ENTRADA",Movimientos!$R$2:$R$1994,0))=0,"S/D",INDEX(Movimientos!$M$2:$M$1994,MATCH(A155&amp;"ENTRADA",Movimientos!$R$2:$R$1994,0))),"S/D")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2431</v>
      </c>
      <c r="B156" s="2" t="str">
        <f>IFERROR(INDEX(Movimientos!$C$2:$C$1994,MATCH(A156&amp;"ENTRADA",Movimientos!$R$2:$R$1994,0)),"-")</f>
        <v>-</v>
      </c>
      <c r="C156" s="2" t="str">
        <f>IFERROR(INDEX(Movimientos!$D$2:$D$1994,MATCH(A156&amp;"ENTRADA",Movimientos!$R$2:$R$1994,0)),"-")</f>
        <v>-</v>
      </c>
      <c r="D156" s="2" t="str">
        <f>IFERROR(INDEX(Movimientos!$E$2:$E$1994,MATCH(A156&amp;"ENTRADA",Movimientos!$R$2:$R$1994,0)),"-")</f>
        <v>-</v>
      </c>
      <c r="E156" s="2" t="str">
        <f>IFERROR(INDEX(Movimientos!$F$2:$F$1994,MATCH(A156&amp;"ENTRADA",Movimientos!$R$2:$R$1994,0)),"-")</f>
        <v>-</v>
      </c>
      <c r="F156" s="2" t="str">
        <f>IFERROR(INDEX(Movimientos!$G$2:$G$1994,MATCH(A156&amp;"ENTRADA",Movimientos!$R$2:$R$1994,0)),"-")</f>
        <v>-</v>
      </c>
      <c r="G156" s="2" t="str">
        <f>IFERROR(INDEX(Movimientos!$L$2:$L$1994,MATCH(A156&amp;"ENTRADA",Movimientos!$R$2:$R$1994,0)),"-")</f>
        <v>-</v>
      </c>
      <c r="H156" s="17" t="str">
        <f>IFERROR(IF(INDEX(Movimientos!$M$2:$M$1994,MATCH(A156&amp;"ENTRADA",Movimientos!$R$2:$R$1994,0))=0,"S/D",INDEX(Movimientos!$M$2:$M$1994,MATCH(A156&amp;"ENTRADA",Movimientos!$R$2:$R$1994,0))),"S/D")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2432</v>
      </c>
      <c r="B157" s="2" t="str">
        <f>IFERROR(INDEX(Movimientos!$C$2:$C$1994,MATCH(A157&amp;"ENTRADA",Movimientos!$R$2:$R$1994,0)),"-")</f>
        <v>-</v>
      </c>
      <c r="C157" s="2" t="str">
        <f>IFERROR(INDEX(Movimientos!$D$2:$D$1994,MATCH(A157&amp;"ENTRADA",Movimientos!$R$2:$R$1994,0)),"-")</f>
        <v>-</v>
      </c>
      <c r="D157" s="2" t="str">
        <f>IFERROR(INDEX(Movimientos!$E$2:$E$1994,MATCH(A157&amp;"ENTRADA",Movimientos!$R$2:$R$1994,0)),"-")</f>
        <v>-</v>
      </c>
      <c r="E157" s="2" t="str">
        <f>IFERROR(INDEX(Movimientos!$F$2:$F$1994,MATCH(A157&amp;"ENTRADA",Movimientos!$R$2:$R$1994,0)),"-")</f>
        <v>-</v>
      </c>
      <c r="F157" s="2" t="str">
        <f>IFERROR(INDEX(Movimientos!$G$2:$G$1994,MATCH(A157&amp;"ENTRADA",Movimientos!$R$2:$R$1994,0)),"-")</f>
        <v>-</v>
      </c>
      <c r="G157" s="2" t="str">
        <f>IFERROR(INDEX(Movimientos!$L$2:$L$1994,MATCH(A157&amp;"ENTRADA",Movimientos!$R$2:$R$1994,0)),"-")</f>
        <v>-</v>
      </c>
      <c r="H157" s="17" t="str">
        <f>IFERROR(IF(INDEX(Movimientos!$M$2:$M$1994,MATCH(A157&amp;"ENTRADA",Movimientos!$R$2:$R$1994,0))=0,"S/D",INDEX(Movimientos!$M$2:$M$1994,MATCH(A157&amp;"ENTRADA",Movimientos!$R$2:$R$1994,0))),"S/D")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2433</v>
      </c>
      <c r="B158" s="2" t="str">
        <f>IFERROR(INDEX(Movimientos!$C$2:$C$1994,MATCH(A158&amp;"ENTRADA",Movimientos!$R$2:$R$1994,0)),"-")</f>
        <v>-</v>
      </c>
      <c r="C158" s="2" t="str">
        <f>IFERROR(INDEX(Movimientos!$D$2:$D$1994,MATCH(A158&amp;"ENTRADA",Movimientos!$R$2:$R$1994,0)),"-")</f>
        <v>-</v>
      </c>
      <c r="D158" s="2" t="str">
        <f>IFERROR(INDEX(Movimientos!$E$2:$E$1994,MATCH(A158&amp;"ENTRADA",Movimientos!$R$2:$R$1994,0)),"-")</f>
        <v>-</v>
      </c>
      <c r="E158" s="2" t="str">
        <f>IFERROR(INDEX(Movimientos!$F$2:$F$1994,MATCH(A158&amp;"ENTRADA",Movimientos!$R$2:$R$1994,0)),"-")</f>
        <v>-</v>
      </c>
      <c r="F158" s="2" t="str">
        <f>IFERROR(INDEX(Movimientos!$G$2:$G$1994,MATCH(A158&amp;"ENTRADA",Movimientos!$R$2:$R$1994,0)),"-")</f>
        <v>-</v>
      </c>
      <c r="G158" s="2" t="str">
        <f>IFERROR(INDEX(Movimientos!$L$2:$L$1994,MATCH(A158&amp;"ENTRADA",Movimientos!$R$2:$R$1994,0)),"-")</f>
        <v>-</v>
      </c>
      <c r="H158" s="17" t="str">
        <f>IFERROR(IF(INDEX(Movimientos!$M$2:$M$1994,MATCH(A158&amp;"ENTRADA",Movimientos!$R$2:$R$1994,0))=0,"S/D",INDEX(Movimientos!$M$2:$M$1994,MATCH(A158&amp;"ENTRADA",Movimientos!$R$2:$R$1994,0))),"S/D")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2434</v>
      </c>
      <c r="B159" s="2" t="str">
        <f>IFERROR(INDEX(Movimientos!$C$2:$C$1994,MATCH(A159&amp;"ENTRADA",Movimientos!$R$2:$R$1994,0)),"-")</f>
        <v>-</v>
      </c>
      <c r="C159" s="2" t="str">
        <f>IFERROR(INDEX(Movimientos!$D$2:$D$1994,MATCH(A159&amp;"ENTRADA",Movimientos!$R$2:$R$1994,0)),"-")</f>
        <v>-</v>
      </c>
      <c r="D159" s="2" t="str">
        <f>IFERROR(INDEX(Movimientos!$E$2:$E$1994,MATCH(A159&amp;"ENTRADA",Movimientos!$R$2:$R$1994,0)),"-")</f>
        <v>-</v>
      </c>
      <c r="E159" s="2" t="str">
        <f>IFERROR(INDEX(Movimientos!$F$2:$F$1994,MATCH(A159&amp;"ENTRADA",Movimientos!$R$2:$R$1994,0)),"-")</f>
        <v>-</v>
      </c>
      <c r="F159" s="2" t="str">
        <f>IFERROR(INDEX(Movimientos!$G$2:$G$1994,MATCH(A159&amp;"ENTRADA",Movimientos!$R$2:$R$1994,0)),"-")</f>
        <v>-</v>
      </c>
      <c r="G159" s="2" t="str">
        <f>IFERROR(INDEX(Movimientos!$L$2:$L$1994,MATCH(A159&amp;"ENTRADA",Movimientos!$R$2:$R$1994,0)),"-")</f>
        <v>-</v>
      </c>
      <c r="H159" s="17" t="str">
        <f>IFERROR(IF(INDEX(Movimientos!$M$2:$M$1994,MATCH(A159&amp;"ENTRADA",Movimientos!$R$2:$R$1994,0))=0,"S/D",INDEX(Movimientos!$M$2:$M$1994,MATCH(A159&amp;"ENTRADA",Movimientos!$R$2:$R$1994,0))),"S/D")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2435</v>
      </c>
      <c r="B160" s="2" t="str">
        <f>IFERROR(INDEX(Movimientos!$C$2:$C$1994,MATCH(A160&amp;"ENTRADA",Movimientos!$R$2:$R$1994,0)),"-")</f>
        <v>-</v>
      </c>
      <c r="C160" s="2" t="str">
        <f>IFERROR(INDEX(Movimientos!$D$2:$D$1994,MATCH(A160&amp;"ENTRADA",Movimientos!$R$2:$R$1994,0)),"-")</f>
        <v>-</v>
      </c>
      <c r="D160" s="2" t="str">
        <f>IFERROR(INDEX(Movimientos!$E$2:$E$1994,MATCH(A160&amp;"ENTRADA",Movimientos!$R$2:$R$1994,0)),"-")</f>
        <v>-</v>
      </c>
      <c r="E160" s="2" t="str">
        <f>IFERROR(INDEX(Movimientos!$F$2:$F$1994,MATCH(A160&amp;"ENTRADA",Movimientos!$R$2:$R$1994,0)),"-")</f>
        <v>-</v>
      </c>
      <c r="F160" s="2" t="str">
        <f>IFERROR(INDEX(Movimientos!$G$2:$G$1994,MATCH(A160&amp;"ENTRADA",Movimientos!$R$2:$R$1994,0)),"-")</f>
        <v>-</v>
      </c>
      <c r="G160" s="2" t="str">
        <f>IFERROR(INDEX(Movimientos!$L$2:$L$1994,MATCH(A160&amp;"ENTRADA",Movimientos!$R$2:$R$1994,0)),"-")</f>
        <v>-</v>
      </c>
      <c r="H160" s="17" t="str">
        <f>IFERROR(IF(INDEX(Movimientos!$M$2:$M$1994,MATCH(A160&amp;"ENTRADA",Movimientos!$R$2:$R$1994,0))=0,"S/D",INDEX(Movimientos!$M$2:$M$1994,MATCH(A160&amp;"ENTRADA",Movimientos!$R$2:$R$1994,0))),"S/D")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2436</v>
      </c>
      <c r="B161" s="2" t="str">
        <f>IFERROR(INDEX(Movimientos!$C$2:$C$1994,MATCH(A161&amp;"ENTRADA",Movimientos!$R$2:$R$1994,0)),"-")</f>
        <v>-</v>
      </c>
      <c r="C161" s="2" t="str">
        <f>IFERROR(INDEX(Movimientos!$D$2:$D$1994,MATCH(A161&amp;"ENTRADA",Movimientos!$R$2:$R$1994,0)),"-")</f>
        <v>-</v>
      </c>
      <c r="D161" s="2" t="str">
        <f>IFERROR(INDEX(Movimientos!$E$2:$E$1994,MATCH(A161&amp;"ENTRADA",Movimientos!$R$2:$R$1994,0)),"-")</f>
        <v>-</v>
      </c>
      <c r="E161" s="2" t="str">
        <f>IFERROR(INDEX(Movimientos!$F$2:$F$1994,MATCH(A161&amp;"ENTRADA",Movimientos!$R$2:$R$1994,0)),"-")</f>
        <v>-</v>
      </c>
      <c r="F161" s="2" t="str">
        <f>IFERROR(INDEX(Movimientos!$G$2:$G$1994,MATCH(A161&amp;"ENTRADA",Movimientos!$R$2:$R$1994,0)),"-")</f>
        <v>-</v>
      </c>
      <c r="G161" s="2" t="str">
        <f>IFERROR(INDEX(Movimientos!$L$2:$L$1994,MATCH(A161&amp;"ENTRADA",Movimientos!$R$2:$R$1994,0)),"-")</f>
        <v>-</v>
      </c>
      <c r="H161" s="17" t="str">
        <f>IFERROR(IF(INDEX(Movimientos!$M$2:$M$1994,MATCH(A161&amp;"ENTRADA",Movimientos!$R$2:$R$1994,0))=0,"S/D",INDEX(Movimientos!$M$2:$M$1994,MATCH(A161&amp;"ENTRADA",Movimientos!$R$2:$R$1994,0))),"S/D")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2437</v>
      </c>
      <c r="B162" s="2" t="str">
        <f>IFERROR(INDEX(Movimientos!$C$2:$C$1994,MATCH(A162&amp;"ENTRADA",Movimientos!$R$2:$R$1994,0)),"-")</f>
        <v>-</v>
      </c>
      <c r="C162" s="2" t="str">
        <f>IFERROR(INDEX(Movimientos!$D$2:$D$1994,MATCH(A162&amp;"ENTRADA",Movimientos!$R$2:$R$1994,0)),"-")</f>
        <v>-</v>
      </c>
      <c r="D162" s="2" t="str">
        <f>IFERROR(INDEX(Movimientos!$E$2:$E$1994,MATCH(A162&amp;"ENTRADA",Movimientos!$R$2:$R$1994,0)),"-")</f>
        <v>-</v>
      </c>
      <c r="E162" s="2" t="str">
        <f>IFERROR(INDEX(Movimientos!$F$2:$F$1994,MATCH(A162&amp;"ENTRADA",Movimientos!$R$2:$R$1994,0)),"-")</f>
        <v>-</v>
      </c>
      <c r="F162" s="2" t="str">
        <f>IFERROR(INDEX(Movimientos!$G$2:$G$1994,MATCH(A162&amp;"ENTRADA",Movimientos!$R$2:$R$1994,0)),"-")</f>
        <v>-</v>
      </c>
      <c r="G162" s="2" t="str">
        <f>IFERROR(INDEX(Movimientos!$L$2:$L$1994,MATCH(A162&amp;"ENTRADA",Movimientos!$R$2:$R$1994,0)),"-")</f>
        <v>-</v>
      </c>
      <c r="H162" s="17" t="str">
        <f>IFERROR(IF(INDEX(Movimientos!$M$2:$M$1994,MATCH(A162&amp;"ENTRADA",Movimientos!$R$2:$R$1994,0))=0,"S/D",INDEX(Movimientos!$M$2:$M$1994,MATCH(A162&amp;"ENTRADA",Movimientos!$R$2:$R$1994,0))),"S/D")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2438</v>
      </c>
      <c r="B163" s="2" t="str">
        <f>IFERROR(INDEX(Movimientos!$C$2:$C$1994,MATCH(A163&amp;"ENTRADA",Movimientos!$R$2:$R$1994,0)),"-")</f>
        <v>-</v>
      </c>
      <c r="C163" s="2" t="str">
        <f>IFERROR(INDEX(Movimientos!$D$2:$D$1994,MATCH(A163&amp;"ENTRADA",Movimientos!$R$2:$R$1994,0)),"-")</f>
        <v>-</v>
      </c>
      <c r="D163" s="2" t="str">
        <f>IFERROR(INDEX(Movimientos!$E$2:$E$1994,MATCH(A163&amp;"ENTRADA",Movimientos!$R$2:$R$1994,0)),"-")</f>
        <v>-</v>
      </c>
      <c r="E163" s="2" t="str">
        <f>IFERROR(INDEX(Movimientos!$F$2:$F$1994,MATCH(A163&amp;"ENTRADA",Movimientos!$R$2:$R$1994,0)),"-")</f>
        <v>-</v>
      </c>
      <c r="F163" s="2" t="str">
        <f>IFERROR(INDEX(Movimientos!$G$2:$G$1994,MATCH(A163&amp;"ENTRADA",Movimientos!$R$2:$R$1994,0)),"-")</f>
        <v>-</v>
      </c>
      <c r="G163" s="2" t="str">
        <f>IFERROR(INDEX(Movimientos!$L$2:$L$1994,MATCH(A163&amp;"ENTRADA",Movimientos!$R$2:$R$1994,0)),"-")</f>
        <v>-</v>
      </c>
      <c r="H163" s="17" t="str">
        <f>IFERROR(IF(INDEX(Movimientos!$M$2:$M$1994,MATCH(A163&amp;"ENTRADA",Movimientos!$R$2:$R$1994,0))=0,"S/D",INDEX(Movimientos!$M$2:$M$1994,MATCH(A163&amp;"ENTRADA",Movimientos!$R$2:$R$1994,0))),"S/D")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2439</v>
      </c>
      <c r="B164" s="2" t="str">
        <f>IFERROR(INDEX(Movimientos!$C$2:$C$1994,MATCH(A164&amp;"ENTRADA",Movimientos!$R$2:$R$1994,0)),"-")</f>
        <v>-</v>
      </c>
      <c r="C164" s="2" t="str">
        <f>IFERROR(INDEX(Movimientos!$D$2:$D$1994,MATCH(A164&amp;"ENTRADA",Movimientos!$R$2:$R$1994,0)),"-")</f>
        <v>-</v>
      </c>
      <c r="D164" s="2" t="str">
        <f>IFERROR(INDEX(Movimientos!$E$2:$E$1994,MATCH(A164&amp;"ENTRADA",Movimientos!$R$2:$R$1994,0)),"-")</f>
        <v>-</v>
      </c>
      <c r="E164" s="2" t="str">
        <f>IFERROR(INDEX(Movimientos!$F$2:$F$1994,MATCH(A164&amp;"ENTRADA",Movimientos!$R$2:$R$1994,0)),"-")</f>
        <v>-</v>
      </c>
      <c r="F164" s="2" t="str">
        <f>IFERROR(INDEX(Movimientos!$G$2:$G$1994,MATCH(A164&amp;"ENTRADA",Movimientos!$R$2:$R$1994,0)),"-")</f>
        <v>-</v>
      </c>
      <c r="G164" s="2" t="str">
        <f>IFERROR(INDEX(Movimientos!$L$2:$L$1994,MATCH(A164&amp;"ENTRADA",Movimientos!$R$2:$R$1994,0)),"-")</f>
        <v>-</v>
      </c>
      <c r="H164" s="17" t="str">
        <f>IFERROR(IF(INDEX(Movimientos!$M$2:$M$1994,MATCH(A164&amp;"ENTRADA",Movimientos!$R$2:$R$1994,0))=0,"S/D",INDEX(Movimientos!$M$2:$M$1994,MATCH(A164&amp;"ENTRADA",Movimientos!$R$2:$R$1994,0))),"S/D")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2440</v>
      </c>
      <c r="B165" s="2" t="str">
        <f>IFERROR(INDEX(Movimientos!$C$2:$C$1994,MATCH(A165&amp;"ENTRADA",Movimientos!$R$2:$R$1994,0)),"-")</f>
        <v>-</v>
      </c>
      <c r="C165" s="2" t="str">
        <f>IFERROR(INDEX(Movimientos!$D$2:$D$1994,MATCH(A165&amp;"ENTRADA",Movimientos!$R$2:$R$1994,0)),"-")</f>
        <v>-</v>
      </c>
      <c r="D165" s="2" t="str">
        <f>IFERROR(INDEX(Movimientos!$E$2:$E$1994,MATCH(A165&amp;"ENTRADA",Movimientos!$R$2:$R$1994,0)),"-")</f>
        <v>-</v>
      </c>
      <c r="E165" s="2" t="str">
        <f>IFERROR(INDEX(Movimientos!$F$2:$F$1994,MATCH(A165&amp;"ENTRADA",Movimientos!$R$2:$R$1994,0)),"-")</f>
        <v>-</v>
      </c>
      <c r="F165" s="2" t="str">
        <f>IFERROR(INDEX(Movimientos!$G$2:$G$1994,MATCH(A165&amp;"ENTRADA",Movimientos!$R$2:$R$1994,0)),"-")</f>
        <v>-</v>
      </c>
      <c r="G165" s="2" t="str">
        <f>IFERROR(INDEX(Movimientos!$L$2:$L$1994,MATCH(A165&amp;"ENTRADA",Movimientos!$R$2:$R$1994,0)),"-")</f>
        <v>-</v>
      </c>
      <c r="H165" s="17" t="str">
        <f>IFERROR(IF(INDEX(Movimientos!$M$2:$M$1994,MATCH(A165&amp;"ENTRADA",Movimientos!$R$2:$R$1994,0))=0,"S/D",INDEX(Movimientos!$M$2:$M$1994,MATCH(A165&amp;"ENTRADA",Movimientos!$R$2:$R$1994,0))),"S/D")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2441</v>
      </c>
      <c r="B166" s="2" t="str">
        <f>IFERROR(INDEX(Movimientos!$C$2:$C$1994,MATCH(A166&amp;"ENTRADA",Movimientos!$R$2:$R$1994,0)),"-")</f>
        <v>-</v>
      </c>
      <c r="C166" s="2" t="str">
        <f>IFERROR(INDEX(Movimientos!$D$2:$D$1994,MATCH(A166&amp;"ENTRADA",Movimientos!$R$2:$R$1994,0)),"-")</f>
        <v>-</v>
      </c>
      <c r="D166" s="2" t="str">
        <f>IFERROR(INDEX(Movimientos!$E$2:$E$1994,MATCH(A166&amp;"ENTRADA",Movimientos!$R$2:$R$1994,0)),"-")</f>
        <v>-</v>
      </c>
      <c r="E166" s="2" t="str">
        <f>IFERROR(INDEX(Movimientos!$F$2:$F$1994,MATCH(A166&amp;"ENTRADA",Movimientos!$R$2:$R$1994,0)),"-")</f>
        <v>-</v>
      </c>
      <c r="F166" s="2" t="str">
        <f>IFERROR(INDEX(Movimientos!$G$2:$G$1994,MATCH(A166&amp;"ENTRADA",Movimientos!$R$2:$R$1994,0)),"-")</f>
        <v>-</v>
      </c>
      <c r="G166" s="2" t="str">
        <f>IFERROR(INDEX(Movimientos!$L$2:$L$1994,MATCH(A166&amp;"ENTRADA",Movimientos!$R$2:$R$1994,0)),"-")</f>
        <v>-</v>
      </c>
      <c r="H166" s="17" t="str">
        <f>IFERROR(IF(INDEX(Movimientos!$M$2:$M$1994,MATCH(A166&amp;"ENTRADA",Movimientos!$R$2:$R$1994,0))=0,"S/D",INDEX(Movimientos!$M$2:$M$1994,MATCH(A166&amp;"ENTRADA",Movimientos!$R$2:$R$1994,0))),"S/D")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2442</v>
      </c>
      <c r="B167" s="2" t="str">
        <f>IFERROR(INDEX(Movimientos!$C$2:$C$1994,MATCH(A167&amp;"ENTRADA",Movimientos!$R$2:$R$1994,0)),"-")</f>
        <v>-</v>
      </c>
      <c r="C167" s="2" t="str">
        <f>IFERROR(INDEX(Movimientos!$D$2:$D$1994,MATCH(A167&amp;"ENTRADA",Movimientos!$R$2:$R$1994,0)),"-")</f>
        <v>-</v>
      </c>
      <c r="D167" s="2" t="str">
        <f>IFERROR(INDEX(Movimientos!$E$2:$E$1994,MATCH(A167&amp;"ENTRADA",Movimientos!$R$2:$R$1994,0)),"-")</f>
        <v>-</v>
      </c>
      <c r="E167" s="2" t="str">
        <f>IFERROR(INDEX(Movimientos!$F$2:$F$1994,MATCH(A167&amp;"ENTRADA",Movimientos!$R$2:$R$1994,0)),"-")</f>
        <v>-</v>
      </c>
      <c r="F167" s="2" t="str">
        <f>IFERROR(INDEX(Movimientos!$G$2:$G$1994,MATCH(A167&amp;"ENTRADA",Movimientos!$R$2:$R$1994,0)),"-")</f>
        <v>-</v>
      </c>
      <c r="G167" s="2" t="str">
        <f>IFERROR(INDEX(Movimientos!$L$2:$L$1994,MATCH(A167&amp;"ENTRADA",Movimientos!$R$2:$R$1994,0)),"-")</f>
        <v>-</v>
      </c>
      <c r="H167" s="17" t="str">
        <f>IFERROR(IF(INDEX(Movimientos!$M$2:$M$1994,MATCH(A167&amp;"ENTRADA",Movimientos!$R$2:$R$1994,0))=0,"S/D",INDEX(Movimientos!$M$2:$M$1994,MATCH(A167&amp;"ENTRADA",Movimientos!$R$2:$R$1994,0))),"S/D")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2443</v>
      </c>
      <c r="B168" s="2" t="str">
        <f>IFERROR(INDEX(Movimientos!$C$2:$C$1994,MATCH(A168&amp;"ENTRADA",Movimientos!$R$2:$R$1994,0)),"-")</f>
        <v>-</v>
      </c>
      <c r="C168" s="2" t="str">
        <f>IFERROR(INDEX(Movimientos!$D$2:$D$1994,MATCH(A168&amp;"ENTRADA",Movimientos!$R$2:$R$1994,0)),"-")</f>
        <v>-</v>
      </c>
      <c r="D168" s="2" t="str">
        <f>IFERROR(INDEX(Movimientos!$E$2:$E$1994,MATCH(A168&amp;"ENTRADA",Movimientos!$R$2:$R$1994,0)),"-")</f>
        <v>-</v>
      </c>
      <c r="E168" s="2" t="str">
        <f>IFERROR(INDEX(Movimientos!$F$2:$F$1994,MATCH(A168&amp;"ENTRADA",Movimientos!$R$2:$R$1994,0)),"-")</f>
        <v>-</v>
      </c>
      <c r="F168" s="2" t="str">
        <f>IFERROR(INDEX(Movimientos!$G$2:$G$1994,MATCH(A168&amp;"ENTRADA",Movimientos!$R$2:$R$1994,0)),"-")</f>
        <v>-</v>
      </c>
      <c r="G168" s="2" t="str">
        <f>IFERROR(INDEX(Movimientos!$L$2:$L$1994,MATCH(A168&amp;"ENTRADA",Movimientos!$R$2:$R$1994,0)),"-")</f>
        <v>-</v>
      </c>
      <c r="H168" s="17" t="str">
        <f>IFERROR(IF(INDEX(Movimientos!$M$2:$M$1994,MATCH(A168&amp;"ENTRADA",Movimientos!$R$2:$R$1994,0))=0,"S/D",INDEX(Movimientos!$M$2:$M$1994,MATCH(A168&amp;"ENTRADA",Movimientos!$R$2:$R$1994,0))),"S/D")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2444</v>
      </c>
      <c r="B169" s="2" t="str">
        <f>IFERROR(INDEX(Movimientos!$C$2:$C$1994,MATCH(A169&amp;"ENTRADA",Movimientos!$R$2:$R$1994,0)),"-")</f>
        <v>-</v>
      </c>
      <c r="C169" s="2" t="str">
        <f>IFERROR(INDEX(Movimientos!$D$2:$D$1994,MATCH(A169&amp;"ENTRADA",Movimientos!$R$2:$R$1994,0)),"-")</f>
        <v>-</v>
      </c>
      <c r="D169" s="2" t="str">
        <f>IFERROR(INDEX(Movimientos!$E$2:$E$1994,MATCH(A169&amp;"ENTRADA",Movimientos!$R$2:$R$1994,0)),"-")</f>
        <v>-</v>
      </c>
      <c r="E169" s="2" t="str">
        <f>IFERROR(INDEX(Movimientos!$F$2:$F$1994,MATCH(A169&amp;"ENTRADA",Movimientos!$R$2:$R$1994,0)),"-")</f>
        <v>-</v>
      </c>
      <c r="F169" s="2" t="str">
        <f>IFERROR(INDEX(Movimientos!$G$2:$G$1994,MATCH(A169&amp;"ENTRADA",Movimientos!$R$2:$R$1994,0)),"-")</f>
        <v>-</v>
      </c>
      <c r="G169" s="2" t="str">
        <f>IFERROR(INDEX(Movimientos!$L$2:$L$1994,MATCH(A169&amp;"ENTRADA",Movimientos!$R$2:$R$1994,0)),"-")</f>
        <v>-</v>
      </c>
      <c r="H169" s="17" t="str">
        <f>IFERROR(IF(INDEX(Movimientos!$M$2:$M$1994,MATCH(A169&amp;"ENTRADA",Movimientos!$R$2:$R$1994,0))=0,"S/D",INDEX(Movimientos!$M$2:$M$1994,MATCH(A169&amp;"ENTRADA",Movimientos!$R$2:$R$1994,0))),"S/D")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2445</v>
      </c>
      <c r="B170" s="2" t="str">
        <f>IFERROR(INDEX(Movimientos!$C$2:$C$1994,MATCH(A170&amp;"ENTRADA",Movimientos!$R$2:$R$1994,0)),"-")</f>
        <v>-</v>
      </c>
      <c r="C170" s="2" t="str">
        <f>IFERROR(INDEX(Movimientos!$D$2:$D$1994,MATCH(A170&amp;"ENTRADA",Movimientos!$R$2:$R$1994,0)),"-")</f>
        <v>-</v>
      </c>
      <c r="D170" s="2" t="str">
        <f>IFERROR(INDEX(Movimientos!$E$2:$E$1994,MATCH(A170&amp;"ENTRADA",Movimientos!$R$2:$R$1994,0)),"-")</f>
        <v>-</v>
      </c>
      <c r="E170" s="2" t="str">
        <f>IFERROR(INDEX(Movimientos!$F$2:$F$1994,MATCH(A170&amp;"ENTRADA",Movimientos!$R$2:$R$1994,0)),"-")</f>
        <v>-</v>
      </c>
      <c r="F170" s="2" t="str">
        <f>IFERROR(INDEX(Movimientos!$G$2:$G$1994,MATCH(A170&amp;"ENTRADA",Movimientos!$R$2:$R$1994,0)),"-")</f>
        <v>-</v>
      </c>
      <c r="G170" s="2" t="str">
        <f>IFERROR(INDEX(Movimientos!$L$2:$L$1994,MATCH(A170&amp;"ENTRADA",Movimientos!$R$2:$R$1994,0)),"-")</f>
        <v>-</v>
      </c>
      <c r="H170" s="17" t="str">
        <f>IFERROR(IF(INDEX(Movimientos!$M$2:$M$1994,MATCH(A170&amp;"ENTRADA",Movimientos!$R$2:$R$1994,0))=0,"S/D",INDEX(Movimientos!$M$2:$M$1994,MATCH(A170&amp;"ENTRADA",Movimientos!$R$2:$R$1994,0))),"S/D")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2446</v>
      </c>
      <c r="B171" s="2" t="str">
        <f>IFERROR(INDEX(Movimientos!$C$2:$C$1994,MATCH(A171&amp;"ENTRADA",Movimientos!$R$2:$R$1994,0)),"-")</f>
        <v>-</v>
      </c>
      <c r="C171" s="2" t="str">
        <f>IFERROR(INDEX(Movimientos!$D$2:$D$1994,MATCH(A171&amp;"ENTRADA",Movimientos!$R$2:$R$1994,0)),"-")</f>
        <v>-</v>
      </c>
      <c r="D171" s="2" t="str">
        <f>IFERROR(INDEX(Movimientos!$E$2:$E$1994,MATCH(A171&amp;"ENTRADA",Movimientos!$R$2:$R$1994,0)),"-")</f>
        <v>-</v>
      </c>
      <c r="E171" s="2" t="str">
        <f>IFERROR(INDEX(Movimientos!$F$2:$F$1994,MATCH(A171&amp;"ENTRADA",Movimientos!$R$2:$R$1994,0)),"-")</f>
        <v>-</v>
      </c>
      <c r="F171" s="2" t="str">
        <f>IFERROR(INDEX(Movimientos!$G$2:$G$1994,MATCH(A171&amp;"ENTRADA",Movimientos!$R$2:$R$1994,0)),"-")</f>
        <v>-</v>
      </c>
      <c r="G171" s="2" t="str">
        <f>IFERROR(INDEX(Movimientos!$L$2:$L$1994,MATCH(A171&amp;"ENTRADA",Movimientos!$R$2:$R$1994,0)),"-")</f>
        <v>-</v>
      </c>
      <c r="H171" s="17" t="str">
        <f>IFERROR(IF(INDEX(Movimientos!$M$2:$M$1994,MATCH(A171&amp;"ENTRADA",Movimientos!$R$2:$R$1994,0))=0,"S/D",INDEX(Movimientos!$M$2:$M$1994,MATCH(A171&amp;"ENTRADA",Movimientos!$R$2:$R$1994,0))),"S/D")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2447</v>
      </c>
      <c r="B172" s="2" t="str">
        <f>IFERROR(INDEX(Movimientos!$C$2:$C$1994,MATCH(A172&amp;"ENTRADA",Movimientos!$R$2:$R$1994,0)),"-")</f>
        <v>-</v>
      </c>
      <c r="C172" s="2" t="str">
        <f>IFERROR(INDEX(Movimientos!$D$2:$D$1994,MATCH(A172&amp;"ENTRADA",Movimientos!$R$2:$R$1994,0)),"-")</f>
        <v>-</v>
      </c>
      <c r="D172" s="2" t="str">
        <f>IFERROR(INDEX(Movimientos!$E$2:$E$1994,MATCH(A172&amp;"ENTRADA",Movimientos!$R$2:$R$1994,0)),"-")</f>
        <v>-</v>
      </c>
      <c r="E172" s="2" t="str">
        <f>IFERROR(INDEX(Movimientos!$F$2:$F$1994,MATCH(A172&amp;"ENTRADA",Movimientos!$R$2:$R$1994,0)),"-")</f>
        <v>-</v>
      </c>
      <c r="F172" s="2" t="str">
        <f>IFERROR(INDEX(Movimientos!$G$2:$G$1994,MATCH(A172&amp;"ENTRADA",Movimientos!$R$2:$R$1994,0)),"-")</f>
        <v>-</v>
      </c>
      <c r="G172" s="2" t="str">
        <f>IFERROR(INDEX(Movimientos!$L$2:$L$1994,MATCH(A172&amp;"ENTRADA",Movimientos!$R$2:$R$1994,0)),"-")</f>
        <v>-</v>
      </c>
      <c r="H172" s="17" t="str">
        <f>IFERROR(IF(INDEX(Movimientos!$M$2:$M$1994,MATCH(A172&amp;"ENTRADA",Movimientos!$R$2:$R$1994,0))=0,"S/D",INDEX(Movimientos!$M$2:$M$1994,MATCH(A172&amp;"ENTRADA",Movimientos!$R$2:$R$1994,0))),"S/D")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2448</v>
      </c>
      <c r="B173" s="2" t="str">
        <f>IFERROR(INDEX(Movimientos!$C$2:$C$1994,MATCH(A173&amp;"ENTRADA",Movimientos!$R$2:$R$1994,0)),"-")</f>
        <v>-</v>
      </c>
      <c r="C173" s="2" t="str">
        <f>IFERROR(INDEX(Movimientos!$D$2:$D$1994,MATCH(A173&amp;"ENTRADA",Movimientos!$R$2:$R$1994,0)),"-")</f>
        <v>-</v>
      </c>
      <c r="D173" s="2" t="str">
        <f>IFERROR(INDEX(Movimientos!$E$2:$E$1994,MATCH(A173&amp;"ENTRADA",Movimientos!$R$2:$R$1994,0)),"-")</f>
        <v>-</v>
      </c>
      <c r="E173" s="2" t="str">
        <f>IFERROR(INDEX(Movimientos!$F$2:$F$1994,MATCH(A173&amp;"ENTRADA",Movimientos!$R$2:$R$1994,0)),"-")</f>
        <v>-</v>
      </c>
      <c r="F173" s="2" t="str">
        <f>IFERROR(INDEX(Movimientos!$G$2:$G$1994,MATCH(A173&amp;"ENTRADA",Movimientos!$R$2:$R$1994,0)),"-")</f>
        <v>-</v>
      </c>
      <c r="G173" s="2" t="str">
        <f>IFERROR(INDEX(Movimientos!$L$2:$L$1994,MATCH(A173&amp;"ENTRADA",Movimientos!$R$2:$R$1994,0)),"-")</f>
        <v>-</v>
      </c>
      <c r="H173" s="17" t="str">
        <f>IFERROR(IF(INDEX(Movimientos!$M$2:$M$1994,MATCH(A173&amp;"ENTRADA",Movimientos!$R$2:$R$1994,0))=0,"S/D",INDEX(Movimientos!$M$2:$M$1994,MATCH(A173&amp;"ENTRADA",Movimientos!$R$2:$R$1994,0))),"S/D")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2449</v>
      </c>
      <c r="B174" s="2" t="str">
        <f>IFERROR(INDEX(Movimientos!$C$2:$C$1994,MATCH(A174&amp;"ENTRADA",Movimientos!$R$2:$R$1994,0)),"-")</f>
        <v>-</v>
      </c>
      <c r="C174" s="2" t="str">
        <f>IFERROR(INDEX(Movimientos!$D$2:$D$1994,MATCH(A174&amp;"ENTRADA",Movimientos!$R$2:$R$1994,0)),"-")</f>
        <v>-</v>
      </c>
      <c r="D174" s="2" t="str">
        <f>IFERROR(INDEX(Movimientos!$E$2:$E$1994,MATCH(A174&amp;"ENTRADA",Movimientos!$R$2:$R$1994,0)),"-")</f>
        <v>-</v>
      </c>
      <c r="E174" s="2" t="str">
        <f>IFERROR(INDEX(Movimientos!$F$2:$F$1994,MATCH(A174&amp;"ENTRADA",Movimientos!$R$2:$R$1994,0)),"-")</f>
        <v>-</v>
      </c>
      <c r="F174" s="2" t="str">
        <f>IFERROR(INDEX(Movimientos!$G$2:$G$1994,MATCH(A174&amp;"ENTRADA",Movimientos!$R$2:$R$1994,0)),"-")</f>
        <v>-</v>
      </c>
      <c r="G174" s="2" t="str">
        <f>IFERROR(INDEX(Movimientos!$L$2:$L$1994,MATCH(A174&amp;"ENTRADA",Movimientos!$R$2:$R$1994,0)),"-")</f>
        <v>-</v>
      </c>
      <c r="H174" s="17" t="str">
        <f>IFERROR(IF(INDEX(Movimientos!$M$2:$M$1994,MATCH(A174&amp;"ENTRADA",Movimientos!$R$2:$R$1994,0))=0,"S/D",INDEX(Movimientos!$M$2:$M$1994,MATCH(A174&amp;"ENTRADA",Movimientos!$R$2:$R$1994,0))),"S/D")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2450</v>
      </c>
      <c r="B175" s="2" t="str">
        <f>IFERROR(INDEX(Movimientos!$C$2:$C$1994,MATCH(A175&amp;"ENTRADA",Movimientos!$R$2:$R$1994,0)),"-")</f>
        <v>-</v>
      </c>
      <c r="C175" s="2" t="str">
        <f>IFERROR(INDEX(Movimientos!$D$2:$D$1994,MATCH(A175&amp;"ENTRADA",Movimientos!$R$2:$R$1994,0)),"-")</f>
        <v>-</v>
      </c>
      <c r="D175" s="2" t="str">
        <f>IFERROR(INDEX(Movimientos!$E$2:$E$1994,MATCH(A175&amp;"ENTRADA",Movimientos!$R$2:$R$1994,0)),"-")</f>
        <v>-</v>
      </c>
      <c r="E175" s="2" t="str">
        <f>IFERROR(INDEX(Movimientos!$F$2:$F$1994,MATCH(A175&amp;"ENTRADA",Movimientos!$R$2:$R$1994,0)),"-")</f>
        <v>-</v>
      </c>
      <c r="F175" s="2" t="str">
        <f>IFERROR(INDEX(Movimientos!$G$2:$G$1994,MATCH(A175&amp;"ENTRADA",Movimientos!$R$2:$R$1994,0)),"-")</f>
        <v>-</v>
      </c>
      <c r="G175" s="2" t="str">
        <f>IFERROR(INDEX(Movimientos!$L$2:$L$1994,MATCH(A175&amp;"ENTRADA",Movimientos!$R$2:$R$1994,0)),"-")</f>
        <v>-</v>
      </c>
      <c r="H175" s="17" t="str">
        <f>IFERROR(IF(INDEX(Movimientos!$M$2:$M$1994,MATCH(A175&amp;"ENTRADA",Movimientos!$R$2:$R$1994,0))=0,"S/D",INDEX(Movimientos!$M$2:$M$1994,MATCH(A175&amp;"ENTRADA",Movimientos!$R$2:$R$1994,0))),"S/D")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2451</v>
      </c>
      <c r="B176" s="2" t="str">
        <f>IFERROR(INDEX(Movimientos!$C$2:$C$1994,MATCH(A176&amp;"ENTRADA",Movimientos!$R$2:$R$1994,0)),"-")</f>
        <v>-</v>
      </c>
      <c r="C176" s="2" t="str">
        <f>IFERROR(INDEX(Movimientos!$D$2:$D$1994,MATCH(A176&amp;"ENTRADA",Movimientos!$R$2:$R$1994,0)),"-")</f>
        <v>-</v>
      </c>
      <c r="D176" s="2" t="str">
        <f>IFERROR(INDEX(Movimientos!$E$2:$E$1994,MATCH(A176&amp;"ENTRADA",Movimientos!$R$2:$R$1994,0)),"-")</f>
        <v>-</v>
      </c>
      <c r="E176" s="2" t="str">
        <f>IFERROR(INDEX(Movimientos!$F$2:$F$1994,MATCH(A176&amp;"ENTRADA",Movimientos!$R$2:$R$1994,0)),"-")</f>
        <v>-</v>
      </c>
      <c r="F176" s="2" t="str">
        <f>IFERROR(INDEX(Movimientos!$G$2:$G$1994,MATCH(A176&amp;"ENTRADA",Movimientos!$R$2:$R$1994,0)),"-")</f>
        <v>-</v>
      </c>
      <c r="G176" s="2" t="str">
        <f>IFERROR(INDEX(Movimientos!$L$2:$L$1994,MATCH(A176&amp;"ENTRADA",Movimientos!$R$2:$R$1994,0)),"-")</f>
        <v>-</v>
      </c>
      <c r="H176" s="17" t="str">
        <f>IFERROR(IF(INDEX(Movimientos!$M$2:$M$1994,MATCH(A176&amp;"ENTRADA",Movimientos!$R$2:$R$1994,0))=0,"S/D",INDEX(Movimientos!$M$2:$M$1994,MATCH(A176&amp;"ENTRADA",Movimientos!$R$2:$R$1994,0))),"S/D")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2452</v>
      </c>
      <c r="B177" s="2" t="str">
        <f>IFERROR(INDEX(Movimientos!$C$2:$C$1994,MATCH(A177&amp;"ENTRADA",Movimientos!$R$2:$R$1994,0)),"-")</f>
        <v>-</v>
      </c>
      <c r="C177" s="2" t="str">
        <f>IFERROR(INDEX(Movimientos!$D$2:$D$1994,MATCH(A177&amp;"ENTRADA",Movimientos!$R$2:$R$1994,0)),"-")</f>
        <v>-</v>
      </c>
      <c r="D177" s="2" t="str">
        <f>IFERROR(INDEX(Movimientos!$E$2:$E$1994,MATCH(A177&amp;"ENTRADA",Movimientos!$R$2:$R$1994,0)),"-")</f>
        <v>-</v>
      </c>
      <c r="E177" s="2" t="str">
        <f>IFERROR(INDEX(Movimientos!$F$2:$F$1994,MATCH(A177&amp;"ENTRADA",Movimientos!$R$2:$R$1994,0)),"-")</f>
        <v>-</v>
      </c>
      <c r="F177" s="2" t="str">
        <f>IFERROR(INDEX(Movimientos!$G$2:$G$1994,MATCH(A177&amp;"ENTRADA",Movimientos!$R$2:$R$1994,0)),"-")</f>
        <v>-</v>
      </c>
      <c r="G177" s="2" t="str">
        <f>IFERROR(INDEX(Movimientos!$L$2:$L$1994,MATCH(A177&amp;"ENTRADA",Movimientos!$R$2:$R$1994,0)),"-")</f>
        <v>-</v>
      </c>
      <c r="H177" s="17" t="str">
        <f>IFERROR(IF(INDEX(Movimientos!$M$2:$M$1994,MATCH(A177&amp;"ENTRADA",Movimientos!$R$2:$R$1994,0))=0,"S/D",INDEX(Movimientos!$M$2:$M$1994,MATCH(A177&amp;"ENTRADA",Movimientos!$R$2:$R$1994,0))),"S/D")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2453</v>
      </c>
      <c r="B178" s="2" t="str">
        <f>IFERROR(INDEX(Movimientos!$C$2:$C$1994,MATCH(A178&amp;"ENTRADA",Movimientos!$R$2:$R$1994,0)),"-")</f>
        <v>-</v>
      </c>
      <c r="C178" s="2" t="str">
        <f>IFERROR(INDEX(Movimientos!$D$2:$D$1994,MATCH(A178&amp;"ENTRADA",Movimientos!$R$2:$R$1994,0)),"-")</f>
        <v>-</v>
      </c>
      <c r="D178" s="2" t="str">
        <f>IFERROR(INDEX(Movimientos!$E$2:$E$1994,MATCH(A178&amp;"ENTRADA",Movimientos!$R$2:$R$1994,0)),"-")</f>
        <v>-</v>
      </c>
      <c r="E178" s="2" t="str">
        <f>IFERROR(INDEX(Movimientos!$F$2:$F$1994,MATCH(A178&amp;"ENTRADA",Movimientos!$R$2:$R$1994,0)),"-")</f>
        <v>-</v>
      </c>
      <c r="F178" s="2" t="str">
        <f>IFERROR(INDEX(Movimientos!$G$2:$G$1994,MATCH(A178&amp;"ENTRADA",Movimientos!$R$2:$R$1994,0)),"-")</f>
        <v>-</v>
      </c>
      <c r="G178" s="2" t="str">
        <f>IFERROR(INDEX(Movimientos!$L$2:$L$1994,MATCH(A178&amp;"ENTRADA",Movimientos!$R$2:$R$1994,0)),"-")</f>
        <v>-</v>
      </c>
      <c r="H178" s="17" t="str">
        <f>IFERROR(IF(INDEX(Movimientos!$M$2:$M$1994,MATCH(A178&amp;"ENTRADA",Movimientos!$R$2:$R$1994,0))=0,"S/D",INDEX(Movimientos!$M$2:$M$1994,MATCH(A178&amp;"ENTRADA",Movimientos!$R$2:$R$1994,0))),"S/D")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2454</v>
      </c>
      <c r="B179" s="2" t="str">
        <f>IFERROR(INDEX(Movimientos!$C$2:$C$1994,MATCH(A179&amp;"ENTRADA",Movimientos!$R$2:$R$1994,0)),"-")</f>
        <v>-</v>
      </c>
      <c r="C179" s="2" t="str">
        <f>IFERROR(INDEX(Movimientos!$D$2:$D$1994,MATCH(A179&amp;"ENTRADA",Movimientos!$R$2:$R$1994,0)),"-")</f>
        <v>-</v>
      </c>
      <c r="D179" s="2" t="str">
        <f>IFERROR(INDEX(Movimientos!$E$2:$E$1994,MATCH(A179&amp;"ENTRADA",Movimientos!$R$2:$R$1994,0)),"-")</f>
        <v>-</v>
      </c>
      <c r="E179" s="2" t="str">
        <f>IFERROR(INDEX(Movimientos!$F$2:$F$1994,MATCH(A179&amp;"ENTRADA",Movimientos!$R$2:$R$1994,0)),"-")</f>
        <v>-</v>
      </c>
      <c r="F179" s="2" t="str">
        <f>IFERROR(INDEX(Movimientos!$G$2:$G$1994,MATCH(A179&amp;"ENTRADA",Movimientos!$R$2:$R$1994,0)),"-")</f>
        <v>-</v>
      </c>
      <c r="G179" s="2" t="str">
        <f>IFERROR(INDEX(Movimientos!$L$2:$L$1994,MATCH(A179&amp;"ENTRADA",Movimientos!$R$2:$R$1994,0)),"-")</f>
        <v>-</v>
      </c>
      <c r="H179" s="17" t="str">
        <f>IFERROR(IF(INDEX(Movimientos!$M$2:$M$1994,MATCH(A179&amp;"ENTRADA",Movimientos!$R$2:$R$1994,0))=0,"S/D",INDEX(Movimientos!$M$2:$M$1994,MATCH(A179&amp;"ENTRADA",Movimientos!$R$2:$R$1994,0))),"S/D")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2455</v>
      </c>
      <c r="B180" s="2" t="str">
        <f>IFERROR(INDEX(Movimientos!$C$2:$C$1994,MATCH(A180&amp;"ENTRADA",Movimientos!$R$2:$R$1994,0)),"-")</f>
        <v>-</v>
      </c>
      <c r="C180" s="2" t="str">
        <f>IFERROR(INDEX(Movimientos!$D$2:$D$1994,MATCH(A180&amp;"ENTRADA",Movimientos!$R$2:$R$1994,0)),"-")</f>
        <v>-</v>
      </c>
      <c r="D180" s="2" t="str">
        <f>IFERROR(INDEX(Movimientos!$E$2:$E$1994,MATCH(A180&amp;"ENTRADA",Movimientos!$R$2:$R$1994,0)),"-")</f>
        <v>-</v>
      </c>
      <c r="E180" s="2" t="str">
        <f>IFERROR(INDEX(Movimientos!$F$2:$F$1994,MATCH(A180&amp;"ENTRADA",Movimientos!$R$2:$R$1994,0)),"-")</f>
        <v>-</v>
      </c>
      <c r="F180" s="2" t="str">
        <f>IFERROR(INDEX(Movimientos!$G$2:$G$1994,MATCH(A180&amp;"ENTRADA",Movimientos!$R$2:$R$1994,0)),"-")</f>
        <v>-</v>
      </c>
      <c r="G180" s="2" t="str">
        <f>IFERROR(INDEX(Movimientos!$L$2:$L$1994,MATCH(A180&amp;"ENTRADA",Movimientos!$R$2:$R$1994,0)),"-")</f>
        <v>-</v>
      </c>
      <c r="H180" s="17" t="str">
        <f>IFERROR(IF(INDEX(Movimientos!$M$2:$M$1994,MATCH(A180&amp;"ENTRADA",Movimientos!$R$2:$R$1994,0))=0,"S/D",INDEX(Movimientos!$M$2:$M$1994,MATCH(A180&amp;"ENTRADA",Movimientos!$R$2:$R$1994,0))),"S/D")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2456</v>
      </c>
      <c r="B181" s="2" t="str">
        <f>IFERROR(INDEX(Movimientos!$C$2:$C$1994,MATCH(A181&amp;"ENTRADA",Movimientos!$R$2:$R$1994,0)),"-")</f>
        <v>-</v>
      </c>
      <c r="C181" s="2" t="str">
        <f>IFERROR(INDEX(Movimientos!$D$2:$D$1994,MATCH(A181&amp;"ENTRADA",Movimientos!$R$2:$R$1994,0)),"-")</f>
        <v>-</v>
      </c>
      <c r="D181" s="2" t="str">
        <f>IFERROR(INDEX(Movimientos!$E$2:$E$1994,MATCH(A181&amp;"ENTRADA",Movimientos!$R$2:$R$1994,0)),"-")</f>
        <v>-</v>
      </c>
      <c r="E181" s="2" t="str">
        <f>IFERROR(INDEX(Movimientos!$F$2:$F$1994,MATCH(A181&amp;"ENTRADA",Movimientos!$R$2:$R$1994,0)),"-")</f>
        <v>-</v>
      </c>
      <c r="F181" s="2" t="str">
        <f>IFERROR(INDEX(Movimientos!$G$2:$G$1994,MATCH(A181&amp;"ENTRADA",Movimientos!$R$2:$R$1994,0)),"-")</f>
        <v>-</v>
      </c>
      <c r="G181" s="2" t="str">
        <f>IFERROR(INDEX(Movimientos!$L$2:$L$1994,MATCH(A181&amp;"ENTRADA",Movimientos!$R$2:$R$1994,0)),"-")</f>
        <v>-</v>
      </c>
      <c r="H181" s="17" t="str">
        <f>IFERROR(IF(INDEX(Movimientos!$M$2:$M$1994,MATCH(A181&amp;"ENTRADA",Movimientos!$R$2:$R$1994,0))=0,"S/D",INDEX(Movimientos!$M$2:$M$1994,MATCH(A181&amp;"ENTRADA",Movimientos!$R$2:$R$1994,0))),"S/D")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2457</v>
      </c>
      <c r="B182" s="2" t="str">
        <f>IFERROR(INDEX(Movimientos!$C$2:$C$1994,MATCH(A182&amp;"ENTRADA",Movimientos!$R$2:$R$1994,0)),"-")</f>
        <v>-</v>
      </c>
      <c r="C182" s="2" t="str">
        <f>IFERROR(INDEX(Movimientos!$D$2:$D$1994,MATCH(A182&amp;"ENTRADA",Movimientos!$R$2:$R$1994,0)),"-")</f>
        <v>-</v>
      </c>
      <c r="D182" s="2" t="str">
        <f>IFERROR(INDEX(Movimientos!$E$2:$E$1994,MATCH(A182&amp;"ENTRADA",Movimientos!$R$2:$R$1994,0)),"-")</f>
        <v>-</v>
      </c>
      <c r="E182" s="2" t="str">
        <f>IFERROR(INDEX(Movimientos!$F$2:$F$1994,MATCH(A182&amp;"ENTRADA",Movimientos!$R$2:$R$1994,0)),"-")</f>
        <v>-</v>
      </c>
      <c r="F182" s="2" t="str">
        <f>IFERROR(INDEX(Movimientos!$G$2:$G$1994,MATCH(A182&amp;"ENTRADA",Movimientos!$R$2:$R$1994,0)),"-")</f>
        <v>-</v>
      </c>
      <c r="G182" s="2" t="str">
        <f>IFERROR(INDEX(Movimientos!$L$2:$L$1994,MATCH(A182&amp;"ENTRADA",Movimientos!$R$2:$R$1994,0)),"-")</f>
        <v>-</v>
      </c>
      <c r="H182" s="17" t="str">
        <f>IFERROR(IF(INDEX(Movimientos!$M$2:$M$1994,MATCH(A182&amp;"ENTRADA",Movimientos!$R$2:$R$1994,0))=0,"S/D",INDEX(Movimientos!$M$2:$M$1994,MATCH(A182&amp;"ENTRADA",Movimientos!$R$2:$R$1994,0))),"S/D")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2458</v>
      </c>
      <c r="B183" s="2" t="str">
        <f>IFERROR(INDEX(Movimientos!$C$2:$C$1994,MATCH(A183&amp;"ENTRADA",Movimientos!$R$2:$R$1994,0)),"-")</f>
        <v>-</v>
      </c>
      <c r="C183" s="2" t="str">
        <f>IFERROR(INDEX(Movimientos!$D$2:$D$1994,MATCH(A183&amp;"ENTRADA",Movimientos!$R$2:$R$1994,0)),"-")</f>
        <v>-</v>
      </c>
      <c r="D183" s="2" t="str">
        <f>IFERROR(INDEX(Movimientos!$E$2:$E$1994,MATCH(A183&amp;"ENTRADA",Movimientos!$R$2:$R$1994,0)),"-")</f>
        <v>-</v>
      </c>
      <c r="E183" s="2" t="str">
        <f>IFERROR(INDEX(Movimientos!$F$2:$F$1994,MATCH(A183&amp;"ENTRADA",Movimientos!$R$2:$R$1994,0)),"-")</f>
        <v>-</v>
      </c>
      <c r="F183" s="2" t="str">
        <f>IFERROR(INDEX(Movimientos!$G$2:$G$1994,MATCH(A183&amp;"ENTRADA",Movimientos!$R$2:$R$1994,0)),"-")</f>
        <v>-</v>
      </c>
      <c r="G183" s="2" t="str">
        <f>IFERROR(INDEX(Movimientos!$L$2:$L$1994,MATCH(A183&amp;"ENTRADA",Movimientos!$R$2:$R$1994,0)),"-")</f>
        <v>-</v>
      </c>
      <c r="H183" s="17" t="str">
        <f>IFERROR(IF(INDEX(Movimientos!$M$2:$M$1994,MATCH(A183&amp;"ENTRADA",Movimientos!$R$2:$R$1994,0))=0,"S/D",INDEX(Movimientos!$M$2:$M$1994,MATCH(A183&amp;"ENTRADA",Movimientos!$R$2:$R$1994,0))),"S/D")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2459</v>
      </c>
      <c r="B184" s="2" t="str">
        <f>IFERROR(INDEX(Movimientos!$C$2:$C$1994,MATCH(A184&amp;"ENTRADA",Movimientos!$R$2:$R$1994,0)),"-")</f>
        <v>-</v>
      </c>
      <c r="C184" s="2" t="str">
        <f>IFERROR(INDEX(Movimientos!$D$2:$D$1994,MATCH(A184&amp;"ENTRADA",Movimientos!$R$2:$R$1994,0)),"-")</f>
        <v>-</v>
      </c>
      <c r="D184" s="2" t="str">
        <f>IFERROR(INDEX(Movimientos!$E$2:$E$1994,MATCH(A184&amp;"ENTRADA",Movimientos!$R$2:$R$1994,0)),"-")</f>
        <v>-</v>
      </c>
      <c r="E184" s="2" t="str">
        <f>IFERROR(INDEX(Movimientos!$F$2:$F$1994,MATCH(A184&amp;"ENTRADA",Movimientos!$R$2:$R$1994,0)),"-")</f>
        <v>-</v>
      </c>
      <c r="F184" s="2" t="str">
        <f>IFERROR(INDEX(Movimientos!$G$2:$G$1994,MATCH(A184&amp;"ENTRADA",Movimientos!$R$2:$R$1994,0)),"-")</f>
        <v>-</v>
      </c>
      <c r="G184" s="2" t="str">
        <f>IFERROR(INDEX(Movimientos!$L$2:$L$1994,MATCH(A184&amp;"ENTRADA",Movimientos!$R$2:$R$1994,0)),"-")</f>
        <v>-</v>
      </c>
      <c r="H184" s="17" t="str">
        <f>IFERROR(IF(INDEX(Movimientos!$M$2:$M$1994,MATCH(A184&amp;"ENTRADA",Movimientos!$R$2:$R$1994,0))=0,"S/D",INDEX(Movimientos!$M$2:$M$1994,MATCH(A184&amp;"ENTRADA",Movimientos!$R$2:$R$1994,0))),"S/D")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2460</v>
      </c>
      <c r="B185" s="2" t="str">
        <f>IFERROR(INDEX(Movimientos!$C$2:$C$1994,MATCH(A185&amp;"ENTRADA",Movimientos!$R$2:$R$1994,0)),"-")</f>
        <v>-</v>
      </c>
      <c r="C185" s="2" t="str">
        <f>IFERROR(INDEX(Movimientos!$D$2:$D$1994,MATCH(A185&amp;"ENTRADA",Movimientos!$R$2:$R$1994,0)),"-")</f>
        <v>-</v>
      </c>
      <c r="D185" s="2" t="str">
        <f>IFERROR(INDEX(Movimientos!$E$2:$E$1994,MATCH(A185&amp;"ENTRADA",Movimientos!$R$2:$R$1994,0)),"-")</f>
        <v>-</v>
      </c>
      <c r="E185" s="2" t="str">
        <f>IFERROR(INDEX(Movimientos!$F$2:$F$1994,MATCH(A185&amp;"ENTRADA",Movimientos!$R$2:$R$1994,0)),"-")</f>
        <v>-</v>
      </c>
      <c r="F185" s="2" t="str">
        <f>IFERROR(INDEX(Movimientos!$G$2:$G$1994,MATCH(A185&amp;"ENTRADA",Movimientos!$R$2:$R$1994,0)),"-")</f>
        <v>-</v>
      </c>
      <c r="G185" s="2" t="str">
        <f>IFERROR(INDEX(Movimientos!$L$2:$L$1994,MATCH(A185&amp;"ENTRADA",Movimientos!$R$2:$R$1994,0)),"-")</f>
        <v>-</v>
      </c>
      <c r="H185" s="17" t="str">
        <f>IFERROR(IF(INDEX(Movimientos!$M$2:$M$1994,MATCH(A185&amp;"ENTRADA",Movimientos!$R$2:$R$1994,0))=0,"S/D",INDEX(Movimientos!$M$2:$M$1994,MATCH(A185&amp;"ENTRADA",Movimientos!$R$2:$R$1994,0))),"S/D")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2461</v>
      </c>
      <c r="B186" s="2" t="str">
        <f>IFERROR(INDEX(Movimientos!$C$2:$C$1994,MATCH(A186&amp;"ENTRADA",Movimientos!$R$2:$R$1994,0)),"-")</f>
        <v>-</v>
      </c>
      <c r="C186" s="2" t="str">
        <f>IFERROR(INDEX(Movimientos!$D$2:$D$1994,MATCH(A186&amp;"ENTRADA",Movimientos!$R$2:$R$1994,0)),"-")</f>
        <v>-</v>
      </c>
      <c r="D186" s="2" t="str">
        <f>IFERROR(INDEX(Movimientos!$E$2:$E$1994,MATCH(A186&amp;"ENTRADA",Movimientos!$R$2:$R$1994,0)),"-")</f>
        <v>-</v>
      </c>
      <c r="E186" s="2" t="str">
        <f>IFERROR(INDEX(Movimientos!$F$2:$F$1994,MATCH(A186&amp;"ENTRADA",Movimientos!$R$2:$R$1994,0)),"-")</f>
        <v>-</v>
      </c>
      <c r="F186" s="2" t="str">
        <f>IFERROR(INDEX(Movimientos!$G$2:$G$1994,MATCH(A186&amp;"ENTRADA",Movimientos!$R$2:$R$1994,0)),"-")</f>
        <v>-</v>
      </c>
      <c r="G186" s="2" t="str">
        <f>IFERROR(INDEX(Movimientos!$L$2:$L$1994,MATCH(A186&amp;"ENTRADA",Movimientos!$R$2:$R$1994,0)),"-")</f>
        <v>-</v>
      </c>
      <c r="H186" s="17" t="str">
        <f>IFERROR(IF(INDEX(Movimientos!$M$2:$M$1994,MATCH(A186&amp;"ENTRADA",Movimientos!$R$2:$R$1994,0))=0,"S/D",INDEX(Movimientos!$M$2:$M$1994,MATCH(A186&amp;"ENTRADA",Movimientos!$R$2:$R$1994,0))),"S/D")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2462</v>
      </c>
      <c r="B187" s="2" t="str">
        <f>IFERROR(INDEX(Movimientos!$C$2:$C$1994,MATCH(A187&amp;"ENTRADA",Movimientos!$R$2:$R$1994,0)),"-")</f>
        <v>-</v>
      </c>
      <c r="C187" s="2" t="str">
        <f>IFERROR(INDEX(Movimientos!$D$2:$D$1994,MATCH(A187&amp;"ENTRADA",Movimientos!$R$2:$R$1994,0)),"-")</f>
        <v>-</v>
      </c>
      <c r="D187" s="2" t="str">
        <f>IFERROR(INDEX(Movimientos!$E$2:$E$1994,MATCH(A187&amp;"ENTRADA",Movimientos!$R$2:$R$1994,0)),"-")</f>
        <v>-</v>
      </c>
      <c r="E187" s="2" t="str">
        <f>IFERROR(INDEX(Movimientos!$F$2:$F$1994,MATCH(A187&amp;"ENTRADA",Movimientos!$R$2:$R$1994,0)),"-")</f>
        <v>-</v>
      </c>
      <c r="F187" s="2" t="str">
        <f>IFERROR(INDEX(Movimientos!$G$2:$G$1994,MATCH(A187&amp;"ENTRADA",Movimientos!$R$2:$R$1994,0)),"-")</f>
        <v>-</v>
      </c>
      <c r="G187" s="2" t="str">
        <f>IFERROR(INDEX(Movimientos!$L$2:$L$1994,MATCH(A187&amp;"ENTRADA",Movimientos!$R$2:$R$1994,0)),"-")</f>
        <v>-</v>
      </c>
      <c r="H187" s="17" t="str">
        <f>IFERROR(IF(INDEX(Movimientos!$M$2:$M$1994,MATCH(A187&amp;"ENTRADA",Movimientos!$R$2:$R$1994,0))=0,"S/D",INDEX(Movimientos!$M$2:$M$1994,MATCH(A187&amp;"ENTRADA",Movimientos!$R$2:$R$1994,0))),"S/D")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2463</v>
      </c>
      <c r="B188" s="2" t="str">
        <f>IFERROR(INDEX(Movimientos!$C$2:$C$1994,MATCH(A188&amp;"ENTRADA",Movimientos!$R$2:$R$1994,0)),"-")</f>
        <v>-</v>
      </c>
      <c r="C188" s="2" t="str">
        <f>IFERROR(INDEX(Movimientos!$D$2:$D$1994,MATCH(A188&amp;"ENTRADA",Movimientos!$R$2:$R$1994,0)),"-")</f>
        <v>-</v>
      </c>
      <c r="D188" s="2" t="str">
        <f>IFERROR(INDEX(Movimientos!$E$2:$E$1994,MATCH(A188&amp;"ENTRADA",Movimientos!$R$2:$R$1994,0)),"-")</f>
        <v>-</v>
      </c>
      <c r="E188" s="2" t="str">
        <f>IFERROR(INDEX(Movimientos!$F$2:$F$1994,MATCH(A188&amp;"ENTRADA",Movimientos!$R$2:$R$1994,0)),"-")</f>
        <v>-</v>
      </c>
      <c r="F188" s="2" t="str">
        <f>IFERROR(INDEX(Movimientos!$G$2:$G$1994,MATCH(A188&amp;"ENTRADA",Movimientos!$R$2:$R$1994,0)),"-")</f>
        <v>-</v>
      </c>
      <c r="G188" s="2" t="str">
        <f>IFERROR(INDEX(Movimientos!$L$2:$L$1994,MATCH(A188&amp;"ENTRADA",Movimientos!$R$2:$R$1994,0)),"-")</f>
        <v>-</v>
      </c>
      <c r="H188" s="17" t="str">
        <f>IFERROR(IF(INDEX(Movimientos!$M$2:$M$1994,MATCH(A188&amp;"ENTRADA",Movimientos!$R$2:$R$1994,0))=0,"S/D",INDEX(Movimientos!$M$2:$M$1994,MATCH(A188&amp;"ENTRADA",Movimientos!$R$2:$R$1994,0))),"S/D")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2464</v>
      </c>
      <c r="B189" s="2" t="str">
        <f>IFERROR(INDEX(Movimientos!$C$2:$C$1994,MATCH(A189&amp;"ENTRADA",Movimientos!$R$2:$R$1994,0)),"-")</f>
        <v>-</v>
      </c>
      <c r="C189" s="2" t="str">
        <f>IFERROR(INDEX(Movimientos!$D$2:$D$1994,MATCH(A189&amp;"ENTRADA",Movimientos!$R$2:$R$1994,0)),"-")</f>
        <v>-</v>
      </c>
      <c r="D189" s="2" t="str">
        <f>IFERROR(INDEX(Movimientos!$E$2:$E$1994,MATCH(A189&amp;"ENTRADA",Movimientos!$R$2:$R$1994,0)),"-")</f>
        <v>-</v>
      </c>
      <c r="E189" s="2" t="str">
        <f>IFERROR(INDEX(Movimientos!$F$2:$F$1994,MATCH(A189&amp;"ENTRADA",Movimientos!$R$2:$R$1994,0)),"-")</f>
        <v>-</v>
      </c>
      <c r="F189" s="2" t="str">
        <f>IFERROR(INDEX(Movimientos!$G$2:$G$1994,MATCH(A189&amp;"ENTRADA",Movimientos!$R$2:$R$1994,0)),"-")</f>
        <v>-</v>
      </c>
      <c r="G189" s="2" t="str">
        <f>IFERROR(INDEX(Movimientos!$L$2:$L$1994,MATCH(A189&amp;"ENTRADA",Movimientos!$R$2:$R$1994,0)),"-")</f>
        <v>-</v>
      </c>
      <c r="H189" s="17" t="str">
        <f>IFERROR(IF(INDEX(Movimientos!$M$2:$M$1994,MATCH(A189&amp;"ENTRADA",Movimientos!$R$2:$R$1994,0))=0,"S/D",INDEX(Movimientos!$M$2:$M$1994,MATCH(A189&amp;"ENTRADA",Movimientos!$R$2:$R$1994,0))),"S/D")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2465</v>
      </c>
      <c r="B190" s="2" t="str">
        <f>IFERROR(INDEX(Movimientos!$C$2:$C$1994,MATCH(A190&amp;"ENTRADA",Movimientos!$R$2:$R$1994,0)),"-")</f>
        <v>-</v>
      </c>
      <c r="C190" s="2" t="str">
        <f>IFERROR(INDEX(Movimientos!$D$2:$D$1994,MATCH(A190&amp;"ENTRADA",Movimientos!$R$2:$R$1994,0)),"-")</f>
        <v>-</v>
      </c>
      <c r="D190" s="2" t="str">
        <f>IFERROR(INDEX(Movimientos!$E$2:$E$1994,MATCH(A190&amp;"ENTRADA",Movimientos!$R$2:$R$1994,0)),"-")</f>
        <v>-</v>
      </c>
      <c r="E190" s="2" t="str">
        <f>IFERROR(INDEX(Movimientos!$F$2:$F$1994,MATCH(A190&amp;"ENTRADA",Movimientos!$R$2:$R$1994,0)),"-")</f>
        <v>-</v>
      </c>
      <c r="F190" s="2" t="str">
        <f>IFERROR(INDEX(Movimientos!$G$2:$G$1994,MATCH(A190&amp;"ENTRADA",Movimientos!$R$2:$R$1994,0)),"-")</f>
        <v>-</v>
      </c>
      <c r="G190" s="2" t="str">
        <f>IFERROR(INDEX(Movimientos!$L$2:$L$1994,MATCH(A190&amp;"ENTRADA",Movimientos!$R$2:$R$1994,0)),"-")</f>
        <v>-</v>
      </c>
      <c r="H190" s="17" t="str">
        <f>IFERROR(IF(INDEX(Movimientos!$M$2:$M$1994,MATCH(A190&amp;"ENTRADA",Movimientos!$R$2:$R$1994,0))=0,"S/D",INDEX(Movimientos!$M$2:$M$1994,MATCH(A190&amp;"ENTRADA",Movimientos!$R$2:$R$1994,0))),"S/D")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2466</v>
      </c>
      <c r="B191" s="2" t="str">
        <f>IFERROR(INDEX(Movimientos!$C$2:$C$1994,MATCH(A191&amp;"ENTRADA",Movimientos!$R$2:$R$1994,0)),"-")</f>
        <v>-</v>
      </c>
      <c r="C191" s="2" t="str">
        <f>IFERROR(INDEX(Movimientos!$D$2:$D$1994,MATCH(A191&amp;"ENTRADA",Movimientos!$R$2:$R$1994,0)),"-")</f>
        <v>-</v>
      </c>
      <c r="D191" s="2" t="str">
        <f>IFERROR(INDEX(Movimientos!$E$2:$E$1994,MATCH(A191&amp;"ENTRADA",Movimientos!$R$2:$R$1994,0)),"-")</f>
        <v>-</v>
      </c>
      <c r="E191" s="2" t="str">
        <f>IFERROR(INDEX(Movimientos!$F$2:$F$1994,MATCH(A191&amp;"ENTRADA",Movimientos!$R$2:$R$1994,0)),"-")</f>
        <v>-</v>
      </c>
      <c r="F191" s="2" t="str">
        <f>IFERROR(INDEX(Movimientos!$G$2:$G$1994,MATCH(A191&amp;"ENTRADA",Movimientos!$R$2:$R$1994,0)),"-")</f>
        <v>-</v>
      </c>
      <c r="G191" s="2" t="str">
        <f>IFERROR(INDEX(Movimientos!$L$2:$L$1994,MATCH(A191&amp;"ENTRADA",Movimientos!$R$2:$R$1994,0)),"-")</f>
        <v>-</v>
      </c>
      <c r="H191" s="17" t="str">
        <f>IFERROR(IF(INDEX(Movimientos!$M$2:$M$1994,MATCH(A191&amp;"ENTRADA",Movimientos!$R$2:$R$1994,0))=0,"S/D",INDEX(Movimientos!$M$2:$M$1994,MATCH(A191&amp;"ENTRADA",Movimientos!$R$2:$R$1994,0))),"S/D")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2467</v>
      </c>
      <c r="B192" s="2" t="str">
        <f>IFERROR(INDEX(Movimientos!$C$2:$C$1994,MATCH(A192&amp;"ENTRADA",Movimientos!$R$2:$R$1994,0)),"-")</f>
        <v>-</v>
      </c>
      <c r="C192" s="2" t="str">
        <f>IFERROR(INDEX(Movimientos!$D$2:$D$1994,MATCH(A192&amp;"ENTRADA",Movimientos!$R$2:$R$1994,0)),"-")</f>
        <v>-</v>
      </c>
      <c r="D192" s="2" t="str">
        <f>IFERROR(INDEX(Movimientos!$E$2:$E$1994,MATCH(A192&amp;"ENTRADA",Movimientos!$R$2:$R$1994,0)),"-")</f>
        <v>-</v>
      </c>
      <c r="E192" s="2" t="str">
        <f>IFERROR(INDEX(Movimientos!$F$2:$F$1994,MATCH(A192&amp;"ENTRADA",Movimientos!$R$2:$R$1994,0)),"-")</f>
        <v>-</v>
      </c>
      <c r="F192" s="2" t="str">
        <f>IFERROR(INDEX(Movimientos!$G$2:$G$1994,MATCH(A192&amp;"ENTRADA",Movimientos!$R$2:$R$1994,0)),"-")</f>
        <v>-</v>
      </c>
      <c r="G192" s="2" t="str">
        <f>IFERROR(INDEX(Movimientos!$L$2:$L$1994,MATCH(A192&amp;"ENTRADA",Movimientos!$R$2:$R$1994,0)),"-")</f>
        <v>-</v>
      </c>
      <c r="H192" s="17" t="str">
        <f>IFERROR(IF(INDEX(Movimientos!$M$2:$M$1994,MATCH(A192&amp;"ENTRADA",Movimientos!$R$2:$R$1994,0))=0,"S/D",INDEX(Movimientos!$M$2:$M$1994,MATCH(A192&amp;"ENTRADA",Movimientos!$R$2:$R$1994,0))),"S/D")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2468</v>
      </c>
      <c r="B193" s="2" t="str">
        <f>IFERROR(INDEX(Movimientos!$C$2:$C$1994,MATCH(A193&amp;"ENTRADA",Movimientos!$R$2:$R$1994,0)),"-")</f>
        <v>-</v>
      </c>
      <c r="C193" s="2" t="str">
        <f>IFERROR(INDEX(Movimientos!$D$2:$D$1994,MATCH(A193&amp;"ENTRADA",Movimientos!$R$2:$R$1994,0)),"-")</f>
        <v>-</v>
      </c>
      <c r="D193" s="2" t="str">
        <f>IFERROR(INDEX(Movimientos!$E$2:$E$1994,MATCH(A193&amp;"ENTRADA",Movimientos!$R$2:$R$1994,0)),"-")</f>
        <v>-</v>
      </c>
      <c r="E193" s="2" t="str">
        <f>IFERROR(INDEX(Movimientos!$F$2:$F$1994,MATCH(A193&amp;"ENTRADA",Movimientos!$R$2:$R$1994,0)),"-")</f>
        <v>-</v>
      </c>
      <c r="F193" s="2" t="str">
        <f>IFERROR(INDEX(Movimientos!$G$2:$G$1994,MATCH(A193&amp;"ENTRADA",Movimientos!$R$2:$R$1994,0)),"-")</f>
        <v>-</v>
      </c>
      <c r="G193" s="2" t="str">
        <f>IFERROR(INDEX(Movimientos!$L$2:$L$1994,MATCH(A193&amp;"ENTRADA",Movimientos!$R$2:$R$1994,0)),"-")</f>
        <v>-</v>
      </c>
      <c r="H193" s="17" t="str">
        <f>IFERROR(IF(INDEX(Movimientos!$M$2:$M$1994,MATCH(A193&amp;"ENTRADA",Movimientos!$R$2:$R$1994,0))=0,"S/D",INDEX(Movimientos!$M$2:$M$1994,MATCH(A193&amp;"ENTRADA",Movimientos!$R$2:$R$1994,0))),"S/D")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2469</v>
      </c>
      <c r="B194" s="2" t="str">
        <f>IFERROR(INDEX(Movimientos!$C$2:$C$1994,MATCH(A194&amp;"ENTRADA",Movimientos!$R$2:$R$1994,0)),"-")</f>
        <v>-</v>
      </c>
      <c r="C194" s="2" t="str">
        <f>IFERROR(INDEX(Movimientos!$D$2:$D$1994,MATCH(A194&amp;"ENTRADA",Movimientos!$R$2:$R$1994,0)),"-")</f>
        <v>-</v>
      </c>
      <c r="D194" s="2" t="str">
        <f>IFERROR(INDEX(Movimientos!$E$2:$E$1994,MATCH(A194&amp;"ENTRADA",Movimientos!$R$2:$R$1994,0)),"-")</f>
        <v>-</v>
      </c>
      <c r="E194" s="2" t="str">
        <f>IFERROR(INDEX(Movimientos!$F$2:$F$1994,MATCH(A194&amp;"ENTRADA",Movimientos!$R$2:$R$1994,0)),"-")</f>
        <v>-</v>
      </c>
      <c r="F194" s="2" t="str">
        <f>IFERROR(INDEX(Movimientos!$G$2:$G$1994,MATCH(A194&amp;"ENTRADA",Movimientos!$R$2:$R$1994,0)),"-")</f>
        <v>-</v>
      </c>
      <c r="G194" s="2" t="str">
        <f>IFERROR(INDEX(Movimientos!$L$2:$L$1994,MATCH(A194&amp;"ENTRADA",Movimientos!$R$2:$R$1994,0)),"-")</f>
        <v>-</v>
      </c>
      <c r="H194" s="17" t="str">
        <f>IFERROR(IF(INDEX(Movimientos!$M$2:$M$1994,MATCH(A194&amp;"ENTRADA",Movimientos!$R$2:$R$1994,0))=0,"S/D",INDEX(Movimientos!$M$2:$M$1994,MATCH(A194&amp;"ENTRADA",Movimientos!$R$2:$R$1994,0))),"S/D")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2470</v>
      </c>
      <c r="B195" s="2" t="str">
        <f>IFERROR(INDEX(Movimientos!$C$2:$C$1994,MATCH(A195&amp;"ENTRADA",Movimientos!$R$2:$R$1994,0)),"-")</f>
        <v>-</v>
      </c>
      <c r="C195" s="2" t="str">
        <f>IFERROR(INDEX(Movimientos!$D$2:$D$1994,MATCH(A195&amp;"ENTRADA",Movimientos!$R$2:$R$1994,0)),"-")</f>
        <v>-</v>
      </c>
      <c r="D195" s="2" t="str">
        <f>IFERROR(INDEX(Movimientos!$E$2:$E$1994,MATCH(A195&amp;"ENTRADA",Movimientos!$R$2:$R$1994,0)),"-")</f>
        <v>-</v>
      </c>
      <c r="E195" s="2" t="str">
        <f>IFERROR(INDEX(Movimientos!$F$2:$F$1994,MATCH(A195&amp;"ENTRADA",Movimientos!$R$2:$R$1994,0)),"-")</f>
        <v>-</v>
      </c>
      <c r="F195" s="2" t="str">
        <f>IFERROR(INDEX(Movimientos!$G$2:$G$1994,MATCH(A195&amp;"ENTRADA",Movimientos!$R$2:$R$1994,0)),"-")</f>
        <v>-</v>
      </c>
      <c r="G195" s="2" t="str">
        <f>IFERROR(INDEX(Movimientos!$L$2:$L$1994,MATCH(A195&amp;"ENTRADA",Movimientos!$R$2:$R$1994,0)),"-")</f>
        <v>-</v>
      </c>
      <c r="H195" s="17" t="str">
        <f>IFERROR(IF(INDEX(Movimientos!$M$2:$M$1994,MATCH(A195&amp;"ENTRADA",Movimientos!$R$2:$R$1994,0))=0,"S/D",INDEX(Movimientos!$M$2:$M$1994,MATCH(A195&amp;"ENTRADA",Movimientos!$R$2:$R$1994,0))),"S/D")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2471</v>
      </c>
      <c r="B196" s="2" t="str">
        <f>IFERROR(INDEX(Movimientos!$C$2:$C$1994,MATCH(A196&amp;"ENTRADA",Movimientos!$R$2:$R$1994,0)),"-")</f>
        <v>-</v>
      </c>
      <c r="C196" s="2" t="str">
        <f>IFERROR(INDEX(Movimientos!$D$2:$D$1994,MATCH(A196&amp;"ENTRADA",Movimientos!$R$2:$R$1994,0)),"-")</f>
        <v>-</v>
      </c>
      <c r="D196" s="2" t="str">
        <f>IFERROR(INDEX(Movimientos!$E$2:$E$1994,MATCH(A196&amp;"ENTRADA",Movimientos!$R$2:$R$1994,0)),"-")</f>
        <v>-</v>
      </c>
      <c r="E196" s="2" t="str">
        <f>IFERROR(INDEX(Movimientos!$F$2:$F$1994,MATCH(A196&amp;"ENTRADA",Movimientos!$R$2:$R$1994,0)),"-")</f>
        <v>-</v>
      </c>
      <c r="F196" s="2" t="str">
        <f>IFERROR(INDEX(Movimientos!$G$2:$G$1994,MATCH(A196&amp;"ENTRADA",Movimientos!$R$2:$R$1994,0)),"-")</f>
        <v>-</v>
      </c>
      <c r="G196" s="2" t="str">
        <f>IFERROR(INDEX(Movimientos!$L$2:$L$1994,MATCH(A196&amp;"ENTRADA",Movimientos!$R$2:$R$1994,0)),"-")</f>
        <v>-</v>
      </c>
      <c r="H196" s="17" t="str">
        <f>IFERROR(IF(INDEX(Movimientos!$M$2:$M$1994,MATCH(A196&amp;"ENTRADA",Movimientos!$R$2:$R$1994,0))=0,"S/D",INDEX(Movimientos!$M$2:$M$1994,MATCH(A196&amp;"ENTRADA",Movimientos!$R$2:$R$1994,0))),"S/D")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2472</v>
      </c>
      <c r="B197" s="2" t="str">
        <f>IFERROR(INDEX(Movimientos!$C$2:$C$1994,MATCH(A197&amp;"ENTRADA",Movimientos!$R$2:$R$1994,0)),"-")</f>
        <v>-</v>
      </c>
      <c r="C197" s="2" t="str">
        <f>IFERROR(INDEX(Movimientos!$D$2:$D$1994,MATCH(A197&amp;"ENTRADA",Movimientos!$R$2:$R$1994,0)),"-")</f>
        <v>-</v>
      </c>
      <c r="D197" s="2" t="str">
        <f>IFERROR(INDEX(Movimientos!$E$2:$E$1994,MATCH(A197&amp;"ENTRADA",Movimientos!$R$2:$R$1994,0)),"-")</f>
        <v>-</v>
      </c>
      <c r="E197" s="2" t="str">
        <f>IFERROR(INDEX(Movimientos!$F$2:$F$1994,MATCH(A197&amp;"ENTRADA",Movimientos!$R$2:$R$1994,0)),"-")</f>
        <v>-</v>
      </c>
      <c r="F197" s="2" t="str">
        <f>IFERROR(INDEX(Movimientos!$G$2:$G$1994,MATCH(A197&amp;"ENTRADA",Movimientos!$R$2:$R$1994,0)),"-")</f>
        <v>-</v>
      </c>
      <c r="G197" s="2" t="str">
        <f>IFERROR(INDEX(Movimientos!$L$2:$L$1994,MATCH(A197&amp;"ENTRADA",Movimientos!$R$2:$R$1994,0)),"-")</f>
        <v>-</v>
      </c>
      <c r="H197" s="17" t="str">
        <f>IFERROR(IF(INDEX(Movimientos!$M$2:$M$1994,MATCH(A197&amp;"ENTRADA",Movimientos!$R$2:$R$1994,0))=0,"S/D",INDEX(Movimientos!$M$2:$M$1994,MATCH(A197&amp;"ENTRADA",Movimientos!$R$2:$R$1994,0))),"S/D")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2473</v>
      </c>
      <c r="B198" s="2" t="str">
        <f>IFERROR(INDEX(Movimientos!$C$2:$C$1994,MATCH(A198&amp;"ENTRADA",Movimientos!$R$2:$R$1994,0)),"-")</f>
        <v>-</v>
      </c>
      <c r="C198" s="2" t="str">
        <f>IFERROR(INDEX(Movimientos!$D$2:$D$1994,MATCH(A198&amp;"ENTRADA",Movimientos!$R$2:$R$1994,0)),"-")</f>
        <v>-</v>
      </c>
      <c r="D198" s="2" t="str">
        <f>IFERROR(INDEX(Movimientos!$E$2:$E$1994,MATCH(A198&amp;"ENTRADA",Movimientos!$R$2:$R$1994,0)),"-")</f>
        <v>-</v>
      </c>
      <c r="E198" s="2" t="str">
        <f>IFERROR(INDEX(Movimientos!$F$2:$F$1994,MATCH(A198&amp;"ENTRADA",Movimientos!$R$2:$R$1994,0)),"-")</f>
        <v>-</v>
      </c>
      <c r="F198" s="2" t="str">
        <f>IFERROR(INDEX(Movimientos!$G$2:$G$1994,MATCH(A198&amp;"ENTRADA",Movimientos!$R$2:$R$1994,0)),"-")</f>
        <v>-</v>
      </c>
      <c r="G198" s="2" t="str">
        <f>IFERROR(INDEX(Movimientos!$L$2:$L$1994,MATCH(A198&amp;"ENTRADA",Movimientos!$R$2:$R$1994,0)),"-")</f>
        <v>-</v>
      </c>
      <c r="H198" s="17" t="str">
        <f>IFERROR(IF(INDEX(Movimientos!$M$2:$M$1994,MATCH(A198&amp;"ENTRADA",Movimientos!$R$2:$R$1994,0))=0,"S/D",INDEX(Movimientos!$M$2:$M$1994,MATCH(A198&amp;"ENTRADA",Movimientos!$R$2:$R$1994,0))),"S/D")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2474</v>
      </c>
      <c r="B199" s="2" t="str">
        <f>IFERROR(INDEX(Movimientos!$C$2:$C$1994,MATCH(A199&amp;"ENTRADA",Movimientos!$R$2:$R$1994,0)),"-")</f>
        <v>-</v>
      </c>
      <c r="C199" s="2" t="str">
        <f>IFERROR(INDEX(Movimientos!$D$2:$D$1994,MATCH(A199&amp;"ENTRADA",Movimientos!$R$2:$R$1994,0)),"-")</f>
        <v>-</v>
      </c>
      <c r="D199" s="2" t="str">
        <f>IFERROR(INDEX(Movimientos!$E$2:$E$1994,MATCH(A199&amp;"ENTRADA",Movimientos!$R$2:$R$1994,0)),"-")</f>
        <v>-</v>
      </c>
      <c r="E199" s="2" t="str">
        <f>IFERROR(INDEX(Movimientos!$F$2:$F$1994,MATCH(A199&amp;"ENTRADA",Movimientos!$R$2:$R$1994,0)),"-")</f>
        <v>-</v>
      </c>
      <c r="F199" s="2" t="str">
        <f>IFERROR(INDEX(Movimientos!$G$2:$G$1994,MATCH(A199&amp;"ENTRADA",Movimientos!$R$2:$R$1994,0)),"-")</f>
        <v>-</v>
      </c>
      <c r="G199" s="2" t="str">
        <f>IFERROR(INDEX(Movimientos!$L$2:$L$1994,MATCH(A199&amp;"ENTRADA",Movimientos!$R$2:$R$1994,0)),"-")</f>
        <v>-</v>
      </c>
      <c r="H199" s="17" t="str">
        <f>IFERROR(IF(INDEX(Movimientos!$M$2:$M$1994,MATCH(A199&amp;"ENTRADA",Movimientos!$R$2:$R$1994,0))=0,"S/D",INDEX(Movimientos!$M$2:$M$1994,MATCH(A199&amp;"ENTRADA",Movimientos!$R$2:$R$1994,0))),"S/D")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2475</v>
      </c>
      <c r="B200" s="2" t="str">
        <f>IFERROR(INDEX(Movimientos!$C$2:$C$1994,MATCH(A200&amp;"ENTRADA",Movimientos!$R$2:$R$1994,0)),"-")</f>
        <v>-</v>
      </c>
      <c r="C200" s="2" t="str">
        <f>IFERROR(INDEX(Movimientos!$D$2:$D$1994,MATCH(A200&amp;"ENTRADA",Movimientos!$R$2:$R$1994,0)),"-")</f>
        <v>-</v>
      </c>
      <c r="D200" s="2" t="str">
        <f>IFERROR(INDEX(Movimientos!$E$2:$E$1994,MATCH(A200&amp;"ENTRADA",Movimientos!$R$2:$R$1994,0)),"-")</f>
        <v>-</v>
      </c>
      <c r="E200" s="2" t="str">
        <f>IFERROR(INDEX(Movimientos!$F$2:$F$1994,MATCH(A200&amp;"ENTRADA",Movimientos!$R$2:$R$1994,0)),"-")</f>
        <v>-</v>
      </c>
      <c r="F200" s="2" t="str">
        <f>IFERROR(INDEX(Movimientos!$G$2:$G$1994,MATCH(A200&amp;"ENTRADA",Movimientos!$R$2:$R$1994,0)),"-")</f>
        <v>-</v>
      </c>
      <c r="G200" s="2" t="str">
        <f>IFERROR(INDEX(Movimientos!$L$2:$L$1994,MATCH(A200&amp;"ENTRADA",Movimientos!$R$2:$R$1994,0)),"-")</f>
        <v>-</v>
      </c>
      <c r="H200" s="17" t="str">
        <f>IFERROR(IF(INDEX(Movimientos!$M$2:$M$1994,MATCH(A200&amp;"ENTRADA",Movimientos!$R$2:$R$1994,0))=0,"S/D",INDEX(Movimientos!$M$2:$M$1994,MATCH(A200&amp;"ENTRADA",Movimientos!$R$2:$R$1994,0))),"S/D")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2476</v>
      </c>
      <c r="B201" s="2" t="str">
        <f>IFERROR(INDEX(Movimientos!$C$2:$C$1994,MATCH(A201&amp;"ENTRADA",Movimientos!$R$2:$R$1994,0)),"-")</f>
        <v>-</v>
      </c>
      <c r="C201" s="2" t="str">
        <f>IFERROR(INDEX(Movimientos!$D$2:$D$1994,MATCH(A201&amp;"ENTRADA",Movimientos!$R$2:$R$1994,0)),"-")</f>
        <v>-</v>
      </c>
      <c r="D201" s="2" t="str">
        <f>IFERROR(INDEX(Movimientos!$E$2:$E$1994,MATCH(A201&amp;"ENTRADA",Movimientos!$R$2:$R$1994,0)),"-")</f>
        <v>-</v>
      </c>
      <c r="E201" s="2" t="str">
        <f>IFERROR(INDEX(Movimientos!$F$2:$F$1994,MATCH(A201&amp;"ENTRADA",Movimientos!$R$2:$R$1994,0)),"-")</f>
        <v>-</v>
      </c>
      <c r="F201" s="2" t="str">
        <f>IFERROR(INDEX(Movimientos!$G$2:$G$1994,MATCH(A201&amp;"ENTRADA",Movimientos!$R$2:$R$1994,0)),"-")</f>
        <v>-</v>
      </c>
      <c r="G201" s="2" t="str">
        <f>IFERROR(INDEX(Movimientos!$L$2:$L$1994,MATCH(A201&amp;"ENTRADA",Movimientos!$R$2:$R$1994,0)),"-")</f>
        <v>-</v>
      </c>
      <c r="H201" s="17" t="str">
        <f>IFERROR(IF(INDEX(Movimientos!$M$2:$M$1994,MATCH(A201&amp;"ENTRADA",Movimientos!$R$2:$R$1994,0))=0,"S/D",INDEX(Movimientos!$M$2:$M$1994,MATCH(A201&amp;"ENTRADA",Movimientos!$R$2:$R$1994,0))),"S/D")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2477</v>
      </c>
      <c r="B202" s="2" t="str">
        <f>IFERROR(INDEX(Movimientos!$C$2:$C$1994,MATCH(A202&amp;"ENTRADA",Movimientos!$R$2:$R$1994,0)),"-")</f>
        <v>-</v>
      </c>
      <c r="C202" s="2" t="str">
        <f>IFERROR(INDEX(Movimientos!$D$2:$D$1994,MATCH(A202&amp;"ENTRADA",Movimientos!$R$2:$R$1994,0)),"-")</f>
        <v>-</v>
      </c>
      <c r="D202" s="2" t="str">
        <f>IFERROR(INDEX(Movimientos!$E$2:$E$1994,MATCH(A202&amp;"ENTRADA",Movimientos!$R$2:$R$1994,0)),"-")</f>
        <v>-</v>
      </c>
      <c r="E202" s="2" t="str">
        <f>IFERROR(INDEX(Movimientos!$F$2:$F$1994,MATCH(A202&amp;"ENTRADA",Movimientos!$R$2:$R$1994,0)),"-")</f>
        <v>-</v>
      </c>
      <c r="F202" s="2" t="str">
        <f>IFERROR(INDEX(Movimientos!$G$2:$G$1994,MATCH(A202&amp;"ENTRADA",Movimientos!$R$2:$R$1994,0)),"-")</f>
        <v>-</v>
      </c>
      <c r="G202" s="2" t="str">
        <f>IFERROR(INDEX(Movimientos!$L$2:$L$1994,MATCH(A202&amp;"ENTRADA",Movimientos!$R$2:$R$1994,0)),"-")</f>
        <v>-</v>
      </c>
      <c r="H202" s="17" t="str">
        <f>IFERROR(IF(INDEX(Movimientos!$M$2:$M$1994,MATCH(A202&amp;"ENTRADA",Movimientos!$R$2:$R$1994,0))=0,"S/D",INDEX(Movimientos!$M$2:$M$1994,MATCH(A202&amp;"ENTRADA",Movimientos!$R$2:$R$1994,0))),"S/D")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2478</v>
      </c>
      <c r="B203" s="2" t="str">
        <f>IFERROR(INDEX(Movimientos!$C$2:$C$1994,MATCH(A203&amp;"ENTRADA",Movimientos!$R$2:$R$1994,0)),"-")</f>
        <v>-</v>
      </c>
      <c r="C203" s="2" t="str">
        <f>IFERROR(INDEX(Movimientos!$D$2:$D$1994,MATCH(A203&amp;"ENTRADA",Movimientos!$R$2:$R$1994,0)),"-")</f>
        <v>-</v>
      </c>
      <c r="D203" s="2" t="str">
        <f>IFERROR(INDEX(Movimientos!$E$2:$E$1994,MATCH(A203&amp;"ENTRADA",Movimientos!$R$2:$R$1994,0)),"-")</f>
        <v>-</v>
      </c>
      <c r="E203" s="2" t="str">
        <f>IFERROR(INDEX(Movimientos!$F$2:$F$1994,MATCH(A203&amp;"ENTRADA",Movimientos!$R$2:$R$1994,0)),"-")</f>
        <v>-</v>
      </c>
      <c r="F203" s="2" t="str">
        <f>IFERROR(INDEX(Movimientos!$G$2:$G$1994,MATCH(A203&amp;"ENTRADA",Movimientos!$R$2:$R$1994,0)),"-")</f>
        <v>-</v>
      </c>
      <c r="G203" s="2" t="str">
        <f>IFERROR(INDEX(Movimientos!$L$2:$L$1994,MATCH(A203&amp;"ENTRADA",Movimientos!$R$2:$R$1994,0)),"-")</f>
        <v>-</v>
      </c>
      <c r="H203" s="17" t="str">
        <f>IFERROR(IF(INDEX(Movimientos!$M$2:$M$1994,MATCH(A203&amp;"ENTRADA",Movimientos!$R$2:$R$1994,0))=0,"S/D",INDEX(Movimientos!$M$2:$M$1994,MATCH(A203&amp;"ENTRADA",Movimientos!$R$2:$R$1994,0))),"S/D")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2479</v>
      </c>
      <c r="B204" s="2" t="str">
        <f>IFERROR(INDEX(Movimientos!$C$2:$C$1994,MATCH(A204&amp;"ENTRADA",Movimientos!$R$2:$R$1994,0)),"-")</f>
        <v>-</v>
      </c>
      <c r="C204" s="2" t="str">
        <f>IFERROR(INDEX(Movimientos!$D$2:$D$1994,MATCH(A204&amp;"ENTRADA",Movimientos!$R$2:$R$1994,0)),"-")</f>
        <v>-</v>
      </c>
      <c r="D204" s="2" t="str">
        <f>IFERROR(INDEX(Movimientos!$E$2:$E$1994,MATCH(A204&amp;"ENTRADA",Movimientos!$R$2:$R$1994,0)),"-")</f>
        <v>-</v>
      </c>
      <c r="E204" s="2" t="str">
        <f>IFERROR(INDEX(Movimientos!$F$2:$F$1994,MATCH(A204&amp;"ENTRADA",Movimientos!$R$2:$R$1994,0)),"-")</f>
        <v>-</v>
      </c>
      <c r="F204" s="2" t="str">
        <f>IFERROR(INDEX(Movimientos!$G$2:$G$1994,MATCH(A204&amp;"ENTRADA",Movimientos!$R$2:$R$1994,0)),"-")</f>
        <v>-</v>
      </c>
      <c r="G204" s="2" t="str">
        <f>IFERROR(INDEX(Movimientos!$L$2:$L$1994,MATCH(A204&amp;"ENTRADA",Movimientos!$R$2:$R$1994,0)),"-")</f>
        <v>-</v>
      </c>
      <c r="H204" s="17" t="str">
        <f>IFERROR(IF(INDEX(Movimientos!$M$2:$M$1994,MATCH(A204&amp;"ENTRADA",Movimientos!$R$2:$R$1994,0))=0,"S/D",INDEX(Movimientos!$M$2:$M$1994,MATCH(A204&amp;"ENTRADA",Movimientos!$R$2:$R$1994,0))),"S/D")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2480</v>
      </c>
      <c r="B205" s="2" t="str">
        <f>IFERROR(INDEX(Movimientos!$C$2:$C$1994,MATCH(A205&amp;"ENTRADA",Movimientos!$R$2:$R$1994,0)),"-")</f>
        <v>-</v>
      </c>
      <c r="C205" s="2" t="str">
        <f>IFERROR(INDEX(Movimientos!$D$2:$D$1994,MATCH(A205&amp;"ENTRADA",Movimientos!$R$2:$R$1994,0)),"-")</f>
        <v>-</v>
      </c>
      <c r="D205" s="2" t="str">
        <f>IFERROR(INDEX(Movimientos!$E$2:$E$1994,MATCH(A205&amp;"ENTRADA",Movimientos!$R$2:$R$1994,0)),"-")</f>
        <v>-</v>
      </c>
      <c r="E205" s="2" t="str">
        <f>IFERROR(INDEX(Movimientos!$F$2:$F$1994,MATCH(A205&amp;"ENTRADA",Movimientos!$R$2:$R$1994,0)),"-")</f>
        <v>-</v>
      </c>
      <c r="F205" s="2" t="str">
        <f>IFERROR(INDEX(Movimientos!$G$2:$G$1994,MATCH(A205&amp;"ENTRADA",Movimientos!$R$2:$R$1994,0)),"-")</f>
        <v>-</v>
      </c>
      <c r="G205" s="2" t="str">
        <f>IFERROR(INDEX(Movimientos!$L$2:$L$1994,MATCH(A205&amp;"ENTRADA",Movimientos!$R$2:$R$1994,0)),"-")</f>
        <v>-</v>
      </c>
      <c r="H205" s="17" t="str">
        <f>IFERROR(IF(INDEX(Movimientos!$M$2:$M$1994,MATCH(A205&amp;"ENTRADA",Movimientos!$R$2:$R$1994,0))=0,"S/D",INDEX(Movimientos!$M$2:$M$1994,MATCH(A205&amp;"ENTRADA",Movimientos!$R$2:$R$1994,0))),"S/D")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2481</v>
      </c>
      <c r="B206" s="2" t="str">
        <f>IFERROR(INDEX(Movimientos!$C$2:$C$1994,MATCH(A206&amp;"ENTRADA",Movimientos!$R$2:$R$1994,0)),"-")</f>
        <v>-</v>
      </c>
      <c r="C206" s="2" t="str">
        <f>IFERROR(INDEX(Movimientos!$D$2:$D$1994,MATCH(A206&amp;"ENTRADA",Movimientos!$R$2:$R$1994,0)),"-")</f>
        <v>-</v>
      </c>
      <c r="D206" s="2" t="str">
        <f>IFERROR(INDEX(Movimientos!$E$2:$E$1994,MATCH(A206&amp;"ENTRADA",Movimientos!$R$2:$R$1994,0)),"-")</f>
        <v>-</v>
      </c>
      <c r="E206" s="2" t="str">
        <f>IFERROR(INDEX(Movimientos!$F$2:$F$1994,MATCH(A206&amp;"ENTRADA",Movimientos!$R$2:$R$1994,0)),"-")</f>
        <v>-</v>
      </c>
      <c r="F206" s="2" t="str">
        <f>IFERROR(INDEX(Movimientos!$G$2:$G$1994,MATCH(A206&amp;"ENTRADA",Movimientos!$R$2:$R$1994,0)),"-")</f>
        <v>-</v>
      </c>
      <c r="G206" s="2" t="str">
        <f>IFERROR(INDEX(Movimientos!$L$2:$L$1994,MATCH(A206&amp;"ENTRADA",Movimientos!$R$2:$R$1994,0)),"-")</f>
        <v>-</v>
      </c>
      <c r="H206" s="17" t="str">
        <f>IFERROR(IF(INDEX(Movimientos!$M$2:$M$1994,MATCH(A206&amp;"ENTRADA",Movimientos!$R$2:$R$1994,0))=0,"S/D",INDEX(Movimientos!$M$2:$M$1994,MATCH(A206&amp;"ENTRADA",Movimientos!$R$2:$R$1994,0))),"S/D")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2482</v>
      </c>
      <c r="B207" s="2" t="str">
        <f>IFERROR(INDEX(Movimientos!$C$2:$C$1994,MATCH(A207&amp;"ENTRADA",Movimientos!$R$2:$R$1994,0)),"-")</f>
        <v>-</v>
      </c>
      <c r="C207" s="2" t="str">
        <f>IFERROR(INDEX(Movimientos!$D$2:$D$1994,MATCH(A207&amp;"ENTRADA",Movimientos!$R$2:$R$1994,0)),"-")</f>
        <v>-</v>
      </c>
      <c r="D207" s="2" t="str">
        <f>IFERROR(INDEX(Movimientos!$E$2:$E$1994,MATCH(A207&amp;"ENTRADA",Movimientos!$R$2:$R$1994,0)),"-")</f>
        <v>-</v>
      </c>
      <c r="E207" s="2" t="str">
        <f>IFERROR(INDEX(Movimientos!$F$2:$F$1994,MATCH(A207&amp;"ENTRADA",Movimientos!$R$2:$R$1994,0)),"-")</f>
        <v>-</v>
      </c>
      <c r="F207" s="2" t="str">
        <f>IFERROR(INDEX(Movimientos!$G$2:$G$1994,MATCH(A207&amp;"ENTRADA",Movimientos!$R$2:$R$1994,0)),"-")</f>
        <v>-</v>
      </c>
      <c r="G207" s="2" t="str">
        <f>IFERROR(INDEX(Movimientos!$L$2:$L$1994,MATCH(A207&amp;"ENTRADA",Movimientos!$R$2:$R$1994,0)),"-")</f>
        <v>-</v>
      </c>
      <c r="H207" s="17" t="str">
        <f>IFERROR(IF(INDEX(Movimientos!$M$2:$M$1994,MATCH(A207&amp;"ENTRADA",Movimientos!$R$2:$R$1994,0))=0,"S/D",INDEX(Movimientos!$M$2:$M$1994,MATCH(A207&amp;"ENTRADA",Movimientos!$R$2:$R$1994,0))),"S/D")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2483</v>
      </c>
      <c r="B208" s="2" t="str">
        <f>IFERROR(INDEX(Movimientos!$C$2:$C$1994,MATCH(A208&amp;"ENTRADA",Movimientos!$R$2:$R$1994,0)),"-")</f>
        <v>-</v>
      </c>
      <c r="C208" s="2" t="str">
        <f>IFERROR(INDEX(Movimientos!$D$2:$D$1994,MATCH(A208&amp;"ENTRADA",Movimientos!$R$2:$R$1994,0)),"-")</f>
        <v>-</v>
      </c>
      <c r="D208" s="2" t="str">
        <f>IFERROR(INDEX(Movimientos!$E$2:$E$1994,MATCH(A208&amp;"ENTRADA",Movimientos!$R$2:$R$1994,0)),"-")</f>
        <v>-</v>
      </c>
      <c r="E208" s="2" t="str">
        <f>IFERROR(INDEX(Movimientos!$F$2:$F$1994,MATCH(A208&amp;"ENTRADA",Movimientos!$R$2:$R$1994,0)),"-")</f>
        <v>-</v>
      </c>
      <c r="F208" s="2" t="str">
        <f>IFERROR(INDEX(Movimientos!$G$2:$G$1994,MATCH(A208&amp;"ENTRADA",Movimientos!$R$2:$R$1994,0)),"-")</f>
        <v>-</v>
      </c>
      <c r="G208" s="2" t="str">
        <f>IFERROR(INDEX(Movimientos!$L$2:$L$1994,MATCH(A208&amp;"ENTRADA",Movimientos!$R$2:$R$1994,0)),"-")</f>
        <v>-</v>
      </c>
      <c r="H208" s="17" t="str">
        <f>IFERROR(IF(INDEX(Movimientos!$M$2:$M$1994,MATCH(A208&amp;"ENTRADA",Movimientos!$R$2:$R$1994,0))=0,"S/D",INDEX(Movimientos!$M$2:$M$1994,MATCH(A208&amp;"ENTRADA",Movimientos!$R$2:$R$1994,0))),"S/D")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2484</v>
      </c>
      <c r="B209" s="2" t="str">
        <f>IFERROR(INDEX(Movimientos!$C$2:$C$1994,MATCH(A209&amp;"ENTRADA",Movimientos!$R$2:$R$1994,0)),"-")</f>
        <v>-</v>
      </c>
      <c r="C209" s="2" t="str">
        <f>IFERROR(INDEX(Movimientos!$D$2:$D$1994,MATCH(A209&amp;"ENTRADA",Movimientos!$R$2:$R$1994,0)),"-")</f>
        <v>-</v>
      </c>
      <c r="D209" s="2" t="str">
        <f>IFERROR(INDEX(Movimientos!$E$2:$E$1994,MATCH(A209&amp;"ENTRADA",Movimientos!$R$2:$R$1994,0)),"-")</f>
        <v>-</v>
      </c>
      <c r="E209" s="2" t="str">
        <f>IFERROR(INDEX(Movimientos!$F$2:$F$1994,MATCH(A209&amp;"ENTRADA",Movimientos!$R$2:$R$1994,0)),"-")</f>
        <v>-</v>
      </c>
      <c r="F209" s="2" t="str">
        <f>IFERROR(INDEX(Movimientos!$G$2:$G$1994,MATCH(A209&amp;"ENTRADA",Movimientos!$R$2:$R$1994,0)),"-")</f>
        <v>-</v>
      </c>
      <c r="G209" s="2" t="str">
        <f>IFERROR(INDEX(Movimientos!$L$2:$L$1994,MATCH(A209&amp;"ENTRADA",Movimientos!$R$2:$R$1994,0)),"-")</f>
        <v>-</v>
      </c>
      <c r="H209" s="17" t="str">
        <f>IFERROR(IF(INDEX(Movimientos!$M$2:$M$1994,MATCH(A209&amp;"ENTRADA",Movimientos!$R$2:$R$1994,0))=0,"S/D",INDEX(Movimientos!$M$2:$M$1994,MATCH(A209&amp;"ENTRADA",Movimientos!$R$2:$R$1994,0))),"S/D")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2485</v>
      </c>
      <c r="B210" s="2" t="str">
        <f>IFERROR(INDEX(Movimientos!$C$2:$C$1994,MATCH(A210&amp;"ENTRADA",Movimientos!$R$2:$R$1994,0)),"-")</f>
        <v>-</v>
      </c>
      <c r="C210" s="2" t="str">
        <f>IFERROR(INDEX(Movimientos!$D$2:$D$1994,MATCH(A210&amp;"ENTRADA",Movimientos!$R$2:$R$1994,0)),"-")</f>
        <v>-</v>
      </c>
      <c r="D210" s="2" t="str">
        <f>IFERROR(INDEX(Movimientos!$E$2:$E$1994,MATCH(A210&amp;"ENTRADA",Movimientos!$R$2:$R$1994,0)),"-")</f>
        <v>-</v>
      </c>
      <c r="E210" s="2" t="str">
        <f>IFERROR(INDEX(Movimientos!$F$2:$F$1994,MATCH(A210&amp;"ENTRADA",Movimientos!$R$2:$R$1994,0)),"-")</f>
        <v>-</v>
      </c>
      <c r="F210" s="2" t="str">
        <f>IFERROR(INDEX(Movimientos!$G$2:$G$1994,MATCH(A210&amp;"ENTRADA",Movimientos!$R$2:$R$1994,0)),"-")</f>
        <v>-</v>
      </c>
      <c r="G210" s="2" t="str">
        <f>IFERROR(INDEX(Movimientos!$L$2:$L$1994,MATCH(A210&amp;"ENTRADA",Movimientos!$R$2:$R$1994,0)),"-")</f>
        <v>-</v>
      </c>
      <c r="H210" s="17" t="str">
        <f>IFERROR(IF(INDEX(Movimientos!$M$2:$M$1994,MATCH(A210&amp;"ENTRADA",Movimientos!$R$2:$R$1994,0))=0,"S/D",INDEX(Movimientos!$M$2:$M$1994,MATCH(A210&amp;"ENTRADA",Movimientos!$R$2:$R$1994,0))),"S/D")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2486</v>
      </c>
      <c r="B211" s="2" t="str">
        <f>IFERROR(INDEX(Movimientos!$C$2:$C$1994,MATCH(A211&amp;"ENTRADA",Movimientos!$R$2:$R$1994,0)),"-")</f>
        <v>-</v>
      </c>
      <c r="C211" s="2" t="str">
        <f>IFERROR(INDEX(Movimientos!$D$2:$D$1994,MATCH(A211&amp;"ENTRADA",Movimientos!$R$2:$R$1994,0)),"-")</f>
        <v>-</v>
      </c>
      <c r="D211" s="2" t="str">
        <f>IFERROR(INDEX(Movimientos!$E$2:$E$1994,MATCH(A211&amp;"ENTRADA",Movimientos!$R$2:$R$1994,0)),"-")</f>
        <v>-</v>
      </c>
      <c r="E211" s="2" t="str">
        <f>IFERROR(INDEX(Movimientos!$F$2:$F$1994,MATCH(A211&amp;"ENTRADA",Movimientos!$R$2:$R$1994,0)),"-")</f>
        <v>-</v>
      </c>
      <c r="F211" s="2" t="str">
        <f>IFERROR(INDEX(Movimientos!$G$2:$G$1994,MATCH(A211&amp;"ENTRADA",Movimientos!$R$2:$R$1994,0)),"-")</f>
        <v>-</v>
      </c>
      <c r="G211" s="2" t="str">
        <f>IFERROR(INDEX(Movimientos!$L$2:$L$1994,MATCH(A211&amp;"ENTRADA",Movimientos!$R$2:$R$1994,0)),"-")</f>
        <v>-</v>
      </c>
      <c r="H211" s="17" t="str">
        <f>IFERROR(IF(INDEX(Movimientos!$M$2:$M$1994,MATCH(A211&amp;"ENTRADA",Movimientos!$R$2:$R$1994,0))=0,"S/D",INDEX(Movimientos!$M$2:$M$1994,MATCH(A211&amp;"ENTRADA",Movimientos!$R$2:$R$1994,0))),"S/D")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2487</v>
      </c>
      <c r="B212" s="2" t="str">
        <f>IFERROR(INDEX(Movimientos!$C$2:$C$1994,MATCH(A212&amp;"ENTRADA",Movimientos!$R$2:$R$1994,0)),"-")</f>
        <v>-</v>
      </c>
      <c r="C212" s="2" t="str">
        <f>IFERROR(INDEX(Movimientos!$D$2:$D$1994,MATCH(A212&amp;"ENTRADA",Movimientos!$R$2:$R$1994,0)),"-")</f>
        <v>-</v>
      </c>
      <c r="D212" s="2" t="str">
        <f>IFERROR(INDEX(Movimientos!$E$2:$E$1994,MATCH(A212&amp;"ENTRADA",Movimientos!$R$2:$R$1994,0)),"-")</f>
        <v>-</v>
      </c>
      <c r="E212" s="2" t="str">
        <f>IFERROR(INDEX(Movimientos!$F$2:$F$1994,MATCH(A212&amp;"ENTRADA",Movimientos!$R$2:$R$1994,0)),"-")</f>
        <v>-</v>
      </c>
      <c r="F212" s="2" t="str">
        <f>IFERROR(INDEX(Movimientos!$G$2:$G$1994,MATCH(A212&amp;"ENTRADA",Movimientos!$R$2:$R$1994,0)),"-")</f>
        <v>-</v>
      </c>
      <c r="G212" s="2" t="str">
        <f>IFERROR(INDEX(Movimientos!$L$2:$L$1994,MATCH(A212&amp;"ENTRADA",Movimientos!$R$2:$R$1994,0)),"-")</f>
        <v>-</v>
      </c>
      <c r="H212" s="17" t="str">
        <f>IFERROR(IF(INDEX(Movimientos!$M$2:$M$1994,MATCH(A212&amp;"ENTRADA",Movimientos!$R$2:$R$1994,0))=0,"S/D",INDEX(Movimientos!$M$2:$M$1994,MATCH(A212&amp;"ENTRADA",Movimientos!$R$2:$R$1994,0))),"S/D")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2488</v>
      </c>
      <c r="B213" s="2" t="str">
        <f>IFERROR(INDEX(Movimientos!$C$2:$C$1994,MATCH(A213&amp;"ENTRADA",Movimientos!$R$2:$R$1994,0)),"-")</f>
        <v>-</v>
      </c>
      <c r="C213" s="2" t="str">
        <f>IFERROR(INDEX(Movimientos!$D$2:$D$1994,MATCH(A213&amp;"ENTRADA",Movimientos!$R$2:$R$1994,0)),"-")</f>
        <v>-</v>
      </c>
      <c r="D213" s="2" t="str">
        <f>IFERROR(INDEX(Movimientos!$E$2:$E$1994,MATCH(A213&amp;"ENTRADA",Movimientos!$R$2:$R$1994,0)),"-")</f>
        <v>-</v>
      </c>
      <c r="E213" s="2" t="str">
        <f>IFERROR(INDEX(Movimientos!$F$2:$F$1994,MATCH(A213&amp;"ENTRADA",Movimientos!$R$2:$R$1994,0)),"-")</f>
        <v>-</v>
      </c>
      <c r="F213" s="2" t="str">
        <f>IFERROR(INDEX(Movimientos!$G$2:$G$1994,MATCH(A213&amp;"ENTRADA",Movimientos!$R$2:$R$1994,0)),"-")</f>
        <v>-</v>
      </c>
      <c r="G213" s="2" t="str">
        <f>IFERROR(INDEX(Movimientos!$L$2:$L$1994,MATCH(A213&amp;"ENTRADA",Movimientos!$R$2:$R$1994,0)),"-")</f>
        <v>-</v>
      </c>
      <c r="H213" s="17" t="str">
        <f>IFERROR(IF(INDEX(Movimientos!$M$2:$M$1994,MATCH(A213&amp;"ENTRADA",Movimientos!$R$2:$R$1994,0))=0,"S/D",INDEX(Movimientos!$M$2:$M$1994,MATCH(A213&amp;"ENTRADA",Movimientos!$R$2:$R$1994,0))),"S/D")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2489</v>
      </c>
      <c r="B214" s="2" t="str">
        <f>IFERROR(INDEX(Movimientos!$C$2:$C$1994,MATCH(A214&amp;"ENTRADA",Movimientos!$R$2:$R$1994,0)),"-")</f>
        <v>-</v>
      </c>
      <c r="C214" s="2" t="str">
        <f>IFERROR(INDEX(Movimientos!$D$2:$D$1994,MATCH(A214&amp;"ENTRADA",Movimientos!$R$2:$R$1994,0)),"-")</f>
        <v>-</v>
      </c>
      <c r="D214" s="2" t="str">
        <f>IFERROR(INDEX(Movimientos!$E$2:$E$1994,MATCH(A214&amp;"ENTRADA",Movimientos!$R$2:$R$1994,0)),"-")</f>
        <v>-</v>
      </c>
      <c r="E214" s="2" t="str">
        <f>IFERROR(INDEX(Movimientos!$F$2:$F$1994,MATCH(A214&amp;"ENTRADA",Movimientos!$R$2:$R$1994,0)),"-")</f>
        <v>-</v>
      </c>
      <c r="F214" s="2" t="str">
        <f>IFERROR(INDEX(Movimientos!$G$2:$G$1994,MATCH(A214&amp;"ENTRADA",Movimientos!$R$2:$R$1994,0)),"-")</f>
        <v>-</v>
      </c>
      <c r="G214" s="2" t="str">
        <f>IFERROR(INDEX(Movimientos!$L$2:$L$1994,MATCH(A214&amp;"ENTRADA",Movimientos!$R$2:$R$1994,0)),"-")</f>
        <v>-</v>
      </c>
      <c r="H214" s="17" t="str">
        <f>IFERROR(IF(INDEX(Movimientos!$M$2:$M$1994,MATCH(A214&amp;"ENTRADA",Movimientos!$R$2:$R$1994,0))=0,"S/D",INDEX(Movimientos!$M$2:$M$1994,MATCH(A214&amp;"ENTRADA",Movimientos!$R$2:$R$1994,0))),"S/D")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2490</v>
      </c>
      <c r="B215" s="2" t="str">
        <f>IFERROR(INDEX(Movimientos!$C$2:$C$1994,MATCH(A215&amp;"ENTRADA",Movimientos!$R$2:$R$1994,0)),"-")</f>
        <v>-</v>
      </c>
      <c r="C215" s="2" t="str">
        <f>IFERROR(INDEX(Movimientos!$D$2:$D$1994,MATCH(A215&amp;"ENTRADA",Movimientos!$R$2:$R$1994,0)),"-")</f>
        <v>-</v>
      </c>
      <c r="D215" s="2" t="str">
        <f>IFERROR(INDEX(Movimientos!$E$2:$E$1994,MATCH(A215&amp;"ENTRADA",Movimientos!$R$2:$R$1994,0)),"-")</f>
        <v>-</v>
      </c>
      <c r="E215" s="2" t="str">
        <f>IFERROR(INDEX(Movimientos!$F$2:$F$1994,MATCH(A215&amp;"ENTRADA",Movimientos!$R$2:$R$1994,0)),"-")</f>
        <v>-</v>
      </c>
      <c r="F215" s="2" t="str">
        <f>IFERROR(INDEX(Movimientos!$G$2:$G$1994,MATCH(A215&amp;"ENTRADA",Movimientos!$R$2:$R$1994,0)),"-")</f>
        <v>-</v>
      </c>
      <c r="G215" s="2" t="str">
        <f>IFERROR(INDEX(Movimientos!$L$2:$L$1994,MATCH(A215&amp;"ENTRADA",Movimientos!$R$2:$R$1994,0)),"-")</f>
        <v>-</v>
      </c>
      <c r="H215" s="17" t="str">
        <f>IFERROR(IF(INDEX(Movimientos!$M$2:$M$1994,MATCH(A215&amp;"ENTRADA",Movimientos!$R$2:$R$1994,0))=0,"S/D",INDEX(Movimientos!$M$2:$M$1994,MATCH(A215&amp;"ENTRADA",Movimientos!$R$2:$R$1994,0))),"S/D")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2491</v>
      </c>
      <c r="B216" s="2" t="str">
        <f>IFERROR(INDEX(Movimientos!$C$2:$C$1994,MATCH(A216&amp;"ENTRADA",Movimientos!$R$2:$R$1994,0)),"-")</f>
        <v>-</v>
      </c>
      <c r="C216" s="2" t="str">
        <f>IFERROR(INDEX(Movimientos!$D$2:$D$1994,MATCH(A216&amp;"ENTRADA",Movimientos!$R$2:$R$1994,0)),"-")</f>
        <v>-</v>
      </c>
      <c r="D216" s="2" t="str">
        <f>IFERROR(INDEX(Movimientos!$E$2:$E$1994,MATCH(A216&amp;"ENTRADA",Movimientos!$R$2:$R$1994,0)),"-")</f>
        <v>-</v>
      </c>
      <c r="E216" s="2" t="str">
        <f>IFERROR(INDEX(Movimientos!$F$2:$F$1994,MATCH(A216&amp;"ENTRADA",Movimientos!$R$2:$R$1994,0)),"-")</f>
        <v>-</v>
      </c>
      <c r="F216" s="2" t="str">
        <f>IFERROR(INDEX(Movimientos!$G$2:$G$1994,MATCH(A216&amp;"ENTRADA",Movimientos!$R$2:$R$1994,0)),"-")</f>
        <v>-</v>
      </c>
      <c r="G216" s="2" t="str">
        <f>IFERROR(INDEX(Movimientos!$L$2:$L$1994,MATCH(A216&amp;"ENTRADA",Movimientos!$R$2:$R$1994,0)),"-")</f>
        <v>-</v>
      </c>
      <c r="H216" s="17" t="str">
        <f>IFERROR(IF(INDEX(Movimientos!$M$2:$M$1994,MATCH(A216&amp;"ENTRADA",Movimientos!$R$2:$R$1994,0))=0,"S/D",INDEX(Movimientos!$M$2:$M$1994,MATCH(A216&amp;"ENTRADA",Movimientos!$R$2:$R$1994,0))),"S/D")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2492</v>
      </c>
      <c r="B217" s="2" t="str">
        <f>IFERROR(INDEX(Movimientos!$C$2:$C$1994,MATCH(A217&amp;"ENTRADA",Movimientos!$R$2:$R$1994,0)),"-")</f>
        <v>-</v>
      </c>
      <c r="C217" s="2" t="str">
        <f>IFERROR(INDEX(Movimientos!$D$2:$D$1994,MATCH(A217&amp;"ENTRADA",Movimientos!$R$2:$R$1994,0)),"-")</f>
        <v>-</v>
      </c>
      <c r="D217" s="2" t="str">
        <f>IFERROR(INDEX(Movimientos!$E$2:$E$1994,MATCH(A217&amp;"ENTRADA",Movimientos!$R$2:$R$1994,0)),"-")</f>
        <v>-</v>
      </c>
      <c r="E217" s="2" t="str">
        <f>IFERROR(INDEX(Movimientos!$F$2:$F$1994,MATCH(A217&amp;"ENTRADA",Movimientos!$R$2:$R$1994,0)),"-")</f>
        <v>-</v>
      </c>
      <c r="F217" s="2" t="str">
        <f>IFERROR(INDEX(Movimientos!$G$2:$G$1994,MATCH(A217&amp;"ENTRADA",Movimientos!$R$2:$R$1994,0)),"-")</f>
        <v>-</v>
      </c>
      <c r="G217" s="2" t="str">
        <f>IFERROR(INDEX(Movimientos!$L$2:$L$1994,MATCH(A217&amp;"ENTRADA",Movimientos!$R$2:$R$1994,0)),"-")</f>
        <v>-</v>
      </c>
      <c r="H217" s="17" t="str">
        <f>IFERROR(IF(INDEX(Movimientos!$M$2:$M$1994,MATCH(A217&amp;"ENTRADA",Movimientos!$R$2:$R$1994,0))=0,"S/D",INDEX(Movimientos!$M$2:$M$1994,MATCH(A217&amp;"ENTRADA",Movimientos!$R$2:$R$1994,0))),"S/D")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2493</v>
      </c>
      <c r="B218" s="2" t="str">
        <f>IFERROR(INDEX(Movimientos!$C$2:$C$1994,MATCH(A218&amp;"ENTRADA",Movimientos!$R$2:$R$1994,0)),"-")</f>
        <v>-</v>
      </c>
      <c r="C218" s="2" t="str">
        <f>IFERROR(INDEX(Movimientos!$D$2:$D$1994,MATCH(A218&amp;"ENTRADA",Movimientos!$R$2:$R$1994,0)),"-")</f>
        <v>-</v>
      </c>
      <c r="D218" s="2" t="str">
        <f>IFERROR(INDEX(Movimientos!$E$2:$E$1994,MATCH(A218&amp;"ENTRADA",Movimientos!$R$2:$R$1994,0)),"-")</f>
        <v>-</v>
      </c>
      <c r="E218" s="2" t="str">
        <f>IFERROR(INDEX(Movimientos!$F$2:$F$1994,MATCH(A218&amp;"ENTRADA",Movimientos!$R$2:$R$1994,0)),"-")</f>
        <v>-</v>
      </c>
      <c r="F218" s="2" t="str">
        <f>IFERROR(INDEX(Movimientos!$G$2:$G$1994,MATCH(A218&amp;"ENTRADA",Movimientos!$R$2:$R$1994,0)),"-")</f>
        <v>-</v>
      </c>
      <c r="G218" s="2" t="str">
        <f>IFERROR(INDEX(Movimientos!$L$2:$L$1994,MATCH(A218&amp;"ENTRADA",Movimientos!$R$2:$R$1994,0)),"-")</f>
        <v>-</v>
      </c>
      <c r="H218" s="17" t="str">
        <f>IFERROR(IF(INDEX(Movimientos!$M$2:$M$1994,MATCH(A218&amp;"ENTRADA",Movimientos!$R$2:$R$1994,0))=0,"S/D",INDEX(Movimientos!$M$2:$M$1994,MATCH(A218&amp;"ENTRADA",Movimientos!$R$2:$R$1994,0))),"S/D")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2494</v>
      </c>
      <c r="B219" s="2" t="str">
        <f>IFERROR(INDEX(Movimientos!$C$2:$C$1994,MATCH(A219&amp;"ENTRADA",Movimientos!$R$2:$R$1994,0)),"-")</f>
        <v>-</v>
      </c>
      <c r="C219" s="2" t="str">
        <f>IFERROR(INDEX(Movimientos!$D$2:$D$1994,MATCH(A219&amp;"ENTRADA",Movimientos!$R$2:$R$1994,0)),"-")</f>
        <v>-</v>
      </c>
      <c r="D219" s="2" t="str">
        <f>IFERROR(INDEX(Movimientos!$E$2:$E$1994,MATCH(A219&amp;"ENTRADA",Movimientos!$R$2:$R$1994,0)),"-")</f>
        <v>-</v>
      </c>
      <c r="E219" s="2" t="str">
        <f>IFERROR(INDEX(Movimientos!$F$2:$F$1994,MATCH(A219&amp;"ENTRADA",Movimientos!$R$2:$R$1994,0)),"-")</f>
        <v>-</v>
      </c>
      <c r="F219" s="2" t="str">
        <f>IFERROR(INDEX(Movimientos!$G$2:$G$1994,MATCH(A219&amp;"ENTRADA",Movimientos!$R$2:$R$1994,0)),"-")</f>
        <v>-</v>
      </c>
      <c r="G219" s="2" t="str">
        <f>IFERROR(INDEX(Movimientos!$L$2:$L$1994,MATCH(A219&amp;"ENTRADA",Movimientos!$R$2:$R$1994,0)),"-")</f>
        <v>-</v>
      </c>
      <c r="H219" s="17" t="str">
        <f>IFERROR(IF(INDEX(Movimientos!$M$2:$M$1994,MATCH(A219&amp;"ENTRADA",Movimientos!$R$2:$R$1994,0))=0,"S/D",INDEX(Movimientos!$M$2:$M$1994,MATCH(A219&amp;"ENTRADA",Movimientos!$R$2:$R$1994,0))),"S/D")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2495</v>
      </c>
      <c r="B220" s="2" t="str">
        <f>IFERROR(INDEX(Movimientos!$C$2:$C$1994,MATCH(A220&amp;"ENTRADA",Movimientos!$R$2:$R$1994,0)),"-")</f>
        <v>-</v>
      </c>
      <c r="C220" s="2" t="str">
        <f>IFERROR(INDEX(Movimientos!$D$2:$D$1994,MATCH(A220&amp;"ENTRADA",Movimientos!$R$2:$R$1994,0)),"-")</f>
        <v>-</v>
      </c>
      <c r="D220" s="2" t="str">
        <f>IFERROR(INDEX(Movimientos!$E$2:$E$1994,MATCH(A220&amp;"ENTRADA",Movimientos!$R$2:$R$1994,0)),"-")</f>
        <v>-</v>
      </c>
      <c r="E220" s="2" t="str">
        <f>IFERROR(INDEX(Movimientos!$F$2:$F$1994,MATCH(A220&amp;"ENTRADA",Movimientos!$R$2:$R$1994,0)),"-")</f>
        <v>-</v>
      </c>
      <c r="F220" s="2" t="str">
        <f>IFERROR(INDEX(Movimientos!$G$2:$G$1994,MATCH(A220&amp;"ENTRADA",Movimientos!$R$2:$R$1994,0)),"-")</f>
        <v>-</v>
      </c>
      <c r="G220" s="2" t="str">
        <f>IFERROR(INDEX(Movimientos!$L$2:$L$1994,MATCH(A220&amp;"ENTRADA",Movimientos!$R$2:$R$1994,0)),"-")</f>
        <v>-</v>
      </c>
      <c r="H220" s="17" t="str">
        <f>IFERROR(IF(INDEX(Movimientos!$M$2:$M$1994,MATCH(A220&amp;"ENTRADA",Movimientos!$R$2:$R$1994,0))=0,"S/D",INDEX(Movimientos!$M$2:$M$1994,MATCH(A220&amp;"ENTRADA",Movimientos!$R$2:$R$1994,0))),"S/D")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2496</v>
      </c>
      <c r="B221" s="2" t="str">
        <f>IFERROR(INDEX(Movimientos!$C$2:$C$1994,MATCH(A221&amp;"ENTRADA",Movimientos!$R$2:$R$1994,0)),"-")</f>
        <v>-</v>
      </c>
      <c r="C221" s="2" t="str">
        <f>IFERROR(INDEX(Movimientos!$D$2:$D$1994,MATCH(A221&amp;"ENTRADA",Movimientos!$R$2:$R$1994,0)),"-")</f>
        <v>-</v>
      </c>
      <c r="D221" s="2" t="str">
        <f>IFERROR(INDEX(Movimientos!$E$2:$E$1994,MATCH(A221&amp;"ENTRADA",Movimientos!$R$2:$R$1994,0)),"-")</f>
        <v>-</v>
      </c>
      <c r="E221" s="2" t="str">
        <f>IFERROR(INDEX(Movimientos!$F$2:$F$1994,MATCH(A221&amp;"ENTRADA",Movimientos!$R$2:$R$1994,0)),"-")</f>
        <v>-</v>
      </c>
      <c r="F221" s="2" t="str">
        <f>IFERROR(INDEX(Movimientos!$G$2:$G$1994,MATCH(A221&amp;"ENTRADA",Movimientos!$R$2:$R$1994,0)),"-")</f>
        <v>-</v>
      </c>
      <c r="G221" s="2" t="str">
        <f>IFERROR(INDEX(Movimientos!$L$2:$L$1994,MATCH(A221&amp;"ENTRADA",Movimientos!$R$2:$R$1994,0)),"-")</f>
        <v>-</v>
      </c>
      <c r="H221" s="17" t="str">
        <f>IFERROR(IF(INDEX(Movimientos!$M$2:$M$1994,MATCH(A221&amp;"ENTRADA",Movimientos!$R$2:$R$1994,0))=0,"S/D",INDEX(Movimientos!$M$2:$M$1994,MATCH(A221&amp;"ENTRADA",Movimientos!$R$2:$R$1994,0))),"S/D")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2497</v>
      </c>
      <c r="B222" s="2" t="str">
        <f>IFERROR(INDEX(Movimientos!$C$2:$C$1994,MATCH(A222&amp;"ENTRADA",Movimientos!$R$2:$R$1994,0)),"-")</f>
        <v>-</v>
      </c>
      <c r="C222" s="2" t="str">
        <f>IFERROR(INDEX(Movimientos!$D$2:$D$1994,MATCH(A222&amp;"ENTRADA",Movimientos!$R$2:$R$1994,0)),"-")</f>
        <v>-</v>
      </c>
      <c r="D222" s="2" t="str">
        <f>IFERROR(INDEX(Movimientos!$E$2:$E$1994,MATCH(A222&amp;"ENTRADA",Movimientos!$R$2:$R$1994,0)),"-")</f>
        <v>-</v>
      </c>
      <c r="E222" s="2" t="str">
        <f>IFERROR(INDEX(Movimientos!$F$2:$F$1994,MATCH(A222&amp;"ENTRADA",Movimientos!$R$2:$R$1994,0)),"-")</f>
        <v>-</v>
      </c>
      <c r="F222" s="2" t="str">
        <f>IFERROR(INDEX(Movimientos!$G$2:$G$1994,MATCH(A222&amp;"ENTRADA",Movimientos!$R$2:$R$1994,0)),"-")</f>
        <v>-</v>
      </c>
      <c r="G222" s="2" t="str">
        <f>IFERROR(INDEX(Movimientos!$L$2:$L$1994,MATCH(A222&amp;"ENTRADA",Movimientos!$R$2:$R$1994,0)),"-")</f>
        <v>-</v>
      </c>
      <c r="H222" s="17" t="str">
        <f>IFERROR(IF(INDEX(Movimientos!$M$2:$M$1994,MATCH(A222&amp;"ENTRADA",Movimientos!$R$2:$R$1994,0))=0,"S/D",INDEX(Movimientos!$M$2:$M$1994,MATCH(A222&amp;"ENTRADA",Movimientos!$R$2:$R$1994,0))),"S/D")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2498</v>
      </c>
      <c r="B223" s="2" t="str">
        <f>IFERROR(INDEX(Movimientos!$C$2:$C$1994,MATCH(A223&amp;"ENTRADA",Movimientos!$R$2:$R$1994,0)),"-")</f>
        <v>-</v>
      </c>
      <c r="C223" s="2" t="str">
        <f>IFERROR(INDEX(Movimientos!$D$2:$D$1994,MATCH(A223&amp;"ENTRADA",Movimientos!$R$2:$R$1994,0)),"-")</f>
        <v>-</v>
      </c>
      <c r="D223" s="2" t="str">
        <f>IFERROR(INDEX(Movimientos!$E$2:$E$1994,MATCH(A223&amp;"ENTRADA",Movimientos!$R$2:$R$1994,0)),"-")</f>
        <v>-</v>
      </c>
      <c r="E223" s="2" t="str">
        <f>IFERROR(INDEX(Movimientos!$F$2:$F$1994,MATCH(A223&amp;"ENTRADA",Movimientos!$R$2:$R$1994,0)),"-")</f>
        <v>-</v>
      </c>
      <c r="F223" s="2" t="str">
        <f>IFERROR(INDEX(Movimientos!$G$2:$G$1994,MATCH(A223&amp;"ENTRADA",Movimientos!$R$2:$R$1994,0)),"-")</f>
        <v>-</v>
      </c>
      <c r="G223" s="2" t="str">
        <f>IFERROR(INDEX(Movimientos!$L$2:$L$1994,MATCH(A223&amp;"ENTRADA",Movimientos!$R$2:$R$1994,0)),"-")</f>
        <v>-</v>
      </c>
      <c r="H223" s="17" t="str">
        <f>IFERROR(IF(INDEX(Movimientos!$M$2:$M$1994,MATCH(A223&amp;"ENTRADA",Movimientos!$R$2:$R$1994,0))=0,"S/D",INDEX(Movimientos!$M$2:$M$1994,MATCH(A223&amp;"ENTRADA",Movimientos!$R$2:$R$1994,0))),"S/D")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2499</v>
      </c>
      <c r="B224" s="2" t="str">
        <f>IFERROR(INDEX(Movimientos!$C$2:$C$1994,MATCH(A224&amp;"ENTRADA",Movimientos!$R$2:$R$1994,0)),"-")</f>
        <v>-</v>
      </c>
      <c r="C224" s="2" t="str">
        <f>IFERROR(INDEX(Movimientos!$D$2:$D$1994,MATCH(A224&amp;"ENTRADA",Movimientos!$R$2:$R$1994,0)),"-")</f>
        <v>-</v>
      </c>
      <c r="D224" s="2" t="str">
        <f>IFERROR(INDEX(Movimientos!$E$2:$E$1994,MATCH(A224&amp;"ENTRADA",Movimientos!$R$2:$R$1994,0)),"-")</f>
        <v>-</v>
      </c>
      <c r="E224" s="2" t="str">
        <f>IFERROR(INDEX(Movimientos!$F$2:$F$1994,MATCH(A224&amp;"ENTRADA",Movimientos!$R$2:$R$1994,0)),"-")</f>
        <v>-</v>
      </c>
      <c r="F224" s="2" t="str">
        <f>IFERROR(INDEX(Movimientos!$G$2:$G$1994,MATCH(A224&amp;"ENTRADA",Movimientos!$R$2:$R$1994,0)),"-")</f>
        <v>-</v>
      </c>
      <c r="G224" s="2" t="str">
        <f>IFERROR(INDEX(Movimientos!$L$2:$L$1994,MATCH(A224&amp;"ENTRADA",Movimientos!$R$2:$R$1994,0)),"-")</f>
        <v>-</v>
      </c>
      <c r="H224" s="17" t="str">
        <f>IFERROR(IF(INDEX(Movimientos!$M$2:$M$1994,MATCH(A224&amp;"ENTRADA",Movimientos!$R$2:$R$1994,0))=0,"S/D",INDEX(Movimientos!$M$2:$M$1994,MATCH(A224&amp;"ENTRADA",Movimientos!$R$2:$R$1994,0))),"S/D")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2500</v>
      </c>
      <c r="B225" s="2" t="str">
        <f>IFERROR(INDEX(Movimientos!$C$2:$C$1994,MATCH(A225&amp;"ENTRADA",Movimientos!$R$2:$R$1994,0)),"-")</f>
        <v>-</v>
      </c>
      <c r="C225" s="2" t="str">
        <f>IFERROR(INDEX(Movimientos!$D$2:$D$1994,MATCH(A225&amp;"ENTRADA",Movimientos!$R$2:$R$1994,0)),"-")</f>
        <v>-</v>
      </c>
      <c r="D225" s="2" t="str">
        <f>IFERROR(INDEX(Movimientos!$E$2:$E$1994,MATCH(A225&amp;"ENTRADA",Movimientos!$R$2:$R$1994,0)),"-")</f>
        <v>-</v>
      </c>
      <c r="E225" s="2" t="str">
        <f>IFERROR(INDEX(Movimientos!$F$2:$F$1994,MATCH(A225&amp;"ENTRADA",Movimientos!$R$2:$R$1994,0)),"-")</f>
        <v>-</v>
      </c>
      <c r="F225" s="2" t="str">
        <f>IFERROR(INDEX(Movimientos!$G$2:$G$1994,MATCH(A225&amp;"ENTRADA",Movimientos!$R$2:$R$1994,0)),"-")</f>
        <v>-</v>
      </c>
      <c r="G225" s="2" t="str">
        <f>IFERROR(INDEX(Movimientos!$L$2:$L$1994,MATCH(A225&amp;"ENTRADA",Movimientos!$R$2:$R$1994,0)),"-")</f>
        <v>-</v>
      </c>
      <c r="H225" s="17" t="str">
        <f>IFERROR(IF(INDEX(Movimientos!$M$2:$M$1994,MATCH(A225&amp;"ENTRADA",Movimientos!$R$2:$R$1994,0))=0,"S/D",INDEX(Movimientos!$M$2:$M$1994,MATCH(A225&amp;"ENTRADA",Movimientos!$R$2:$R$1994,0))),"S/D")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2501</v>
      </c>
      <c r="B226" s="2" t="str">
        <f>IFERROR(INDEX(Movimientos!$C$2:$C$1994,MATCH(A226&amp;"ENTRADA",Movimientos!$R$2:$R$1994,0)),"-")</f>
        <v>-</v>
      </c>
      <c r="C226" s="2" t="str">
        <f>IFERROR(INDEX(Movimientos!$D$2:$D$1994,MATCH(A226&amp;"ENTRADA",Movimientos!$R$2:$R$1994,0)),"-")</f>
        <v>-</v>
      </c>
      <c r="D226" s="2" t="str">
        <f>IFERROR(INDEX(Movimientos!$E$2:$E$1994,MATCH(A226&amp;"ENTRADA",Movimientos!$R$2:$R$1994,0)),"-")</f>
        <v>-</v>
      </c>
      <c r="E226" s="2" t="str">
        <f>IFERROR(INDEX(Movimientos!$F$2:$F$1994,MATCH(A226&amp;"ENTRADA",Movimientos!$R$2:$R$1994,0)),"-")</f>
        <v>-</v>
      </c>
      <c r="F226" s="2" t="str">
        <f>IFERROR(INDEX(Movimientos!$G$2:$G$1994,MATCH(A226&amp;"ENTRADA",Movimientos!$R$2:$R$1994,0)),"-")</f>
        <v>-</v>
      </c>
      <c r="G226" s="2" t="str">
        <f>IFERROR(INDEX(Movimientos!$L$2:$L$1994,MATCH(A226&amp;"ENTRADA",Movimientos!$R$2:$R$1994,0)),"-")</f>
        <v>-</v>
      </c>
      <c r="H226" s="17" t="str">
        <f>IFERROR(IF(INDEX(Movimientos!$M$2:$M$1994,MATCH(A226&amp;"ENTRADA",Movimientos!$R$2:$R$1994,0))=0,"S/D",INDEX(Movimientos!$M$2:$M$1994,MATCH(A226&amp;"ENTRADA",Movimientos!$R$2:$R$1994,0))),"S/D")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2502</v>
      </c>
      <c r="B227" s="2" t="str">
        <f>IFERROR(INDEX(Movimientos!$C$2:$C$1994,MATCH(A227&amp;"ENTRADA",Movimientos!$R$2:$R$1994,0)),"-")</f>
        <v>-</v>
      </c>
      <c r="C227" s="2" t="str">
        <f>IFERROR(INDEX(Movimientos!$D$2:$D$1994,MATCH(A227&amp;"ENTRADA",Movimientos!$R$2:$R$1994,0)),"-")</f>
        <v>-</v>
      </c>
      <c r="D227" s="2" t="str">
        <f>IFERROR(INDEX(Movimientos!$E$2:$E$1994,MATCH(A227&amp;"ENTRADA",Movimientos!$R$2:$R$1994,0)),"-")</f>
        <v>-</v>
      </c>
      <c r="E227" s="2" t="str">
        <f>IFERROR(INDEX(Movimientos!$F$2:$F$1994,MATCH(A227&amp;"ENTRADA",Movimientos!$R$2:$R$1994,0)),"-")</f>
        <v>-</v>
      </c>
      <c r="F227" s="2" t="str">
        <f>IFERROR(INDEX(Movimientos!$G$2:$G$1994,MATCH(A227&amp;"ENTRADA",Movimientos!$R$2:$R$1994,0)),"-")</f>
        <v>-</v>
      </c>
      <c r="G227" s="2" t="str">
        <f>IFERROR(INDEX(Movimientos!$L$2:$L$1994,MATCH(A227&amp;"ENTRADA",Movimientos!$R$2:$R$1994,0)),"-")</f>
        <v>-</v>
      </c>
      <c r="H227" s="17" t="str">
        <f>IFERROR(IF(INDEX(Movimientos!$M$2:$M$1994,MATCH(A227&amp;"ENTRADA",Movimientos!$R$2:$R$1994,0))=0,"S/D",INDEX(Movimientos!$M$2:$M$1994,MATCH(A227&amp;"ENTRADA",Movimientos!$R$2:$R$1994,0))),"S/D")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2503</v>
      </c>
      <c r="B228" s="2" t="str">
        <f>IFERROR(INDEX(Movimientos!$C$2:$C$1994,MATCH(A228&amp;"ENTRADA",Movimientos!$R$2:$R$1994,0)),"-")</f>
        <v>-</v>
      </c>
      <c r="C228" s="2" t="str">
        <f>IFERROR(INDEX(Movimientos!$D$2:$D$1994,MATCH(A228&amp;"ENTRADA",Movimientos!$R$2:$R$1994,0)),"-")</f>
        <v>-</v>
      </c>
      <c r="D228" s="2" t="str">
        <f>IFERROR(INDEX(Movimientos!$E$2:$E$1994,MATCH(A228&amp;"ENTRADA",Movimientos!$R$2:$R$1994,0)),"-")</f>
        <v>-</v>
      </c>
      <c r="E228" s="2" t="str">
        <f>IFERROR(INDEX(Movimientos!$F$2:$F$1994,MATCH(A228&amp;"ENTRADA",Movimientos!$R$2:$R$1994,0)),"-")</f>
        <v>-</v>
      </c>
      <c r="F228" s="2" t="str">
        <f>IFERROR(INDEX(Movimientos!$G$2:$G$1994,MATCH(A228&amp;"ENTRADA",Movimientos!$R$2:$R$1994,0)),"-")</f>
        <v>-</v>
      </c>
      <c r="G228" s="2" t="str">
        <f>IFERROR(INDEX(Movimientos!$L$2:$L$1994,MATCH(A228&amp;"ENTRADA",Movimientos!$R$2:$R$1994,0)),"-")</f>
        <v>-</v>
      </c>
      <c r="H228" s="17" t="str">
        <f>IFERROR(IF(INDEX(Movimientos!$M$2:$M$1994,MATCH(A228&amp;"ENTRADA",Movimientos!$R$2:$R$1994,0))=0,"S/D",INDEX(Movimientos!$M$2:$M$1994,MATCH(A228&amp;"ENTRADA",Movimientos!$R$2:$R$1994,0))),"S/D")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2504</v>
      </c>
      <c r="B229" s="2" t="str">
        <f>IFERROR(INDEX(Movimientos!$C$2:$C$1994,MATCH(A229&amp;"ENTRADA",Movimientos!$R$2:$R$1994,0)),"-")</f>
        <v>-</v>
      </c>
      <c r="C229" s="2" t="str">
        <f>IFERROR(INDEX(Movimientos!$D$2:$D$1994,MATCH(A229&amp;"ENTRADA",Movimientos!$R$2:$R$1994,0)),"-")</f>
        <v>-</v>
      </c>
      <c r="D229" s="2" t="str">
        <f>IFERROR(INDEX(Movimientos!$E$2:$E$1994,MATCH(A229&amp;"ENTRADA",Movimientos!$R$2:$R$1994,0)),"-")</f>
        <v>-</v>
      </c>
      <c r="E229" s="2" t="str">
        <f>IFERROR(INDEX(Movimientos!$F$2:$F$1994,MATCH(A229&amp;"ENTRADA",Movimientos!$R$2:$R$1994,0)),"-")</f>
        <v>-</v>
      </c>
      <c r="F229" s="2" t="str">
        <f>IFERROR(INDEX(Movimientos!$G$2:$G$1994,MATCH(A229&amp;"ENTRADA",Movimientos!$R$2:$R$1994,0)),"-")</f>
        <v>-</v>
      </c>
      <c r="G229" s="2" t="str">
        <f>IFERROR(INDEX(Movimientos!$L$2:$L$1994,MATCH(A229&amp;"ENTRADA",Movimientos!$R$2:$R$1994,0)),"-")</f>
        <v>-</v>
      </c>
      <c r="H229" s="17" t="str">
        <f>IFERROR(IF(INDEX(Movimientos!$M$2:$M$1994,MATCH(A229&amp;"ENTRADA",Movimientos!$R$2:$R$1994,0))=0,"S/D",INDEX(Movimientos!$M$2:$M$1994,MATCH(A229&amp;"ENTRADA",Movimientos!$R$2:$R$1994,0))),"S/D")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2505</v>
      </c>
      <c r="B230" s="2" t="str">
        <f>IFERROR(INDEX(Movimientos!$C$2:$C$1994,MATCH(A230&amp;"ENTRADA",Movimientos!$R$2:$R$1994,0)),"-")</f>
        <v>-</v>
      </c>
      <c r="C230" s="2" t="str">
        <f>IFERROR(INDEX(Movimientos!$D$2:$D$1994,MATCH(A230&amp;"ENTRADA",Movimientos!$R$2:$R$1994,0)),"-")</f>
        <v>-</v>
      </c>
      <c r="D230" s="2" t="str">
        <f>IFERROR(INDEX(Movimientos!$E$2:$E$1994,MATCH(A230&amp;"ENTRADA",Movimientos!$R$2:$R$1994,0)),"-")</f>
        <v>-</v>
      </c>
      <c r="E230" s="2" t="str">
        <f>IFERROR(INDEX(Movimientos!$F$2:$F$1994,MATCH(A230&amp;"ENTRADA",Movimientos!$R$2:$R$1994,0)),"-")</f>
        <v>-</v>
      </c>
      <c r="F230" s="2" t="str">
        <f>IFERROR(INDEX(Movimientos!$G$2:$G$1994,MATCH(A230&amp;"ENTRADA",Movimientos!$R$2:$R$1994,0)),"-")</f>
        <v>-</v>
      </c>
      <c r="G230" s="2" t="str">
        <f>IFERROR(INDEX(Movimientos!$L$2:$L$1994,MATCH(A230&amp;"ENTRADA",Movimientos!$R$2:$R$1994,0)),"-")</f>
        <v>-</v>
      </c>
      <c r="H230" s="17" t="str">
        <f>IFERROR(IF(INDEX(Movimientos!$M$2:$M$1994,MATCH(A230&amp;"ENTRADA",Movimientos!$R$2:$R$1994,0))=0,"S/D",INDEX(Movimientos!$M$2:$M$1994,MATCH(A230&amp;"ENTRADA",Movimientos!$R$2:$R$1994,0))),"S/D")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2506</v>
      </c>
      <c r="B231" s="2" t="str">
        <f>IFERROR(INDEX(Movimientos!$C$2:$C$1994,MATCH(A231&amp;"ENTRADA",Movimientos!$R$2:$R$1994,0)),"-")</f>
        <v>-</v>
      </c>
      <c r="C231" s="2" t="str">
        <f>IFERROR(INDEX(Movimientos!$D$2:$D$1994,MATCH(A231&amp;"ENTRADA",Movimientos!$R$2:$R$1994,0)),"-")</f>
        <v>-</v>
      </c>
      <c r="D231" s="2" t="str">
        <f>IFERROR(INDEX(Movimientos!$E$2:$E$1994,MATCH(A231&amp;"ENTRADA",Movimientos!$R$2:$R$1994,0)),"-")</f>
        <v>-</v>
      </c>
      <c r="E231" s="2" t="str">
        <f>IFERROR(INDEX(Movimientos!$F$2:$F$1994,MATCH(A231&amp;"ENTRADA",Movimientos!$R$2:$R$1994,0)),"-")</f>
        <v>-</v>
      </c>
      <c r="F231" s="2" t="str">
        <f>IFERROR(INDEX(Movimientos!$G$2:$G$1994,MATCH(A231&amp;"ENTRADA",Movimientos!$R$2:$R$1994,0)),"-")</f>
        <v>-</v>
      </c>
      <c r="G231" s="2" t="str">
        <f>IFERROR(INDEX(Movimientos!$L$2:$L$1994,MATCH(A231&amp;"ENTRADA",Movimientos!$R$2:$R$1994,0)),"-")</f>
        <v>-</v>
      </c>
      <c r="H231" s="17" t="str">
        <f>IFERROR(IF(INDEX(Movimientos!$M$2:$M$1994,MATCH(A231&amp;"ENTRADA",Movimientos!$R$2:$R$1994,0))=0,"S/D",INDEX(Movimientos!$M$2:$M$1994,MATCH(A231&amp;"ENTRADA",Movimientos!$R$2:$R$1994,0))),"S/D")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2507</v>
      </c>
      <c r="B232" s="2" t="str">
        <f>IFERROR(INDEX(Movimientos!$C$2:$C$1994,MATCH(A232&amp;"ENTRADA",Movimientos!$R$2:$R$1994,0)),"-")</f>
        <v>-</v>
      </c>
      <c r="C232" s="2" t="str">
        <f>IFERROR(INDEX(Movimientos!$D$2:$D$1994,MATCH(A232&amp;"ENTRADA",Movimientos!$R$2:$R$1994,0)),"-")</f>
        <v>-</v>
      </c>
      <c r="D232" s="2" t="str">
        <f>IFERROR(INDEX(Movimientos!$E$2:$E$1994,MATCH(A232&amp;"ENTRADA",Movimientos!$R$2:$R$1994,0)),"-")</f>
        <v>-</v>
      </c>
      <c r="E232" s="2" t="str">
        <f>IFERROR(INDEX(Movimientos!$F$2:$F$1994,MATCH(A232&amp;"ENTRADA",Movimientos!$R$2:$R$1994,0)),"-")</f>
        <v>-</v>
      </c>
      <c r="F232" s="2" t="str">
        <f>IFERROR(INDEX(Movimientos!$G$2:$G$1994,MATCH(A232&amp;"ENTRADA",Movimientos!$R$2:$R$1994,0)),"-")</f>
        <v>-</v>
      </c>
      <c r="G232" s="2" t="str">
        <f>IFERROR(INDEX(Movimientos!$L$2:$L$1994,MATCH(A232&amp;"ENTRADA",Movimientos!$R$2:$R$1994,0)),"-")</f>
        <v>-</v>
      </c>
      <c r="H232" s="17" t="str">
        <f>IFERROR(IF(INDEX(Movimientos!$M$2:$M$1994,MATCH(A232&amp;"ENTRADA",Movimientos!$R$2:$R$1994,0))=0,"S/D",INDEX(Movimientos!$M$2:$M$1994,MATCH(A232&amp;"ENTRADA",Movimientos!$R$2:$R$1994,0))),"S/D")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2508</v>
      </c>
      <c r="B233" s="2" t="str">
        <f>IFERROR(INDEX(Movimientos!$C$2:$C$1994,MATCH(A233&amp;"ENTRADA",Movimientos!$R$2:$R$1994,0)),"-")</f>
        <v>-</v>
      </c>
      <c r="C233" s="2" t="str">
        <f>IFERROR(INDEX(Movimientos!$D$2:$D$1994,MATCH(A233&amp;"ENTRADA",Movimientos!$R$2:$R$1994,0)),"-")</f>
        <v>-</v>
      </c>
      <c r="D233" s="2" t="str">
        <f>IFERROR(INDEX(Movimientos!$E$2:$E$1994,MATCH(A233&amp;"ENTRADA",Movimientos!$R$2:$R$1994,0)),"-")</f>
        <v>-</v>
      </c>
      <c r="E233" s="2" t="str">
        <f>IFERROR(INDEX(Movimientos!$F$2:$F$1994,MATCH(A233&amp;"ENTRADA",Movimientos!$R$2:$R$1994,0)),"-")</f>
        <v>-</v>
      </c>
      <c r="F233" s="2" t="str">
        <f>IFERROR(INDEX(Movimientos!$G$2:$G$1994,MATCH(A233&amp;"ENTRADA",Movimientos!$R$2:$R$1994,0)),"-")</f>
        <v>-</v>
      </c>
      <c r="G233" s="2" t="str">
        <f>IFERROR(INDEX(Movimientos!$L$2:$L$1994,MATCH(A233&amp;"ENTRADA",Movimientos!$R$2:$R$1994,0)),"-")</f>
        <v>-</v>
      </c>
      <c r="H233" s="17" t="str">
        <f>IFERROR(IF(INDEX(Movimientos!$M$2:$M$1994,MATCH(A233&amp;"ENTRADA",Movimientos!$R$2:$R$1994,0))=0,"S/D",INDEX(Movimientos!$M$2:$M$1994,MATCH(A233&amp;"ENTRADA",Movimientos!$R$2:$R$1994,0))),"S/D")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2509</v>
      </c>
      <c r="B234" s="2" t="str">
        <f>IFERROR(INDEX(Movimientos!$C$2:$C$1994,MATCH(A234&amp;"ENTRADA",Movimientos!$R$2:$R$1994,0)),"-")</f>
        <v>-</v>
      </c>
      <c r="C234" s="2" t="str">
        <f>IFERROR(INDEX(Movimientos!$D$2:$D$1994,MATCH(A234&amp;"ENTRADA",Movimientos!$R$2:$R$1994,0)),"-")</f>
        <v>-</v>
      </c>
      <c r="D234" s="2" t="str">
        <f>IFERROR(INDEX(Movimientos!$E$2:$E$1994,MATCH(A234&amp;"ENTRADA",Movimientos!$R$2:$R$1994,0)),"-")</f>
        <v>-</v>
      </c>
      <c r="E234" s="2" t="str">
        <f>IFERROR(INDEX(Movimientos!$F$2:$F$1994,MATCH(A234&amp;"ENTRADA",Movimientos!$R$2:$R$1994,0)),"-")</f>
        <v>-</v>
      </c>
      <c r="F234" s="2" t="str">
        <f>IFERROR(INDEX(Movimientos!$G$2:$G$1994,MATCH(A234&amp;"ENTRADA",Movimientos!$R$2:$R$1994,0)),"-")</f>
        <v>-</v>
      </c>
      <c r="G234" s="2" t="str">
        <f>IFERROR(INDEX(Movimientos!$L$2:$L$1994,MATCH(A234&amp;"ENTRADA",Movimientos!$R$2:$R$1994,0)),"-")</f>
        <v>-</v>
      </c>
      <c r="H234" s="17" t="str">
        <f>IFERROR(IF(INDEX(Movimientos!$M$2:$M$1994,MATCH(A234&amp;"ENTRADA",Movimientos!$R$2:$R$1994,0))=0,"S/D",INDEX(Movimientos!$M$2:$M$1994,MATCH(A234&amp;"ENTRADA",Movimientos!$R$2:$R$1994,0))),"S/D")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2510</v>
      </c>
      <c r="B235" s="2" t="str">
        <f>IFERROR(INDEX(Movimientos!$C$2:$C$1994,MATCH(A235&amp;"ENTRADA",Movimientos!$R$2:$R$1994,0)),"-")</f>
        <v>-</v>
      </c>
      <c r="C235" s="2" t="str">
        <f>IFERROR(INDEX(Movimientos!$D$2:$D$1994,MATCH(A235&amp;"ENTRADA",Movimientos!$R$2:$R$1994,0)),"-")</f>
        <v>-</v>
      </c>
      <c r="D235" s="2" t="str">
        <f>IFERROR(INDEX(Movimientos!$E$2:$E$1994,MATCH(A235&amp;"ENTRADA",Movimientos!$R$2:$R$1994,0)),"-")</f>
        <v>-</v>
      </c>
      <c r="E235" s="2" t="str">
        <f>IFERROR(INDEX(Movimientos!$F$2:$F$1994,MATCH(A235&amp;"ENTRADA",Movimientos!$R$2:$R$1994,0)),"-")</f>
        <v>-</v>
      </c>
      <c r="F235" s="2" t="str">
        <f>IFERROR(INDEX(Movimientos!$G$2:$G$1994,MATCH(A235&amp;"ENTRADA",Movimientos!$R$2:$R$1994,0)),"-")</f>
        <v>-</v>
      </c>
      <c r="G235" s="2" t="str">
        <f>IFERROR(INDEX(Movimientos!$L$2:$L$1994,MATCH(A235&amp;"ENTRADA",Movimientos!$R$2:$R$1994,0)),"-")</f>
        <v>-</v>
      </c>
      <c r="H235" s="17" t="str">
        <f>IFERROR(IF(INDEX(Movimientos!$M$2:$M$1994,MATCH(A235&amp;"ENTRADA",Movimientos!$R$2:$R$1994,0))=0,"S/D",INDEX(Movimientos!$M$2:$M$1994,MATCH(A235&amp;"ENTRADA",Movimientos!$R$2:$R$1994,0))),"S/D")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2511</v>
      </c>
      <c r="B236" s="2" t="str">
        <f>IFERROR(INDEX(Movimientos!$C$2:$C$1994,MATCH(A236&amp;"ENTRADA",Movimientos!$R$2:$R$1994,0)),"-")</f>
        <v>-</v>
      </c>
      <c r="C236" s="2" t="str">
        <f>IFERROR(INDEX(Movimientos!$D$2:$D$1994,MATCH(A236&amp;"ENTRADA",Movimientos!$R$2:$R$1994,0)),"-")</f>
        <v>-</v>
      </c>
      <c r="D236" s="2" t="str">
        <f>IFERROR(INDEX(Movimientos!$E$2:$E$1994,MATCH(A236&amp;"ENTRADA",Movimientos!$R$2:$R$1994,0)),"-")</f>
        <v>-</v>
      </c>
      <c r="E236" s="2" t="str">
        <f>IFERROR(INDEX(Movimientos!$F$2:$F$1994,MATCH(A236&amp;"ENTRADA",Movimientos!$R$2:$R$1994,0)),"-")</f>
        <v>-</v>
      </c>
      <c r="F236" s="2" t="str">
        <f>IFERROR(INDEX(Movimientos!$G$2:$G$1994,MATCH(A236&amp;"ENTRADA",Movimientos!$R$2:$R$1994,0)),"-")</f>
        <v>-</v>
      </c>
      <c r="G236" s="2" t="str">
        <f>IFERROR(INDEX(Movimientos!$L$2:$L$1994,MATCH(A236&amp;"ENTRADA",Movimientos!$R$2:$R$1994,0)),"-")</f>
        <v>-</v>
      </c>
      <c r="H236" s="17" t="str">
        <f>IFERROR(IF(INDEX(Movimientos!$M$2:$M$1994,MATCH(A236&amp;"ENTRADA",Movimientos!$R$2:$R$1994,0))=0,"S/D",INDEX(Movimientos!$M$2:$M$1994,MATCH(A236&amp;"ENTRADA",Movimientos!$R$2:$R$1994,0))),"S/D")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2512</v>
      </c>
      <c r="B237" s="2" t="str">
        <f>IFERROR(INDEX(Movimientos!$C$2:$C$1994,MATCH(A237&amp;"ENTRADA",Movimientos!$R$2:$R$1994,0)),"-")</f>
        <v>-</v>
      </c>
      <c r="C237" s="2" t="str">
        <f>IFERROR(INDEX(Movimientos!$D$2:$D$1994,MATCH(A237&amp;"ENTRADA",Movimientos!$R$2:$R$1994,0)),"-")</f>
        <v>-</v>
      </c>
      <c r="D237" s="2" t="str">
        <f>IFERROR(INDEX(Movimientos!$E$2:$E$1994,MATCH(A237&amp;"ENTRADA",Movimientos!$R$2:$R$1994,0)),"-")</f>
        <v>-</v>
      </c>
      <c r="E237" s="2" t="str">
        <f>IFERROR(INDEX(Movimientos!$F$2:$F$1994,MATCH(A237&amp;"ENTRADA",Movimientos!$R$2:$R$1994,0)),"-")</f>
        <v>-</v>
      </c>
      <c r="F237" s="2" t="str">
        <f>IFERROR(INDEX(Movimientos!$G$2:$G$1994,MATCH(A237&amp;"ENTRADA",Movimientos!$R$2:$R$1994,0)),"-")</f>
        <v>-</v>
      </c>
      <c r="G237" s="2" t="str">
        <f>IFERROR(INDEX(Movimientos!$L$2:$L$1994,MATCH(A237&amp;"ENTRADA",Movimientos!$R$2:$R$1994,0)),"-")</f>
        <v>-</v>
      </c>
      <c r="H237" s="17" t="str">
        <f>IFERROR(IF(INDEX(Movimientos!$M$2:$M$1994,MATCH(A237&amp;"ENTRADA",Movimientos!$R$2:$R$1994,0))=0,"S/D",INDEX(Movimientos!$M$2:$M$1994,MATCH(A237&amp;"ENTRADA",Movimientos!$R$2:$R$1994,0))),"S/D")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2513</v>
      </c>
      <c r="B238" s="2" t="str">
        <f>IFERROR(INDEX(Movimientos!$C$2:$C$1994,MATCH(A238&amp;"ENTRADA",Movimientos!$R$2:$R$1994,0)),"-")</f>
        <v>-</v>
      </c>
      <c r="C238" s="2" t="str">
        <f>IFERROR(INDEX(Movimientos!$D$2:$D$1994,MATCH(A238&amp;"ENTRADA",Movimientos!$R$2:$R$1994,0)),"-")</f>
        <v>-</v>
      </c>
      <c r="D238" s="2" t="str">
        <f>IFERROR(INDEX(Movimientos!$E$2:$E$1994,MATCH(A238&amp;"ENTRADA",Movimientos!$R$2:$R$1994,0)),"-")</f>
        <v>-</v>
      </c>
      <c r="E238" s="2" t="str">
        <f>IFERROR(INDEX(Movimientos!$F$2:$F$1994,MATCH(A238&amp;"ENTRADA",Movimientos!$R$2:$R$1994,0)),"-")</f>
        <v>-</v>
      </c>
      <c r="F238" s="2" t="str">
        <f>IFERROR(INDEX(Movimientos!$G$2:$G$1994,MATCH(A238&amp;"ENTRADA",Movimientos!$R$2:$R$1994,0)),"-")</f>
        <v>-</v>
      </c>
      <c r="G238" s="2" t="str">
        <f>IFERROR(INDEX(Movimientos!$L$2:$L$1994,MATCH(A238&amp;"ENTRADA",Movimientos!$R$2:$R$1994,0)),"-")</f>
        <v>-</v>
      </c>
      <c r="H238" s="17" t="str">
        <f>IFERROR(IF(INDEX(Movimientos!$M$2:$M$1994,MATCH(A238&amp;"ENTRADA",Movimientos!$R$2:$R$1994,0))=0,"S/D",INDEX(Movimientos!$M$2:$M$1994,MATCH(A238&amp;"ENTRADA",Movimientos!$R$2:$R$1994,0))),"S/D")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2514</v>
      </c>
      <c r="B239" s="2" t="str">
        <f>IFERROR(INDEX(Movimientos!$C$2:$C$1994,MATCH(A239&amp;"ENTRADA",Movimientos!$R$2:$R$1994,0)),"-")</f>
        <v>-</v>
      </c>
      <c r="C239" s="2" t="str">
        <f>IFERROR(INDEX(Movimientos!$D$2:$D$1994,MATCH(A239&amp;"ENTRADA",Movimientos!$R$2:$R$1994,0)),"-")</f>
        <v>-</v>
      </c>
      <c r="D239" s="2" t="str">
        <f>IFERROR(INDEX(Movimientos!$E$2:$E$1994,MATCH(A239&amp;"ENTRADA",Movimientos!$R$2:$R$1994,0)),"-")</f>
        <v>-</v>
      </c>
      <c r="E239" s="2" t="str">
        <f>IFERROR(INDEX(Movimientos!$F$2:$F$1994,MATCH(A239&amp;"ENTRADA",Movimientos!$R$2:$R$1994,0)),"-")</f>
        <v>-</v>
      </c>
      <c r="F239" s="2" t="str">
        <f>IFERROR(INDEX(Movimientos!$G$2:$G$1994,MATCH(A239&amp;"ENTRADA",Movimientos!$R$2:$R$1994,0)),"-")</f>
        <v>-</v>
      </c>
      <c r="G239" s="2" t="str">
        <f>IFERROR(INDEX(Movimientos!$L$2:$L$1994,MATCH(A239&amp;"ENTRADA",Movimientos!$R$2:$R$1994,0)),"-")</f>
        <v>-</v>
      </c>
      <c r="H239" s="17" t="str">
        <f>IFERROR(IF(INDEX(Movimientos!$M$2:$M$1994,MATCH(A239&amp;"ENTRADA",Movimientos!$R$2:$R$1994,0))=0,"S/D",INDEX(Movimientos!$M$2:$M$1994,MATCH(A239&amp;"ENTRADA",Movimientos!$R$2:$R$1994,0))),"S/D")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2515</v>
      </c>
      <c r="B240" s="2" t="str">
        <f>IFERROR(INDEX(Movimientos!$C$2:$C$1994,MATCH(A240&amp;"ENTRADA",Movimientos!$R$2:$R$1994,0)),"-")</f>
        <v>-</v>
      </c>
      <c r="C240" s="2" t="str">
        <f>IFERROR(INDEX(Movimientos!$D$2:$D$1994,MATCH(A240&amp;"ENTRADA",Movimientos!$R$2:$R$1994,0)),"-")</f>
        <v>-</v>
      </c>
      <c r="D240" s="2" t="str">
        <f>IFERROR(INDEX(Movimientos!$E$2:$E$1994,MATCH(A240&amp;"ENTRADA",Movimientos!$R$2:$R$1994,0)),"-")</f>
        <v>-</v>
      </c>
      <c r="E240" s="2" t="str">
        <f>IFERROR(INDEX(Movimientos!$F$2:$F$1994,MATCH(A240&amp;"ENTRADA",Movimientos!$R$2:$R$1994,0)),"-")</f>
        <v>-</v>
      </c>
      <c r="F240" s="2" t="str">
        <f>IFERROR(INDEX(Movimientos!$G$2:$G$1994,MATCH(A240&amp;"ENTRADA",Movimientos!$R$2:$R$1994,0)),"-")</f>
        <v>-</v>
      </c>
      <c r="G240" s="2" t="str">
        <f>IFERROR(INDEX(Movimientos!$L$2:$L$1994,MATCH(A240&amp;"ENTRADA",Movimientos!$R$2:$R$1994,0)),"-")</f>
        <v>-</v>
      </c>
      <c r="H240" s="17" t="str">
        <f>IFERROR(IF(INDEX(Movimientos!$M$2:$M$1994,MATCH(A240&amp;"ENTRADA",Movimientos!$R$2:$R$1994,0))=0,"S/D",INDEX(Movimientos!$M$2:$M$1994,MATCH(A240&amp;"ENTRADA",Movimientos!$R$2:$R$1994,0))),"S/D")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2516</v>
      </c>
      <c r="B241" s="2" t="str">
        <f>IFERROR(INDEX(Movimientos!$C$2:$C$1994,MATCH(A241&amp;"ENTRADA",Movimientos!$R$2:$R$1994,0)),"-")</f>
        <v>-</v>
      </c>
      <c r="C241" s="2" t="str">
        <f>IFERROR(INDEX(Movimientos!$D$2:$D$1994,MATCH(A241&amp;"ENTRADA",Movimientos!$R$2:$R$1994,0)),"-")</f>
        <v>-</v>
      </c>
      <c r="D241" s="2" t="str">
        <f>IFERROR(INDEX(Movimientos!$E$2:$E$1994,MATCH(A241&amp;"ENTRADA",Movimientos!$R$2:$R$1994,0)),"-")</f>
        <v>-</v>
      </c>
      <c r="E241" s="2" t="str">
        <f>IFERROR(INDEX(Movimientos!$F$2:$F$1994,MATCH(A241&amp;"ENTRADA",Movimientos!$R$2:$R$1994,0)),"-")</f>
        <v>-</v>
      </c>
      <c r="F241" s="2" t="str">
        <f>IFERROR(INDEX(Movimientos!$G$2:$G$1994,MATCH(A241&amp;"ENTRADA",Movimientos!$R$2:$R$1994,0)),"-")</f>
        <v>-</v>
      </c>
      <c r="G241" s="2" t="str">
        <f>IFERROR(INDEX(Movimientos!$L$2:$L$1994,MATCH(A241&amp;"ENTRADA",Movimientos!$R$2:$R$1994,0)),"-")</f>
        <v>-</v>
      </c>
      <c r="H241" s="17" t="str">
        <f>IFERROR(IF(INDEX(Movimientos!$M$2:$M$1994,MATCH(A241&amp;"ENTRADA",Movimientos!$R$2:$R$1994,0))=0,"S/D",INDEX(Movimientos!$M$2:$M$1994,MATCH(A241&amp;"ENTRADA",Movimientos!$R$2:$R$1994,0))),"S/D")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2517</v>
      </c>
      <c r="B242" s="2" t="str">
        <f>IFERROR(INDEX(Movimientos!$C$2:$C$1994,MATCH(A242&amp;"ENTRADA",Movimientos!$R$2:$R$1994,0)),"-")</f>
        <v>-</v>
      </c>
      <c r="C242" s="2" t="str">
        <f>IFERROR(INDEX(Movimientos!$D$2:$D$1994,MATCH(A242&amp;"ENTRADA",Movimientos!$R$2:$R$1994,0)),"-")</f>
        <v>-</v>
      </c>
      <c r="D242" s="2" t="str">
        <f>IFERROR(INDEX(Movimientos!$E$2:$E$1994,MATCH(A242&amp;"ENTRADA",Movimientos!$R$2:$R$1994,0)),"-")</f>
        <v>-</v>
      </c>
      <c r="E242" s="2" t="str">
        <f>IFERROR(INDEX(Movimientos!$F$2:$F$1994,MATCH(A242&amp;"ENTRADA",Movimientos!$R$2:$R$1994,0)),"-")</f>
        <v>-</v>
      </c>
      <c r="F242" s="2" t="str">
        <f>IFERROR(INDEX(Movimientos!$G$2:$G$1994,MATCH(A242&amp;"ENTRADA",Movimientos!$R$2:$R$1994,0)),"-")</f>
        <v>-</v>
      </c>
      <c r="G242" s="2" t="str">
        <f>IFERROR(INDEX(Movimientos!$L$2:$L$1994,MATCH(A242&amp;"ENTRADA",Movimientos!$R$2:$R$1994,0)),"-")</f>
        <v>-</v>
      </c>
      <c r="H242" s="17" t="str">
        <f>IFERROR(IF(INDEX(Movimientos!$M$2:$M$1994,MATCH(A242&amp;"ENTRADA",Movimientos!$R$2:$R$1994,0))=0,"S/D",INDEX(Movimientos!$M$2:$M$1994,MATCH(A242&amp;"ENTRADA",Movimientos!$R$2:$R$1994,0))),"S/D")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2518</v>
      </c>
      <c r="B243" s="2" t="str">
        <f>IFERROR(INDEX(Movimientos!$C$2:$C$1994,MATCH(A243&amp;"ENTRADA",Movimientos!$R$2:$R$1994,0)),"-")</f>
        <v>-</v>
      </c>
      <c r="C243" s="2" t="str">
        <f>IFERROR(INDEX(Movimientos!$D$2:$D$1994,MATCH(A243&amp;"ENTRADA",Movimientos!$R$2:$R$1994,0)),"-")</f>
        <v>-</v>
      </c>
      <c r="D243" s="2" t="str">
        <f>IFERROR(INDEX(Movimientos!$E$2:$E$1994,MATCH(A243&amp;"ENTRADA",Movimientos!$R$2:$R$1994,0)),"-")</f>
        <v>-</v>
      </c>
      <c r="E243" s="2" t="str">
        <f>IFERROR(INDEX(Movimientos!$F$2:$F$1994,MATCH(A243&amp;"ENTRADA",Movimientos!$R$2:$R$1994,0)),"-")</f>
        <v>-</v>
      </c>
      <c r="F243" s="2" t="str">
        <f>IFERROR(INDEX(Movimientos!$G$2:$G$1994,MATCH(A243&amp;"ENTRADA",Movimientos!$R$2:$R$1994,0)),"-")</f>
        <v>-</v>
      </c>
      <c r="G243" s="2" t="str">
        <f>IFERROR(INDEX(Movimientos!$L$2:$L$1994,MATCH(A243&amp;"ENTRADA",Movimientos!$R$2:$R$1994,0)),"-")</f>
        <v>-</v>
      </c>
      <c r="H243" s="17" t="str">
        <f>IFERROR(IF(INDEX(Movimientos!$M$2:$M$1994,MATCH(A243&amp;"ENTRADA",Movimientos!$R$2:$R$1994,0))=0,"S/D",INDEX(Movimientos!$M$2:$M$1994,MATCH(A243&amp;"ENTRADA",Movimientos!$R$2:$R$1994,0))),"S/D")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2519</v>
      </c>
      <c r="B244" s="2" t="str">
        <f>IFERROR(INDEX(Movimientos!$C$2:$C$1994,MATCH(A244&amp;"ENTRADA",Movimientos!$R$2:$R$1994,0)),"-")</f>
        <v>-</v>
      </c>
      <c r="C244" s="2" t="str">
        <f>IFERROR(INDEX(Movimientos!$D$2:$D$1994,MATCH(A244&amp;"ENTRADA",Movimientos!$R$2:$R$1994,0)),"-")</f>
        <v>-</v>
      </c>
      <c r="D244" s="2" t="str">
        <f>IFERROR(INDEX(Movimientos!$E$2:$E$1994,MATCH(A244&amp;"ENTRADA",Movimientos!$R$2:$R$1994,0)),"-")</f>
        <v>-</v>
      </c>
      <c r="E244" s="2" t="str">
        <f>IFERROR(INDEX(Movimientos!$F$2:$F$1994,MATCH(A244&amp;"ENTRADA",Movimientos!$R$2:$R$1994,0)),"-")</f>
        <v>-</v>
      </c>
      <c r="F244" s="2" t="str">
        <f>IFERROR(INDEX(Movimientos!$G$2:$G$1994,MATCH(A244&amp;"ENTRADA",Movimientos!$R$2:$R$1994,0)),"-")</f>
        <v>-</v>
      </c>
      <c r="G244" s="2" t="str">
        <f>IFERROR(INDEX(Movimientos!$L$2:$L$1994,MATCH(A244&amp;"ENTRADA",Movimientos!$R$2:$R$1994,0)),"-")</f>
        <v>-</v>
      </c>
      <c r="H244" s="17" t="str">
        <f>IFERROR(IF(INDEX(Movimientos!$M$2:$M$1994,MATCH(A244&amp;"ENTRADA",Movimientos!$R$2:$R$1994,0))=0,"S/D",INDEX(Movimientos!$M$2:$M$1994,MATCH(A244&amp;"ENTRADA",Movimientos!$R$2:$R$1994,0))),"S/D")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2520</v>
      </c>
      <c r="B245" s="2" t="str">
        <f>IFERROR(INDEX(Movimientos!$C$2:$C$1994,MATCH(A245&amp;"ENTRADA",Movimientos!$R$2:$R$1994,0)),"-")</f>
        <v>-</v>
      </c>
      <c r="C245" s="2" t="str">
        <f>IFERROR(INDEX(Movimientos!$D$2:$D$1994,MATCH(A245&amp;"ENTRADA",Movimientos!$R$2:$R$1994,0)),"-")</f>
        <v>-</v>
      </c>
      <c r="D245" s="2" t="str">
        <f>IFERROR(INDEX(Movimientos!$E$2:$E$1994,MATCH(A245&amp;"ENTRADA",Movimientos!$R$2:$R$1994,0)),"-")</f>
        <v>-</v>
      </c>
      <c r="E245" s="2" t="str">
        <f>IFERROR(INDEX(Movimientos!$F$2:$F$1994,MATCH(A245&amp;"ENTRADA",Movimientos!$R$2:$R$1994,0)),"-")</f>
        <v>-</v>
      </c>
      <c r="F245" s="2" t="str">
        <f>IFERROR(INDEX(Movimientos!$G$2:$G$1994,MATCH(A245&amp;"ENTRADA",Movimientos!$R$2:$R$1994,0)),"-")</f>
        <v>-</v>
      </c>
      <c r="G245" s="2" t="str">
        <f>IFERROR(INDEX(Movimientos!$L$2:$L$1994,MATCH(A245&amp;"ENTRADA",Movimientos!$R$2:$R$1994,0)),"-")</f>
        <v>-</v>
      </c>
      <c r="H245" s="17" t="str">
        <f>IFERROR(IF(INDEX(Movimientos!$M$2:$M$1994,MATCH(A245&amp;"ENTRADA",Movimientos!$R$2:$R$1994,0))=0,"S/D",INDEX(Movimientos!$M$2:$M$1994,MATCH(A245&amp;"ENTRADA",Movimientos!$R$2:$R$1994,0))),"S/D")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2521</v>
      </c>
      <c r="B246" s="2" t="str">
        <f>IFERROR(INDEX(Movimientos!$C$2:$C$1994,MATCH(A246&amp;"ENTRADA",Movimientos!$R$2:$R$1994,0)),"-")</f>
        <v>-</v>
      </c>
      <c r="C246" s="2" t="str">
        <f>IFERROR(INDEX(Movimientos!$D$2:$D$1994,MATCH(A246&amp;"ENTRADA",Movimientos!$R$2:$R$1994,0)),"-")</f>
        <v>-</v>
      </c>
      <c r="D246" s="2" t="str">
        <f>IFERROR(INDEX(Movimientos!$E$2:$E$1994,MATCH(A246&amp;"ENTRADA",Movimientos!$R$2:$R$1994,0)),"-")</f>
        <v>-</v>
      </c>
      <c r="E246" s="2" t="str">
        <f>IFERROR(INDEX(Movimientos!$F$2:$F$1994,MATCH(A246&amp;"ENTRADA",Movimientos!$R$2:$R$1994,0)),"-")</f>
        <v>-</v>
      </c>
      <c r="F246" s="2" t="str">
        <f>IFERROR(INDEX(Movimientos!$G$2:$G$1994,MATCH(A246&amp;"ENTRADA",Movimientos!$R$2:$R$1994,0)),"-")</f>
        <v>-</v>
      </c>
      <c r="G246" s="2" t="str">
        <f>IFERROR(INDEX(Movimientos!$L$2:$L$1994,MATCH(A246&amp;"ENTRADA",Movimientos!$R$2:$R$1994,0)),"-")</f>
        <v>-</v>
      </c>
      <c r="H246" s="17" t="str">
        <f>IFERROR(IF(INDEX(Movimientos!$M$2:$M$1994,MATCH(A246&amp;"ENTRADA",Movimientos!$R$2:$R$1994,0))=0,"S/D",INDEX(Movimientos!$M$2:$M$1994,MATCH(A246&amp;"ENTRADA",Movimientos!$R$2:$R$1994,0))),"S/D")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2522</v>
      </c>
      <c r="B247" s="2" t="str">
        <f>IFERROR(INDEX(Movimientos!$C$2:$C$1994,MATCH(A247&amp;"ENTRADA",Movimientos!$R$2:$R$1994,0)),"-")</f>
        <v>-</v>
      </c>
      <c r="C247" s="2" t="str">
        <f>IFERROR(INDEX(Movimientos!$D$2:$D$1994,MATCH(A247&amp;"ENTRADA",Movimientos!$R$2:$R$1994,0)),"-")</f>
        <v>-</v>
      </c>
      <c r="D247" s="2" t="str">
        <f>IFERROR(INDEX(Movimientos!$E$2:$E$1994,MATCH(A247&amp;"ENTRADA",Movimientos!$R$2:$R$1994,0)),"-")</f>
        <v>-</v>
      </c>
      <c r="E247" s="2" t="str">
        <f>IFERROR(INDEX(Movimientos!$F$2:$F$1994,MATCH(A247&amp;"ENTRADA",Movimientos!$R$2:$R$1994,0)),"-")</f>
        <v>-</v>
      </c>
      <c r="F247" s="2" t="str">
        <f>IFERROR(INDEX(Movimientos!$G$2:$G$1994,MATCH(A247&amp;"ENTRADA",Movimientos!$R$2:$R$1994,0)),"-")</f>
        <v>-</v>
      </c>
      <c r="G247" s="2" t="str">
        <f>IFERROR(INDEX(Movimientos!$L$2:$L$1994,MATCH(A247&amp;"ENTRADA",Movimientos!$R$2:$R$1994,0)),"-")</f>
        <v>-</v>
      </c>
      <c r="H247" s="17" t="str">
        <f>IFERROR(IF(INDEX(Movimientos!$M$2:$M$1994,MATCH(A247&amp;"ENTRADA",Movimientos!$R$2:$R$1994,0))=0,"S/D",INDEX(Movimientos!$M$2:$M$1994,MATCH(A247&amp;"ENTRADA",Movimientos!$R$2:$R$1994,0))),"S/D")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2523</v>
      </c>
      <c r="B248" s="2" t="str">
        <f>IFERROR(INDEX(Movimientos!$C$2:$C$1994,MATCH(A248&amp;"ENTRADA",Movimientos!$R$2:$R$1994,0)),"-")</f>
        <v>-</v>
      </c>
      <c r="C248" s="2" t="str">
        <f>IFERROR(INDEX(Movimientos!$D$2:$D$1994,MATCH(A248&amp;"ENTRADA",Movimientos!$R$2:$R$1994,0)),"-")</f>
        <v>-</v>
      </c>
      <c r="D248" s="2" t="str">
        <f>IFERROR(INDEX(Movimientos!$E$2:$E$1994,MATCH(A248&amp;"ENTRADA",Movimientos!$R$2:$R$1994,0)),"-")</f>
        <v>-</v>
      </c>
      <c r="E248" s="2" t="str">
        <f>IFERROR(INDEX(Movimientos!$F$2:$F$1994,MATCH(A248&amp;"ENTRADA",Movimientos!$R$2:$R$1994,0)),"-")</f>
        <v>-</v>
      </c>
      <c r="F248" s="2" t="str">
        <f>IFERROR(INDEX(Movimientos!$G$2:$G$1994,MATCH(A248&amp;"ENTRADA",Movimientos!$R$2:$R$1994,0)),"-")</f>
        <v>-</v>
      </c>
      <c r="G248" s="2" t="str">
        <f>IFERROR(INDEX(Movimientos!$L$2:$L$1994,MATCH(A248&amp;"ENTRADA",Movimientos!$R$2:$R$1994,0)),"-")</f>
        <v>-</v>
      </c>
      <c r="H248" s="17" t="str">
        <f>IFERROR(IF(INDEX(Movimientos!$M$2:$M$1994,MATCH(A248&amp;"ENTRADA",Movimientos!$R$2:$R$1994,0))=0,"S/D",INDEX(Movimientos!$M$2:$M$1994,MATCH(A248&amp;"ENTRADA",Movimientos!$R$2:$R$1994,0))),"S/D")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2524</v>
      </c>
      <c r="B249" s="2" t="str">
        <f>IFERROR(INDEX(Movimientos!$C$2:$C$1994,MATCH(A249&amp;"ENTRADA",Movimientos!$R$2:$R$1994,0)),"-")</f>
        <v>-</v>
      </c>
      <c r="C249" s="2" t="str">
        <f>IFERROR(INDEX(Movimientos!$D$2:$D$1994,MATCH(A249&amp;"ENTRADA",Movimientos!$R$2:$R$1994,0)),"-")</f>
        <v>-</v>
      </c>
      <c r="D249" s="2" t="str">
        <f>IFERROR(INDEX(Movimientos!$E$2:$E$1994,MATCH(A249&amp;"ENTRADA",Movimientos!$R$2:$R$1994,0)),"-")</f>
        <v>-</v>
      </c>
      <c r="E249" s="2" t="str">
        <f>IFERROR(INDEX(Movimientos!$F$2:$F$1994,MATCH(A249&amp;"ENTRADA",Movimientos!$R$2:$R$1994,0)),"-")</f>
        <v>-</v>
      </c>
      <c r="F249" s="2" t="str">
        <f>IFERROR(INDEX(Movimientos!$G$2:$G$1994,MATCH(A249&amp;"ENTRADA",Movimientos!$R$2:$R$1994,0)),"-")</f>
        <v>-</v>
      </c>
      <c r="G249" s="2" t="str">
        <f>IFERROR(INDEX(Movimientos!$L$2:$L$1994,MATCH(A249&amp;"ENTRADA",Movimientos!$R$2:$R$1994,0)),"-")</f>
        <v>-</v>
      </c>
      <c r="H249" s="17" t="str">
        <f>IFERROR(IF(INDEX(Movimientos!$M$2:$M$1994,MATCH(A249&amp;"ENTRADA",Movimientos!$R$2:$R$1994,0))=0,"S/D",INDEX(Movimientos!$M$2:$M$1994,MATCH(A249&amp;"ENTRADA",Movimientos!$R$2:$R$1994,0))),"S/D")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2525</v>
      </c>
      <c r="B250" s="2" t="str">
        <f>IFERROR(INDEX(Movimientos!$C$2:$C$1994,MATCH(A250&amp;"ENTRADA",Movimientos!$R$2:$R$1994,0)),"-")</f>
        <v>-</v>
      </c>
      <c r="C250" s="2" t="str">
        <f>IFERROR(INDEX(Movimientos!$D$2:$D$1994,MATCH(A250&amp;"ENTRADA",Movimientos!$R$2:$R$1994,0)),"-")</f>
        <v>-</v>
      </c>
      <c r="D250" s="2" t="str">
        <f>IFERROR(INDEX(Movimientos!$E$2:$E$1994,MATCH(A250&amp;"ENTRADA",Movimientos!$R$2:$R$1994,0)),"-")</f>
        <v>-</v>
      </c>
      <c r="E250" s="2" t="str">
        <f>IFERROR(INDEX(Movimientos!$F$2:$F$1994,MATCH(A250&amp;"ENTRADA",Movimientos!$R$2:$R$1994,0)),"-")</f>
        <v>-</v>
      </c>
      <c r="F250" s="2" t="str">
        <f>IFERROR(INDEX(Movimientos!$G$2:$G$1994,MATCH(A250&amp;"ENTRADA",Movimientos!$R$2:$R$1994,0)),"-")</f>
        <v>-</v>
      </c>
      <c r="G250" s="2" t="str">
        <f>IFERROR(INDEX(Movimientos!$L$2:$L$1994,MATCH(A250&amp;"ENTRADA",Movimientos!$R$2:$R$1994,0)),"-")</f>
        <v>-</v>
      </c>
      <c r="H250" s="17" t="str">
        <f>IFERROR(IF(INDEX(Movimientos!$M$2:$M$1994,MATCH(A250&amp;"ENTRADA",Movimientos!$R$2:$R$1994,0))=0,"S/D",INDEX(Movimientos!$M$2:$M$1994,MATCH(A250&amp;"ENTRADA",Movimientos!$R$2:$R$1994,0))),"S/D")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2526</v>
      </c>
      <c r="B251" s="2" t="str">
        <f>IFERROR(INDEX(Movimientos!$C$2:$C$1994,MATCH(A251&amp;"ENTRADA",Movimientos!$R$2:$R$1994,0)),"-")</f>
        <v>-</v>
      </c>
      <c r="C251" s="2" t="str">
        <f>IFERROR(INDEX(Movimientos!$D$2:$D$1994,MATCH(A251&amp;"ENTRADA",Movimientos!$R$2:$R$1994,0)),"-")</f>
        <v>-</v>
      </c>
      <c r="D251" s="2" t="str">
        <f>IFERROR(INDEX(Movimientos!$E$2:$E$1994,MATCH(A251&amp;"ENTRADA",Movimientos!$R$2:$R$1994,0)),"-")</f>
        <v>-</v>
      </c>
      <c r="E251" s="2" t="str">
        <f>IFERROR(INDEX(Movimientos!$F$2:$F$1994,MATCH(A251&amp;"ENTRADA",Movimientos!$R$2:$R$1994,0)),"-")</f>
        <v>-</v>
      </c>
      <c r="F251" s="2" t="str">
        <f>IFERROR(INDEX(Movimientos!$G$2:$G$1994,MATCH(A251&amp;"ENTRADA",Movimientos!$R$2:$R$1994,0)),"-")</f>
        <v>-</v>
      </c>
      <c r="G251" s="2" t="str">
        <f>IFERROR(INDEX(Movimientos!$L$2:$L$1994,MATCH(A251&amp;"ENTRADA",Movimientos!$R$2:$R$1994,0)),"-")</f>
        <v>-</v>
      </c>
      <c r="H251" s="17" t="str">
        <f>IFERROR(IF(INDEX(Movimientos!$M$2:$M$1994,MATCH(A251&amp;"ENTRADA",Movimientos!$R$2:$R$1994,0))=0,"S/D",INDEX(Movimientos!$M$2:$M$1994,MATCH(A251&amp;"ENTRADA",Movimientos!$R$2:$R$1994,0))),"S/D")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2527</v>
      </c>
      <c r="B252" s="2" t="str">
        <f>IFERROR(INDEX(Movimientos!$C$2:$C$1994,MATCH(A252&amp;"ENTRADA",Movimientos!$R$2:$R$1994,0)),"-")</f>
        <v>-</v>
      </c>
      <c r="C252" s="2" t="str">
        <f>IFERROR(INDEX(Movimientos!$D$2:$D$1994,MATCH(A252&amp;"ENTRADA",Movimientos!$R$2:$R$1994,0)),"-")</f>
        <v>-</v>
      </c>
      <c r="D252" s="2" t="str">
        <f>IFERROR(INDEX(Movimientos!$E$2:$E$1994,MATCH(A252&amp;"ENTRADA",Movimientos!$R$2:$R$1994,0)),"-")</f>
        <v>-</v>
      </c>
      <c r="E252" s="2" t="str">
        <f>IFERROR(INDEX(Movimientos!$F$2:$F$1994,MATCH(A252&amp;"ENTRADA",Movimientos!$R$2:$R$1994,0)),"-")</f>
        <v>-</v>
      </c>
      <c r="F252" s="2" t="str">
        <f>IFERROR(INDEX(Movimientos!$G$2:$G$1994,MATCH(A252&amp;"ENTRADA",Movimientos!$R$2:$R$1994,0)),"-")</f>
        <v>-</v>
      </c>
      <c r="G252" s="2" t="str">
        <f>IFERROR(INDEX(Movimientos!$L$2:$L$1994,MATCH(A252&amp;"ENTRADA",Movimientos!$R$2:$R$1994,0)),"-")</f>
        <v>-</v>
      </c>
      <c r="H252" s="17" t="str">
        <f>IFERROR(IF(INDEX(Movimientos!$M$2:$M$1994,MATCH(A252&amp;"ENTRADA",Movimientos!$R$2:$R$1994,0))=0,"S/D",INDEX(Movimientos!$M$2:$M$1994,MATCH(A252&amp;"ENTRADA",Movimientos!$R$2:$R$1994,0))),"S/D")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2528</v>
      </c>
      <c r="B253" s="2" t="str">
        <f>IFERROR(INDEX(Movimientos!$C$2:$C$1994,MATCH(A253&amp;"ENTRADA",Movimientos!$R$2:$R$1994,0)),"-")</f>
        <v>-</v>
      </c>
      <c r="C253" s="2" t="str">
        <f>IFERROR(INDEX(Movimientos!$D$2:$D$1994,MATCH(A253&amp;"ENTRADA",Movimientos!$R$2:$R$1994,0)),"-")</f>
        <v>-</v>
      </c>
      <c r="D253" s="2" t="str">
        <f>IFERROR(INDEX(Movimientos!$E$2:$E$1994,MATCH(A253&amp;"ENTRADA",Movimientos!$R$2:$R$1994,0)),"-")</f>
        <v>-</v>
      </c>
      <c r="E253" s="2" t="str">
        <f>IFERROR(INDEX(Movimientos!$F$2:$F$1994,MATCH(A253&amp;"ENTRADA",Movimientos!$R$2:$R$1994,0)),"-")</f>
        <v>-</v>
      </c>
      <c r="F253" s="2" t="str">
        <f>IFERROR(INDEX(Movimientos!$G$2:$G$1994,MATCH(A253&amp;"ENTRADA",Movimientos!$R$2:$R$1994,0)),"-")</f>
        <v>-</v>
      </c>
      <c r="G253" s="2" t="str">
        <f>IFERROR(INDEX(Movimientos!$L$2:$L$1994,MATCH(A253&amp;"ENTRADA",Movimientos!$R$2:$R$1994,0)),"-")</f>
        <v>-</v>
      </c>
      <c r="H253" s="17" t="str">
        <f>IFERROR(IF(INDEX(Movimientos!$M$2:$M$1994,MATCH(A253&amp;"ENTRADA",Movimientos!$R$2:$R$1994,0))=0,"S/D",INDEX(Movimientos!$M$2:$M$1994,MATCH(A253&amp;"ENTRADA",Movimientos!$R$2:$R$1994,0))),"S/D")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2529</v>
      </c>
      <c r="B254" s="2" t="str">
        <f>IFERROR(INDEX(Movimientos!$C$2:$C$1994,MATCH(A254&amp;"ENTRADA",Movimientos!$R$2:$R$1994,0)),"-")</f>
        <v>-</v>
      </c>
      <c r="C254" s="2" t="str">
        <f>IFERROR(INDEX(Movimientos!$D$2:$D$1994,MATCH(A254&amp;"ENTRADA",Movimientos!$R$2:$R$1994,0)),"-")</f>
        <v>-</v>
      </c>
      <c r="D254" s="2" t="str">
        <f>IFERROR(INDEX(Movimientos!$E$2:$E$1994,MATCH(A254&amp;"ENTRADA",Movimientos!$R$2:$R$1994,0)),"-")</f>
        <v>-</v>
      </c>
      <c r="E254" s="2" t="str">
        <f>IFERROR(INDEX(Movimientos!$F$2:$F$1994,MATCH(A254&amp;"ENTRADA",Movimientos!$R$2:$R$1994,0)),"-")</f>
        <v>-</v>
      </c>
      <c r="F254" s="2" t="str">
        <f>IFERROR(INDEX(Movimientos!$G$2:$G$1994,MATCH(A254&amp;"ENTRADA",Movimientos!$R$2:$R$1994,0)),"-")</f>
        <v>-</v>
      </c>
      <c r="G254" s="2" t="str">
        <f>IFERROR(INDEX(Movimientos!$L$2:$L$1994,MATCH(A254&amp;"ENTRADA",Movimientos!$R$2:$R$1994,0)),"-")</f>
        <v>-</v>
      </c>
      <c r="H254" s="17" t="str">
        <f>IFERROR(IF(INDEX(Movimientos!$M$2:$M$1994,MATCH(A254&amp;"ENTRADA",Movimientos!$R$2:$R$1994,0))=0,"S/D",INDEX(Movimientos!$M$2:$M$1994,MATCH(A254&amp;"ENTRADA",Movimientos!$R$2:$R$1994,0))),"S/D")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2530</v>
      </c>
      <c r="B255" s="2" t="str">
        <f>IFERROR(INDEX(Movimientos!$C$2:$C$1994,MATCH(A255&amp;"ENTRADA",Movimientos!$R$2:$R$1994,0)),"-")</f>
        <v>-</v>
      </c>
      <c r="C255" s="2" t="str">
        <f>IFERROR(INDEX(Movimientos!$D$2:$D$1994,MATCH(A255&amp;"ENTRADA",Movimientos!$R$2:$R$1994,0)),"-")</f>
        <v>-</v>
      </c>
      <c r="D255" s="2" t="str">
        <f>IFERROR(INDEX(Movimientos!$E$2:$E$1994,MATCH(A255&amp;"ENTRADA",Movimientos!$R$2:$R$1994,0)),"-")</f>
        <v>-</v>
      </c>
      <c r="E255" s="2" t="str">
        <f>IFERROR(INDEX(Movimientos!$F$2:$F$1994,MATCH(A255&amp;"ENTRADA",Movimientos!$R$2:$R$1994,0)),"-")</f>
        <v>-</v>
      </c>
      <c r="F255" s="2" t="str">
        <f>IFERROR(INDEX(Movimientos!$G$2:$G$1994,MATCH(A255&amp;"ENTRADA",Movimientos!$R$2:$R$1994,0)),"-")</f>
        <v>-</v>
      </c>
      <c r="G255" s="2" t="str">
        <f>IFERROR(INDEX(Movimientos!$L$2:$L$1994,MATCH(A255&amp;"ENTRADA",Movimientos!$R$2:$R$1994,0)),"-")</f>
        <v>-</v>
      </c>
      <c r="H255" s="17" t="str">
        <f>IFERROR(IF(INDEX(Movimientos!$M$2:$M$1994,MATCH(A255&amp;"ENTRADA",Movimientos!$R$2:$R$1994,0))=0,"S/D",INDEX(Movimientos!$M$2:$M$1994,MATCH(A255&amp;"ENTRADA",Movimientos!$R$2:$R$1994,0))),"S/D")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2531</v>
      </c>
      <c r="B256" s="2" t="str">
        <f>IFERROR(INDEX(Movimientos!$C$2:$C$1994,MATCH(A256&amp;"ENTRADA",Movimientos!$R$2:$R$1994,0)),"-")</f>
        <v>-</v>
      </c>
      <c r="C256" s="2" t="str">
        <f>IFERROR(INDEX(Movimientos!$D$2:$D$1994,MATCH(A256&amp;"ENTRADA",Movimientos!$R$2:$R$1994,0)),"-")</f>
        <v>-</v>
      </c>
      <c r="D256" s="2" t="str">
        <f>IFERROR(INDEX(Movimientos!$E$2:$E$1994,MATCH(A256&amp;"ENTRADA",Movimientos!$R$2:$R$1994,0)),"-")</f>
        <v>-</v>
      </c>
      <c r="E256" s="2" t="str">
        <f>IFERROR(INDEX(Movimientos!$F$2:$F$1994,MATCH(A256&amp;"ENTRADA",Movimientos!$R$2:$R$1994,0)),"-")</f>
        <v>-</v>
      </c>
      <c r="F256" s="2" t="str">
        <f>IFERROR(INDEX(Movimientos!$G$2:$G$1994,MATCH(A256&amp;"ENTRADA",Movimientos!$R$2:$R$1994,0)),"-")</f>
        <v>-</v>
      </c>
      <c r="G256" s="2" t="str">
        <f>IFERROR(INDEX(Movimientos!$L$2:$L$1994,MATCH(A256&amp;"ENTRADA",Movimientos!$R$2:$R$1994,0)),"-")</f>
        <v>-</v>
      </c>
      <c r="H256" s="17" t="str">
        <f>IFERROR(IF(INDEX(Movimientos!$M$2:$M$1994,MATCH(A256&amp;"ENTRADA",Movimientos!$R$2:$R$1994,0))=0,"S/D",INDEX(Movimientos!$M$2:$M$1994,MATCH(A256&amp;"ENTRADA",Movimientos!$R$2:$R$1994,0))),"S/D")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2532</v>
      </c>
      <c r="B257" s="2" t="str">
        <f>IFERROR(INDEX(Movimientos!$C$2:$C$1994,MATCH(A257&amp;"ENTRADA",Movimientos!$R$2:$R$1994,0)),"-")</f>
        <v>-</v>
      </c>
      <c r="C257" s="2" t="str">
        <f>IFERROR(INDEX(Movimientos!$D$2:$D$1994,MATCH(A257&amp;"ENTRADA",Movimientos!$R$2:$R$1994,0)),"-")</f>
        <v>-</v>
      </c>
      <c r="D257" s="2" t="str">
        <f>IFERROR(INDEX(Movimientos!$E$2:$E$1994,MATCH(A257&amp;"ENTRADA",Movimientos!$R$2:$R$1994,0)),"-")</f>
        <v>-</v>
      </c>
      <c r="E257" s="2" t="str">
        <f>IFERROR(INDEX(Movimientos!$F$2:$F$1994,MATCH(A257&amp;"ENTRADA",Movimientos!$R$2:$R$1994,0)),"-")</f>
        <v>-</v>
      </c>
      <c r="F257" s="2" t="str">
        <f>IFERROR(INDEX(Movimientos!$G$2:$G$1994,MATCH(A257&amp;"ENTRADA",Movimientos!$R$2:$R$1994,0)),"-")</f>
        <v>-</v>
      </c>
      <c r="G257" s="2" t="str">
        <f>IFERROR(INDEX(Movimientos!$L$2:$L$1994,MATCH(A257&amp;"ENTRADA",Movimientos!$R$2:$R$1994,0)),"-")</f>
        <v>-</v>
      </c>
      <c r="H257" s="17" t="str">
        <f>IFERROR(IF(INDEX(Movimientos!$M$2:$M$1994,MATCH(A257&amp;"ENTRADA",Movimientos!$R$2:$R$1994,0))=0,"S/D",INDEX(Movimientos!$M$2:$M$1994,MATCH(A257&amp;"ENTRADA",Movimientos!$R$2:$R$1994,0))),"S/D")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2533</v>
      </c>
      <c r="B258" s="2" t="str">
        <f>IFERROR(INDEX(Movimientos!$C$2:$C$1994,MATCH(A258&amp;"ENTRADA",Movimientos!$R$2:$R$1994,0)),"-")</f>
        <v>-</v>
      </c>
      <c r="C258" s="2" t="str">
        <f>IFERROR(INDEX(Movimientos!$D$2:$D$1994,MATCH(A258&amp;"ENTRADA",Movimientos!$R$2:$R$1994,0)),"-")</f>
        <v>-</v>
      </c>
      <c r="D258" s="2" t="str">
        <f>IFERROR(INDEX(Movimientos!$E$2:$E$1994,MATCH(A258&amp;"ENTRADA",Movimientos!$R$2:$R$1994,0)),"-")</f>
        <v>-</v>
      </c>
      <c r="E258" s="2" t="str">
        <f>IFERROR(INDEX(Movimientos!$F$2:$F$1994,MATCH(A258&amp;"ENTRADA",Movimientos!$R$2:$R$1994,0)),"-")</f>
        <v>-</v>
      </c>
      <c r="F258" s="2" t="str">
        <f>IFERROR(INDEX(Movimientos!$G$2:$G$1994,MATCH(A258&amp;"ENTRADA",Movimientos!$R$2:$R$1994,0)),"-")</f>
        <v>-</v>
      </c>
      <c r="G258" s="2" t="str">
        <f>IFERROR(INDEX(Movimientos!$L$2:$L$1994,MATCH(A258&amp;"ENTRADA",Movimientos!$R$2:$R$1994,0)),"-")</f>
        <v>-</v>
      </c>
      <c r="H258" s="17" t="str">
        <f>IFERROR(IF(INDEX(Movimientos!$M$2:$M$1994,MATCH(A258&amp;"ENTRADA",Movimientos!$R$2:$R$1994,0))=0,"S/D",INDEX(Movimientos!$M$2:$M$1994,MATCH(A258&amp;"ENTRADA",Movimientos!$R$2:$R$1994,0))),"S/D")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2534</v>
      </c>
      <c r="B259" s="2" t="str">
        <f>IFERROR(INDEX(Movimientos!$C$2:$C$1994,MATCH(A259&amp;"ENTRADA",Movimientos!$R$2:$R$1994,0)),"-")</f>
        <v>-</v>
      </c>
      <c r="C259" s="2" t="str">
        <f>IFERROR(INDEX(Movimientos!$D$2:$D$1994,MATCH(A259&amp;"ENTRADA",Movimientos!$R$2:$R$1994,0)),"-")</f>
        <v>-</v>
      </c>
      <c r="D259" s="2" t="str">
        <f>IFERROR(INDEX(Movimientos!$E$2:$E$1994,MATCH(A259&amp;"ENTRADA",Movimientos!$R$2:$R$1994,0)),"-")</f>
        <v>-</v>
      </c>
      <c r="E259" s="2" t="str">
        <f>IFERROR(INDEX(Movimientos!$F$2:$F$1994,MATCH(A259&amp;"ENTRADA",Movimientos!$R$2:$R$1994,0)),"-")</f>
        <v>-</v>
      </c>
      <c r="F259" s="2" t="str">
        <f>IFERROR(INDEX(Movimientos!$G$2:$G$1994,MATCH(A259&amp;"ENTRADA",Movimientos!$R$2:$R$1994,0)),"-")</f>
        <v>-</v>
      </c>
      <c r="G259" s="2" t="str">
        <f>IFERROR(INDEX(Movimientos!$L$2:$L$1994,MATCH(A259&amp;"ENTRADA",Movimientos!$R$2:$R$1994,0)),"-")</f>
        <v>-</v>
      </c>
      <c r="H259" s="17" t="str">
        <f>IFERROR(IF(INDEX(Movimientos!$M$2:$M$1994,MATCH(A259&amp;"ENTRADA",Movimientos!$R$2:$R$1994,0))=0,"S/D",INDEX(Movimientos!$M$2:$M$1994,MATCH(A259&amp;"ENTRADA",Movimientos!$R$2:$R$1994,0))),"S/D")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2535</v>
      </c>
      <c r="B260" s="2" t="str">
        <f>IFERROR(INDEX(Movimientos!$C$2:$C$1994,MATCH(A260&amp;"ENTRADA",Movimientos!$R$2:$R$1994,0)),"-")</f>
        <v>-</v>
      </c>
      <c r="C260" s="2" t="str">
        <f>IFERROR(INDEX(Movimientos!$D$2:$D$1994,MATCH(A260&amp;"ENTRADA",Movimientos!$R$2:$R$1994,0)),"-")</f>
        <v>-</v>
      </c>
      <c r="D260" s="2" t="str">
        <f>IFERROR(INDEX(Movimientos!$E$2:$E$1994,MATCH(A260&amp;"ENTRADA",Movimientos!$R$2:$R$1994,0)),"-")</f>
        <v>-</v>
      </c>
      <c r="E260" s="2" t="str">
        <f>IFERROR(INDEX(Movimientos!$F$2:$F$1994,MATCH(A260&amp;"ENTRADA",Movimientos!$R$2:$R$1994,0)),"-")</f>
        <v>-</v>
      </c>
      <c r="F260" s="2" t="str">
        <f>IFERROR(INDEX(Movimientos!$G$2:$G$1994,MATCH(A260&amp;"ENTRADA",Movimientos!$R$2:$R$1994,0)),"-")</f>
        <v>-</v>
      </c>
      <c r="G260" s="2" t="str">
        <f>IFERROR(INDEX(Movimientos!$L$2:$L$1994,MATCH(A260&amp;"ENTRADA",Movimientos!$R$2:$R$1994,0)),"-")</f>
        <v>-</v>
      </c>
      <c r="H260" s="17" t="str">
        <f>IFERROR(IF(INDEX(Movimientos!$M$2:$M$1994,MATCH(A260&amp;"ENTRADA",Movimientos!$R$2:$R$1994,0))=0,"S/D",INDEX(Movimientos!$M$2:$M$1994,MATCH(A260&amp;"ENTRADA",Movimientos!$R$2:$R$1994,0))),"S/D")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2536</v>
      </c>
      <c r="B261" s="2" t="str">
        <f>IFERROR(INDEX(Movimientos!$C$2:$C$1994,MATCH(A261&amp;"ENTRADA",Movimientos!$R$2:$R$1994,0)),"-")</f>
        <v>-</v>
      </c>
      <c r="C261" s="2" t="str">
        <f>IFERROR(INDEX(Movimientos!$D$2:$D$1994,MATCH(A261&amp;"ENTRADA",Movimientos!$R$2:$R$1994,0)),"-")</f>
        <v>-</v>
      </c>
      <c r="D261" s="2" t="str">
        <f>IFERROR(INDEX(Movimientos!$E$2:$E$1994,MATCH(A261&amp;"ENTRADA",Movimientos!$R$2:$R$1994,0)),"-")</f>
        <v>-</v>
      </c>
      <c r="E261" s="2" t="str">
        <f>IFERROR(INDEX(Movimientos!$F$2:$F$1994,MATCH(A261&amp;"ENTRADA",Movimientos!$R$2:$R$1994,0)),"-")</f>
        <v>-</v>
      </c>
      <c r="F261" s="2" t="str">
        <f>IFERROR(INDEX(Movimientos!$G$2:$G$1994,MATCH(A261&amp;"ENTRADA",Movimientos!$R$2:$R$1994,0)),"-")</f>
        <v>-</v>
      </c>
      <c r="G261" s="2" t="str">
        <f>IFERROR(INDEX(Movimientos!$L$2:$L$1994,MATCH(A261&amp;"ENTRADA",Movimientos!$R$2:$R$1994,0)),"-")</f>
        <v>-</v>
      </c>
      <c r="H261" s="17" t="str">
        <f>IFERROR(IF(INDEX(Movimientos!$M$2:$M$1994,MATCH(A261&amp;"ENTRADA",Movimientos!$R$2:$R$1994,0))=0,"S/D",INDEX(Movimientos!$M$2:$M$1994,MATCH(A261&amp;"ENTRADA",Movimientos!$R$2:$R$1994,0))),"S/D")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2537</v>
      </c>
      <c r="B262" s="2" t="str">
        <f>IFERROR(INDEX(Movimientos!$C$2:$C$1994,MATCH(A262&amp;"ENTRADA",Movimientos!$R$2:$R$1994,0)),"-")</f>
        <v>-</v>
      </c>
      <c r="C262" s="2" t="str">
        <f>IFERROR(INDEX(Movimientos!$D$2:$D$1994,MATCH(A262&amp;"ENTRADA",Movimientos!$R$2:$R$1994,0)),"-")</f>
        <v>-</v>
      </c>
      <c r="D262" s="2" t="str">
        <f>IFERROR(INDEX(Movimientos!$E$2:$E$1994,MATCH(A262&amp;"ENTRADA",Movimientos!$R$2:$R$1994,0)),"-")</f>
        <v>-</v>
      </c>
      <c r="E262" s="2" t="str">
        <f>IFERROR(INDEX(Movimientos!$F$2:$F$1994,MATCH(A262&amp;"ENTRADA",Movimientos!$R$2:$R$1994,0)),"-")</f>
        <v>-</v>
      </c>
      <c r="F262" s="2" t="str">
        <f>IFERROR(INDEX(Movimientos!$G$2:$G$1994,MATCH(A262&amp;"ENTRADA",Movimientos!$R$2:$R$1994,0)),"-")</f>
        <v>-</v>
      </c>
      <c r="G262" s="2" t="str">
        <f>IFERROR(INDEX(Movimientos!$L$2:$L$1994,MATCH(A262&amp;"ENTRADA",Movimientos!$R$2:$R$1994,0)),"-")</f>
        <v>-</v>
      </c>
      <c r="H262" s="17" t="str">
        <f>IFERROR(IF(INDEX(Movimientos!$M$2:$M$1994,MATCH(A262&amp;"ENTRADA",Movimientos!$R$2:$R$1994,0))=0,"S/D",INDEX(Movimientos!$M$2:$M$1994,MATCH(A262&amp;"ENTRADA",Movimientos!$R$2:$R$1994,0))),"S/D")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2538</v>
      </c>
      <c r="B263" s="2" t="str">
        <f>IFERROR(INDEX(Movimientos!$C$2:$C$1994,MATCH(A263&amp;"ENTRADA",Movimientos!$R$2:$R$1994,0)),"-")</f>
        <v>-</v>
      </c>
      <c r="C263" s="2" t="str">
        <f>IFERROR(INDEX(Movimientos!$D$2:$D$1994,MATCH(A263&amp;"ENTRADA",Movimientos!$R$2:$R$1994,0)),"-")</f>
        <v>-</v>
      </c>
      <c r="D263" s="2" t="str">
        <f>IFERROR(INDEX(Movimientos!$E$2:$E$1994,MATCH(A263&amp;"ENTRADA",Movimientos!$R$2:$R$1994,0)),"-")</f>
        <v>-</v>
      </c>
      <c r="E263" s="2" t="str">
        <f>IFERROR(INDEX(Movimientos!$F$2:$F$1994,MATCH(A263&amp;"ENTRADA",Movimientos!$R$2:$R$1994,0)),"-")</f>
        <v>-</v>
      </c>
      <c r="F263" s="2" t="str">
        <f>IFERROR(INDEX(Movimientos!$G$2:$G$1994,MATCH(A263&amp;"ENTRADA",Movimientos!$R$2:$R$1994,0)),"-")</f>
        <v>-</v>
      </c>
      <c r="G263" s="2" t="str">
        <f>IFERROR(INDEX(Movimientos!$L$2:$L$1994,MATCH(A263&amp;"ENTRADA",Movimientos!$R$2:$R$1994,0)),"-")</f>
        <v>-</v>
      </c>
      <c r="H263" s="17" t="str">
        <f>IFERROR(IF(INDEX(Movimientos!$M$2:$M$1994,MATCH(A263&amp;"ENTRADA",Movimientos!$R$2:$R$1994,0))=0,"S/D",INDEX(Movimientos!$M$2:$M$1994,MATCH(A263&amp;"ENTRADA",Movimientos!$R$2:$R$1994,0))),"S/D")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2539</v>
      </c>
      <c r="B264" s="2" t="str">
        <f>IFERROR(INDEX(Movimientos!$C$2:$C$1994,MATCH(A264&amp;"ENTRADA",Movimientos!$R$2:$R$1994,0)),"-")</f>
        <v>-</v>
      </c>
      <c r="C264" s="2" t="str">
        <f>IFERROR(INDEX(Movimientos!$D$2:$D$1994,MATCH(A264&amp;"ENTRADA",Movimientos!$R$2:$R$1994,0)),"-")</f>
        <v>-</v>
      </c>
      <c r="D264" s="2" t="str">
        <f>IFERROR(INDEX(Movimientos!$E$2:$E$1994,MATCH(A264&amp;"ENTRADA",Movimientos!$R$2:$R$1994,0)),"-")</f>
        <v>-</v>
      </c>
      <c r="E264" s="2" t="str">
        <f>IFERROR(INDEX(Movimientos!$F$2:$F$1994,MATCH(A264&amp;"ENTRADA",Movimientos!$R$2:$R$1994,0)),"-")</f>
        <v>-</v>
      </c>
      <c r="F264" s="2" t="str">
        <f>IFERROR(INDEX(Movimientos!$G$2:$G$1994,MATCH(A264&amp;"ENTRADA",Movimientos!$R$2:$R$1994,0)),"-")</f>
        <v>-</v>
      </c>
      <c r="G264" s="2" t="str">
        <f>IFERROR(INDEX(Movimientos!$L$2:$L$1994,MATCH(A264&amp;"ENTRADA",Movimientos!$R$2:$R$1994,0)),"-")</f>
        <v>-</v>
      </c>
      <c r="H264" s="17" t="str">
        <f>IFERROR(IF(INDEX(Movimientos!$M$2:$M$1994,MATCH(A264&amp;"ENTRADA",Movimientos!$R$2:$R$1994,0))=0,"S/D",INDEX(Movimientos!$M$2:$M$1994,MATCH(A264&amp;"ENTRADA",Movimientos!$R$2:$R$1994,0))),"S/D")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2540</v>
      </c>
      <c r="B265" s="2" t="str">
        <f>IFERROR(INDEX(Movimientos!$C$2:$C$1994,MATCH(A265&amp;"ENTRADA",Movimientos!$R$2:$R$1994,0)),"-")</f>
        <v>-</v>
      </c>
      <c r="C265" s="2" t="str">
        <f>IFERROR(INDEX(Movimientos!$D$2:$D$1994,MATCH(A265&amp;"ENTRADA",Movimientos!$R$2:$R$1994,0)),"-")</f>
        <v>-</v>
      </c>
      <c r="D265" s="2" t="str">
        <f>IFERROR(INDEX(Movimientos!$E$2:$E$1994,MATCH(A265&amp;"ENTRADA",Movimientos!$R$2:$R$1994,0)),"-")</f>
        <v>-</v>
      </c>
      <c r="E265" s="2" t="str">
        <f>IFERROR(INDEX(Movimientos!$F$2:$F$1994,MATCH(A265&amp;"ENTRADA",Movimientos!$R$2:$R$1994,0)),"-")</f>
        <v>-</v>
      </c>
      <c r="F265" s="2" t="str">
        <f>IFERROR(INDEX(Movimientos!$G$2:$G$1994,MATCH(A265&amp;"ENTRADA",Movimientos!$R$2:$R$1994,0)),"-")</f>
        <v>-</v>
      </c>
      <c r="G265" s="2" t="str">
        <f>IFERROR(INDEX(Movimientos!$L$2:$L$1994,MATCH(A265&amp;"ENTRADA",Movimientos!$R$2:$R$1994,0)),"-")</f>
        <v>-</v>
      </c>
      <c r="H265" s="17" t="str">
        <f>IFERROR(IF(INDEX(Movimientos!$M$2:$M$1994,MATCH(A265&amp;"ENTRADA",Movimientos!$R$2:$R$1994,0))=0,"S/D",INDEX(Movimientos!$M$2:$M$1994,MATCH(A265&amp;"ENTRADA",Movimientos!$R$2:$R$1994,0))),"S/D")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2541</v>
      </c>
      <c r="B266" s="2" t="str">
        <f>IFERROR(INDEX(Movimientos!$C$2:$C$1994,MATCH(A266&amp;"ENTRADA",Movimientos!$R$2:$R$1994,0)),"-")</f>
        <v>-</v>
      </c>
      <c r="C266" s="2" t="str">
        <f>IFERROR(INDEX(Movimientos!$D$2:$D$1994,MATCH(A266&amp;"ENTRADA",Movimientos!$R$2:$R$1994,0)),"-")</f>
        <v>-</v>
      </c>
      <c r="D266" s="2" t="str">
        <f>IFERROR(INDEX(Movimientos!$E$2:$E$1994,MATCH(A266&amp;"ENTRADA",Movimientos!$R$2:$R$1994,0)),"-")</f>
        <v>-</v>
      </c>
      <c r="E266" s="2" t="str">
        <f>IFERROR(INDEX(Movimientos!$F$2:$F$1994,MATCH(A266&amp;"ENTRADA",Movimientos!$R$2:$R$1994,0)),"-")</f>
        <v>-</v>
      </c>
      <c r="F266" s="2" t="str">
        <f>IFERROR(INDEX(Movimientos!$G$2:$G$1994,MATCH(A266&amp;"ENTRADA",Movimientos!$R$2:$R$1994,0)),"-")</f>
        <v>-</v>
      </c>
      <c r="G266" s="2" t="str">
        <f>IFERROR(INDEX(Movimientos!$L$2:$L$1994,MATCH(A266&amp;"ENTRADA",Movimientos!$R$2:$R$1994,0)),"-")</f>
        <v>-</v>
      </c>
      <c r="H266" s="17" t="str">
        <f>IFERROR(IF(INDEX(Movimientos!$M$2:$M$1994,MATCH(A266&amp;"ENTRADA",Movimientos!$R$2:$R$1994,0))=0,"S/D",INDEX(Movimientos!$M$2:$M$1994,MATCH(A266&amp;"ENTRADA",Movimientos!$R$2:$R$1994,0))),"S/D")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2542</v>
      </c>
      <c r="B267" s="2" t="str">
        <f>IFERROR(INDEX(Movimientos!$C$2:$C$1994,MATCH(A267&amp;"ENTRADA",Movimientos!$R$2:$R$1994,0)),"-")</f>
        <v>-</v>
      </c>
      <c r="C267" s="2" t="str">
        <f>IFERROR(INDEX(Movimientos!$D$2:$D$1994,MATCH(A267&amp;"ENTRADA",Movimientos!$R$2:$R$1994,0)),"-")</f>
        <v>-</v>
      </c>
      <c r="D267" s="2" t="str">
        <f>IFERROR(INDEX(Movimientos!$E$2:$E$1994,MATCH(A267&amp;"ENTRADA",Movimientos!$R$2:$R$1994,0)),"-")</f>
        <v>-</v>
      </c>
      <c r="E267" s="2" t="str">
        <f>IFERROR(INDEX(Movimientos!$F$2:$F$1994,MATCH(A267&amp;"ENTRADA",Movimientos!$R$2:$R$1994,0)),"-")</f>
        <v>-</v>
      </c>
      <c r="F267" s="2" t="str">
        <f>IFERROR(INDEX(Movimientos!$G$2:$G$1994,MATCH(A267&amp;"ENTRADA",Movimientos!$R$2:$R$1994,0)),"-")</f>
        <v>-</v>
      </c>
      <c r="G267" s="2" t="str">
        <f>IFERROR(INDEX(Movimientos!$L$2:$L$1994,MATCH(A267&amp;"ENTRADA",Movimientos!$R$2:$R$1994,0)),"-")</f>
        <v>-</v>
      </c>
      <c r="H267" s="17" t="str">
        <f>IFERROR(IF(INDEX(Movimientos!$M$2:$M$1994,MATCH(A267&amp;"ENTRADA",Movimientos!$R$2:$R$1994,0))=0,"S/D",INDEX(Movimientos!$M$2:$M$1994,MATCH(A267&amp;"ENTRADA",Movimientos!$R$2:$R$1994,0))),"S/D")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2543</v>
      </c>
      <c r="B268" s="2" t="str">
        <f>IFERROR(INDEX(Movimientos!$C$2:$C$1994,MATCH(A268&amp;"ENTRADA",Movimientos!$R$2:$R$1994,0)),"-")</f>
        <v>-</v>
      </c>
      <c r="C268" s="2" t="str">
        <f>IFERROR(INDEX(Movimientos!$D$2:$D$1994,MATCH(A268&amp;"ENTRADA",Movimientos!$R$2:$R$1994,0)),"-")</f>
        <v>-</v>
      </c>
      <c r="D268" s="2" t="str">
        <f>IFERROR(INDEX(Movimientos!$E$2:$E$1994,MATCH(A268&amp;"ENTRADA",Movimientos!$R$2:$R$1994,0)),"-")</f>
        <v>-</v>
      </c>
      <c r="E268" s="2" t="str">
        <f>IFERROR(INDEX(Movimientos!$F$2:$F$1994,MATCH(A268&amp;"ENTRADA",Movimientos!$R$2:$R$1994,0)),"-")</f>
        <v>-</v>
      </c>
      <c r="F268" s="2" t="str">
        <f>IFERROR(INDEX(Movimientos!$G$2:$G$1994,MATCH(A268&amp;"ENTRADA",Movimientos!$R$2:$R$1994,0)),"-")</f>
        <v>-</v>
      </c>
      <c r="G268" s="2" t="str">
        <f>IFERROR(INDEX(Movimientos!$L$2:$L$1994,MATCH(A268&amp;"ENTRADA",Movimientos!$R$2:$R$1994,0)),"-")</f>
        <v>-</v>
      </c>
      <c r="H268" s="17" t="str">
        <f>IFERROR(IF(INDEX(Movimientos!$M$2:$M$1994,MATCH(A268&amp;"ENTRADA",Movimientos!$R$2:$R$1994,0))=0,"S/D",INDEX(Movimientos!$M$2:$M$1994,MATCH(A268&amp;"ENTRADA",Movimientos!$R$2:$R$1994,0))),"S/D")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2544</v>
      </c>
      <c r="B269" s="2" t="str">
        <f>IFERROR(INDEX(Movimientos!$C$2:$C$1994,MATCH(A269&amp;"ENTRADA",Movimientos!$R$2:$R$1994,0)),"-")</f>
        <v>-</v>
      </c>
      <c r="C269" s="2" t="str">
        <f>IFERROR(INDEX(Movimientos!$D$2:$D$1994,MATCH(A269&amp;"ENTRADA",Movimientos!$R$2:$R$1994,0)),"-")</f>
        <v>-</v>
      </c>
      <c r="D269" s="2" t="str">
        <f>IFERROR(INDEX(Movimientos!$E$2:$E$1994,MATCH(A269&amp;"ENTRADA",Movimientos!$R$2:$R$1994,0)),"-")</f>
        <v>-</v>
      </c>
      <c r="E269" s="2" t="str">
        <f>IFERROR(INDEX(Movimientos!$F$2:$F$1994,MATCH(A269&amp;"ENTRADA",Movimientos!$R$2:$R$1994,0)),"-")</f>
        <v>-</v>
      </c>
      <c r="F269" s="2" t="str">
        <f>IFERROR(INDEX(Movimientos!$G$2:$G$1994,MATCH(A269&amp;"ENTRADA",Movimientos!$R$2:$R$1994,0)),"-")</f>
        <v>-</v>
      </c>
      <c r="G269" s="2" t="str">
        <f>IFERROR(INDEX(Movimientos!$L$2:$L$1994,MATCH(A269&amp;"ENTRADA",Movimientos!$R$2:$R$1994,0)),"-")</f>
        <v>-</v>
      </c>
      <c r="H269" s="17" t="str">
        <f>IFERROR(IF(INDEX(Movimientos!$M$2:$M$1994,MATCH(A269&amp;"ENTRADA",Movimientos!$R$2:$R$1994,0))=0,"S/D",INDEX(Movimientos!$M$2:$M$1994,MATCH(A269&amp;"ENTRADA",Movimientos!$R$2:$R$1994,0))),"S/D")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2545</v>
      </c>
      <c r="B270" s="2" t="str">
        <f>IFERROR(INDEX(Movimientos!$C$2:$C$1994,MATCH(A270&amp;"ENTRADA",Movimientos!$R$2:$R$1994,0)),"-")</f>
        <v>-</v>
      </c>
      <c r="C270" s="2" t="str">
        <f>IFERROR(INDEX(Movimientos!$D$2:$D$1994,MATCH(A270&amp;"ENTRADA",Movimientos!$R$2:$R$1994,0)),"-")</f>
        <v>-</v>
      </c>
      <c r="D270" s="2" t="str">
        <f>IFERROR(INDEX(Movimientos!$E$2:$E$1994,MATCH(A270&amp;"ENTRADA",Movimientos!$R$2:$R$1994,0)),"-")</f>
        <v>-</v>
      </c>
      <c r="E270" s="2" t="str">
        <f>IFERROR(INDEX(Movimientos!$F$2:$F$1994,MATCH(A270&amp;"ENTRADA",Movimientos!$R$2:$R$1994,0)),"-")</f>
        <v>-</v>
      </c>
      <c r="F270" s="2" t="str">
        <f>IFERROR(INDEX(Movimientos!$G$2:$G$1994,MATCH(A270&amp;"ENTRADA",Movimientos!$R$2:$R$1994,0)),"-")</f>
        <v>-</v>
      </c>
      <c r="G270" s="2" t="str">
        <f>IFERROR(INDEX(Movimientos!$L$2:$L$1994,MATCH(A270&amp;"ENTRADA",Movimientos!$R$2:$R$1994,0)),"-")</f>
        <v>-</v>
      </c>
      <c r="H270" s="17" t="str">
        <f>IFERROR(IF(INDEX(Movimientos!$M$2:$M$1994,MATCH(A270&amp;"ENTRADA",Movimientos!$R$2:$R$1994,0))=0,"S/D",INDEX(Movimientos!$M$2:$M$1994,MATCH(A270&amp;"ENTRADA",Movimientos!$R$2:$R$1994,0))),"S/D")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2546</v>
      </c>
      <c r="B271" s="2" t="str">
        <f>IFERROR(INDEX(Movimientos!$C$2:$C$1994,MATCH(A271&amp;"ENTRADA",Movimientos!$R$2:$R$1994,0)),"-")</f>
        <v>-</v>
      </c>
      <c r="C271" s="2" t="str">
        <f>IFERROR(INDEX(Movimientos!$D$2:$D$1994,MATCH(A271&amp;"ENTRADA",Movimientos!$R$2:$R$1994,0)),"-")</f>
        <v>-</v>
      </c>
      <c r="D271" s="2" t="str">
        <f>IFERROR(INDEX(Movimientos!$E$2:$E$1994,MATCH(A271&amp;"ENTRADA",Movimientos!$R$2:$R$1994,0)),"-")</f>
        <v>-</v>
      </c>
      <c r="E271" s="2" t="str">
        <f>IFERROR(INDEX(Movimientos!$F$2:$F$1994,MATCH(A271&amp;"ENTRADA",Movimientos!$R$2:$R$1994,0)),"-")</f>
        <v>-</v>
      </c>
      <c r="F271" s="2" t="str">
        <f>IFERROR(INDEX(Movimientos!$G$2:$G$1994,MATCH(A271&amp;"ENTRADA",Movimientos!$R$2:$R$1994,0)),"-")</f>
        <v>-</v>
      </c>
      <c r="G271" s="2" t="str">
        <f>IFERROR(INDEX(Movimientos!$L$2:$L$1994,MATCH(A271&amp;"ENTRADA",Movimientos!$R$2:$R$1994,0)),"-")</f>
        <v>-</v>
      </c>
      <c r="H271" s="17" t="str">
        <f>IFERROR(IF(INDEX(Movimientos!$M$2:$M$1994,MATCH(A271&amp;"ENTRADA",Movimientos!$R$2:$R$1994,0))=0,"S/D",INDEX(Movimientos!$M$2:$M$1994,MATCH(A271&amp;"ENTRADA",Movimientos!$R$2:$R$1994,0))),"S/D")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2547</v>
      </c>
      <c r="B272" s="2" t="str">
        <f>IFERROR(INDEX(Movimientos!$C$2:$C$1994,MATCH(A272&amp;"ENTRADA",Movimientos!$R$2:$R$1994,0)),"-")</f>
        <v>-</v>
      </c>
      <c r="C272" s="2" t="str">
        <f>IFERROR(INDEX(Movimientos!$D$2:$D$1994,MATCH(A272&amp;"ENTRADA",Movimientos!$R$2:$R$1994,0)),"-")</f>
        <v>-</v>
      </c>
      <c r="D272" s="2" t="str">
        <f>IFERROR(INDEX(Movimientos!$E$2:$E$1994,MATCH(A272&amp;"ENTRADA",Movimientos!$R$2:$R$1994,0)),"-")</f>
        <v>-</v>
      </c>
      <c r="E272" s="2" t="str">
        <f>IFERROR(INDEX(Movimientos!$F$2:$F$1994,MATCH(A272&amp;"ENTRADA",Movimientos!$R$2:$R$1994,0)),"-")</f>
        <v>-</v>
      </c>
      <c r="F272" s="2" t="str">
        <f>IFERROR(INDEX(Movimientos!$G$2:$G$1994,MATCH(A272&amp;"ENTRADA",Movimientos!$R$2:$R$1994,0)),"-")</f>
        <v>-</v>
      </c>
      <c r="G272" s="2" t="str">
        <f>IFERROR(INDEX(Movimientos!$L$2:$L$1994,MATCH(A272&amp;"ENTRADA",Movimientos!$R$2:$R$1994,0)),"-")</f>
        <v>-</v>
      </c>
      <c r="H272" s="17" t="str">
        <f>IFERROR(IF(INDEX(Movimientos!$M$2:$M$1994,MATCH(A272&amp;"ENTRADA",Movimientos!$R$2:$R$1994,0))=0,"S/D",INDEX(Movimientos!$M$2:$M$1994,MATCH(A272&amp;"ENTRADA",Movimientos!$R$2:$R$1994,0))),"S/D")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2548</v>
      </c>
      <c r="B273" s="2" t="str">
        <f>IFERROR(INDEX(Movimientos!$C$2:$C$1994,MATCH(A273&amp;"ENTRADA",Movimientos!$R$2:$R$1994,0)),"-")</f>
        <v>-</v>
      </c>
      <c r="C273" s="2" t="str">
        <f>IFERROR(INDEX(Movimientos!$D$2:$D$1994,MATCH(A273&amp;"ENTRADA",Movimientos!$R$2:$R$1994,0)),"-")</f>
        <v>-</v>
      </c>
      <c r="D273" s="2" t="str">
        <f>IFERROR(INDEX(Movimientos!$E$2:$E$1994,MATCH(A273&amp;"ENTRADA",Movimientos!$R$2:$R$1994,0)),"-")</f>
        <v>-</v>
      </c>
      <c r="E273" s="2" t="str">
        <f>IFERROR(INDEX(Movimientos!$F$2:$F$1994,MATCH(A273&amp;"ENTRADA",Movimientos!$R$2:$R$1994,0)),"-")</f>
        <v>-</v>
      </c>
      <c r="F273" s="2" t="str">
        <f>IFERROR(INDEX(Movimientos!$G$2:$G$1994,MATCH(A273&amp;"ENTRADA",Movimientos!$R$2:$R$1994,0)),"-")</f>
        <v>-</v>
      </c>
      <c r="G273" s="2" t="str">
        <f>IFERROR(INDEX(Movimientos!$L$2:$L$1994,MATCH(A273&amp;"ENTRADA",Movimientos!$R$2:$R$1994,0)),"-")</f>
        <v>-</v>
      </c>
      <c r="H273" s="17" t="str">
        <f>IFERROR(IF(INDEX(Movimientos!$M$2:$M$1994,MATCH(A273&amp;"ENTRADA",Movimientos!$R$2:$R$1994,0))=0,"S/D",INDEX(Movimientos!$M$2:$M$1994,MATCH(A273&amp;"ENTRADA",Movimientos!$R$2:$R$1994,0))),"S/D")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2549</v>
      </c>
      <c r="B274" s="2" t="str">
        <f>IFERROR(INDEX(Movimientos!$C$2:$C$1994,MATCH(A274&amp;"ENTRADA",Movimientos!$R$2:$R$1994,0)),"-")</f>
        <v>-</v>
      </c>
      <c r="C274" s="2" t="str">
        <f>IFERROR(INDEX(Movimientos!$D$2:$D$1994,MATCH(A274&amp;"ENTRADA",Movimientos!$R$2:$R$1994,0)),"-")</f>
        <v>-</v>
      </c>
      <c r="D274" s="2" t="str">
        <f>IFERROR(INDEX(Movimientos!$E$2:$E$1994,MATCH(A274&amp;"ENTRADA",Movimientos!$R$2:$R$1994,0)),"-")</f>
        <v>-</v>
      </c>
      <c r="E274" s="2" t="str">
        <f>IFERROR(INDEX(Movimientos!$F$2:$F$1994,MATCH(A274&amp;"ENTRADA",Movimientos!$R$2:$R$1994,0)),"-")</f>
        <v>-</v>
      </c>
      <c r="F274" s="2" t="str">
        <f>IFERROR(INDEX(Movimientos!$G$2:$G$1994,MATCH(A274&amp;"ENTRADA",Movimientos!$R$2:$R$1994,0)),"-")</f>
        <v>-</v>
      </c>
      <c r="G274" s="2" t="str">
        <f>IFERROR(INDEX(Movimientos!$L$2:$L$1994,MATCH(A274&amp;"ENTRADA",Movimientos!$R$2:$R$1994,0)),"-")</f>
        <v>-</v>
      </c>
      <c r="H274" s="17" t="str">
        <f>IFERROR(IF(INDEX(Movimientos!$M$2:$M$1994,MATCH(A274&amp;"ENTRADA",Movimientos!$R$2:$R$1994,0))=0,"S/D",INDEX(Movimientos!$M$2:$M$1994,MATCH(A274&amp;"ENTRADA",Movimientos!$R$2:$R$1994,0))),"S/D")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2550</v>
      </c>
      <c r="B275" s="2" t="str">
        <f>IFERROR(INDEX(Movimientos!$C$2:$C$1994,MATCH(A275&amp;"ENTRADA",Movimientos!$R$2:$R$1994,0)),"-")</f>
        <v>-</v>
      </c>
      <c r="C275" s="2" t="str">
        <f>IFERROR(INDEX(Movimientos!$D$2:$D$1994,MATCH(A275&amp;"ENTRADA",Movimientos!$R$2:$R$1994,0)),"-")</f>
        <v>-</v>
      </c>
      <c r="D275" s="2" t="str">
        <f>IFERROR(INDEX(Movimientos!$E$2:$E$1994,MATCH(A275&amp;"ENTRADA",Movimientos!$R$2:$R$1994,0)),"-")</f>
        <v>-</v>
      </c>
      <c r="E275" s="2" t="str">
        <f>IFERROR(INDEX(Movimientos!$F$2:$F$1994,MATCH(A275&amp;"ENTRADA",Movimientos!$R$2:$R$1994,0)),"-")</f>
        <v>-</v>
      </c>
      <c r="F275" s="2" t="str">
        <f>IFERROR(INDEX(Movimientos!$G$2:$G$1994,MATCH(A275&amp;"ENTRADA",Movimientos!$R$2:$R$1994,0)),"-")</f>
        <v>-</v>
      </c>
      <c r="G275" s="2" t="str">
        <f>IFERROR(INDEX(Movimientos!$L$2:$L$1994,MATCH(A275&amp;"ENTRADA",Movimientos!$R$2:$R$1994,0)),"-")</f>
        <v>-</v>
      </c>
      <c r="H275" s="17" t="str">
        <f>IFERROR(IF(INDEX(Movimientos!$M$2:$M$1994,MATCH(A275&amp;"ENTRADA",Movimientos!$R$2:$R$1994,0))=0,"S/D",INDEX(Movimientos!$M$2:$M$1994,MATCH(A275&amp;"ENTRADA",Movimientos!$R$2:$R$1994,0))),"S/D")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2551</v>
      </c>
      <c r="B276" s="2" t="str">
        <f>IFERROR(INDEX(Movimientos!$C$2:$C$1994,MATCH(A276&amp;"ENTRADA",Movimientos!$R$2:$R$1994,0)),"-")</f>
        <v>-</v>
      </c>
      <c r="C276" s="2" t="str">
        <f>IFERROR(INDEX(Movimientos!$D$2:$D$1994,MATCH(A276&amp;"ENTRADA",Movimientos!$R$2:$R$1994,0)),"-")</f>
        <v>-</v>
      </c>
      <c r="D276" s="2" t="str">
        <f>IFERROR(INDEX(Movimientos!$E$2:$E$1994,MATCH(A276&amp;"ENTRADA",Movimientos!$R$2:$R$1994,0)),"-")</f>
        <v>-</v>
      </c>
      <c r="E276" s="2" t="str">
        <f>IFERROR(INDEX(Movimientos!$F$2:$F$1994,MATCH(A276&amp;"ENTRADA",Movimientos!$R$2:$R$1994,0)),"-")</f>
        <v>-</v>
      </c>
      <c r="F276" s="2" t="str">
        <f>IFERROR(INDEX(Movimientos!$G$2:$G$1994,MATCH(A276&amp;"ENTRADA",Movimientos!$R$2:$R$1994,0)),"-")</f>
        <v>-</v>
      </c>
      <c r="G276" s="2" t="str">
        <f>IFERROR(INDEX(Movimientos!$L$2:$L$1994,MATCH(A276&amp;"ENTRADA",Movimientos!$R$2:$R$1994,0)),"-")</f>
        <v>-</v>
      </c>
      <c r="H276" s="17" t="str">
        <f>IFERROR(IF(INDEX(Movimientos!$M$2:$M$1994,MATCH(A276&amp;"ENTRADA",Movimientos!$R$2:$R$1994,0))=0,"S/D",INDEX(Movimientos!$M$2:$M$1994,MATCH(A276&amp;"ENTRADA",Movimientos!$R$2:$R$1994,0))),"S/D")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2552</v>
      </c>
      <c r="B277" s="2" t="str">
        <f>IFERROR(INDEX(Movimientos!$C$2:$C$1994,MATCH(A277&amp;"ENTRADA",Movimientos!$R$2:$R$1994,0)),"-")</f>
        <v>-</v>
      </c>
      <c r="C277" s="2" t="str">
        <f>IFERROR(INDEX(Movimientos!$D$2:$D$1994,MATCH(A277&amp;"ENTRADA",Movimientos!$R$2:$R$1994,0)),"-")</f>
        <v>-</v>
      </c>
      <c r="D277" s="2" t="str">
        <f>IFERROR(INDEX(Movimientos!$E$2:$E$1994,MATCH(A277&amp;"ENTRADA",Movimientos!$R$2:$R$1994,0)),"-")</f>
        <v>-</v>
      </c>
      <c r="E277" s="2" t="str">
        <f>IFERROR(INDEX(Movimientos!$F$2:$F$1994,MATCH(A277&amp;"ENTRADA",Movimientos!$R$2:$R$1994,0)),"-")</f>
        <v>-</v>
      </c>
      <c r="F277" s="2" t="str">
        <f>IFERROR(INDEX(Movimientos!$G$2:$G$1994,MATCH(A277&amp;"ENTRADA",Movimientos!$R$2:$R$1994,0)),"-")</f>
        <v>-</v>
      </c>
      <c r="G277" s="2" t="str">
        <f>IFERROR(INDEX(Movimientos!$L$2:$L$1994,MATCH(A277&amp;"ENTRADA",Movimientos!$R$2:$R$1994,0)),"-")</f>
        <v>-</v>
      </c>
      <c r="H277" s="17" t="str">
        <f>IFERROR(IF(INDEX(Movimientos!$M$2:$M$1994,MATCH(A277&amp;"ENTRADA",Movimientos!$R$2:$R$1994,0))=0,"S/D",INDEX(Movimientos!$M$2:$M$1994,MATCH(A277&amp;"ENTRADA",Movimientos!$R$2:$R$1994,0))),"S/D")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2553</v>
      </c>
      <c r="B278" s="2" t="str">
        <f>IFERROR(INDEX(Movimientos!$C$2:$C$1994,MATCH(A278&amp;"ENTRADA",Movimientos!$R$2:$R$1994,0)),"-")</f>
        <v>-</v>
      </c>
      <c r="C278" s="2" t="str">
        <f>IFERROR(INDEX(Movimientos!$D$2:$D$1994,MATCH(A278&amp;"ENTRADA",Movimientos!$R$2:$R$1994,0)),"-")</f>
        <v>-</v>
      </c>
      <c r="D278" s="2" t="str">
        <f>IFERROR(INDEX(Movimientos!$E$2:$E$1994,MATCH(A278&amp;"ENTRADA",Movimientos!$R$2:$R$1994,0)),"-")</f>
        <v>-</v>
      </c>
      <c r="E278" s="2" t="str">
        <f>IFERROR(INDEX(Movimientos!$F$2:$F$1994,MATCH(A278&amp;"ENTRADA",Movimientos!$R$2:$R$1994,0)),"-")</f>
        <v>-</v>
      </c>
      <c r="F278" s="2" t="str">
        <f>IFERROR(INDEX(Movimientos!$G$2:$G$1994,MATCH(A278&amp;"ENTRADA",Movimientos!$R$2:$R$1994,0)),"-")</f>
        <v>-</v>
      </c>
      <c r="G278" s="2" t="str">
        <f>IFERROR(INDEX(Movimientos!$L$2:$L$1994,MATCH(A278&amp;"ENTRADA",Movimientos!$R$2:$R$1994,0)),"-")</f>
        <v>-</v>
      </c>
      <c r="H278" s="17" t="str">
        <f>IFERROR(IF(INDEX(Movimientos!$M$2:$M$1994,MATCH(A278&amp;"ENTRADA",Movimientos!$R$2:$R$1994,0))=0,"S/D",INDEX(Movimientos!$M$2:$M$1994,MATCH(A278&amp;"ENTRADA",Movimientos!$R$2:$R$1994,0))),"S/D")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2554</v>
      </c>
      <c r="B279" s="2" t="str">
        <f>IFERROR(INDEX(Movimientos!$C$2:$C$1994,MATCH(A279&amp;"ENTRADA",Movimientos!$R$2:$R$1994,0)),"-")</f>
        <v>-</v>
      </c>
      <c r="C279" s="2" t="str">
        <f>IFERROR(INDEX(Movimientos!$D$2:$D$1994,MATCH(A279&amp;"ENTRADA",Movimientos!$R$2:$R$1994,0)),"-")</f>
        <v>-</v>
      </c>
      <c r="D279" s="2" t="str">
        <f>IFERROR(INDEX(Movimientos!$E$2:$E$1994,MATCH(A279&amp;"ENTRADA",Movimientos!$R$2:$R$1994,0)),"-")</f>
        <v>-</v>
      </c>
      <c r="E279" s="2" t="str">
        <f>IFERROR(INDEX(Movimientos!$F$2:$F$1994,MATCH(A279&amp;"ENTRADA",Movimientos!$R$2:$R$1994,0)),"-")</f>
        <v>-</v>
      </c>
      <c r="F279" s="2" t="str">
        <f>IFERROR(INDEX(Movimientos!$G$2:$G$1994,MATCH(A279&amp;"ENTRADA",Movimientos!$R$2:$R$1994,0)),"-")</f>
        <v>-</v>
      </c>
      <c r="G279" s="2" t="str">
        <f>IFERROR(INDEX(Movimientos!$L$2:$L$1994,MATCH(A279&amp;"ENTRADA",Movimientos!$R$2:$R$1994,0)),"-")</f>
        <v>-</v>
      </c>
      <c r="H279" s="17" t="str">
        <f>IFERROR(IF(INDEX(Movimientos!$M$2:$M$1994,MATCH(A279&amp;"ENTRADA",Movimientos!$R$2:$R$1994,0))=0,"S/D",INDEX(Movimientos!$M$2:$M$1994,MATCH(A279&amp;"ENTRADA",Movimientos!$R$2:$R$1994,0))),"S/D")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2555</v>
      </c>
      <c r="B280" s="2" t="str">
        <f>IFERROR(INDEX(Movimientos!$C$2:$C$1994,MATCH(A280&amp;"ENTRADA",Movimientos!$R$2:$R$1994,0)),"-")</f>
        <v>-</v>
      </c>
      <c r="C280" s="2" t="str">
        <f>IFERROR(INDEX(Movimientos!$D$2:$D$1994,MATCH(A280&amp;"ENTRADA",Movimientos!$R$2:$R$1994,0)),"-")</f>
        <v>-</v>
      </c>
      <c r="D280" s="2" t="str">
        <f>IFERROR(INDEX(Movimientos!$E$2:$E$1994,MATCH(A280&amp;"ENTRADA",Movimientos!$R$2:$R$1994,0)),"-")</f>
        <v>-</v>
      </c>
      <c r="E280" s="2" t="str">
        <f>IFERROR(INDEX(Movimientos!$F$2:$F$1994,MATCH(A280&amp;"ENTRADA",Movimientos!$R$2:$R$1994,0)),"-")</f>
        <v>-</v>
      </c>
      <c r="F280" s="2" t="str">
        <f>IFERROR(INDEX(Movimientos!$G$2:$G$1994,MATCH(A280&amp;"ENTRADA",Movimientos!$R$2:$R$1994,0)),"-")</f>
        <v>-</v>
      </c>
      <c r="G280" s="2" t="str">
        <f>IFERROR(INDEX(Movimientos!$L$2:$L$1994,MATCH(A280&amp;"ENTRADA",Movimientos!$R$2:$R$1994,0)),"-")</f>
        <v>-</v>
      </c>
      <c r="H280" s="17" t="str">
        <f>IFERROR(IF(INDEX(Movimientos!$M$2:$M$1994,MATCH(A280&amp;"ENTRADA",Movimientos!$R$2:$R$1994,0))=0,"S/D",INDEX(Movimientos!$M$2:$M$1994,MATCH(A280&amp;"ENTRADA",Movimientos!$R$2:$R$1994,0))),"S/D")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2556</v>
      </c>
      <c r="B281" s="2" t="str">
        <f>IFERROR(INDEX(Movimientos!$C$2:$C$1994,MATCH(A281&amp;"ENTRADA",Movimientos!$R$2:$R$1994,0)),"-")</f>
        <v>-</v>
      </c>
      <c r="C281" s="2" t="str">
        <f>IFERROR(INDEX(Movimientos!$D$2:$D$1994,MATCH(A281&amp;"ENTRADA",Movimientos!$R$2:$R$1994,0)),"-")</f>
        <v>-</v>
      </c>
      <c r="D281" s="2" t="str">
        <f>IFERROR(INDEX(Movimientos!$E$2:$E$1994,MATCH(A281&amp;"ENTRADA",Movimientos!$R$2:$R$1994,0)),"-")</f>
        <v>-</v>
      </c>
      <c r="E281" s="2" t="str">
        <f>IFERROR(INDEX(Movimientos!$F$2:$F$1994,MATCH(A281&amp;"ENTRADA",Movimientos!$R$2:$R$1994,0)),"-")</f>
        <v>-</v>
      </c>
      <c r="F281" s="2" t="str">
        <f>IFERROR(INDEX(Movimientos!$G$2:$G$1994,MATCH(A281&amp;"ENTRADA",Movimientos!$R$2:$R$1994,0)),"-")</f>
        <v>-</v>
      </c>
      <c r="G281" s="2" t="str">
        <f>IFERROR(INDEX(Movimientos!$L$2:$L$1994,MATCH(A281&amp;"ENTRADA",Movimientos!$R$2:$R$1994,0)),"-")</f>
        <v>-</v>
      </c>
      <c r="H281" s="17" t="str">
        <f>IFERROR(IF(INDEX(Movimientos!$M$2:$M$1994,MATCH(A281&amp;"ENTRADA",Movimientos!$R$2:$R$1994,0))=0,"S/D",INDEX(Movimientos!$M$2:$M$1994,MATCH(A281&amp;"ENTRADA",Movimientos!$R$2:$R$1994,0))),"S/D")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2557</v>
      </c>
      <c r="B282" s="2" t="str">
        <f>IFERROR(INDEX(Movimientos!$C$2:$C$1994,MATCH(A282&amp;"ENTRADA",Movimientos!$R$2:$R$1994,0)),"-")</f>
        <v>-</v>
      </c>
      <c r="C282" s="2" t="str">
        <f>IFERROR(INDEX(Movimientos!$D$2:$D$1994,MATCH(A282&amp;"ENTRADA",Movimientos!$R$2:$R$1994,0)),"-")</f>
        <v>-</v>
      </c>
      <c r="D282" s="2" t="str">
        <f>IFERROR(INDEX(Movimientos!$E$2:$E$1994,MATCH(A282&amp;"ENTRADA",Movimientos!$R$2:$R$1994,0)),"-")</f>
        <v>-</v>
      </c>
      <c r="E282" s="2" t="str">
        <f>IFERROR(INDEX(Movimientos!$F$2:$F$1994,MATCH(A282&amp;"ENTRADA",Movimientos!$R$2:$R$1994,0)),"-")</f>
        <v>-</v>
      </c>
      <c r="F282" s="2" t="str">
        <f>IFERROR(INDEX(Movimientos!$G$2:$G$1994,MATCH(A282&amp;"ENTRADA",Movimientos!$R$2:$R$1994,0)),"-")</f>
        <v>-</v>
      </c>
      <c r="G282" s="2" t="str">
        <f>IFERROR(INDEX(Movimientos!$L$2:$L$1994,MATCH(A282&amp;"ENTRADA",Movimientos!$R$2:$R$1994,0)),"-")</f>
        <v>-</v>
      </c>
      <c r="H282" s="17" t="str">
        <f>IFERROR(IF(INDEX(Movimientos!$M$2:$M$1994,MATCH(A282&amp;"ENTRADA",Movimientos!$R$2:$R$1994,0))=0,"S/D",INDEX(Movimientos!$M$2:$M$1994,MATCH(A282&amp;"ENTRADA",Movimientos!$R$2:$R$1994,0))),"S/D")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2558</v>
      </c>
      <c r="B283" s="2" t="str">
        <f>IFERROR(INDEX(Movimientos!$C$2:$C$1994,MATCH(A283&amp;"ENTRADA",Movimientos!$R$2:$R$1994,0)),"-")</f>
        <v>-</v>
      </c>
      <c r="C283" s="2" t="str">
        <f>IFERROR(INDEX(Movimientos!$D$2:$D$1994,MATCH(A283&amp;"ENTRADA",Movimientos!$R$2:$R$1994,0)),"-")</f>
        <v>-</v>
      </c>
      <c r="D283" s="2" t="str">
        <f>IFERROR(INDEX(Movimientos!$E$2:$E$1994,MATCH(A283&amp;"ENTRADA",Movimientos!$R$2:$R$1994,0)),"-")</f>
        <v>-</v>
      </c>
      <c r="E283" s="2" t="str">
        <f>IFERROR(INDEX(Movimientos!$F$2:$F$1994,MATCH(A283&amp;"ENTRADA",Movimientos!$R$2:$R$1994,0)),"-")</f>
        <v>-</v>
      </c>
      <c r="F283" s="2" t="str">
        <f>IFERROR(INDEX(Movimientos!$G$2:$G$1994,MATCH(A283&amp;"ENTRADA",Movimientos!$R$2:$R$1994,0)),"-")</f>
        <v>-</v>
      </c>
      <c r="G283" s="2" t="str">
        <f>IFERROR(INDEX(Movimientos!$L$2:$L$1994,MATCH(A283&amp;"ENTRADA",Movimientos!$R$2:$R$1994,0)),"-")</f>
        <v>-</v>
      </c>
      <c r="H283" s="17" t="str">
        <f>IFERROR(IF(INDEX(Movimientos!$M$2:$M$1994,MATCH(A283&amp;"ENTRADA",Movimientos!$R$2:$R$1994,0))=0,"S/D",INDEX(Movimientos!$M$2:$M$1994,MATCH(A283&amp;"ENTRADA",Movimientos!$R$2:$R$1994,0))),"S/D")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2559</v>
      </c>
      <c r="B284" s="2" t="str">
        <f>IFERROR(INDEX(Movimientos!$C$2:$C$1994,MATCH(A284&amp;"ENTRADA",Movimientos!$R$2:$R$1994,0)),"-")</f>
        <v>-</v>
      </c>
      <c r="C284" s="2" t="str">
        <f>IFERROR(INDEX(Movimientos!$D$2:$D$1994,MATCH(A284&amp;"ENTRADA",Movimientos!$R$2:$R$1994,0)),"-")</f>
        <v>-</v>
      </c>
      <c r="D284" s="2" t="str">
        <f>IFERROR(INDEX(Movimientos!$E$2:$E$1994,MATCH(A284&amp;"ENTRADA",Movimientos!$R$2:$R$1994,0)),"-")</f>
        <v>-</v>
      </c>
      <c r="E284" s="2" t="str">
        <f>IFERROR(INDEX(Movimientos!$F$2:$F$1994,MATCH(A284&amp;"ENTRADA",Movimientos!$R$2:$R$1994,0)),"-")</f>
        <v>-</v>
      </c>
      <c r="F284" s="2" t="str">
        <f>IFERROR(INDEX(Movimientos!$G$2:$G$1994,MATCH(A284&amp;"ENTRADA",Movimientos!$R$2:$R$1994,0)),"-")</f>
        <v>-</v>
      </c>
      <c r="G284" s="2" t="str">
        <f>IFERROR(INDEX(Movimientos!$L$2:$L$1994,MATCH(A284&amp;"ENTRADA",Movimientos!$R$2:$R$1994,0)),"-")</f>
        <v>-</v>
      </c>
      <c r="H284" s="17" t="str">
        <f>IFERROR(IF(INDEX(Movimientos!$M$2:$M$1994,MATCH(A284&amp;"ENTRADA",Movimientos!$R$2:$R$1994,0))=0,"S/D",INDEX(Movimientos!$M$2:$M$1994,MATCH(A284&amp;"ENTRADA",Movimientos!$R$2:$R$1994,0))),"S/D")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2560</v>
      </c>
      <c r="B285" s="2" t="str">
        <f>IFERROR(INDEX(Movimientos!$C$2:$C$1994,MATCH(A285&amp;"ENTRADA",Movimientos!$R$2:$R$1994,0)),"-")</f>
        <v>-</v>
      </c>
      <c r="C285" s="2" t="str">
        <f>IFERROR(INDEX(Movimientos!$D$2:$D$1994,MATCH(A285&amp;"ENTRADA",Movimientos!$R$2:$R$1994,0)),"-")</f>
        <v>-</v>
      </c>
      <c r="D285" s="2" t="str">
        <f>IFERROR(INDEX(Movimientos!$E$2:$E$1994,MATCH(A285&amp;"ENTRADA",Movimientos!$R$2:$R$1994,0)),"-")</f>
        <v>-</v>
      </c>
      <c r="E285" s="2" t="str">
        <f>IFERROR(INDEX(Movimientos!$F$2:$F$1994,MATCH(A285&amp;"ENTRADA",Movimientos!$R$2:$R$1994,0)),"-")</f>
        <v>-</v>
      </c>
      <c r="F285" s="2" t="str">
        <f>IFERROR(INDEX(Movimientos!$G$2:$G$1994,MATCH(A285&amp;"ENTRADA",Movimientos!$R$2:$R$1994,0)),"-")</f>
        <v>-</v>
      </c>
      <c r="G285" s="2" t="str">
        <f>IFERROR(INDEX(Movimientos!$L$2:$L$1994,MATCH(A285&amp;"ENTRADA",Movimientos!$R$2:$R$1994,0)),"-")</f>
        <v>-</v>
      </c>
      <c r="H285" s="17" t="str">
        <f>IFERROR(IF(INDEX(Movimientos!$M$2:$M$1994,MATCH(A285&amp;"ENTRADA",Movimientos!$R$2:$R$1994,0))=0,"S/D",INDEX(Movimientos!$M$2:$M$1994,MATCH(A285&amp;"ENTRADA",Movimientos!$R$2:$R$1994,0))),"S/D")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2561</v>
      </c>
      <c r="B286" s="2" t="str">
        <f>IFERROR(INDEX(Movimientos!$C$2:$C$1994,MATCH(A286&amp;"ENTRADA",Movimientos!$R$2:$R$1994,0)),"-")</f>
        <v>-</v>
      </c>
      <c r="C286" s="2" t="str">
        <f>IFERROR(INDEX(Movimientos!$D$2:$D$1994,MATCH(A286&amp;"ENTRADA",Movimientos!$R$2:$R$1994,0)),"-")</f>
        <v>-</v>
      </c>
      <c r="D286" s="2" t="str">
        <f>IFERROR(INDEX(Movimientos!$E$2:$E$1994,MATCH(A286&amp;"ENTRADA",Movimientos!$R$2:$R$1994,0)),"-")</f>
        <v>-</v>
      </c>
      <c r="E286" s="2" t="str">
        <f>IFERROR(INDEX(Movimientos!$F$2:$F$1994,MATCH(A286&amp;"ENTRADA",Movimientos!$R$2:$R$1994,0)),"-")</f>
        <v>-</v>
      </c>
      <c r="F286" s="2" t="str">
        <f>IFERROR(INDEX(Movimientos!$G$2:$G$1994,MATCH(A286&amp;"ENTRADA",Movimientos!$R$2:$R$1994,0)),"-")</f>
        <v>-</v>
      </c>
      <c r="G286" s="2" t="str">
        <f>IFERROR(INDEX(Movimientos!$L$2:$L$1994,MATCH(A286&amp;"ENTRADA",Movimientos!$R$2:$R$1994,0)),"-")</f>
        <v>-</v>
      </c>
      <c r="H286" s="17" t="str">
        <f>IFERROR(IF(INDEX(Movimientos!$M$2:$M$1994,MATCH(A286&amp;"ENTRADA",Movimientos!$R$2:$R$1994,0))=0,"S/D",INDEX(Movimientos!$M$2:$M$1994,MATCH(A286&amp;"ENTRADA",Movimientos!$R$2:$R$1994,0))),"S/D")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2562</v>
      </c>
      <c r="B287" s="2" t="str">
        <f>IFERROR(INDEX(Movimientos!$C$2:$C$1994,MATCH(A287&amp;"ENTRADA",Movimientos!$R$2:$R$1994,0)),"-")</f>
        <v>-</v>
      </c>
      <c r="C287" s="2" t="str">
        <f>IFERROR(INDEX(Movimientos!$D$2:$D$1994,MATCH(A287&amp;"ENTRADA",Movimientos!$R$2:$R$1994,0)),"-")</f>
        <v>-</v>
      </c>
      <c r="D287" s="2" t="str">
        <f>IFERROR(INDEX(Movimientos!$E$2:$E$1994,MATCH(A287&amp;"ENTRADA",Movimientos!$R$2:$R$1994,0)),"-")</f>
        <v>-</v>
      </c>
      <c r="E287" s="2" t="str">
        <f>IFERROR(INDEX(Movimientos!$F$2:$F$1994,MATCH(A287&amp;"ENTRADA",Movimientos!$R$2:$R$1994,0)),"-")</f>
        <v>-</v>
      </c>
      <c r="F287" s="2" t="str">
        <f>IFERROR(INDEX(Movimientos!$G$2:$G$1994,MATCH(A287&amp;"ENTRADA",Movimientos!$R$2:$R$1994,0)),"-")</f>
        <v>-</v>
      </c>
      <c r="G287" s="2" t="str">
        <f>IFERROR(INDEX(Movimientos!$L$2:$L$1994,MATCH(A287&amp;"ENTRADA",Movimientos!$R$2:$R$1994,0)),"-")</f>
        <v>-</v>
      </c>
      <c r="H287" s="17" t="str">
        <f>IFERROR(IF(INDEX(Movimientos!$M$2:$M$1994,MATCH(A287&amp;"ENTRADA",Movimientos!$R$2:$R$1994,0))=0,"S/D",INDEX(Movimientos!$M$2:$M$1994,MATCH(A287&amp;"ENTRADA",Movimientos!$R$2:$R$1994,0))),"S/D")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2563</v>
      </c>
      <c r="B288" s="2" t="str">
        <f>IFERROR(INDEX(Movimientos!$C$2:$C$1994,MATCH(A288&amp;"ENTRADA",Movimientos!$R$2:$R$1994,0)),"-")</f>
        <v>-</v>
      </c>
      <c r="C288" s="2" t="str">
        <f>IFERROR(INDEX(Movimientos!$D$2:$D$1994,MATCH(A288&amp;"ENTRADA",Movimientos!$R$2:$R$1994,0)),"-")</f>
        <v>-</v>
      </c>
      <c r="D288" s="2" t="str">
        <f>IFERROR(INDEX(Movimientos!$E$2:$E$1994,MATCH(A288&amp;"ENTRADA",Movimientos!$R$2:$R$1994,0)),"-")</f>
        <v>-</v>
      </c>
      <c r="E288" s="2" t="str">
        <f>IFERROR(INDEX(Movimientos!$F$2:$F$1994,MATCH(A288&amp;"ENTRADA",Movimientos!$R$2:$R$1994,0)),"-")</f>
        <v>-</v>
      </c>
      <c r="F288" s="2" t="str">
        <f>IFERROR(INDEX(Movimientos!$G$2:$G$1994,MATCH(A288&amp;"ENTRADA",Movimientos!$R$2:$R$1994,0)),"-")</f>
        <v>-</v>
      </c>
      <c r="G288" s="2" t="str">
        <f>IFERROR(INDEX(Movimientos!$L$2:$L$1994,MATCH(A288&amp;"ENTRADA",Movimientos!$R$2:$R$1994,0)),"-")</f>
        <v>-</v>
      </c>
      <c r="H288" s="17" t="str">
        <f>IFERROR(IF(INDEX(Movimientos!$M$2:$M$1994,MATCH(A288&amp;"ENTRADA",Movimientos!$R$2:$R$1994,0))=0,"S/D",INDEX(Movimientos!$M$2:$M$1994,MATCH(A288&amp;"ENTRADA",Movimientos!$R$2:$R$1994,0))),"S/D")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2564</v>
      </c>
      <c r="B289" s="2" t="str">
        <f>IFERROR(INDEX(Movimientos!$C$2:$C$1994,MATCH(A289&amp;"ENTRADA",Movimientos!$R$2:$R$1994,0)),"-")</f>
        <v>-</v>
      </c>
      <c r="C289" s="2" t="str">
        <f>IFERROR(INDEX(Movimientos!$D$2:$D$1994,MATCH(A289&amp;"ENTRADA",Movimientos!$R$2:$R$1994,0)),"-")</f>
        <v>-</v>
      </c>
      <c r="D289" s="2" t="str">
        <f>IFERROR(INDEX(Movimientos!$E$2:$E$1994,MATCH(A289&amp;"ENTRADA",Movimientos!$R$2:$R$1994,0)),"-")</f>
        <v>-</v>
      </c>
      <c r="E289" s="2" t="str">
        <f>IFERROR(INDEX(Movimientos!$F$2:$F$1994,MATCH(A289&amp;"ENTRADA",Movimientos!$R$2:$R$1994,0)),"-")</f>
        <v>-</v>
      </c>
      <c r="F289" s="2" t="str">
        <f>IFERROR(INDEX(Movimientos!$G$2:$G$1994,MATCH(A289&amp;"ENTRADA",Movimientos!$R$2:$R$1994,0)),"-")</f>
        <v>-</v>
      </c>
      <c r="G289" s="2" t="str">
        <f>IFERROR(INDEX(Movimientos!$L$2:$L$1994,MATCH(A289&amp;"ENTRADA",Movimientos!$R$2:$R$1994,0)),"-")</f>
        <v>-</v>
      </c>
      <c r="H289" s="17" t="str">
        <f>IFERROR(IF(INDEX(Movimientos!$M$2:$M$1994,MATCH(A289&amp;"ENTRADA",Movimientos!$R$2:$R$1994,0))=0,"S/D",INDEX(Movimientos!$M$2:$M$1994,MATCH(A289&amp;"ENTRADA",Movimientos!$R$2:$R$1994,0))),"S/D")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2565</v>
      </c>
      <c r="B290" s="2" t="str">
        <f>IFERROR(INDEX(Movimientos!$C$2:$C$1994,MATCH(A290&amp;"ENTRADA",Movimientos!$R$2:$R$1994,0)),"-")</f>
        <v>-</v>
      </c>
      <c r="C290" s="2" t="str">
        <f>IFERROR(INDEX(Movimientos!$D$2:$D$1994,MATCH(A290&amp;"ENTRADA",Movimientos!$R$2:$R$1994,0)),"-")</f>
        <v>-</v>
      </c>
      <c r="D290" s="2" t="str">
        <f>IFERROR(INDEX(Movimientos!$E$2:$E$1994,MATCH(A290&amp;"ENTRADA",Movimientos!$R$2:$R$1994,0)),"-")</f>
        <v>-</v>
      </c>
      <c r="E290" s="2" t="str">
        <f>IFERROR(INDEX(Movimientos!$F$2:$F$1994,MATCH(A290&amp;"ENTRADA",Movimientos!$R$2:$R$1994,0)),"-")</f>
        <v>-</v>
      </c>
      <c r="F290" s="2" t="str">
        <f>IFERROR(INDEX(Movimientos!$G$2:$G$1994,MATCH(A290&amp;"ENTRADA",Movimientos!$R$2:$R$1994,0)),"-")</f>
        <v>-</v>
      </c>
      <c r="G290" s="2" t="str">
        <f>IFERROR(INDEX(Movimientos!$L$2:$L$1994,MATCH(A290&amp;"ENTRADA",Movimientos!$R$2:$R$1994,0)),"-")</f>
        <v>-</v>
      </c>
      <c r="H290" s="17" t="str">
        <f>IFERROR(IF(INDEX(Movimientos!$M$2:$M$1994,MATCH(A290&amp;"ENTRADA",Movimientos!$R$2:$R$1994,0))=0,"S/D",INDEX(Movimientos!$M$2:$M$1994,MATCH(A290&amp;"ENTRADA",Movimientos!$R$2:$R$1994,0))),"S/D")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2566</v>
      </c>
      <c r="B291" s="2" t="str">
        <f>IFERROR(INDEX(Movimientos!$C$2:$C$1994,MATCH(A291&amp;"ENTRADA",Movimientos!$R$2:$R$1994,0)),"-")</f>
        <v>-</v>
      </c>
      <c r="C291" s="2" t="str">
        <f>IFERROR(INDEX(Movimientos!$D$2:$D$1994,MATCH(A291&amp;"ENTRADA",Movimientos!$R$2:$R$1994,0)),"-")</f>
        <v>-</v>
      </c>
      <c r="D291" s="2" t="str">
        <f>IFERROR(INDEX(Movimientos!$E$2:$E$1994,MATCH(A291&amp;"ENTRADA",Movimientos!$R$2:$R$1994,0)),"-")</f>
        <v>-</v>
      </c>
      <c r="E291" s="2" t="str">
        <f>IFERROR(INDEX(Movimientos!$F$2:$F$1994,MATCH(A291&amp;"ENTRADA",Movimientos!$R$2:$R$1994,0)),"-")</f>
        <v>-</v>
      </c>
      <c r="F291" s="2" t="str">
        <f>IFERROR(INDEX(Movimientos!$G$2:$G$1994,MATCH(A291&amp;"ENTRADA",Movimientos!$R$2:$R$1994,0)),"-")</f>
        <v>-</v>
      </c>
      <c r="G291" s="2" t="str">
        <f>IFERROR(INDEX(Movimientos!$L$2:$L$1994,MATCH(A291&amp;"ENTRADA",Movimientos!$R$2:$R$1994,0)),"-")</f>
        <v>-</v>
      </c>
      <c r="H291" s="17" t="str">
        <f>IFERROR(IF(INDEX(Movimientos!$M$2:$M$1994,MATCH(A291&amp;"ENTRADA",Movimientos!$R$2:$R$1994,0))=0,"S/D",INDEX(Movimientos!$M$2:$M$1994,MATCH(A291&amp;"ENTRADA",Movimientos!$R$2:$R$1994,0))),"S/D")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2567</v>
      </c>
      <c r="B292" s="2" t="str">
        <f>IFERROR(INDEX(Movimientos!$C$2:$C$1994,MATCH(A292&amp;"ENTRADA",Movimientos!$R$2:$R$1994,0)),"-")</f>
        <v>-</v>
      </c>
      <c r="C292" s="2" t="str">
        <f>IFERROR(INDEX(Movimientos!$D$2:$D$1994,MATCH(A292&amp;"ENTRADA",Movimientos!$R$2:$R$1994,0)),"-")</f>
        <v>-</v>
      </c>
      <c r="D292" s="2" t="str">
        <f>IFERROR(INDEX(Movimientos!$E$2:$E$1994,MATCH(A292&amp;"ENTRADA",Movimientos!$R$2:$R$1994,0)),"-")</f>
        <v>-</v>
      </c>
      <c r="E292" s="2" t="str">
        <f>IFERROR(INDEX(Movimientos!$F$2:$F$1994,MATCH(A292&amp;"ENTRADA",Movimientos!$R$2:$R$1994,0)),"-")</f>
        <v>-</v>
      </c>
      <c r="F292" s="2" t="str">
        <f>IFERROR(INDEX(Movimientos!$G$2:$G$1994,MATCH(A292&amp;"ENTRADA",Movimientos!$R$2:$R$1994,0)),"-")</f>
        <v>-</v>
      </c>
      <c r="G292" s="2" t="str">
        <f>IFERROR(INDEX(Movimientos!$L$2:$L$1994,MATCH(A292&amp;"ENTRADA",Movimientos!$R$2:$R$1994,0)),"-")</f>
        <v>-</v>
      </c>
      <c r="H292" s="17" t="str">
        <f>IFERROR(IF(INDEX(Movimientos!$M$2:$M$1994,MATCH(A292&amp;"ENTRADA",Movimientos!$R$2:$R$1994,0))=0,"S/D",INDEX(Movimientos!$M$2:$M$1994,MATCH(A292&amp;"ENTRADA",Movimientos!$R$2:$R$1994,0))),"S/D")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2568</v>
      </c>
      <c r="B293" s="2" t="str">
        <f>IFERROR(INDEX(Movimientos!$C$2:$C$1994,MATCH(A293&amp;"ENTRADA",Movimientos!$R$2:$R$1994,0)),"-")</f>
        <v>-</v>
      </c>
      <c r="C293" s="2" t="str">
        <f>IFERROR(INDEX(Movimientos!$D$2:$D$1994,MATCH(A293&amp;"ENTRADA",Movimientos!$R$2:$R$1994,0)),"-")</f>
        <v>-</v>
      </c>
      <c r="D293" s="2" t="str">
        <f>IFERROR(INDEX(Movimientos!$E$2:$E$1994,MATCH(A293&amp;"ENTRADA",Movimientos!$R$2:$R$1994,0)),"-")</f>
        <v>-</v>
      </c>
      <c r="E293" s="2" t="str">
        <f>IFERROR(INDEX(Movimientos!$F$2:$F$1994,MATCH(A293&amp;"ENTRADA",Movimientos!$R$2:$R$1994,0)),"-")</f>
        <v>-</v>
      </c>
      <c r="F293" s="2" t="str">
        <f>IFERROR(INDEX(Movimientos!$G$2:$G$1994,MATCH(A293&amp;"ENTRADA",Movimientos!$R$2:$R$1994,0)),"-")</f>
        <v>-</v>
      </c>
      <c r="G293" s="2" t="str">
        <f>IFERROR(INDEX(Movimientos!$L$2:$L$1994,MATCH(A293&amp;"ENTRADA",Movimientos!$R$2:$R$1994,0)),"-")</f>
        <v>-</v>
      </c>
      <c r="H293" s="17" t="str">
        <f>IFERROR(IF(INDEX(Movimientos!$M$2:$M$1994,MATCH(A293&amp;"ENTRADA",Movimientos!$R$2:$R$1994,0))=0,"S/D",INDEX(Movimientos!$M$2:$M$1994,MATCH(A293&amp;"ENTRADA",Movimientos!$R$2:$R$1994,0))),"S/D")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2569</v>
      </c>
      <c r="B294" s="2" t="str">
        <f>IFERROR(INDEX(Movimientos!$C$2:$C$1994,MATCH(A294&amp;"ENTRADA",Movimientos!$R$2:$R$1994,0)),"-")</f>
        <v>-</v>
      </c>
      <c r="C294" s="2" t="str">
        <f>IFERROR(INDEX(Movimientos!$D$2:$D$1994,MATCH(A294&amp;"ENTRADA",Movimientos!$R$2:$R$1994,0)),"-")</f>
        <v>-</v>
      </c>
      <c r="D294" s="2" t="str">
        <f>IFERROR(INDEX(Movimientos!$E$2:$E$1994,MATCH(A294&amp;"ENTRADA",Movimientos!$R$2:$R$1994,0)),"-")</f>
        <v>-</v>
      </c>
      <c r="E294" s="2" t="str">
        <f>IFERROR(INDEX(Movimientos!$F$2:$F$1994,MATCH(A294&amp;"ENTRADA",Movimientos!$R$2:$R$1994,0)),"-")</f>
        <v>-</v>
      </c>
      <c r="F294" s="2" t="str">
        <f>IFERROR(INDEX(Movimientos!$G$2:$G$1994,MATCH(A294&amp;"ENTRADA",Movimientos!$R$2:$R$1994,0)),"-")</f>
        <v>-</v>
      </c>
      <c r="G294" s="2" t="str">
        <f>IFERROR(INDEX(Movimientos!$L$2:$L$1994,MATCH(A294&amp;"ENTRADA",Movimientos!$R$2:$R$1994,0)),"-")</f>
        <v>-</v>
      </c>
      <c r="H294" s="17" t="str">
        <f>IFERROR(IF(INDEX(Movimientos!$M$2:$M$1994,MATCH(A294&amp;"ENTRADA",Movimientos!$R$2:$R$1994,0))=0,"S/D",INDEX(Movimientos!$M$2:$M$1994,MATCH(A294&amp;"ENTRADA",Movimientos!$R$2:$R$1994,0))),"S/D")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2570</v>
      </c>
      <c r="B295" s="2" t="str">
        <f>IFERROR(INDEX(Movimientos!$C$2:$C$1994,MATCH(A295&amp;"ENTRADA",Movimientos!$R$2:$R$1994,0)),"-")</f>
        <v>-</v>
      </c>
      <c r="C295" s="2" t="str">
        <f>IFERROR(INDEX(Movimientos!$D$2:$D$1994,MATCH(A295&amp;"ENTRADA",Movimientos!$R$2:$R$1994,0)),"-")</f>
        <v>-</v>
      </c>
      <c r="D295" s="2" t="str">
        <f>IFERROR(INDEX(Movimientos!$E$2:$E$1994,MATCH(A295&amp;"ENTRADA",Movimientos!$R$2:$R$1994,0)),"-")</f>
        <v>-</v>
      </c>
      <c r="E295" s="2" t="str">
        <f>IFERROR(INDEX(Movimientos!$F$2:$F$1994,MATCH(A295&amp;"ENTRADA",Movimientos!$R$2:$R$1994,0)),"-")</f>
        <v>-</v>
      </c>
      <c r="F295" s="2" t="str">
        <f>IFERROR(INDEX(Movimientos!$G$2:$G$1994,MATCH(A295&amp;"ENTRADA",Movimientos!$R$2:$R$1994,0)),"-")</f>
        <v>-</v>
      </c>
      <c r="G295" s="2" t="str">
        <f>IFERROR(INDEX(Movimientos!$L$2:$L$1994,MATCH(A295&amp;"ENTRADA",Movimientos!$R$2:$R$1994,0)),"-")</f>
        <v>-</v>
      </c>
      <c r="H295" s="17" t="str">
        <f>IFERROR(IF(INDEX(Movimientos!$M$2:$M$1994,MATCH(A295&amp;"ENTRADA",Movimientos!$R$2:$R$1994,0))=0,"S/D",INDEX(Movimientos!$M$2:$M$1994,MATCH(A295&amp;"ENTRADA",Movimientos!$R$2:$R$1994,0))),"S/D")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2571</v>
      </c>
      <c r="B296" s="2" t="str">
        <f>IFERROR(INDEX(Movimientos!$C$2:$C$1994,MATCH(A296&amp;"ENTRADA",Movimientos!$R$2:$R$1994,0)),"-")</f>
        <v>-</v>
      </c>
      <c r="C296" s="2" t="str">
        <f>IFERROR(INDEX(Movimientos!$D$2:$D$1994,MATCH(A296&amp;"ENTRADA",Movimientos!$R$2:$R$1994,0)),"-")</f>
        <v>-</v>
      </c>
      <c r="D296" s="2" t="str">
        <f>IFERROR(INDEX(Movimientos!$E$2:$E$1994,MATCH(A296&amp;"ENTRADA",Movimientos!$R$2:$R$1994,0)),"-")</f>
        <v>-</v>
      </c>
      <c r="E296" s="2" t="str">
        <f>IFERROR(INDEX(Movimientos!$F$2:$F$1994,MATCH(A296&amp;"ENTRADA",Movimientos!$R$2:$R$1994,0)),"-")</f>
        <v>-</v>
      </c>
      <c r="F296" s="2" t="str">
        <f>IFERROR(INDEX(Movimientos!$G$2:$G$1994,MATCH(A296&amp;"ENTRADA",Movimientos!$R$2:$R$1994,0)),"-")</f>
        <v>-</v>
      </c>
      <c r="G296" s="2" t="str">
        <f>IFERROR(INDEX(Movimientos!$L$2:$L$1994,MATCH(A296&amp;"ENTRADA",Movimientos!$R$2:$R$1994,0)),"-")</f>
        <v>-</v>
      </c>
      <c r="H296" s="17" t="str">
        <f>IFERROR(IF(INDEX(Movimientos!$M$2:$M$1994,MATCH(A296&amp;"ENTRADA",Movimientos!$R$2:$R$1994,0))=0,"S/D",INDEX(Movimientos!$M$2:$M$1994,MATCH(A296&amp;"ENTRADA",Movimientos!$R$2:$R$1994,0))),"S/D")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2572</v>
      </c>
      <c r="B297" s="2" t="str">
        <f>IFERROR(INDEX(Movimientos!$C$2:$C$1994,MATCH(A297&amp;"ENTRADA",Movimientos!$R$2:$R$1994,0)),"-")</f>
        <v>-</v>
      </c>
      <c r="C297" s="2" t="str">
        <f>IFERROR(INDEX(Movimientos!$D$2:$D$1994,MATCH(A297&amp;"ENTRADA",Movimientos!$R$2:$R$1994,0)),"-")</f>
        <v>-</v>
      </c>
      <c r="D297" s="2" t="str">
        <f>IFERROR(INDEX(Movimientos!$E$2:$E$1994,MATCH(A297&amp;"ENTRADA",Movimientos!$R$2:$R$1994,0)),"-")</f>
        <v>-</v>
      </c>
      <c r="E297" s="2" t="str">
        <f>IFERROR(INDEX(Movimientos!$F$2:$F$1994,MATCH(A297&amp;"ENTRADA",Movimientos!$R$2:$R$1994,0)),"-")</f>
        <v>-</v>
      </c>
      <c r="F297" s="2" t="str">
        <f>IFERROR(INDEX(Movimientos!$G$2:$G$1994,MATCH(A297&amp;"ENTRADA",Movimientos!$R$2:$R$1994,0)),"-")</f>
        <v>-</v>
      </c>
      <c r="G297" s="2" t="str">
        <f>IFERROR(INDEX(Movimientos!$L$2:$L$1994,MATCH(A297&amp;"ENTRADA",Movimientos!$R$2:$R$1994,0)),"-")</f>
        <v>-</v>
      </c>
      <c r="H297" s="17" t="str">
        <f>IFERROR(IF(INDEX(Movimientos!$M$2:$M$1994,MATCH(A297&amp;"ENTRADA",Movimientos!$R$2:$R$1994,0))=0,"S/D",INDEX(Movimientos!$M$2:$M$1994,MATCH(A297&amp;"ENTRADA",Movimientos!$R$2:$R$1994,0))),"S/D")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2573</v>
      </c>
      <c r="B298" s="2" t="str">
        <f>IFERROR(INDEX(Movimientos!$C$2:$C$1994,MATCH(A298&amp;"ENTRADA",Movimientos!$R$2:$R$1994,0)),"-")</f>
        <v>-</v>
      </c>
      <c r="C298" s="2" t="str">
        <f>IFERROR(INDEX(Movimientos!$D$2:$D$1994,MATCH(A298&amp;"ENTRADA",Movimientos!$R$2:$R$1994,0)),"-")</f>
        <v>-</v>
      </c>
      <c r="D298" s="2" t="str">
        <f>IFERROR(INDEX(Movimientos!$E$2:$E$1994,MATCH(A298&amp;"ENTRADA",Movimientos!$R$2:$R$1994,0)),"-")</f>
        <v>-</v>
      </c>
      <c r="E298" s="2" t="str">
        <f>IFERROR(INDEX(Movimientos!$F$2:$F$1994,MATCH(A298&amp;"ENTRADA",Movimientos!$R$2:$R$1994,0)),"-")</f>
        <v>-</v>
      </c>
      <c r="F298" s="2" t="str">
        <f>IFERROR(INDEX(Movimientos!$G$2:$G$1994,MATCH(A298&amp;"ENTRADA",Movimientos!$R$2:$R$1994,0)),"-")</f>
        <v>-</v>
      </c>
      <c r="G298" s="2" t="str">
        <f>IFERROR(INDEX(Movimientos!$L$2:$L$1994,MATCH(A298&amp;"ENTRADA",Movimientos!$R$2:$R$1994,0)),"-")</f>
        <v>-</v>
      </c>
      <c r="H298" s="17" t="str">
        <f>IFERROR(IF(INDEX(Movimientos!$M$2:$M$1994,MATCH(A298&amp;"ENTRADA",Movimientos!$R$2:$R$1994,0))=0,"S/D",INDEX(Movimientos!$M$2:$M$1994,MATCH(A298&amp;"ENTRADA",Movimientos!$R$2:$R$1994,0))),"S/D")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2574</v>
      </c>
      <c r="B299" s="2" t="str">
        <f>IFERROR(INDEX(Movimientos!$C$2:$C$1994,MATCH(A299&amp;"ENTRADA",Movimientos!$R$2:$R$1994,0)),"-")</f>
        <v>-</v>
      </c>
      <c r="C299" s="2" t="str">
        <f>IFERROR(INDEX(Movimientos!$D$2:$D$1994,MATCH(A299&amp;"ENTRADA",Movimientos!$R$2:$R$1994,0)),"-")</f>
        <v>-</v>
      </c>
      <c r="D299" s="2" t="str">
        <f>IFERROR(INDEX(Movimientos!$E$2:$E$1994,MATCH(A299&amp;"ENTRADA",Movimientos!$R$2:$R$1994,0)),"-")</f>
        <v>-</v>
      </c>
      <c r="E299" s="2" t="str">
        <f>IFERROR(INDEX(Movimientos!$F$2:$F$1994,MATCH(A299&amp;"ENTRADA",Movimientos!$R$2:$R$1994,0)),"-")</f>
        <v>-</v>
      </c>
      <c r="F299" s="2" t="str">
        <f>IFERROR(INDEX(Movimientos!$G$2:$G$1994,MATCH(A299&amp;"ENTRADA",Movimientos!$R$2:$R$1994,0)),"-")</f>
        <v>-</v>
      </c>
      <c r="G299" s="2" t="str">
        <f>IFERROR(INDEX(Movimientos!$L$2:$L$1994,MATCH(A299&amp;"ENTRADA",Movimientos!$R$2:$R$1994,0)),"-")</f>
        <v>-</v>
      </c>
      <c r="H299" s="17" t="str">
        <f>IFERROR(IF(INDEX(Movimientos!$M$2:$M$1994,MATCH(A299&amp;"ENTRADA",Movimientos!$R$2:$R$1994,0))=0,"S/D",INDEX(Movimientos!$M$2:$M$1994,MATCH(A299&amp;"ENTRADA",Movimientos!$R$2:$R$1994,0))),"S/D")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2575</v>
      </c>
      <c r="B300" s="2" t="str">
        <f>IFERROR(INDEX(Movimientos!$C$2:$C$1994,MATCH(A300&amp;"ENTRADA",Movimientos!$R$2:$R$1994,0)),"-")</f>
        <v>-</v>
      </c>
      <c r="C300" s="2" t="str">
        <f>IFERROR(INDEX(Movimientos!$D$2:$D$1994,MATCH(A300&amp;"ENTRADA",Movimientos!$R$2:$R$1994,0)),"-")</f>
        <v>-</v>
      </c>
      <c r="D300" s="2" t="str">
        <f>IFERROR(INDEX(Movimientos!$E$2:$E$1994,MATCH(A300&amp;"ENTRADA",Movimientos!$R$2:$R$1994,0)),"-")</f>
        <v>-</v>
      </c>
      <c r="E300" s="2" t="str">
        <f>IFERROR(INDEX(Movimientos!$F$2:$F$1994,MATCH(A300&amp;"ENTRADA",Movimientos!$R$2:$R$1994,0)),"-")</f>
        <v>-</v>
      </c>
      <c r="F300" s="2" t="str">
        <f>IFERROR(INDEX(Movimientos!$G$2:$G$1994,MATCH(A300&amp;"ENTRADA",Movimientos!$R$2:$R$1994,0)),"-")</f>
        <v>-</v>
      </c>
      <c r="G300" s="2" t="str">
        <f>IFERROR(INDEX(Movimientos!$L$2:$L$1994,MATCH(A300&amp;"ENTRADA",Movimientos!$R$2:$R$1994,0)),"-")</f>
        <v>-</v>
      </c>
      <c r="H300" s="17" t="str">
        <f>IFERROR(IF(INDEX(Movimientos!$M$2:$M$1994,MATCH(A300&amp;"ENTRADA",Movimientos!$R$2:$R$1994,0))=0,"S/D",INDEX(Movimientos!$M$2:$M$1994,MATCH(A300&amp;"ENTRADA",Movimientos!$R$2:$R$1994,0))),"S/D")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2576</v>
      </c>
      <c r="B301" s="2" t="str">
        <f>IFERROR(INDEX(Movimientos!$C$2:$C$1994,MATCH(A301&amp;"ENTRADA",Movimientos!$R$2:$R$1994,0)),"-")</f>
        <v>-</v>
      </c>
      <c r="C301" s="2" t="str">
        <f>IFERROR(INDEX(Movimientos!$D$2:$D$1994,MATCH(A301&amp;"ENTRADA",Movimientos!$R$2:$R$1994,0)),"-")</f>
        <v>-</v>
      </c>
      <c r="D301" s="2" t="str">
        <f>IFERROR(INDEX(Movimientos!$E$2:$E$1994,MATCH(A301&amp;"ENTRADA",Movimientos!$R$2:$R$1994,0)),"-")</f>
        <v>-</v>
      </c>
      <c r="E301" s="2" t="str">
        <f>IFERROR(INDEX(Movimientos!$F$2:$F$1994,MATCH(A301&amp;"ENTRADA",Movimientos!$R$2:$R$1994,0)),"-")</f>
        <v>-</v>
      </c>
      <c r="F301" s="2" t="str">
        <f>IFERROR(INDEX(Movimientos!$G$2:$G$1994,MATCH(A301&amp;"ENTRADA",Movimientos!$R$2:$R$1994,0)),"-")</f>
        <v>-</v>
      </c>
      <c r="G301" s="2" t="str">
        <f>IFERROR(INDEX(Movimientos!$L$2:$L$1994,MATCH(A301&amp;"ENTRADA",Movimientos!$R$2:$R$1994,0)),"-")</f>
        <v>-</v>
      </c>
      <c r="H301" s="17" t="str">
        <f>IFERROR(IF(INDEX(Movimientos!$M$2:$M$1994,MATCH(A301&amp;"ENTRADA",Movimientos!$R$2:$R$1994,0))=0,"S/D",INDEX(Movimientos!$M$2:$M$1994,MATCH(A301&amp;"ENTRADA",Movimientos!$R$2:$R$1994,0))),"S/D")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2577</v>
      </c>
      <c r="B302" s="2" t="str">
        <f>IFERROR(INDEX(Movimientos!$C$2:$C$1994,MATCH(A302&amp;"ENTRADA",Movimientos!$R$2:$R$1994,0)),"-")</f>
        <v>-</v>
      </c>
      <c r="C302" s="2" t="str">
        <f>IFERROR(INDEX(Movimientos!$D$2:$D$1994,MATCH(A302&amp;"ENTRADA",Movimientos!$R$2:$R$1994,0)),"-")</f>
        <v>-</v>
      </c>
      <c r="D302" s="2" t="str">
        <f>IFERROR(INDEX(Movimientos!$E$2:$E$1994,MATCH(A302&amp;"ENTRADA",Movimientos!$R$2:$R$1994,0)),"-")</f>
        <v>-</v>
      </c>
      <c r="E302" s="2" t="str">
        <f>IFERROR(INDEX(Movimientos!$F$2:$F$1994,MATCH(A302&amp;"ENTRADA",Movimientos!$R$2:$R$1994,0)),"-")</f>
        <v>-</v>
      </c>
      <c r="F302" s="2" t="str">
        <f>IFERROR(INDEX(Movimientos!$G$2:$G$1994,MATCH(A302&amp;"ENTRADA",Movimientos!$R$2:$R$1994,0)),"-")</f>
        <v>-</v>
      </c>
      <c r="G302" s="2" t="str">
        <f>IFERROR(INDEX(Movimientos!$L$2:$L$1994,MATCH(A302&amp;"ENTRADA",Movimientos!$R$2:$R$1994,0)),"-")</f>
        <v>-</v>
      </c>
      <c r="H302" s="17" t="str">
        <f>IFERROR(IF(INDEX(Movimientos!$M$2:$M$1994,MATCH(A302&amp;"ENTRADA",Movimientos!$R$2:$R$1994,0))=0,"S/D",INDEX(Movimientos!$M$2:$M$1994,MATCH(A302&amp;"ENTRADA",Movimientos!$R$2:$R$1994,0))),"S/D")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2578</v>
      </c>
      <c r="B303" s="2" t="str">
        <f>IFERROR(INDEX(Movimientos!$C$2:$C$1994,MATCH(A303&amp;"ENTRADA",Movimientos!$R$2:$R$1994,0)),"-")</f>
        <v>-</v>
      </c>
      <c r="C303" s="2" t="str">
        <f>IFERROR(INDEX(Movimientos!$D$2:$D$1994,MATCH(A303&amp;"ENTRADA",Movimientos!$R$2:$R$1994,0)),"-")</f>
        <v>-</v>
      </c>
      <c r="D303" s="2" t="str">
        <f>IFERROR(INDEX(Movimientos!$E$2:$E$1994,MATCH(A303&amp;"ENTRADA",Movimientos!$R$2:$R$1994,0)),"-")</f>
        <v>-</v>
      </c>
      <c r="E303" s="2" t="str">
        <f>IFERROR(INDEX(Movimientos!$F$2:$F$1994,MATCH(A303&amp;"ENTRADA",Movimientos!$R$2:$R$1994,0)),"-")</f>
        <v>-</v>
      </c>
      <c r="F303" s="2" t="str">
        <f>IFERROR(INDEX(Movimientos!$G$2:$G$1994,MATCH(A303&amp;"ENTRADA",Movimientos!$R$2:$R$1994,0)),"-")</f>
        <v>-</v>
      </c>
      <c r="G303" s="2" t="str">
        <f>IFERROR(INDEX(Movimientos!$L$2:$L$1994,MATCH(A303&amp;"ENTRADA",Movimientos!$R$2:$R$1994,0)),"-")</f>
        <v>-</v>
      </c>
      <c r="H303" s="17" t="str">
        <f>IFERROR(IF(INDEX(Movimientos!$M$2:$M$1994,MATCH(A303&amp;"ENTRADA",Movimientos!$R$2:$R$1994,0))=0,"S/D",INDEX(Movimientos!$M$2:$M$1994,MATCH(A303&amp;"ENTRADA",Movimientos!$R$2:$R$1994,0))),"S/D")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2579</v>
      </c>
      <c r="B304" s="2" t="str">
        <f>IFERROR(INDEX(Movimientos!$C$2:$C$1994,MATCH(A304&amp;"ENTRADA",Movimientos!$R$2:$R$1994,0)),"-")</f>
        <v>-</v>
      </c>
      <c r="C304" s="2" t="str">
        <f>IFERROR(INDEX(Movimientos!$D$2:$D$1994,MATCH(A304&amp;"ENTRADA",Movimientos!$R$2:$R$1994,0)),"-")</f>
        <v>-</v>
      </c>
      <c r="D304" s="2" t="str">
        <f>IFERROR(INDEX(Movimientos!$E$2:$E$1994,MATCH(A304&amp;"ENTRADA",Movimientos!$R$2:$R$1994,0)),"-")</f>
        <v>-</v>
      </c>
      <c r="E304" s="2" t="str">
        <f>IFERROR(INDEX(Movimientos!$F$2:$F$1994,MATCH(A304&amp;"ENTRADA",Movimientos!$R$2:$R$1994,0)),"-")</f>
        <v>-</v>
      </c>
      <c r="F304" s="2" t="str">
        <f>IFERROR(INDEX(Movimientos!$G$2:$G$1994,MATCH(A304&amp;"ENTRADA",Movimientos!$R$2:$R$1994,0)),"-")</f>
        <v>-</v>
      </c>
      <c r="G304" s="2" t="str">
        <f>IFERROR(INDEX(Movimientos!$L$2:$L$1994,MATCH(A304&amp;"ENTRADA",Movimientos!$R$2:$R$1994,0)),"-")</f>
        <v>-</v>
      </c>
      <c r="H304" s="17" t="str">
        <f>IFERROR(IF(INDEX(Movimientos!$M$2:$M$1994,MATCH(A304&amp;"ENTRADA",Movimientos!$R$2:$R$1994,0))=0,"S/D",INDEX(Movimientos!$M$2:$M$1994,MATCH(A304&amp;"ENTRADA",Movimientos!$R$2:$R$1994,0))),"S/D")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2580</v>
      </c>
      <c r="B305" s="2" t="str">
        <f>IFERROR(INDEX(Movimientos!$C$2:$C$1994,MATCH(A305&amp;"ENTRADA",Movimientos!$R$2:$R$1994,0)),"-")</f>
        <v>-</v>
      </c>
      <c r="C305" s="2" t="str">
        <f>IFERROR(INDEX(Movimientos!$D$2:$D$1994,MATCH(A305&amp;"ENTRADA",Movimientos!$R$2:$R$1994,0)),"-")</f>
        <v>-</v>
      </c>
      <c r="D305" s="2" t="str">
        <f>IFERROR(INDEX(Movimientos!$E$2:$E$1994,MATCH(A305&amp;"ENTRADA",Movimientos!$R$2:$R$1994,0)),"-")</f>
        <v>-</v>
      </c>
      <c r="E305" s="2" t="str">
        <f>IFERROR(INDEX(Movimientos!$F$2:$F$1994,MATCH(A305&amp;"ENTRADA",Movimientos!$R$2:$R$1994,0)),"-")</f>
        <v>-</v>
      </c>
      <c r="F305" s="2" t="str">
        <f>IFERROR(INDEX(Movimientos!$G$2:$G$1994,MATCH(A305&amp;"ENTRADA",Movimientos!$R$2:$R$1994,0)),"-")</f>
        <v>-</v>
      </c>
      <c r="G305" s="2" t="str">
        <f>IFERROR(INDEX(Movimientos!$L$2:$L$1994,MATCH(A305&amp;"ENTRADA",Movimientos!$R$2:$R$1994,0)),"-")</f>
        <v>-</v>
      </c>
      <c r="H305" s="17" t="str">
        <f>IFERROR(IF(INDEX(Movimientos!$M$2:$M$1994,MATCH(A305&amp;"ENTRADA",Movimientos!$R$2:$R$1994,0))=0,"S/D",INDEX(Movimientos!$M$2:$M$1994,MATCH(A305&amp;"ENTRADA",Movimientos!$R$2:$R$1994,0))),"S/D")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2581</v>
      </c>
      <c r="B306" s="2" t="str">
        <f>IFERROR(INDEX(Movimientos!$C$2:$C$1994,MATCH(A306&amp;"ENTRADA",Movimientos!$R$2:$R$1994,0)),"-")</f>
        <v>-</v>
      </c>
      <c r="C306" s="2" t="str">
        <f>IFERROR(INDEX(Movimientos!$D$2:$D$1994,MATCH(A306&amp;"ENTRADA",Movimientos!$R$2:$R$1994,0)),"-")</f>
        <v>-</v>
      </c>
      <c r="D306" s="2" t="str">
        <f>IFERROR(INDEX(Movimientos!$E$2:$E$1994,MATCH(A306&amp;"ENTRADA",Movimientos!$R$2:$R$1994,0)),"-")</f>
        <v>-</v>
      </c>
      <c r="E306" s="2" t="str">
        <f>IFERROR(INDEX(Movimientos!$F$2:$F$1994,MATCH(A306&amp;"ENTRADA",Movimientos!$R$2:$R$1994,0)),"-")</f>
        <v>-</v>
      </c>
      <c r="F306" s="2" t="str">
        <f>IFERROR(INDEX(Movimientos!$G$2:$G$1994,MATCH(A306&amp;"ENTRADA",Movimientos!$R$2:$R$1994,0)),"-")</f>
        <v>-</v>
      </c>
      <c r="G306" s="2" t="str">
        <f>IFERROR(INDEX(Movimientos!$L$2:$L$1994,MATCH(A306&amp;"ENTRADA",Movimientos!$R$2:$R$1994,0)),"-")</f>
        <v>-</v>
      </c>
      <c r="H306" s="17" t="str">
        <f>IFERROR(IF(INDEX(Movimientos!$M$2:$M$1994,MATCH(A306&amp;"ENTRADA",Movimientos!$R$2:$R$1994,0))=0,"S/D",INDEX(Movimientos!$M$2:$M$1994,MATCH(A306&amp;"ENTRADA",Movimientos!$R$2:$R$1994,0))),"S/D")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2582</v>
      </c>
      <c r="B307" s="2" t="str">
        <f>IFERROR(INDEX(Movimientos!$C$2:$C$1994,MATCH(A307&amp;"ENTRADA",Movimientos!$R$2:$R$1994,0)),"-")</f>
        <v>-</v>
      </c>
      <c r="C307" s="2" t="str">
        <f>IFERROR(INDEX(Movimientos!$D$2:$D$1994,MATCH(A307&amp;"ENTRADA",Movimientos!$R$2:$R$1994,0)),"-")</f>
        <v>-</v>
      </c>
      <c r="D307" s="2" t="str">
        <f>IFERROR(INDEX(Movimientos!$E$2:$E$1994,MATCH(A307&amp;"ENTRADA",Movimientos!$R$2:$R$1994,0)),"-")</f>
        <v>-</v>
      </c>
      <c r="E307" s="2" t="str">
        <f>IFERROR(INDEX(Movimientos!$F$2:$F$1994,MATCH(A307&amp;"ENTRADA",Movimientos!$R$2:$R$1994,0)),"-")</f>
        <v>-</v>
      </c>
      <c r="F307" s="2" t="str">
        <f>IFERROR(INDEX(Movimientos!$G$2:$G$1994,MATCH(A307&amp;"ENTRADA",Movimientos!$R$2:$R$1994,0)),"-")</f>
        <v>-</v>
      </c>
      <c r="G307" s="2" t="str">
        <f>IFERROR(INDEX(Movimientos!$L$2:$L$1994,MATCH(A307&amp;"ENTRADA",Movimientos!$R$2:$R$1994,0)),"-")</f>
        <v>-</v>
      </c>
      <c r="H307" s="17" t="str">
        <f>IFERROR(IF(INDEX(Movimientos!$M$2:$M$1994,MATCH(A307&amp;"ENTRADA",Movimientos!$R$2:$R$1994,0))=0,"S/D",INDEX(Movimientos!$M$2:$M$1994,MATCH(A307&amp;"ENTRADA",Movimientos!$R$2:$R$1994,0))),"S/D")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2583</v>
      </c>
      <c r="B308" s="2" t="str">
        <f>IFERROR(INDEX(Movimientos!$C$2:$C$1994,MATCH(A308&amp;"ENTRADA",Movimientos!$R$2:$R$1994,0)),"-")</f>
        <v>-</v>
      </c>
      <c r="C308" s="2" t="str">
        <f>IFERROR(INDEX(Movimientos!$D$2:$D$1994,MATCH(A308&amp;"ENTRADA",Movimientos!$R$2:$R$1994,0)),"-")</f>
        <v>-</v>
      </c>
      <c r="D308" s="2" t="str">
        <f>IFERROR(INDEX(Movimientos!$E$2:$E$1994,MATCH(A308&amp;"ENTRADA",Movimientos!$R$2:$R$1994,0)),"-")</f>
        <v>-</v>
      </c>
      <c r="E308" s="2" t="str">
        <f>IFERROR(INDEX(Movimientos!$F$2:$F$1994,MATCH(A308&amp;"ENTRADA",Movimientos!$R$2:$R$1994,0)),"-")</f>
        <v>-</v>
      </c>
      <c r="F308" s="2" t="str">
        <f>IFERROR(INDEX(Movimientos!$G$2:$G$1994,MATCH(A308&amp;"ENTRADA",Movimientos!$R$2:$R$1994,0)),"-")</f>
        <v>-</v>
      </c>
      <c r="G308" s="2" t="str">
        <f>IFERROR(INDEX(Movimientos!$L$2:$L$1994,MATCH(A308&amp;"ENTRADA",Movimientos!$R$2:$R$1994,0)),"-")</f>
        <v>-</v>
      </c>
      <c r="H308" s="17" t="str">
        <f>IFERROR(IF(INDEX(Movimientos!$M$2:$M$1994,MATCH(A308&amp;"ENTRADA",Movimientos!$R$2:$R$1994,0))=0,"S/D",INDEX(Movimientos!$M$2:$M$1994,MATCH(A308&amp;"ENTRADA",Movimientos!$R$2:$R$1994,0))),"S/D")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2584</v>
      </c>
      <c r="B309" s="2" t="str">
        <f>IFERROR(INDEX(Movimientos!$C$2:$C$1994,MATCH(A309&amp;"ENTRADA",Movimientos!$R$2:$R$1994,0)),"-")</f>
        <v>-</v>
      </c>
      <c r="C309" s="2" t="str">
        <f>IFERROR(INDEX(Movimientos!$D$2:$D$1994,MATCH(A309&amp;"ENTRADA",Movimientos!$R$2:$R$1994,0)),"-")</f>
        <v>-</v>
      </c>
      <c r="D309" s="2" t="str">
        <f>IFERROR(INDEX(Movimientos!$E$2:$E$1994,MATCH(A309&amp;"ENTRADA",Movimientos!$R$2:$R$1994,0)),"-")</f>
        <v>-</v>
      </c>
      <c r="E309" s="2" t="str">
        <f>IFERROR(INDEX(Movimientos!$F$2:$F$1994,MATCH(A309&amp;"ENTRADA",Movimientos!$R$2:$R$1994,0)),"-")</f>
        <v>-</v>
      </c>
      <c r="F309" s="2" t="str">
        <f>IFERROR(INDEX(Movimientos!$G$2:$G$1994,MATCH(A309&amp;"ENTRADA",Movimientos!$R$2:$R$1994,0)),"-")</f>
        <v>-</v>
      </c>
      <c r="G309" s="2" t="str">
        <f>IFERROR(INDEX(Movimientos!$L$2:$L$1994,MATCH(A309&amp;"ENTRADA",Movimientos!$R$2:$R$1994,0)),"-")</f>
        <v>-</v>
      </c>
      <c r="H309" s="17" t="str">
        <f>IFERROR(IF(INDEX(Movimientos!$M$2:$M$1994,MATCH(A309&amp;"ENTRADA",Movimientos!$R$2:$R$1994,0))=0,"S/D",INDEX(Movimientos!$M$2:$M$1994,MATCH(A309&amp;"ENTRADA",Movimientos!$R$2:$R$1994,0))),"S/D")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2585</v>
      </c>
      <c r="B310" s="2" t="str">
        <f>IFERROR(INDEX(Movimientos!$C$2:$C$1994,MATCH(A310&amp;"ENTRADA",Movimientos!$R$2:$R$1994,0)),"-")</f>
        <v>-</v>
      </c>
      <c r="C310" s="2" t="str">
        <f>IFERROR(INDEX(Movimientos!$D$2:$D$1994,MATCH(A310&amp;"ENTRADA",Movimientos!$R$2:$R$1994,0)),"-")</f>
        <v>-</v>
      </c>
      <c r="D310" s="2" t="str">
        <f>IFERROR(INDEX(Movimientos!$E$2:$E$1994,MATCH(A310&amp;"ENTRADA",Movimientos!$R$2:$R$1994,0)),"-")</f>
        <v>-</v>
      </c>
      <c r="E310" s="2" t="str">
        <f>IFERROR(INDEX(Movimientos!$F$2:$F$1994,MATCH(A310&amp;"ENTRADA",Movimientos!$R$2:$R$1994,0)),"-")</f>
        <v>-</v>
      </c>
      <c r="F310" s="2" t="str">
        <f>IFERROR(INDEX(Movimientos!$G$2:$G$1994,MATCH(A310&amp;"ENTRADA",Movimientos!$R$2:$R$1994,0)),"-")</f>
        <v>-</v>
      </c>
      <c r="G310" s="2" t="str">
        <f>IFERROR(INDEX(Movimientos!$L$2:$L$1994,MATCH(A310&amp;"ENTRADA",Movimientos!$R$2:$R$1994,0)),"-")</f>
        <v>-</v>
      </c>
      <c r="H310" s="17" t="str">
        <f>IFERROR(IF(INDEX(Movimientos!$M$2:$M$1994,MATCH(A310&amp;"ENTRADA",Movimientos!$R$2:$R$1994,0))=0,"S/D",INDEX(Movimientos!$M$2:$M$1994,MATCH(A310&amp;"ENTRADA",Movimientos!$R$2:$R$1994,0))),"S/D")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2586</v>
      </c>
      <c r="B311" s="2" t="str">
        <f>IFERROR(INDEX(Movimientos!$C$2:$C$1994,MATCH(A311&amp;"ENTRADA",Movimientos!$R$2:$R$1994,0)),"-")</f>
        <v>-</v>
      </c>
      <c r="C311" s="2" t="str">
        <f>IFERROR(INDEX(Movimientos!$D$2:$D$1994,MATCH(A311&amp;"ENTRADA",Movimientos!$R$2:$R$1994,0)),"-")</f>
        <v>-</v>
      </c>
      <c r="D311" s="2" t="str">
        <f>IFERROR(INDEX(Movimientos!$E$2:$E$1994,MATCH(A311&amp;"ENTRADA",Movimientos!$R$2:$R$1994,0)),"-")</f>
        <v>-</v>
      </c>
      <c r="E311" s="2" t="str">
        <f>IFERROR(INDEX(Movimientos!$F$2:$F$1994,MATCH(A311&amp;"ENTRADA",Movimientos!$R$2:$R$1994,0)),"-")</f>
        <v>-</v>
      </c>
      <c r="F311" s="2" t="str">
        <f>IFERROR(INDEX(Movimientos!$G$2:$G$1994,MATCH(A311&amp;"ENTRADA",Movimientos!$R$2:$R$1994,0)),"-")</f>
        <v>-</v>
      </c>
      <c r="G311" s="2" t="str">
        <f>IFERROR(INDEX(Movimientos!$L$2:$L$1994,MATCH(A311&amp;"ENTRADA",Movimientos!$R$2:$R$1994,0)),"-")</f>
        <v>-</v>
      </c>
      <c r="H311" s="17" t="str">
        <f>IFERROR(IF(INDEX(Movimientos!$M$2:$M$1994,MATCH(A311&amp;"ENTRADA",Movimientos!$R$2:$R$1994,0))=0,"S/D",INDEX(Movimientos!$M$2:$M$1994,MATCH(A311&amp;"ENTRADA",Movimientos!$R$2:$R$1994,0))),"S/D")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2587</v>
      </c>
      <c r="B312" s="2" t="str">
        <f>IFERROR(INDEX(Movimientos!$C$2:$C$1994,MATCH(A312&amp;"ENTRADA",Movimientos!$R$2:$R$1994,0)),"-")</f>
        <v>-</v>
      </c>
      <c r="C312" s="2" t="str">
        <f>IFERROR(INDEX(Movimientos!$D$2:$D$1994,MATCH(A312&amp;"ENTRADA",Movimientos!$R$2:$R$1994,0)),"-")</f>
        <v>-</v>
      </c>
      <c r="D312" s="2" t="str">
        <f>IFERROR(INDEX(Movimientos!$E$2:$E$1994,MATCH(A312&amp;"ENTRADA",Movimientos!$R$2:$R$1994,0)),"-")</f>
        <v>-</v>
      </c>
      <c r="E312" s="2" t="str">
        <f>IFERROR(INDEX(Movimientos!$F$2:$F$1994,MATCH(A312&amp;"ENTRADA",Movimientos!$R$2:$R$1994,0)),"-")</f>
        <v>-</v>
      </c>
      <c r="F312" s="2" t="str">
        <f>IFERROR(INDEX(Movimientos!$G$2:$G$1994,MATCH(A312&amp;"ENTRADA",Movimientos!$R$2:$R$1994,0)),"-")</f>
        <v>-</v>
      </c>
      <c r="G312" s="2" t="str">
        <f>IFERROR(INDEX(Movimientos!$L$2:$L$1994,MATCH(A312&amp;"ENTRADA",Movimientos!$R$2:$R$1994,0)),"-")</f>
        <v>-</v>
      </c>
      <c r="H312" s="17" t="str">
        <f>IFERROR(IF(INDEX(Movimientos!$M$2:$M$1994,MATCH(A312&amp;"ENTRADA",Movimientos!$R$2:$R$1994,0))=0,"S/D",INDEX(Movimientos!$M$2:$M$1994,MATCH(A312&amp;"ENTRADA",Movimientos!$R$2:$R$1994,0))),"S/D")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2588</v>
      </c>
      <c r="B313" s="2" t="str">
        <f>IFERROR(INDEX(Movimientos!$C$2:$C$1994,MATCH(A313&amp;"ENTRADA",Movimientos!$R$2:$R$1994,0)),"-")</f>
        <v>-</v>
      </c>
      <c r="C313" s="2" t="str">
        <f>IFERROR(INDEX(Movimientos!$D$2:$D$1994,MATCH(A313&amp;"ENTRADA",Movimientos!$R$2:$R$1994,0)),"-")</f>
        <v>-</v>
      </c>
      <c r="D313" s="2" t="str">
        <f>IFERROR(INDEX(Movimientos!$E$2:$E$1994,MATCH(A313&amp;"ENTRADA",Movimientos!$R$2:$R$1994,0)),"-")</f>
        <v>-</v>
      </c>
      <c r="E313" s="2" t="str">
        <f>IFERROR(INDEX(Movimientos!$F$2:$F$1994,MATCH(A313&amp;"ENTRADA",Movimientos!$R$2:$R$1994,0)),"-")</f>
        <v>-</v>
      </c>
      <c r="F313" s="2" t="str">
        <f>IFERROR(INDEX(Movimientos!$G$2:$G$1994,MATCH(A313&amp;"ENTRADA",Movimientos!$R$2:$R$1994,0)),"-")</f>
        <v>-</v>
      </c>
      <c r="G313" s="2" t="str">
        <f>IFERROR(INDEX(Movimientos!$L$2:$L$1994,MATCH(A313&amp;"ENTRADA",Movimientos!$R$2:$R$1994,0)),"-")</f>
        <v>-</v>
      </c>
      <c r="H313" s="17" t="str">
        <f>IFERROR(IF(INDEX(Movimientos!$M$2:$M$1994,MATCH(A313&amp;"ENTRADA",Movimientos!$R$2:$R$1994,0))=0,"S/D",INDEX(Movimientos!$M$2:$M$1994,MATCH(A313&amp;"ENTRADA",Movimientos!$R$2:$R$1994,0))),"S/D")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2589</v>
      </c>
      <c r="B314" s="2" t="str">
        <f>IFERROR(INDEX(Movimientos!$C$2:$C$1994,MATCH(A314&amp;"ENTRADA",Movimientos!$R$2:$R$1994,0)),"-")</f>
        <v>-</v>
      </c>
      <c r="C314" s="2" t="str">
        <f>IFERROR(INDEX(Movimientos!$D$2:$D$1994,MATCH(A314&amp;"ENTRADA",Movimientos!$R$2:$R$1994,0)),"-")</f>
        <v>-</v>
      </c>
      <c r="D314" s="2" t="str">
        <f>IFERROR(INDEX(Movimientos!$E$2:$E$1994,MATCH(A314&amp;"ENTRADA",Movimientos!$R$2:$R$1994,0)),"-")</f>
        <v>-</v>
      </c>
      <c r="E314" s="2" t="str">
        <f>IFERROR(INDEX(Movimientos!$F$2:$F$1994,MATCH(A314&amp;"ENTRADA",Movimientos!$R$2:$R$1994,0)),"-")</f>
        <v>-</v>
      </c>
      <c r="F314" s="2" t="str">
        <f>IFERROR(INDEX(Movimientos!$G$2:$G$1994,MATCH(A314&amp;"ENTRADA",Movimientos!$R$2:$R$1994,0)),"-")</f>
        <v>-</v>
      </c>
      <c r="G314" s="2" t="str">
        <f>IFERROR(INDEX(Movimientos!$L$2:$L$1994,MATCH(A314&amp;"ENTRADA",Movimientos!$R$2:$R$1994,0)),"-")</f>
        <v>-</v>
      </c>
      <c r="H314" s="17" t="str">
        <f>IFERROR(IF(INDEX(Movimientos!$M$2:$M$1994,MATCH(A314&amp;"ENTRADA",Movimientos!$R$2:$R$1994,0))=0,"S/D",INDEX(Movimientos!$M$2:$M$1994,MATCH(A314&amp;"ENTRADA",Movimientos!$R$2:$R$1994,0))),"S/D")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2590</v>
      </c>
      <c r="B315" s="2" t="str">
        <f>IFERROR(INDEX(Movimientos!$C$2:$C$1994,MATCH(A315&amp;"ENTRADA",Movimientos!$R$2:$R$1994,0)),"-")</f>
        <v>-</v>
      </c>
      <c r="C315" s="2" t="str">
        <f>IFERROR(INDEX(Movimientos!$D$2:$D$1994,MATCH(A315&amp;"ENTRADA",Movimientos!$R$2:$R$1994,0)),"-")</f>
        <v>-</v>
      </c>
      <c r="D315" s="2" t="str">
        <f>IFERROR(INDEX(Movimientos!$E$2:$E$1994,MATCH(A315&amp;"ENTRADA",Movimientos!$R$2:$R$1994,0)),"-")</f>
        <v>-</v>
      </c>
      <c r="E315" s="2" t="str">
        <f>IFERROR(INDEX(Movimientos!$F$2:$F$1994,MATCH(A315&amp;"ENTRADA",Movimientos!$R$2:$R$1994,0)),"-")</f>
        <v>-</v>
      </c>
      <c r="F315" s="2" t="str">
        <f>IFERROR(INDEX(Movimientos!$G$2:$G$1994,MATCH(A315&amp;"ENTRADA",Movimientos!$R$2:$R$1994,0)),"-")</f>
        <v>-</v>
      </c>
      <c r="G315" s="2" t="str">
        <f>IFERROR(INDEX(Movimientos!$L$2:$L$1994,MATCH(A315&amp;"ENTRADA",Movimientos!$R$2:$R$1994,0)),"-")</f>
        <v>-</v>
      </c>
      <c r="H315" s="17" t="str">
        <f>IFERROR(IF(INDEX(Movimientos!$M$2:$M$1994,MATCH(A315&amp;"ENTRADA",Movimientos!$R$2:$R$1994,0))=0,"S/D",INDEX(Movimientos!$M$2:$M$1994,MATCH(A315&amp;"ENTRADA",Movimientos!$R$2:$R$1994,0))),"S/D")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2591</v>
      </c>
      <c r="B316" s="2" t="str">
        <f>IFERROR(INDEX(Movimientos!$C$2:$C$1994,MATCH(A316&amp;"ENTRADA",Movimientos!$R$2:$R$1994,0)),"-")</f>
        <v>-</v>
      </c>
      <c r="C316" s="2" t="str">
        <f>IFERROR(INDEX(Movimientos!$D$2:$D$1994,MATCH(A316&amp;"ENTRADA",Movimientos!$R$2:$R$1994,0)),"-")</f>
        <v>-</v>
      </c>
      <c r="D316" s="2" t="str">
        <f>IFERROR(INDEX(Movimientos!$E$2:$E$1994,MATCH(A316&amp;"ENTRADA",Movimientos!$R$2:$R$1994,0)),"-")</f>
        <v>-</v>
      </c>
      <c r="E316" s="2" t="str">
        <f>IFERROR(INDEX(Movimientos!$F$2:$F$1994,MATCH(A316&amp;"ENTRADA",Movimientos!$R$2:$R$1994,0)),"-")</f>
        <v>-</v>
      </c>
      <c r="F316" s="2" t="str">
        <f>IFERROR(INDEX(Movimientos!$G$2:$G$1994,MATCH(A316&amp;"ENTRADA",Movimientos!$R$2:$R$1994,0)),"-")</f>
        <v>-</v>
      </c>
      <c r="G316" s="2" t="str">
        <f>IFERROR(INDEX(Movimientos!$L$2:$L$1994,MATCH(A316&amp;"ENTRADA",Movimientos!$R$2:$R$1994,0)),"-")</f>
        <v>-</v>
      </c>
      <c r="H316" s="17" t="str">
        <f>IFERROR(IF(INDEX(Movimientos!$M$2:$M$1994,MATCH(A316&amp;"ENTRADA",Movimientos!$R$2:$R$1994,0))=0,"S/D",INDEX(Movimientos!$M$2:$M$1994,MATCH(A316&amp;"ENTRADA",Movimientos!$R$2:$R$1994,0))),"S/D")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2592</v>
      </c>
      <c r="B317" s="2" t="str">
        <f>IFERROR(INDEX(Movimientos!$C$2:$C$1994,MATCH(A317&amp;"ENTRADA",Movimientos!$R$2:$R$1994,0)),"-")</f>
        <v>-</v>
      </c>
      <c r="C317" s="2" t="str">
        <f>IFERROR(INDEX(Movimientos!$D$2:$D$1994,MATCH(A317&amp;"ENTRADA",Movimientos!$R$2:$R$1994,0)),"-")</f>
        <v>-</v>
      </c>
      <c r="D317" s="2" t="str">
        <f>IFERROR(INDEX(Movimientos!$E$2:$E$1994,MATCH(A317&amp;"ENTRADA",Movimientos!$R$2:$R$1994,0)),"-")</f>
        <v>-</v>
      </c>
      <c r="E317" s="2" t="str">
        <f>IFERROR(INDEX(Movimientos!$F$2:$F$1994,MATCH(A317&amp;"ENTRADA",Movimientos!$R$2:$R$1994,0)),"-")</f>
        <v>-</v>
      </c>
      <c r="F317" s="2" t="str">
        <f>IFERROR(INDEX(Movimientos!$G$2:$G$1994,MATCH(A317&amp;"ENTRADA",Movimientos!$R$2:$R$1994,0)),"-")</f>
        <v>-</v>
      </c>
      <c r="G317" s="2" t="str">
        <f>IFERROR(INDEX(Movimientos!$L$2:$L$1994,MATCH(A317&amp;"ENTRADA",Movimientos!$R$2:$R$1994,0)),"-")</f>
        <v>-</v>
      </c>
      <c r="H317" s="17" t="str">
        <f>IFERROR(IF(INDEX(Movimientos!$M$2:$M$1994,MATCH(A317&amp;"ENTRADA",Movimientos!$R$2:$R$1994,0))=0,"S/D",INDEX(Movimientos!$M$2:$M$1994,MATCH(A317&amp;"ENTRADA",Movimientos!$R$2:$R$1994,0))),"S/D")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2593</v>
      </c>
      <c r="B318" s="2" t="str">
        <f>IFERROR(INDEX(Movimientos!$C$2:$C$1994,MATCH(A318&amp;"ENTRADA",Movimientos!$R$2:$R$1994,0)),"-")</f>
        <v>-</v>
      </c>
      <c r="C318" s="2" t="str">
        <f>IFERROR(INDEX(Movimientos!$D$2:$D$1994,MATCH(A318&amp;"ENTRADA",Movimientos!$R$2:$R$1994,0)),"-")</f>
        <v>-</v>
      </c>
      <c r="D318" s="2" t="str">
        <f>IFERROR(INDEX(Movimientos!$E$2:$E$1994,MATCH(A318&amp;"ENTRADA",Movimientos!$R$2:$R$1994,0)),"-")</f>
        <v>-</v>
      </c>
      <c r="E318" s="2" t="str">
        <f>IFERROR(INDEX(Movimientos!$F$2:$F$1994,MATCH(A318&amp;"ENTRADA",Movimientos!$R$2:$R$1994,0)),"-")</f>
        <v>-</v>
      </c>
      <c r="F318" s="2" t="str">
        <f>IFERROR(INDEX(Movimientos!$G$2:$G$1994,MATCH(A318&amp;"ENTRADA",Movimientos!$R$2:$R$1994,0)),"-")</f>
        <v>-</v>
      </c>
      <c r="G318" s="2" t="str">
        <f>IFERROR(INDEX(Movimientos!$L$2:$L$1994,MATCH(A318&amp;"ENTRADA",Movimientos!$R$2:$R$1994,0)),"-")</f>
        <v>-</v>
      </c>
      <c r="H318" s="17" t="str">
        <f>IFERROR(IF(INDEX(Movimientos!$M$2:$M$1994,MATCH(A318&amp;"ENTRADA",Movimientos!$R$2:$R$1994,0))=0,"S/D",INDEX(Movimientos!$M$2:$M$1994,MATCH(A318&amp;"ENTRADA",Movimientos!$R$2:$R$1994,0))),"S/D")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2594</v>
      </c>
      <c r="B319" s="2" t="str">
        <f>IFERROR(INDEX(Movimientos!$C$2:$C$1994,MATCH(A319&amp;"ENTRADA",Movimientos!$R$2:$R$1994,0)),"-")</f>
        <v>-</v>
      </c>
      <c r="C319" s="2" t="str">
        <f>IFERROR(INDEX(Movimientos!$D$2:$D$1994,MATCH(A319&amp;"ENTRADA",Movimientos!$R$2:$R$1994,0)),"-")</f>
        <v>-</v>
      </c>
      <c r="D319" s="2" t="str">
        <f>IFERROR(INDEX(Movimientos!$E$2:$E$1994,MATCH(A319&amp;"ENTRADA",Movimientos!$R$2:$R$1994,0)),"-")</f>
        <v>-</v>
      </c>
      <c r="E319" s="2" t="str">
        <f>IFERROR(INDEX(Movimientos!$F$2:$F$1994,MATCH(A319&amp;"ENTRADA",Movimientos!$R$2:$R$1994,0)),"-")</f>
        <v>-</v>
      </c>
      <c r="F319" s="2" t="str">
        <f>IFERROR(INDEX(Movimientos!$G$2:$G$1994,MATCH(A319&amp;"ENTRADA",Movimientos!$R$2:$R$1994,0)),"-")</f>
        <v>-</v>
      </c>
      <c r="G319" s="2" t="str">
        <f>IFERROR(INDEX(Movimientos!$L$2:$L$1994,MATCH(A319&amp;"ENTRADA",Movimientos!$R$2:$R$1994,0)),"-")</f>
        <v>-</v>
      </c>
      <c r="H319" s="17" t="str">
        <f>IFERROR(IF(INDEX(Movimientos!$M$2:$M$1994,MATCH(A319&amp;"ENTRADA",Movimientos!$R$2:$R$1994,0))=0,"S/D",INDEX(Movimientos!$M$2:$M$1994,MATCH(A319&amp;"ENTRADA",Movimientos!$R$2:$R$1994,0))),"S/D")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2595</v>
      </c>
      <c r="B320" s="2" t="str">
        <f>IFERROR(INDEX(Movimientos!$C$2:$C$1994,MATCH(A320&amp;"ENTRADA",Movimientos!$R$2:$R$1994,0)),"-")</f>
        <v>-</v>
      </c>
      <c r="C320" s="2" t="str">
        <f>IFERROR(INDEX(Movimientos!$D$2:$D$1994,MATCH(A320&amp;"ENTRADA",Movimientos!$R$2:$R$1994,0)),"-")</f>
        <v>-</v>
      </c>
      <c r="D320" s="2" t="str">
        <f>IFERROR(INDEX(Movimientos!$E$2:$E$1994,MATCH(A320&amp;"ENTRADA",Movimientos!$R$2:$R$1994,0)),"-")</f>
        <v>-</v>
      </c>
      <c r="E320" s="2" t="str">
        <f>IFERROR(INDEX(Movimientos!$F$2:$F$1994,MATCH(A320&amp;"ENTRADA",Movimientos!$R$2:$R$1994,0)),"-")</f>
        <v>-</v>
      </c>
      <c r="F320" s="2" t="str">
        <f>IFERROR(INDEX(Movimientos!$G$2:$G$1994,MATCH(A320&amp;"ENTRADA",Movimientos!$R$2:$R$1994,0)),"-")</f>
        <v>-</v>
      </c>
      <c r="G320" s="2" t="str">
        <f>IFERROR(INDEX(Movimientos!$L$2:$L$1994,MATCH(A320&amp;"ENTRADA",Movimientos!$R$2:$R$1994,0)),"-")</f>
        <v>-</v>
      </c>
      <c r="H320" s="17" t="str">
        <f>IFERROR(IF(INDEX(Movimientos!$M$2:$M$1994,MATCH(A320&amp;"ENTRADA",Movimientos!$R$2:$R$1994,0))=0,"S/D",INDEX(Movimientos!$M$2:$M$1994,MATCH(A320&amp;"ENTRADA",Movimientos!$R$2:$R$1994,0))),"S/D")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2596</v>
      </c>
      <c r="B321" s="2" t="str">
        <f>IFERROR(INDEX(Movimientos!$C$2:$C$1994,MATCH(A321&amp;"ENTRADA",Movimientos!$R$2:$R$1994,0)),"-")</f>
        <v>-</v>
      </c>
      <c r="C321" s="2" t="str">
        <f>IFERROR(INDEX(Movimientos!$D$2:$D$1994,MATCH(A321&amp;"ENTRADA",Movimientos!$R$2:$R$1994,0)),"-")</f>
        <v>-</v>
      </c>
      <c r="D321" s="2" t="str">
        <f>IFERROR(INDEX(Movimientos!$E$2:$E$1994,MATCH(A321&amp;"ENTRADA",Movimientos!$R$2:$R$1994,0)),"-")</f>
        <v>-</v>
      </c>
      <c r="E321" s="2" t="str">
        <f>IFERROR(INDEX(Movimientos!$F$2:$F$1994,MATCH(A321&amp;"ENTRADA",Movimientos!$R$2:$R$1994,0)),"-")</f>
        <v>-</v>
      </c>
      <c r="F321" s="2" t="str">
        <f>IFERROR(INDEX(Movimientos!$G$2:$G$1994,MATCH(A321&amp;"ENTRADA",Movimientos!$R$2:$R$1994,0)),"-")</f>
        <v>-</v>
      </c>
      <c r="G321" s="2" t="str">
        <f>IFERROR(INDEX(Movimientos!$L$2:$L$1994,MATCH(A321&amp;"ENTRADA",Movimientos!$R$2:$R$1994,0)),"-")</f>
        <v>-</v>
      </c>
      <c r="H321" s="17" t="str">
        <f>IFERROR(IF(INDEX(Movimientos!$M$2:$M$1994,MATCH(A321&amp;"ENTRADA",Movimientos!$R$2:$R$1994,0))=0,"S/D",INDEX(Movimientos!$M$2:$M$1994,MATCH(A321&amp;"ENTRADA",Movimientos!$R$2:$R$1994,0))),"S/D")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2597</v>
      </c>
      <c r="B322" s="2" t="str">
        <f>IFERROR(INDEX(Movimientos!$C$2:$C$1994,MATCH(A322&amp;"ENTRADA",Movimientos!$R$2:$R$1994,0)),"-")</f>
        <v>-</v>
      </c>
      <c r="C322" s="2" t="str">
        <f>IFERROR(INDEX(Movimientos!$D$2:$D$1994,MATCH(A322&amp;"ENTRADA",Movimientos!$R$2:$R$1994,0)),"-")</f>
        <v>-</v>
      </c>
      <c r="D322" s="2" t="str">
        <f>IFERROR(INDEX(Movimientos!$E$2:$E$1994,MATCH(A322&amp;"ENTRADA",Movimientos!$R$2:$R$1994,0)),"-")</f>
        <v>-</v>
      </c>
      <c r="E322" s="2" t="str">
        <f>IFERROR(INDEX(Movimientos!$F$2:$F$1994,MATCH(A322&amp;"ENTRADA",Movimientos!$R$2:$R$1994,0)),"-")</f>
        <v>-</v>
      </c>
      <c r="F322" s="2" t="str">
        <f>IFERROR(INDEX(Movimientos!$G$2:$G$1994,MATCH(A322&amp;"ENTRADA",Movimientos!$R$2:$R$1994,0)),"-")</f>
        <v>-</v>
      </c>
      <c r="G322" s="2" t="str">
        <f>IFERROR(INDEX(Movimientos!$L$2:$L$1994,MATCH(A322&amp;"ENTRADA",Movimientos!$R$2:$R$1994,0)),"-")</f>
        <v>-</v>
      </c>
      <c r="H322" s="17" t="str">
        <f>IFERROR(IF(INDEX(Movimientos!$M$2:$M$1994,MATCH(A322&amp;"ENTRADA",Movimientos!$R$2:$R$1994,0))=0,"S/D",INDEX(Movimientos!$M$2:$M$1994,MATCH(A322&amp;"ENTRADA",Movimientos!$R$2:$R$1994,0))),"S/D")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2598</v>
      </c>
      <c r="B323" s="2" t="str">
        <f>IFERROR(INDEX(Movimientos!$C$2:$C$1994,MATCH(A323&amp;"ENTRADA",Movimientos!$R$2:$R$1994,0)),"-")</f>
        <v>-</v>
      </c>
      <c r="C323" s="2" t="str">
        <f>IFERROR(INDEX(Movimientos!$D$2:$D$1994,MATCH(A323&amp;"ENTRADA",Movimientos!$R$2:$R$1994,0)),"-")</f>
        <v>-</v>
      </c>
      <c r="D323" s="2" t="str">
        <f>IFERROR(INDEX(Movimientos!$E$2:$E$1994,MATCH(A323&amp;"ENTRADA",Movimientos!$R$2:$R$1994,0)),"-")</f>
        <v>-</v>
      </c>
      <c r="E323" s="2" t="str">
        <f>IFERROR(INDEX(Movimientos!$F$2:$F$1994,MATCH(A323&amp;"ENTRADA",Movimientos!$R$2:$R$1994,0)),"-")</f>
        <v>-</v>
      </c>
      <c r="F323" s="2" t="str">
        <f>IFERROR(INDEX(Movimientos!$G$2:$G$1994,MATCH(A323&amp;"ENTRADA",Movimientos!$R$2:$R$1994,0)),"-")</f>
        <v>-</v>
      </c>
      <c r="G323" s="2" t="str">
        <f>IFERROR(INDEX(Movimientos!$L$2:$L$1994,MATCH(A323&amp;"ENTRADA",Movimientos!$R$2:$R$1994,0)),"-")</f>
        <v>-</v>
      </c>
      <c r="H323" s="17" t="str">
        <f>IFERROR(IF(INDEX(Movimientos!$M$2:$M$1994,MATCH(A323&amp;"ENTRADA",Movimientos!$R$2:$R$1994,0))=0,"S/D",INDEX(Movimientos!$M$2:$M$1994,MATCH(A323&amp;"ENTRADA",Movimientos!$R$2:$R$1994,0))),"S/D")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2599</v>
      </c>
      <c r="B324" s="2" t="str">
        <f>IFERROR(INDEX(Movimientos!$C$2:$C$1994,MATCH(A324&amp;"ENTRADA",Movimientos!$R$2:$R$1994,0)),"-")</f>
        <v>-</v>
      </c>
      <c r="C324" s="2" t="str">
        <f>IFERROR(INDEX(Movimientos!$D$2:$D$1994,MATCH(A324&amp;"ENTRADA",Movimientos!$R$2:$R$1994,0)),"-")</f>
        <v>-</v>
      </c>
      <c r="D324" s="2" t="str">
        <f>IFERROR(INDEX(Movimientos!$E$2:$E$1994,MATCH(A324&amp;"ENTRADA",Movimientos!$R$2:$R$1994,0)),"-")</f>
        <v>-</v>
      </c>
      <c r="E324" s="2" t="str">
        <f>IFERROR(INDEX(Movimientos!$F$2:$F$1994,MATCH(A324&amp;"ENTRADA",Movimientos!$R$2:$R$1994,0)),"-")</f>
        <v>-</v>
      </c>
      <c r="F324" s="2" t="str">
        <f>IFERROR(INDEX(Movimientos!$G$2:$G$1994,MATCH(A324&amp;"ENTRADA",Movimientos!$R$2:$R$1994,0)),"-")</f>
        <v>-</v>
      </c>
      <c r="G324" s="2" t="str">
        <f>IFERROR(INDEX(Movimientos!$L$2:$L$1994,MATCH(A324&amp;"ENTRADA",Movimientos!$R$2:$R$1994,0)),"-")</f>
        <v>-</v>
      </c>
      <c r="H324" s="17" t="str">
        <f>IFERROR(IF(INDEX(Movimientos!$M$2:$M$1994,MATCH(A324&amp;"ENTRADA",Movimientos!$R$2:$R$1994,0))=0,"S/D",INDEX(Movimientos!$M$2:$M$1994,MATCH(A324&amp;"ENTRADA",Movimientos!$R$2:$R$1994,0))),"S/D")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2600</v>
      </c>
      <c r="B325" s="2" t="str">
        <f>IFERROR(INDEX(Movimientos!$C$2:$C$1994,MATCH(A325&amp;"ENTRADA",Movimientos!$R$2:$R$1994,0)),"-")</f>
        <v>-</v>
      </c>
      <c r="C325" s="2" t="str">
        <f>IFERROR(INDEX(Movimientos!$D$2:$D$1994,MATCH(A325&amp;"ENTRADA",Movimientos!$R$2:$R$1994,0)),"-")</f>
        <v>-</v>
      </c>
      <c r="D325" s="2" t="str">
        <f>IFERROR(INDEX(Movimientos!$E$2:$E$1994,MATCH(A325&amp;"ENTRADA",Movimientos!$R$2:$R$1994,0)),"-")</f>
        <v>-</v>
      </c>
      <c r="E325" s="2" t="str">
        <f>IFERROR(INDEX(Movimientos!$F$2:$F$1994,MATCH(A325&amp;"ENTRADA",Movimientos!$R$2:$R$1994,0)),"-")</f>
        <v>-</v>
      </c>
      <c r="F325" s="2" t="str">
        <f>IFERROR(INDEX(Movimientos!$G$2:$G$1994,MATCH(A325&amp;"ENTRADA",Movimientos!$R$2:$R$1994,0)),"-")</f>
        <v>-</v>
      </c>
      <c r="G325" s="2" t="str">
        <f>IFERROR(INDEX(Movimientos!$L$2:$L$1994,MATCH(A325&amp;"ENTRADA",Movimientos!$R$2:$R$1994,0)),"-")</f>
        <v>-</v>
      </c>
      <c r="H325" s="17" t="str">
        <f>IFERROR(IF(INDEX(Movimientos!$M$2:$M$1994,MATCH(A325&amp;"ENTRADA",Movimientos!$R$2:$R$1994,0))=0,"S/D",INDEX(Movimientos!$M$2:$M$1994,MATCH(A325&amp;"ENTRADA",Movimientos!$R$2:$R$1994,0))),"S/D")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2601</v>
      </c>
      <c r="B326" s="2" t="str">
        <f>IFERROR(INDEX(Movimientos!$C$2:$C$1994,MATCH(A326&amp;"ENTRADA",Movimientos!$R$2:$R$1994,0)),"-")</f>
        <v>-</v>
      </c>
      <c r="C326" s="2" t="str">
        <f>IFERROR(INDEX(Movimientos!$D$2:$D$1994,MATCH(A326&amp;"ENTRADA",Movimientos!$R$2:$R$1994,0)),"-")</f>
        <v>-</v>
      </c>
      <c r="D326" s="2" t="str">
        <f>IFERROR(INDEX(Movimientos!$E$2:$E$1994,MATCH(A326&amp;"ENTRADA",Movimientos!$R$2:$R$1994,0)),"-")</f>
        <v>-</v>
      </c>
      <c r="E326" s="2" t="str">
        <f>IFERROR(INDEX(Movimientos!$F$2:$F$1994,MATCH(A326&amp;"ENTRADA",Movimientos!$R$2:$R$1994,0)),"-")</f>
        <v>-</v>
      </c>
      <c r="F326" s="2" t="str">
        <f>IFERROR(INDEX(Movimientos!$G$2:$G$1994,MATCH(A326&amp;"ENTRADA",Movimientos!$R$2:$R$1994,0)),"-")</f>
        <v>-</v>
      </c>
      <c r="G326" s="2" t="str">
        <f>IFERROR(INDEX(Movimientos!$L$2:$L$1994,MATCH(A326&amp;"ENTRADA",Movimientos!$R$2:$R$1994,0)),"-")</f>
        <v>-</v>
      </c>
      <c r="H326" s="17" t="str">
        <f>IFERROR(IF(INDEX(Movimientos!$M$2:$M$1994,MATCH(A326&amp;"ENTRADA",Movimientos!$R$2:$R$1994,0))=0,"S/D",INDEX(Movimientos!$M$2:$M$1994,MATCH(A326&amp;"ENTRADA",Movimientos!$R$2:$R$1994,0))),"S/D")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2602</v>
      </c>
      <c r="B327" s="2" t="str">
        <f>IFERROR(INDEX(Movimientos!$C$2:$C$1994,MATCH(A327&amp;"ENTRADA",Movimientos!$R$2:$R$1994,0)),"-")</f>
        <v>-</v>
      </c>
      <c r="C327" s="2" t="str">
        <f>IFERROR(INDEX(Movimientos!$D$2:$D$1994,MATCH(A327&amp;"ENTRADA",Movimientos!$R$2:$R$1994,0)),"-")</f>
        <v>-</v>
      </c>
      <c r="D327" s="2" t="str">
        <f>IFERROR(INDEX(Movimientos!$E$2:$E$1994,MATCH(A327&amp;"ENTRADA",Movimientos!$R$2:$R$1994,0)),"-")</f>
        <v>-</v>
      </c>
      <c r="E327" s="2" t="str">
        <f>IFERROR(INDEX(Movimientos!$F$2:$F$1994,MATCH(A327&amp;"ENTRADA",Movimientos!$R$2:$R$1994,0)),"-")</f>
        <v>-</v>
      </c>
      <c r="F327" s="2" t="str">
        <f>IFERROR(INDEX(Movimientos!$G$2:$G$1994,MATCH(A327&amp;"ENTRADA",Movimientos!$R$2:$R$1994,0)),"-")</f>
        <v>-</v>
      </c>
      <c r="G327" s="2" t="str">
        <f>IFERROR(INDEX(Movimientos!$L$2:$L$1994,MATCH(A327&amp;"ENTRADA",Movimientos!$R$2:$R$1994,0)),"-")</f>
        <v>-</v>
      </c>
      <c r="H327" s="17" t="str">
        <f>IFERROR(IF(INDEX(Movimientos!$M$2:$M$1994,MATCH(A327&amp;"ENTRADA",Movimientos!$R$2:$R$1994,0))=0,"S/D",INDEX(Movimientos!$M$2:$M$1994,MATCH(A327&amp;"ENTRADA",Movimientos!$R$2:$R$1994,0))),"S/D")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2603</v>
      </c>
      <c r="B328" s="2" t="str">
        <f>IFERROR(INDEX(Movimientos!$C$2:$C$1994,MATCH(A328&amp;"ENTRADA",Movimientos!$R$2:$R$1994,0)),"-")</f>
        <v>-</v>
      </c>
      <c r="C328" s="2" t="str">
        <f>IFERROR(INDEX(Movimientos!$D$2:$D$1994,MATCH(A328&amp;"ENTRADA",Movimientos!$R$2:$R$1994,0)),"-")</f>
        <v>-</v>
      </c>
      <c r="D328" s="2" t="str">
        <f>IFERROR(INDEX(Movimientos!$E$2:$E$1994,MATCH(A328&amp;"ENTRADA",Movimientos!$R$2:$R$1994,0)),"-")</f>
        <v>-</v>
      </c>
      <c r="E328" s="2" t="str">
        <f>IFERROR(INDEX(Movimientos!$F$2:$F$1994,MATCH(A328&amp;"ENTRADA",Movimientos!$R$2:$R$1994,0)),"-")</f>
        <v>-</v>
      </c>
      <c r="F328" s="2" t="str">
        <f>IFERROR(INDEX(Movimientos!$G$2:$G$1994,MATCH(A328&amp;"ENTRADA",Movimientos!$R$2:$R$1994,0)),"-")</f>
        <v>-</v>
      </c>
      <c r="G328" s="2" t="str">
        <f>IFERROR(INDEX(Movimientos!$L$2:$L$1994,MATCH(A328&amp;"ENTRADA",Movimientos!$R$2:$R$1994,0)),"-")</f>
        <v>-</v>
      </c>
      <c r="H328" s="17" t="str">
        <f>IFERROR(IF(INDEX(Movimientos!$M$2:$M$1994,MATCH(A328&amp;"ENTRADA",Movimientos!$R$2:$R$1994,0))=0,"S/D",INDEX(Movimientos!$M$2:$M$1994,MATCH(A328&amp;"ENTRADA",Movimientos!$R$2:$R$1994,0))),"S/D")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2604</v>
      </c>
      <c r="B329" s="2" t="str">
        <f>IFERROR(INDEX(Movimientos!$C$2:$C$1994,MATCH(A329&amp;"ENTRADA",Movimientos!$R$2:$R$1994,0)),"-")</f>
        <v>-</v>
      </c>
      <c r="C329" s="2" t="str">
        <f>IFERROR(INDEX(Movimientos!$D$2:$D$1994,MATCH(A329&amp;"ENTRADA",Movimientos!$R$2:$R$1994,0)),"-")</f>
        <v>-</v>
      </c>
      <c r="D329" s="2" t="str">
        <f>IFERROR(INDEX(Movimientos!$E$2:$E$1994,MATCH(A329&amp;"ENTRADA",Movimientos!$R$2:$R$1994,0)),"-")</f>
        <v>-</v>
      </c>
      <c r="E329" s="2" t="str">
        <f>IFERROR(INDEX(Movimientos!$F$2:$F$1994,MATCH(A329&amp;"ENTRADA",Movimientos!$R$2:$R$1994,0)),"-")</f>
        <v>-</v>
      </c>
      <c r="F329" s="2" t="str">
        <f>IFERROR(INDEX(Movimientos!$G$2:$G$1994,MATCH(A329&amp;"ENTRADA",Movimientos!$R$2:$R$1994,0)),"-")</f>
        <v>-</v>
      </c>
      <c r="G329" s="2" t="str">
        <f>IFERROR(INDEX(Movimientos!$L$2:$L$1994,MATCH(A329&amp;"ENTRADA",Movimientos!$R$2:$R$1994,0)),"-")</f>
        <v>-</v>
      </c>
      <c r="H329" s="17" t="str">
        <f>IFERROR(IF(INDEX(Movimientos!$M$2:$M$1994,MATCH(A329&amp;"ENTRADA",Movimientos!$R$2:$R$1994,0))=0,"S/D",INDEX(Movimientos!$M$2:$M$1994,MATCH(A329&amp;"ENTRADA",Movimientos!$R$2:$R$1994,0))),"S/D")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2605</v>
      </c>
      <c r="B330" s="2" t="str">
        <f>IFERROR(INDEX(Movimientos!$C$2:$C$1994,MATCH(A330&amp;"ENTRADA",Movimientos!$R$2:$R$1994,0)),"-")</f>
        <v>-</v>
      </c>
      <c r="C330" s="2" t="str">
        <f>IFERROR(INDEX(Movimientos!$D$2:$D$1994,MATCH(A330&amp;"ENTRADA",Movimientos!$R$2:$R$1994,0)),"-")</f>
        <v>-</v>
      </c>
      <c r="D330" s="2" t="str">
        <f>IFERROR(INDEX(Movimientos!$E$2:$E$1994,MATCH(A330&amp;"ENTRADA",Movimientos!$R$2:$R$1994,0)),"-")</f>
        <v>-</v>
      </c>
      <c r="E330" s="2" t="str">
        <f>IFERROR(INDEX(Movimientos!$F$2:$F$1994,MATCH(A330&amp;"ENTRADA",Movimientos!$R$2:$R$1994,0)),"-")</f>
        <v>-</v>
      </c>
      <c r="F330" s="2" t="str">
        <f>IFERROR(INDEX(Movimientos!$G$2:$G$1994,MATCH(A330&amp;"ENTRADA",Movimientos!$R$2:$R$1994,0)),"-")</f>
        <v>-</v>
      </c>
      <c r="G330" s="2" t="str">
        <f>IFERROR(INDEX(Movimientos!$L$2:$L$1994,MATCH(A330&amp;"ENTRADA",Movimientos!$R$2:$R$1994,0)),"-")</f>
        <v>-</v>
      </c>
      <c r="H330" s="17" t="str">
        <f>IFERROR(IF(INDEX(Movimientos!$M$2:$M$1994,MATCH(A330&amp;"ENTRADA",Movimientos!$R$2:$R$1994,0))=0,"S/D",INDEX(Movimientos!$M$2:$M$1994,MATCH(A330&amp;"ENTRADA",Movimientos!$R$2:$R$1994,0))),"S/D")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2606</v>
      </c>
      <c r="B331" s="2" t="str">
        <f>IFERROR(INDEX(Movimientos!$C$2:$C$1994,MATCH(A331&amp;"ENTRADA",Movimientos!$R$2:$R$1994,0)),"-")</f>
        <v>-</v>
      </c>
      <c r="C331" s="2" t="str">
        <f>IFERROR(INDEX(Movimientos!$D$2:$D$1994,MATCH(A331&amp;"ENTRADA",Movimientos!$R$2:$R$1994,0)),"-")</f>
        <v>-</v>
      </c>
      <c r="D331" s="2" t="str">
        <f>IFERROR(INDEX(Movimientos!$E$2:$E$1994,MATCH(A331&amp;"ENTRADA",Movimientos!$R$2:$R$1994,0)),"-")</f>
        <v>-</v>
      </c>
      <c r="E331" s="2" t="str">
        <f>IFERROR(INDEX(Movimientos!$F$2:$F$1994,MATCH(A331&amp;"ENTRADA",Movimientos!$R$2:$R$1994,0)),"-")</f>
        <v>-</v>
      </c>
      <c r="F331" s="2" t="str">
        <f>IFERROR(INDEX(Movimientos!$G$2:$G$1994,MATCH(A331&amp;"ENTRADA",Movimientos!$R$2:$R$1994,0)),"-")</f>
        <v>-</v>
      </c>
      <c r="G331" s="2" t="str">
        <f>IFERROR(INDEX(Movimientos!$L$2:$L$1994,MATCH(A331&amp;"ENTRADA",Movimientos!$R$2:$R$1994,0)),"-")</f>
        <v>-</v>
      </c>
      <c r="H331" s="17" t="str">
        <f>IFERROR(IF(INDEX(Movimientos!$M$2:$M$1994,MATCH(A331&amp;"ENTRADA",Movimientos!$R$2:$R$1994,0))=0,"S/D",INDEX(Movimientos!$M$2:$M$1994,MATCH(A331&amp;"ENTRADA",Movimientos!$R$2:$R$1994,0))),"S/D")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2607</v>
      </c>
      <c r="B332" s="2" t="str">
        <f>IFERROR(INDEX(Movimientos!$C$2:$C$1994,MATCH(A332&amp;"ENTRADA",Movimientos!$R$2:$R$1994,0)),"-")</f>
        <v>-</v>
      </c>
      <c r="C332" s="2" t="str">
        <f>IFERROR(INDEX(Movimientos!$D$2:$D$1994,MATCH(A332&amp;"ENTRADA",Movimientos!$R$2:$R$1994,0)),"-")</f>
        <v>-</v>
      </c>
      <c r="D332" s="2" t="str">
        <f>IFERROR(INDEX(Movimientos!$E$2:$E$1994,MATCH(A332&amp;"ENTRADA",Movimientos!$R$2:$R$1994,0)),"-")</f>
        <v>-</v>
      </c>
      <c r="E332" s="2" t="str">
        <f>IFERROR(INDEX(Movimientos!$F$2:$F$1994,MATCH(A332&amp;"ENTRADA",Movimientos!$R$2:$R$1994,0)),"-")</f>
        <v>-</v>
      </c>
      <c r="F332" s="2" t="str">
        <f>IFERROR(INDEX(Movimientos!$G$2:$G$1994,MATCH(A332&amp;"ENTRADA",Movimientos!$R$2:$R$1994,0)),"-")</f>
        <v>-</v>
      </c>
      <c r="G332" s="2" t="str">
        <f>IFERROR(INDEX(Movimientos!$L$2:$L$1994,MATCH(A332&amp;"ENTRADA",Movimientos!$R$2:$R$1994,0)),"-")</f>
        <v>-</v>
      </c>
      <c r="H332" s="17" t="str">
        <f>IFERROR(IF(INDEX(Movimientos!$M$2:$M$1994,MATCH(A332&amp;"ENTRADA",Movimientos!$R$2:$R$1994,0))=0,"S/D",INDEX(Movimientos!$M$2:$M$1994,MATCH(A332&amp;"ENTRADA",Movimientos!$R$2:$R$1994,0))),"S/D")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2608</v>
      </c>
      <c r="B333" s="2" t="str">
        <f>IFERROR(INDEX(Movimientos!$C$2:$C$1994,MATCH(A333&amp;"ENTRADA",Movimientos!$R$2:$R$1994,0)),"-")</f>
        <v>-</v>
      </c>
      <c r="C333" s="2" t="str">
        <f>IFERROR(INDEX(Movimientos!$D$2:$D$1994,MATCH(A333&amp;"ENTRADA",Movimientos!$R$2:$R$1994,0)),"-")</f>
        <v>-</v>
      </c>
      <c r="D333" s="2" t="str">
        <f>IFERROR(INDEX(Movimientos!$E$2:$E$1994,MATCH(A333&amp;"ENTRADA",Movimientos!$R$2:$R$1994,0)),"-")</f>
        <v>-</v>
      </c>
      <c r="E333" s="2" t="str">
        <f>IFERROR(INDEX(Movimientos!$F$2:$F$1994,MATCH(A333&amp;"ENTRADA",Movimientos!$R$2:$R$1994,0)),"-")</f>
        <v>-</v>
      </c>
      <c r="F333" s="2" t="str">
        <f>IFERROR(INDEX(Movimientos!$G$2:$G$1994,MATCH(A333&amp;"ENTRADA",Movimientos!$R$2:$R$1994,0)),"-")</f>
        <v>-</v>
      </c>
      <c r="G333" s="2" t="str">
        <f>IFERROR(INDEX(Movimientos!$L$2:$L$1994,MATCH(A333&amp;"ENTRADA",Movimientos!$R$2:$R$1994,0)),"-")</f>
        <v>-</v>
      </c>
      <c r="H333" s="17" t="str">
        <f>IFERROR(IF(INDEX(Movimientos!$M$2:$M$1994,MATCH(A333&amp;"ENTRADA",Movimientos!$R$2:$R$1994,0))=0,"S/D",INDEX(Movimientos!$M$2:$M$1994,MATCH(A333&amp;"ENTRADA",Movimientos!$R$2:$R$1994,0))),"S/D")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2609</v>
      </c>
      <c r="B334" s="2" t="str">
        <f>IFERROR(INDEX(Movimientos!$C$2:$C$1994,MATCH(A334&amp;"ENTRADA",Movimientos!$R$2:$R$1994,0)),"-")</f>
        <v>-</v>
      </c>
      <c r="C334" s="2" t="str">
        <f>IFERROR(INDEX(Movimientos!$D$2:$D$1994,MATCH(A334&amp;"ENTRADA",Movimientos!$R$2:$R$1994,0)),"-")</f>
        <v>-</v>
      </c>
      <c r="D334" s="2" t="str">
        <f>IFERROR(INDEX(Movimientos!$E$2:$E$1994,MATCH(A334&amp;"ENTRADA",Movimientos!$R$2:$R$1994,0)),"-")</f>
        <v>-</v>
      </c>
      <c r="E334" s="2" t="str">
        <f>IFERROR(INDEX(Movimientos!$F$2:$F$1994,MATCH(A334&amp;"ENTRADA",Movimientos!$R$2:$R$1994,0)),"-")</f>
        <v>-</v>
      </c>
      <c r="F334" s="2" t="str">
        <f>IFERROR(INDEX(Movimientos!$G$2:$G$1994,MATCH(A334&amp;"ENTRADA",Movimientos!$R$2:$R$1994,0)),"-")</f>
        <v>-</v>
      </c>
      <c r="G334" s="2" t="str">
        <f>IFERROR(INDEX(Movimientos!$L$2:$L$1994,MATCH(A334&amp;"ENTRADA",Movimientos!$R$2:$R$1994,0)),"-")</f>
        <v>-</v>
      </c>
      <c r="H334" s="17" t="str">
        <f>IFERROR(IF(INDEX(Movimientos!$M$2:$M$1994,MATCH(A334&amp;"ENTRADA",Movimientos!$R$2:$R$1994,0))=0,"S/D",INDEX(Movimientos!$M$2:$M$1994,MATCH(A334&amp;"ENTRADA",Movimientos!$R$2:$R$1994,0))),"S/D")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2610</v>
      </c>
      <c r="B335" s="2" t="str">
        <f>IFERROR(INDEX(Movimientos!$C$2:$C$1994,MATCH(A335&amp;"ENTRADA",Movimientos!$R$2:$R$1994,0)),"-")</f>
        <v>-</v>
      </c>
      <c r="C335" s="2" t="str">
        <f>IFERROR(INDEX(Movimientos!$D$2:$D$1994,MATCH(A335&amp;"ENTRADA",Movimientos!$R$2:$R$1994,0)),"-")</f>
        <v>-</v>
      </c>
      <c r="D335" s="2" t="str">
        <f>IFERROR(INDEX(Movimientos!$E$2:$E$1994,MATCH(A335&amp;"ENTRADA",Movimientos!$R$2:$R$1994,0)),"-")</f>
        <v>-</v>
      </c>
      <c r="E335" s="2" t="str">
        <f>IFERROR(INDEX(Movimientos!$F$2:$F$1994,MATCH(A335&amp;"ENTRADA",Movimientos!$R$2:$R$1994,0)),"-")</f>
        <v>-</v>
      </c>
      <c r="F335" s="2" t="str">
        <f>IFERROR(INDEX(Movimientos!$G$2:$G$1994,MATCH(A335&amp;"ENTRADA",Movimientos!$R$2:$R$1994,0)),"-")</f>
        <v>-</v>
      </c>
      <c r="G335" s="2" t="str">
        <f>IFERROR(INDEX(Movimientos!$L$2:$L$1994,MATCH(A335&amp;"ENTRADA",Movimientos!$R$2:$R$1994,0)),"-")</f>
        <v>-</v>
      </c>
      <c r="H335" s="17" t="str">
        <f>IFERROR(IF(INDEX(Movimientos!$M$2:$M$1994,MATCH(A335&amp;"ENTRADA",Movimientos!$R$2:$R$1994,0))=0,"S/D",INDEX(Movimientos!$M$2:$M$1994,MATCH(A335&amp;"ENTRADA",Movimientos!$R$2:$R$1994,0))),"S/D")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2611</v>
      </c>
      <c r="B336" s="2" t="str">
        <f>IFERROR(INDEX(Movimientos!$C$2:$C$1994,MATCH(A336&amp;"ENTRADA",Movimientos!$R$2:$R$1994,0)),"-")</f>
        <v>-</v>
      </c>
      <c r="C336" s="2" t="str">
        <f>IFERROR(INDEX(Movimientos!$D$2:$D$1994,MATCH(A336&amp;"ENTRADA",Movimientos!$R$2:$R$1994,0)),"-")</f>
        <v>-</v>
      </c>
      <c r="D336" s="2" t="str">
        <f>IFERROR(INDEX(Movimientos!$E$2:$E$1994,MATCH(A336&amp;"ENTRADA",Movimientos!$R$2:$R$1994,0)),"-")</f>
        <v>-</v>
      </c>
      <c r="E336" s="2" t="str">
        <f>IFERROR(INDEX(Movimientos!$F$2:$F$1994,MATCH(A336&amp;"ENTRADA",Movimientos!$R$2:$R$1994,0)),"-")</f>
        <v>-</v>
      </c>
      <c r="F336" s="2" t="str">
        <f>IFERROR(INDEX(Movimientos!$G$2:$G$1994,MATCH(A336&amp;"ENTRADA",Movimientos!$R$2:$R$1994,0)),"-")</f>
        <v>-</v>
      </c>
      <c r="G336" s="2" t="str">
        <f>IFERROR(INDEX(Movimientos!$L$2:$L$1994,MATCH(A336&amp;"ENTRADA",Movimientos!$R$2:$R$1994,0)),"-")</f>
        <v>-</v>
      </c>
      <c r="H336" s="17" t="str">
        <f>IFERROR(IF(INDEX(Movimientos!$M$2:$M$1994,MATCH(A336&amp;"ENTRADA",Movimientos!$R$2:$R$1994,0))=0,"S/D",INDEX(Movimientos!$M$2:$M$1994,MATCH(A336&amp;"ENTRADA",Movimientos!$R$2:$R$1994,0))),"S/D")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2612</v>
      </c>
      <c r="B337" s="2" t="str">
        <f>IFERROR(INDEX(Movimientos!$C$2:$C$1994,MATCH(A337&amp;"ENTRADA",Movimientos!$R$2:$R$1994,0)),"-")</f>
        <v>-</v>
      </c>
      <c r="C337" s="2" t="str">
        <f>IFERROR(INDEX(Movimientos!$D$2:$D$1994,MATCH(A337&amp;"ENTRADA",Movimientos!$R$2:$R$1994,0)),"-")</f>
        <v>-</v>
      </c>
      <c r="D337" s="2" t="str">
        <f>IFERROR(INDEX(Movimientos!$E$2:$E$1994,MATCH(A337&amp;"ENTRADA",Movimientos!$R$2:$R$1994,0)),"-")</f>
        <v>-</v>
      </c>
      <c r="E337" s="2" t="str">
        <f>IFERROR(INDEX(Movimientos!$F$2:$F$1994,MATCH(A337&amp;"ENTRADA",Movimientos!$R$2:$R$1994,0)),"-")</f>
        <v>-</v>
      </c>
      <c r="F337" s="2" t="str">
        <f>IFERROR(INDEX(Movimientos!$G$2:$G$1994,MATCH(A337&amp;"ENTRADA",Movimientos!$R$2:$R$1994,0)),"-")</f>
        <v>-</v>
      </c>
      <c r="G337" s="2" t="str">
        <f>IFERROR(INDEX(Movimientos!$L$2:$L$1994,MATCH(A337&amp;"ENTRADA",Movimientos!$R$2:$R$1994,0)),"-")</f>
        <v>-</v>
      </c>
      <c r="H337" s="17" t="str">
        <f>IFERROR(IF(INDEX(Movimientos!$M$2:$M$1994,MATCH(A337&amp;"ENTRADA",Movimientos!$R$2:$R$1994,0))=0,"S/D",INDEX(Movimientos!$M$2:$M$1994,MATCH(A337&amp;"ENTRADA",Movimientos!$R$2:$R$1994,0))),"S/D")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2613</v>
      </c>
      <c r="B338" s="2" t="str">
        <f>IFERROR(INDEX(Movimientos!$C$2:$C$1994,MATCH(A338&amp;"ENTRADA",Movimientos!$R$2:$R$1994,0)),"-")</f>
        <v>-</v>
      </c>
      <c r="C338" s="2" t="str">
        <f>IFERROR(INDEX(Movimientos!$D$2:$D$1994,MATCH(A338&amp;"ENTRADA",Movimientos!$R$2:$R$1994,0)),"-")</f>
        <v>-</v>
      </c>
      <c r="D338" s="2" t="str">
        <f>IFERROR(INDEX(Movimientos!$E$2:$E$1994,MATCH(A338&amp;"ENTRADA",Movimientos!$R$2:$R$1994,0)),"-")</f>
        <v>-</v>
      </c>
      <c r="E338" s="2" t="str">
        <f>IFERROR(INDEX(Movimientos!$F$2:$F$1994,MATCH(A338&amp;"ENTRADA",Movimientos!$R$2:$R$1994,0)),"-")</f>
        <v>-</v>
      </c>
      <c r="F338" s="2" t="str">
        <f>IFERROR(INDEX(Movimientos!$G$2:$G$1994,MATCH(A338&amp;"ENTRADA",Movimientos!$R$2:$R$1994,0)),"-")</f>
        <v>-</v>
      </c>
      <c r="G338" s="2" t="str">
        <f>IFERROR(INDEX(Movimientos!$L$2:$L$1994,MATCH(A338&amp;"ENTRADA",Movimientos!$R$2:$R$1994,0)),"-")</f>
        <v>-</v>
      </c>
      <c r="H338" s="17" t="str">
        <f>IFERROR(IF(INDEX(Movimientos!$M$2:$M$1994,MATCH(A338&amp;"ENTRADA",Movimientos!$R$2:$R$1994,0))=0,"S/D",INDEX(Movimientos!$M$2:$M$1994,MATCH(A338&amp;"ENTRADA",Movimientos!$R$2:$R$1994,0))),"S/D")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2614</v>
      </c>
      <c r="B339" s="2" t="str">
        <f>IFERROR(INDEX(Movimientos!$C$2:$C$1994,MATCH(A339&amp;"ENTRADA",Movimientos!$R$2:$R$1994,0)),"-")</f>
        <v>-</v>
      </c>
      <c r="C339" s="2" t="str">
        <f>IFERROR(INDEX(Movimientos!$D$2:$D$1994,MATCH(A339&amp;"ENTRADA",Movimientos!$R$2:$R$1994,0)),"-")</f>
        <v>-</v>
      </c>
      <c r="D339" s="2" t="str">
        <f>IFERROR(INDEX(Movimientos!$E$2:$E$1994,MATCH(A339&amp;"ENTRADA",Movimientos!$R$2:$R$1994,0)),"-")</f>
        <v>-</v>
      </c>
      <c r="E339" s="2" t="str">
        <f>IFERROR(INDEX(Movimientos!$F$2:$F$1994,MATCH(A339&amp;"ENTRADA",Movimientos!$R$2:$R$1994,0)),"-")</f>
        <v>-</v>
      </c>
      <c r="F339" s="2" t="str">
        <f>IFERROR(INDEX(Movimientos!$G$2:$G$1994,MATCH(A339&amp;"ENTRADA",Movimientos!$R$2:$R$1994,0)),"-")</f>
        <v>-</v>
      </c>
      <c r="G339" s="2" t="str">
        <f>IFERROR(INDEX(Movimientos!$L$2:$L$1994,MATCH(A339&amp;"ENTRADA",Movimientos!$R$2:$R$1994,0)),"-")</f>
        <v>-</v>
      </c>
      <c r="H339" s="17" t="str">
        <f>IFERROR(IF(INDEX(Movimientos!$M$2:$M$1994,MATCH(A339&amp;"ENTRADA",Movimientos!$R$2:$R$1994,0))=0,"S/D",INDEX(Movimientos!$M$2:$M$1994,MATCH(A339&amp;"ENTRADA",Movimientos!$R$2:$R$1994,0))),"S/D")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2615</v>
      </c>
      <c r="B340" s="2" t="str">
        <f>IFERROR(INDEX(Movimientos!$C$2:$C$1994,MATCH(A340&amp;"ENTRADA",Movimientos!$R$2:$R$1994,0)),"-")</f>
        <v>-</v>
      </c>
      <c r="C340" s="2" t="str">
        <f>IFERROR(INDEX(Movimientos!$D$2:$D$1994,MATCH(A340&amp;"ENTRADA",Movimientos!$R$2:$R$1994,0)),"-")</f>
        <v>-</v>
      </c>
      <c r="D340" s="2" t="str">
        <f>IFERROR(INDEX(Movimientos!$E$2:$E$1994,MATCH(A340&amp;"ENTRADA",Movimientos!$R$2:$R$1994,0)),"-")</f>
        <v>-</v>
      </c>
      <c r="E340" s="2" t="str">
        <f>IFERROR(INDEX(Movimientos!$F$2:$F$1994,MATCH(A340&amp;"ENTRADA",Movimientos!$R$2:$R$1994,0)),"-")</f>
        <v>-</v>
      </c>
      <c r="F340" s="2" t="str">
        <f>IFERROR(INDEX(Movimientos!$G$2:$G$1994,MATCH(A340&amp;"ENTRADA",Movimientos!$R$2:$R$1994,0)),"-")</f>
        <v>-</v>
      </c>
      <c r="G340" s="2" t="str">
        <f>IFERROR(INDEX(Movimientos!$L$2:$L$1994,MATCH(A340&amp;"ENTRADA",Movimientos!$R$2:$R$1994,0)),"-")</f>
        <v>-</v>
      </c>
      <c r="H340" s="17" t="str">
        <f>IFERROR(IF(INDEX(Movimientos!$M$2:$M$1994,MATCH(A340&amp;"ENTRADA",Movimientos!$R$2:$R$1994,0))=0,"S/D",INDEX(Movimientos!$M$2:$M$1994,MATCH(A340&amp;"ENTRADA",Movimientos!$R$2:$R$1994,0))),"S/D")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2616</v>
      </c>
      <c r="B341" s="2" t="str">
        <f>IFERROR(INDEX(Movimientos!$C$2:$C$1994,MATCH(A341&amp;"ENTRADA",Movimientos!$R$2:$R$1994,0)),"-")</f>
        <v>-</v>
      </c>
      <c r="C341" s="2" t="str">
        <f>IFERROR(INDEX(Movimientos!$D$2:$D$1994,MATCH(A341&amp;"ENTRADA",Movimientos!$R$2:$R$1994,0)),"-")</f>
        <v>-</v>
      </c>
      <c r="D341" s="2" t="str">
        <f>IFERROR(INDEX(Movimientos!$E$2:$E$1994,MATCH(A341&amp;"ENTRADA",Movimientos!$R$2:$R$1994,0)),"-")</f>
        <v>-</v>
      </c>
      <c r="E341" s="2" t="str">
        <f>IFERROR(INDEX(Movimientos!$F$2:$F$1994,MATCH(A341&amp;"ENTRADA",Movimientos!$R$2:$R$1994,0)),"-")</f>
        <v>-</v>
      </c>
      <c r="F341" s="2" t="str">
        <f>IFERROR(INDEX(Movimientos!$G$2:$G$1994,MATCH(A341&amp;"ENTRADA",Movimientos!$R$2:$R$1994,0)),"-")</f>
        <v>-</v>
      </c>
      <c r="G341" s="2" t="str">
        <f>IFERROR(INDEX(Movimientos!$L$2:$L$1994,MATCH(A341&amp;"ENTRADA",Movimientos!$R$2:$R$1994,0)),"-")</f>
        <v>-</v>
      </c>
      <c r="H341" s="17" t="str">
        <f>IFERROR(IF(INDEX(Movimientos!$M$2:$M$1994,MATCH(A341&amp;"ENTRADA",Movimientos!$R$2:$R$1994,0))=0,"S/D",INDEX(Movimientos!$M$2:$M$1994,MATCH(A341&amp;"ENTRADA",Movimientos!$R$2:$R$1994,0))),"S/D")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2617</v>
      </c>
      <c r="B342" s="2" t="str">
        <f>IFERROR(INDEX(Movimientos!$C$2:$C$1994,MATCH(A342&amp;"ENTRADA",Movimientos!$R$2:$R$1994,0)),"-")</f>
        <v>-</v>
      </c>
      <c r="C342" s="2" t="str">
        <f>IFERROR(INDEX(Movimientos!$D$2:$D$1994,MATCH(A342&amp;"ENTRADA",Movimientos!$R$2:$R$1994,0)),"-")</f>
        <v>-</v>
      </c>
      <c r="D342" s="2" t="str">
        <f>IFERROR(INDEX(Movimientos!$E$2:$E$1994,MATCH(A342&amp;"ENTRADA",Movimientos!$R$2:$R$1994,0)),"-")</f>
        <v>-</v>
      </c>
      <c r="E342" s="2" t="str">
        <f>IFERROR(INDEX(Movimientos!$F$2:$F$1994,MATCH(A342&amp;"ENTRADA",Movimientos!$R$2:$R$1994,0)),"-")</f>
        <v>-</v>
      </c>
      <c r="F342" s="2" t="str">
        <f>IFERROR(INDEX(Movimientos!$G$2:$G$1994,MATCH(A342&amp;"ENTRADA",Movimientos!$R$2:$R$1994,0)),"-")</f>
        <v>-</v>
      </c>
      <c r="G342" s="2" t="str">
        <f>IFERROR(INDEX(Movimientos!$L$2:$L$1994,MATCH(A342&amp;"ENTRADA",Movimientos!$R$2:$R$1994,0)),"-")</f>
        <v>-</v>
      </c>
      <c r="H342" s="17" t="str">
        <f>IFERROR(IF(INDEX(Movimientos!$M$2:$M$1994,MATCH(A342&amp;"ENTRADA",Movimientos!$R$2:$R$1994,0))=0,"S/D",INDEX(Movimientos!$M$2:$M$1994,MATCH(A342&amp;"ENTRADA",Movimientos!$R$2:$R$1994,0))),"S/D")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2618</v>
      </c>
      <c r="B343" s="2" t="str">
        <f>IFERROR(INDEX(Movimientos!$C$2:$C$1994,MATCH(A343&amp;"ENTRADA",Movimientos!$R$2:$R$1994,0)),"-")</f>
        <v>-</v>
      </c>
      <c r="C343" s="2" t="str">
        <f>IFERROR(INDEX(Movimientos!$D$2:$D$1994,MATCH(A343&amp;"ENTRADA",Movimientos!$R$2:$R$1994,0)),"-")</f>
        <v>-</v>
      </c>
      <c r="D343" s="2" t="str">
        <f>IFERROR(INDEX(Movimientos!$E$2:$E$1994,MATCH(A343&amp;"ENTRADA",Movimientos!$R$2:$R$1994,0)),"-")</f>
        <v>-</v>
      </c>
      <c r="E343" s="2" t="str">
        <f>IFERROR(INDEX(Movimientos!$F$2:$F$1994,MATCH(A343&amp;"ENTRADA",Movimientos!$R$2:$R$1994,0)),"-")</f>
        <v>-</v>
      </c>
      <c r="F343" s="2" t="str">
        <f>IFERROR(INDEX(Movimientos!$G$2:$G$1994,MATCH(A343&amp;"ENTRADA",Movimientos!$R$2:$R$1994,0)),"-")</f>
        <v>-</v>
      </c>
      <c r="G343" s="2" t="str">
        <f>IFERROR(INDEX(Movimientos!$L$2:$L$1994,MATCH(A343&amp;"ENTRADA",Movimientos!$R$2:$R$1994,0)),"-")</f>
        <v>-</v>
      </c>
      <c r="H343" s="17" t="str">
        <f>IFERROR(IF(INDEX(Movimientos!$M$2:$M$1994,MATCH(A343&amp;"ENTRADA",Movimientos!$R$2:$R$1994,0))=0,"S/D",INDEX(Movimientos!$M$2:$M$1994,MATCH(A343&amp;"ENTRADA",Movimientos!$R$2:$R$1994,0))),"S/D")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2619</v>
      </c>
      <c r="B344" s="2" t="str">
        <f>IFERROR(INDEX(Movimientos!$C$2:$C$1994,MATCH(A344&amp;"ENTRADA",Movimientos!$R$2:$R$1994,0)),"-")</f>
        <v>-</v>
      </c>
      <c r="C344" s="2" t="str">
        <f>IFERROR(INDEX(Movimientos!$D$2:$D$1994,MATCH(A344&amp;"ENTRADA",Movimientos!$R$2:$R$1994,0)),"-")</f>
        <v>-</v>
      </c>
      <c r="D344" s="2" t="str">
        <f>IFERROR(INDEX(Movimientos!$E$2:$E$1994,MATCH(A344&amp;"ENTRADA",Movimientos!$R$2:$R$1994,0)),"-")</f>
        <v>-</v>
      </c>
      <c r="E344" s="2" t="str">
        <f>IFERROR(INDEX(Movimientos!$F$2:$F$1994,MATCH(A344&amp;"ENTRADA",Movimientos!$R$2:$R$1994,0)),"-")</f>
        <v>-</v>
      </c>
      <c r="F344" s="2" t="str">
        <f>IFERROR(INDEX(Movimientos!$G$2:$G$1994,MATCH(A344&amp;"ENTRADA",Movimientos!$R$2:$R$1994,0)),"-")</f>
        <v>-</v>
      </c>
      <c r="G344" s="2" t="str">
        <f>IFERROR(INDEX(Movimientos!$L$2:$L$1994,MATCH(A344&amp;"ENTRADA",Movimientos!$R$2:$R$1994,0)),"-")</f>
        <v>-</v>
      </c>
      <c r="H344" s="17" t="str">
        <f>IFERROR(IF(INDEX(Movimientos!$M$2:$M$1994,MATCH(A344&amp;"ENTRADA",Movimientos!$R$2:$R$1994,0))=0,"S/D",INDEX(Movimientos!$M$2:$M$1994,MATCH(A344&amp;"ENTRADA",Movimientos!$R$2:$R$1994,0))),"S/D")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2620</v>
      </c>
      <c r="B345" s="2" t="str">
        <f>IFERROR(INDEX(Movimientos!$C$2:$C$1994,MATCH(A345&amp;"ENTRADA",Movimientos!$R$2:$R$1994,0)),"-")</f>
        <v>-</v>
      </c>
      <c r="C345" s="2" t="str">
        <f>IFERROR(INDEX(Movimientos!$D$2:$D$1994,MATCH(A345&amp;"ENTRADA",Movimientos!$R$2:$R$1994,0)),"-")</f>
        <v>-</v>
      </c>
      <c r="D345" s="2" t="str">
        <f>IFERROR(INDEX(Movimientos!$E$2:$E$1994,MATCH(A345&amp;"ENTRADA",Movimientos!$R$2:$R$1994,0)),"-")</f>
        <v>-</v>
      </c>
      <c r="E345" s="2" t="str">
        <f>IFERROR(INDEX(Movimientos!$F$2:$F$1994,MATCH(A345&amp;"ENTRADA",Movimientos!$R$2:$R$1994,0)),"-")</f>
        <v>-</v>
      </c>
      <c r="F345" s="2" t="str">
        <f>IFERROR(INDEX(Movimientos!$G$2:$G$1994,MATCH(A345&amp;"ENTRADA",Movimientos!$R$2:$R$1994,0)),"-")</f>
        <v>-</v>
      </c>
      <c r="G345" s="2" t="str">
        <f>IFERROR(INDEX(Movimientos!$L$2:$L$1994,MATCH(A345&amp;"ENTRADA",Movimientos!$R$2:$R$1994,0)),"-")</f>
        <v>-</v>
      </c>
      <c r="H345" s="17" t="str">
        <f>IFERROR(IF(INDEX(Movimientos!$M$2:$M$1994,MATCH(A345&amp;"ENTRADA",Movimientos!$R$2:$R$1994,0))=0,"S/D",INDEX(Movimientos!$M$2:$M$1994,MATCH(A345&amp;"ENTRADA",Movimientos!$R$2:$R$1994,0))),"S/D")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2621</v>
      </c>
      <c r="B346" s="2" t="str">
        <f>IFERROR(INDEX(Movimientos!$C$2:$C$1994,MATCH(A346&amp;"ENTRADA",Movimientos!$R$2:$R$1994,0)),"-")</f>
        <v>-</v>
      </c>
      <c r="C346" s="2" t="str">
        <f>IFERROR(INDEX(Movimientos!$D$2:$D$1994,MATCH(A346&amp;"ENTRADA",Movimientos!$R$2:$R$1994,0)),"-")</f>
        <v>-</v>
      </c>
      <c r="D346" s="2" t="str">
        <f>IFERROR(INDEX(Movimientos!$E$2:$E$1994,MATCH(A346&amp;"ENTRADA",Movimientos!$R$2:$R$1994,0)),"-")</f>
        <v>-</v>
      </c>
      <c r="E346" s="2" t="str">
        <f>IFERROR(INDEX(Movimientos!$F$2:$F$1994,MATCH(A346&amp;"ENTRADA",Movimientos!$R$2:$R$1994,0)),"-")</f>
        <v>-</v>
      </c>
      <c r="F346" s="2" t="str">
        <f>IFERROR(INDEX(Movimientos!$G$2:$G$1994,MATCH(A346&amp;"ENTRADA",Movimientos!$R$2:$R$1994,0)),"-")</f>
        <v>-</v>
      </c>
      <c r="G346" s="2" t="str">
        <f>IFERROR(INDEX(Movimientos!$L$2:$L$1994,MATCH(A346&amp;"ENTRADA",Movimientos!$R$2:$R$1994,0)),"-")</f>
        <v>-</v>
      </c>
      <c r="H346" s="17" t="str">
        <f>IFERROR(IF(INDEX(Movimientos!$M$2:$M$1994,MATCH(A346&amp;"ENTRADA",Movimientos!$R$2:$R$1994,0))=0,"S/D",INDEX(Movimientos!$M$2:$M$1994,MATCH(A346&amp;"ENTRADA",Movimientos!$R$2:$R$1994,0))),"S/D")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2622</v>
      </c>
      <c r="B347" s="2" t="str">
        <f>IFERROR(INDEX(Movimientos!$C$2:$C$1994,MATCH(A347&amp;"ENTRADA",Movimientos!$R$2:$R$1994,0)),"-")</f>
        <v>-</v>
      </c>
      <c r="C347" s="2" t="str">
        <f>IFERROR(INDEX(Movimientos!$D$2:$D$1994,MATCH(A347&amp;"ENTRADA",Movimientos!$R$2:$R$1994,0)),"-")</f>
        <v>-</v>
      </c>
      <c r="D347" s="2" t="str">
        <f>IFERROR(INDEX(Movimientos!$E$2:$E$1994,MATCH(A347&amp;"ENTRADA",Movimientos!$R$2:$R$1994,0)),"-")</f>
        <v>-</v>
      </c>
      <c r="E347" s="2" t="str">
        <f>IFERROR(INDEX(Movimientos!$F$2:$F$1994,MATCH(A347&amp;"ENTRADA",Movimientos!$R$2:$R$1994,0)),"-")</f>
        <v>-</v>
      </c>
      <c r="F347" s="2" t="str">
        <f>IFERROR(INDEX(Movimientos!$G$2:$G$1994,MATCH(A347&amp;"ENTRADA",Movimientos!$R$2:$R$1994,0)),"-")</f>
        <v>-</v>
      </c>
      <c r="G347" s="2" t="str">
        <f>IFERROR(INDEX(Movimientos!$L$2:$L$1994,MATCH(A347&amp;"ENTRADA",Movimientos!$R$2:$R$1994,0)),"-")</f>
        <v>-</v>
      </c>
      <c r="H347" s="17" t="str">
        <f>IFERROR(IF(INDEX(Movimientos!$M$2:$M$1994,MATCH(A347&amp;"ENTRADA",Movimientos!$R$2:$R$1994,0))=0,"S/D",INDEX(Movimientos!$M$2:$M$1994,MATCH(A347&amp;"ENTRADA",Movimientos!$R$2:$R$1994,0))),"S/D")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2623</v>
      </c>
      <c r="B348" s="2" t="str">
        <f>IFERROR(INDEX(Movimientos!$C$2:$C$1994,MATCH(A348&amp;"ENTRADA",Movimientos!$R$2:$R$1994,0)),"-")</f>
        <v>-</v>
      </c>
      <c r="C348" s="2" t="str">
        <f>IFERROR(INDEX(Movimientos!$D$2:$D$1994,MATCH(A348&amp;"ENTRADA",Movimientos!$R$2:$R$1994,0)),"-")</f>
        <v>-</v>
      </c>
      <c r="D348" s="2" t="str">
        <f>IFERROR(INDEX(Movimientos!$E$2:$E$1994,MATCH(A348&amp;"ENTRADA",Movimientos!$R$2:$R$1994,0)),"-")</f>
        <v>-</v>
      </c>
      <c r="E348" s="2" t="str">
        <f>IFERROR(INDEX(Movimientos!$F$2:$F$1994,MATCH(A348&amp;"ENTRADA",Movimientos!$R$2:$R$1994,0)),"-")</f>
        <v>-</v>
      </c>
      <c r="F348" s="2" t="str">
        <f>IFERROR(INDEX(Movimientos!$G$2:$G$1994,MATCH(A348&amp;"ENTRADA",Movimientos!$R$2:$R$1994,0)),"-")</f>
        <v>-</v>
      </c>
      <c r="G348" s="2" t="str">
        <f>IFERROR(INDEX(Movimientos!$L$2:$L$1994,MATCH(A348&amp;"ENTRADA",Movimientos!$R$2:$R$1994,0)),"-")</f>
        <v>-</v>
      </c>
      <c r="H348" s="17" t="str">
        <f>IFERROR(IF(INDEX(Movimientos!$M$2:$M$1994,MATCH(A348&amp;"ENTRADA",Movimientos!$R$2:$R$1994,0))=0,"S/D",INDEX(Movimientos!$M$2:$M$1994,MATCH(A348&amp;"ENTRADA",Movimientos!$R$2:$R$1994,0))),"S/D")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2624</v>
      </c>
      <c r="B349" s="2" t="str">
        <f>IFERROR(INDEX(Movimientos!$C$2:$C$1994,MATCH(A349&amp;"ENTRADA",Movimientos!$R$2:$R$1994,0)),"-")</f>
        <v>-</v>
      </c>
      <c r="C349" s="2" t="str">
        <f>IFERROR(INDEX(Movimientos!$D$2:$D$1994,MATCH(A349&amp;"ENTRADA",Movimientos!$R$2:$R$1994,0)),"-")</f>
        <v>-</v>
      </c>
      <c r="D349" s="2" t="str">
        <f>IFERROR(INDEX(Movimientos!$E$2:$E$1994,MATCH(A349&amp;"ENTRADA",Movimientos!$R$2:$R$1994,0)),"-")</f>
        <v>-</v>
      </c>
      <c r="E349" s="2" t="str">
        <f>IFERROR(INDEX(Movimientos!$F$2:$F$1994,MATCH(A349&amp;"ENTRADA",Movimientos!$R$2:$R$1994,0)),"-")</f>
        <v>-</v>
      </c>
      <c r="F349" s="2" t="str">
        <f>IFERROR(INDEX(Movimientos!$G$2:$G$1994,MATCH(A349&amp;"ENTRADA",Movimientos!$R$2:$R$1994,0)),"-")</f>
        <v>-</v>
      </c>
      <c r="G349" s="2" t="str">
        <f>IFERROR(INDEX(Movimientos!$L$2:$L$1994,MATCH(A349&amp;"ENTRADA",Movimientos!$R$2:$R$1994,0)),"-")</f>
        <v>-</v>
      </c>
      <c r="H349" s="17" t="str">
        <f>IFERROR(IF(INDEX(Movimientos!$M$2:$M$1994,MATCH(A349&amp;"ENTRADA",Movimientos!$R$2:$R$1994,0))=0,"S/D",INDEX(Movimientos!$M$2:$M$1994,MATCH(A349&amp;"ENTRADA",Movimientos!$R$2:$R$1994,0))),"S/D")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2625</v>
      </c>
      <c r="B350" s="2" t="str">
        <f>IFERROR(INDEX(Movimientos!$C$2:$C$1994,MATCH(A350&amp;"ENTRADA",Movimientos!$R$2:$R$1994,0)),"-")</f>
        <v>-</v>
      </c>
      <c r="C350" s="2" t="str">
        <f>IFERROR(INDEX(Movimientos!$D$2:$D$1994,MATCH(A350&amp;"ENTRADA",Movimientos!$R$2:$R$1994,0)),"-")</f>
        <v>-</v>
      </c>
      <c r="D350" s="2" t="str">
        <f>IFERROR(INDEX(Movimientos!$E$2:$E$1994,MATCH(A350&amp;"ENTRADA",Movimientos!$R$2:$R$1994,0)),"-")</f>
        <v>-</v>
      </c>
      <c r="E350" s="2" t="str">
        <f>IFERROR(INDEX(Movimientos!$F$2:$F$1994,MATCH(A350&amp;"ENTRADA",Movimientos!$R$2:$R$1994,0)),"-")</f>
        <v>-</v>
      </c>
      <c r="F350" s="2" t="str">
        <f>IFERROR(INDEX(Movimientos!$G$2:$G$1994,MATCH(A350&amp;"ENTRADA",Movimientos!$R$2:$R$1994,0)),"-")</f>
        <v>-</v>
      </c>
      <c r="G350" s="2" t="str">
        <f>IFERROR(INDEX(Movimientos!$L$2:$L$1994,MATCH(A350&amp;"ENTRADA",Movimientos!$R$2:$R$1994,0)),"-")</f>
        <v>-</v>
      </c>
      <c r="H350" s="17" t="str">
        <f>IFERROR(IF(INDEX(Movimientos!$M$2:$M$1994,MATCH(A350&amp;"ENTRADA",Movimientos!$R$2:$R$1994,0))=0,"S/D",INDEX(Movimientos!$M$2:$M$1994,MATCH(A350&amp;"ENTRADA",Movimientos!$R$2:$R$1994,0))),"S/D")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2626</v>
      </c>
      <c r="B351" s="2" t="str">
        <f>IFERROR(INDEX(Movimientos!$C$2:$C$1994,MATCH(A351&amp;"ENTRADA",Movimientos!$R$2:$R$1994,0)),"-")</f>
        <v>-</v>
      </c>
      <c r="C351" s="2" t="str">
        <f>IFERROR(INDEX(Movimientos!$D$2:$D$1994,MATCH(A351&amp;"ENTRADA",Movimientos!$R$2:$R$1994,0)),"-")</f>
        <v>-</v>
      </c>
      <c r="D351" s="2" t="str">
        <f>IFERROR(INDEX(Movimientos!$E$2:$E$1994,MATCH(A351&amp;"ENTRADA",Movimientos!$R$2:$R$1994,0)),"-")</f>
        <v>-</v>
      </c>
      <c r="E351" s="2" t="str">
        <f>IFERROR(INDEX(Movimientos!$F$2:$F$1994,MATCH(A351&amp;"ENTRADA",Movimientos!$R$2:$R$1994,0)),"-")</f>
        <v>-</v>
      </c>
      <c r="F351" s="2" t="str">
        <f>IFERROR(INDEX(Movimientos!$G$2:$G$1994,MATCH(A351&amp;"ENTRADA",Movimientos!$R$2:$R$1994,0)),"-")</f>
        <v>-</v>
      </c>
      <c r="G351" s="2" t="str">
        <f>IFERROR(INDEX(Movimientos!$L$2:$L$1994,MATCH(A351&amp;"ENTRADA",Movimientos!$R$2:$R$1994,0)),"-")</f>
        <v>-</v>
      </c>
      <c r="H351" s="17" t="str">
        <f>IFERROR(IF(INDEX(Movimientos!$M$2:$M$1994,MATCH(A351&amp;"ENTRADA",Movimientos!$R$2:$R$1994,0))=0,"S/D",INDEX(Movimientos!$M$2:$M$1994,MATCH(A351&amp;"ENTRADA",Movimientos!$R$2:$R$1994,0))),"S/D")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2627</v>
      </c>
      <c r="B352" s="2" t="str">
        <f>IFERROR(INDEX(Movimientos!$C$2:$C$1994,MATCH(A352&amp;"ENTRADA",Movimientos!$R$2:$R$1994,0)),"-")</f>
        <v>-</v>
      </c>
      <c r="C352" s="2" t="str">
        <f>IFERROR(INDEX(Movimientos!$D$2:$D$1994,MATCH(A352&amp;"ENTRADA",Movimientos!$R$2:$R$1994,0)),"-")</f>
        <v>-</v>
      </c>
      <c r="D352" s="2" t="str">
        <f>IFERROR(INDEX(Movimientos!$E$2:$E$1994,MATCH(A352&amp;"ENTRADA",Movimientos!$R$2:$R$1994,0)),"-")</f>
        <v>-</v>
      </c>
      <c r="E352" s="2" t="str">
        <f>IFERROR(INDEX(Movimientos!$F$2:$F$1994,MATCH(A352&amp;"ENTRADA",Movimientos!$R$2:$R$1994,0)),"-")</f>
        <v>-</v>
      </c>
      <c r="F352" s="2" t="str">
        <f>IFERROR(INDEX(Movimientos!$G$2:$G$1994,MATCH(A352&amp;"ENTRADA",Movimientos!$R$2:$R$1994,0)),"-")</f>
        <v>-</v>
      </c>
      <c r="G352" s="2" t="str">
        <f>IFERROR(INDEX(Movimientos!$L$2:$L$1994,MATCH(A352&amp;"ENTRADA",Movimientos!$R$2:$R$1994,0)),"-")</f>
        <v>-</v>
      </c>
      <c r="H352" s="17" t="str">
        <f>IFERROR(IF(INDEX(Movimientos!$M$2:$M$1994,MATCH(A352&amp;"ENTRADA",Movimientos!$R$2:$R$1994,0))=0,"S/D",INDEX(Movimientos!$M$2:$M$1994,MATCH(A352&amp;"ENTRADA",Movimientos!$R$2:$R$1994,0))),"S/D")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2628</v>
      </c>
      <c r="B353" s="2" t="str">
        <f>IFERROR(INDEX(Movimientos!$C$2:$C$1994,MATCH(A353&amp;"ENTRADA",Movimientos!$R$2:$R$1994,0)),"-")</f>
        <v>-</v>
      </c>
      <c r="C353" s="2" t="str">
        <f>IFERROR(INDEX(Movimientos!$D$2:$D$1994,MATCH(A353&amp;"ENTRADA",Movimientos!$R$2:$R$1994,0)),"-")</f>
        <v>-</v>
      </c>
      <c r="D353" s="2" t="str">
        <f>IFERROR(INDEX(Movimientos!$E$2:$E$1994,MATCH(A353&amp;"ENTRADA",Movimientos!$R$2:$R$1994,0)),"-")</f>
        <v>-</v>
      </c>
      <c r="E353" s="2" t="str">
        <f>IFERROR(INDEX(Movimientos!$F$2:$F$1994,MATCH(A353&amp;"ENTRADA",Movimientos!$R$2:$R$1994,0)),"-")</f>
        <v>-</v>
      </c>
      <c r="F353" s="2" t="str">
        <f>IFERROR(INDEX(Movimientos!$G$2:$G$1994,MATCH(A353&amp;"ENTRADA",Movimientos!$R$2:$R$1994,0)),"-")</f>
        <v>-</v>
      </c>
      <c r="G353" s="2" t="str">
        <f>IFERROR(INDEX(Movimientos!$L$2:$L$1994,MATCH(A353&amp;"ENTRADA",Movimientos!$R$2:$R$1994,0)),"-")</f>
        <v>-</v>
      </c>
      <c r="H353" s="17" t="str">
        <f>IFERROR(IF(INDEX(Movimientos!$M$2:$M$1994,MATCH(A353&amp;"ENTRADA",Movimientos!$R$2:$R$1994,0))=0,"S/D",INDEX(Movimientos!$M$2:$M$1994,MATCH(A353&amp;"ENTRADA",Movimientos!$R$2:$R$1994,0))),"S/D")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2629</v>
      </c>
      <c r="B354" s="2" t="str">
        <f>IFERROR(INDEX(Movimientos!$C$2:$C$1994,MATCH(A354&amp;"ENTRADA",Movimientos!$R$2:$R$1994,0)),"-")</f>
        <v>-</v>
      </c>
      <c r="C354" s="2" t="str">
        <f>IFERROR(INDEX(Movimientos!$D$2:$D$1994,MATCH(A354&amp;"ENTRADA",Movimientos!$R$2:$R$1994,0)),"-")</f>
        <v>-</v>
      </c>
      <c r="D354" s="2" t="str">
        <f>IFERROR(INDEX(Movimientos!$E$2:$E$1994,MATCH(A354&amp;"ENTRADA",Movimientos!$R$2:$R$1994,0)),"-")</f>
        <v>-</v>
      </c>
      <c r="E354" s="2" t="str">
        <f>IFERROR(INDEX(Movimientos!$F$2:$F$1994,MATCH(A354&amp;"ENTRADA",Movimientos!$R$2:$R$1994,0)),"-")</f>
        <v>-</v>
      </c>
      <c r="F354" s="2" t="str">
        <f>IFERROR(INDEX(Movimientos!$G$2:$G$1994,MATCH(A354&amp;"ENTRADA",Movimientos!$R$2:$R$1994,0)),"-")</f>
        <v>-</v>
      </c>
      <c r="G354" s="2" t="str">
        <f>IFERROR(INDEX(Movimientos!$L$2:$L$1994,MATCH(A354&amp;"ENTRADA",Movimientos!$R$2:$R$1994,0)),"-")</f>
        <v>-</v>
      </c>
      <c r="H354" s="17" t="str">
        <f>IFERROR(IF(INDEX(Movimientos!$M$2:$M$1994,MATCH(A354&amp;"ENTRADA",Movimientos!$R$2:$R$1994,0))=0,"S/D",INDEX(Movimientos!$M$2:$M$1994,MATCH(A354&amp;"ENTRADA",Movimientos!$R$2:$R$1994,0))),"S/D")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2630</v>
      </c>
      <c r="B355" s="2" t="str">
        <f>IFERROR(INDEX(Movimientos!$C$2:$C$1994,MATCH(A355&amp;"ENTRADA",Movimientos!$R$2:$R$1994,0)),"-")</f>
        <v>-</v>
      </c>
      <c r="C355" s="2" t="str">
        <f>IFERROR(INDEX(Movimientos!$D$2:$D$1994,MATCH(A355&amp;"ENTRADA",Movimientos!$R$2:$R$1994,0)),"-")</f>
        <v>-</v>
      </c>
      <c r="D355" s="2" t="str">
        <f>IFERROR(INDEX(Movimientos!$E$2:$E$1994,MATCH(A355&amp;"ENTRADA",Movimientos!$R$2:$R$1994,0)),"-")</f>
        <v>-</v>
      </c>
      <c r="E355" s="2" t="str">
        <f>IFERROR(INDEX(Movimientos!$F$2:$F$1994,MATCH(A355&amp;"ENTRADA",Movimientos!$R$2:$R$1994,0)),"-")</f>
        <v>-</v>
      </c>
      <c r="F355" s="2" t="str">
        <f>IFERROR(INDEX(Movimientos!$G$2:$G$1994,MATCH(A355&amp;"ENTRADA",Movimientos!$R$2:$R$1994,0)),"-")</f>
        <v>-</v>
      </c>
      <c r="G355" s="2" t="str">
        <f>IFERROR(INDEX(Movimientos!$L$2:$L$1994,MATCH(A355&amp;"ENTRADA",Movimientos!$R$2:$R$1994,0)),"-")</f>
        <v>-</v>
      </c>
      <c r="H355" s="17" t="str">
        <f>IFERROR(IF(INDEX(Movimientos!$M$2:$M$1994,MATCH(A355&amp;"ENTRADA",Movimientos!$R$2:$R$1994,0))=0,"S/D",INDEX(Movimientos!$M$2:$M$1994,MATCH(A355&amp;"ENTRADA",Movimientos!$R$2:$R$1994,0))),"S/D")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2631</v>
      </c>
      <c r="B356" s="2" t="str">
        <f>IFERROR(INDEX(Movimientos!$C$2:$C$1994,MATCH(A356&amp;"ENTRADA",Movimientos!$R$2:$R$1994,0)),"-")</f>
        <v>-</v>
      </c>
      <c r="C356" s="2" t="str">
        <f>IFERROR(INDEX(Movimientos!$D$2:$D$1994,MATCH(A356&amp;"ENTRADA",Movimientos!$R$2:$R$1994,0)),"-")</f>
        <v>-</v>
      </c>
      <c r="D356" s="2" t="str">
        <f>IFERROR(INDEX(Movimientos!$E$2:$E$1994,MATCH(A356&amp;"ENTRADA",Movimientos!$R$2:$R$1994,0)),"-")</f>
        <v>-</v>
      </c>
      <c r="E356" s="2" t="str">
        <f>IFERROR(INDEX(Movimientos!$F$2:$F$1994,MATCH(A356&amp;"ENTRADA",Movimientos!$R$2:$R$1994,0)),"-")</f>
        <v>-</v>
      </c>
      <c r="F356" s="2" t="str">
        <f>IFERROR(INDEX(Movimientos!$G$2:$G$1994,MATCH(A356&amp;"ENTRADA",Movimientos!$R$2:$R$1994,0)),"-")</f>
        <v>-</v>
      </c>
      <c r="G356" s="2" t="str">
        <f>IFERROR(INDEX(Movimientos!$L$2:$L$1994,MATCH(A356&amp;"ENTRADA",Movimientos!$R$2:$R$1994,0)),"-")</f>
        <v>-</v>
      </c>
      <c r="H356" s="17" t="str">
        <f>IFERROR(IF(INDEX(Movimientos!$M$2:$M$1994,MATCH(A356&amp;"ENTRADA",Movimientos!$R$2:$R$1994,0))=0,"S/D",INDEX(Movimientos!$M$2:$M$1994,MATCH(A356&amp;"ENTRADA",Movimientos!$R$2:$R$1994,0))),"S/D")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2632</v>
      </c>
      <c r="B357" s="2" t="str">
        <f>IFERROR(INDEX(Movimientos!$C$2:$C$1994,MATCH(A357&amp;"ENTRADA",Movimientos!$R$2:$R$1994,0)),"-")</f>
        <v>-</v>
      </c>
      <c r="C357" s="2" t="str">
        <f>IFERROR(INDEX(Movimientos!$D$2:$D$1994,MATCH(A357&amp;"ENTRADA",Movimientos!$R$2:$R$1994,0)),"-")</f>
        <v>-</v>
      </c>
      <c r="D357" s="2" t="str">
        <f>IFERROR(INDEX(Movimientos!$E$2:$E$1994,MATCH(A357&amp;"ENTRADA",Movimientos!$R$2:$R$1994,0)),"-")</f>
        <v>-</v>
      </c>
      <c r="E357" s="2" t="str">
        <f>IFERROR(INDEX(Movimientos!$F$2:$F$1994,MATCH(A357&amp;"ENTRADA",Movimientos!$R$2:$R$1994,0)),"-")</f>
        <v>-</v>
      </c>
      <c r="F357" s="2" t="str">
        <f>IFERROR(INDEX(Movimientos!$G$2:$G$1994,MATCH(A357&amp;"ENTRADA",Movimientos!$R$2:$R$1994,0)),"-")</f>
        <v>-</v>
      </c>
      <c r="G357" s="2" t="str">
        <f>IFERROR(INDEX(Movimientos!$L$2:$L$1994,MATCH(A357&amp;"ENTRADA",Movimientos!$R$2:$R$1994,0)),"-")</f>
        <v>-</v>
      </c>
      <c r="H357" s="17" t="str">
        <f>IFERROR(IF(INDEX(Movimientos!$M$2:$M$1994,MATCH(A357&amp;"ENTRADA",Movimientos!$R$2:$R$1994,0))=0,"S/D",INDEX(Movimientos!$M$2:$M$1994,MATCH(A357&amp;"ENTRADA",Movimientos!$R$2:$R$1994,0))),"S/D")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2633</v>
      </c>
      <c r="B358" s="2" t="str">
        <f>IFERROR(INDEX(Movimientos!$C$2:$C$1994,MATCH(A358&amp;"ENTRADA",Movimientos!$R$2:$R$1994,0)),"-")</f>
        <v>-</v>
      </c>
      <c r="C358" s="2" t="str">
        <f>IFERROR(INDEX(Movimientos!$D$2:$D$1994,MATCH(A358&amp;"ENTRADA",Movimientos!$R$2:$R$1994,0)),"-")</f>
        <v>-</v>
      </c>
      <c r="D358" s="2" t="str">
        <f>IFERROR(INDEX(Movimientos!$E$2:$E$1994,MATCH(A358&amp;"ENTRADA",Movimientos!$R$2:$R$1994,0)),"-")</f>
        <v>-</v>
      </c>
      <c r="E358" s="2" t="str">
        <f>IFERROR(INDEX(Movimientos!$F$2:$F$1994,MATCH(A358&amp;"ENTRADA",Movimientos!$R$2:$R$1994,0)),"-")</f>
        <v>-</v>
      </c>
      <c r="F358" s="2" t="str">
        <f>IFERROR(INDEX(Movimientos!$G$2:$G$1994,MATCH(A358&amp;"ENTRADA",Movimientos!$R$2:$R$1994,0)),"-")</f>
        <v>-</v>
      </c>
      <c r="G358" s="2" t="str">
        <f>IFERROR(INDEX(Movimientos!$L$2:$L$1994,MATCH(A358&amp;"ENTRADA",Movimientos!$R$2:$R$1994,0)),"-")</f>
        <v>-</v>
      </c>
      <c r="H358" s="17" t="str">
        <f>IFERROR(IF(INDEX(Movimientos!$M$2:$M$1994,MATCH(A358&amp;"ENTRADA",Movimientos!$R$2:$R$1994,0))=0,"S/D",INDEX(Movimientos!$M$2:$M$1994,MATCH(A358&amp;"ENTRADA",Movimientos!$R$2:$R$1994,0))),"S/D")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2634</v>
      </c>
      <c r="B359" s="2" t="str">
        <f>IFERROR(INDEX(Movimientos!$C$2:$C$1994,MATCH(A359&amp;"ENTRADA",Movimientos!$R$2:$R$1994,0)),"-")</f>
        <v>-</v>
      </c>
      <c r="C359" s="2" t="str">
        <f>IFERROR(INDEX(Movimientos!$D$2:$D$1994,MATCH(A359&amp;"ENTRADA",Movimientos!$R$2:$R$1994,0)),"-")</f>
        <v>-</v>
      </c>
      <c r="D359" s="2" t="str">
        <f>IFERROR(INDEX(Movimientos!$E$2:$E$1994,MATCH(A359&amp;"ENTRADA",Movimientos!$R$2:$R$1994,0)),"-")</f>
        <v>-</v>
      </c>
      <c r="E359" s="2" t="str">
        <f>IFERROR(INDEX(Movimientos!$F$2:$F$1994,MATCH(A359&amp;"ENTRADA",Movimientos!$R$2:$R$1994,0)),"-")</f>
        <v>-</v>
      </c>
      <c r="F359" s="2" t="str">
        <f>IFERROR(INDEX(Movimientos!$G$2:$G$1994,MATCH(A359&amp;"ENTRADA",Movimientos!$R$2:$R$1994,0)),"-")</f>
        <v>-</v>
      </c>
      <c r="G359" s="2" t="str">
        <f>IFERROR(INDEX(Movimientos!$L$2:$L$1994,MATCH(A359&amp;"ENTRADA",Movimientos!$R$2:$R$1994,0)),"-")</f>
        <v>-</v>
      </c>
      <c r="H359" s="17" t="str">
        <f>IFERROR(IF(INDEX(Movimientos!$M$2:$M$1994,MATCH(A359&amp;"ENTRADA",Movimientos!$R$2:$R$1994,0))=0,"S/D",INDEX(Movimientos!$M$2:$M$1994,MATCH(A359&amp;"ENTRADA",Movimientos!$R$2:$R$1994,0))),"S/D")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2635</v>
      </c>
      <c r="B360" s="2" t="str">
        <f>IFERROR(INDEX(Movimientos!$C$2:$C$1994,MATCH(A360&amp;"ENTRADA",Movimientos!$R$2:$R$1994,0)),"-")</f>
        <v>-</v>
      </c>
      <c r="C360" s="2" t="str">
        <f>IFERROR(INDEX(Movimientos!$D$2:$D$1994,MATCH(A360&amp;"ENTRADA",Movimientos!$R$2:$R$1994,0)),"-")</f>
        <v>-</v>
      </c>
      <c r="D360" s="2" t="str">
        <f>IFERROR(INDEX(Movimientos!$E$2:$E$1994,MATCH(A360&amp;"ENTRADA",Movimientos!$R$2:$R$1994,0)),"-")</f>
        <v>-</v>
      </c>
      <c r="E360" s="2" t="str">
        <f>IFERROR(INDEX(Movimientos!$F$2:$F$1994,MATCH(A360&amp;"ENTRADA",Movimientos!$R$2:$R$1994,0)),"-")</f>
        <v>-</v>
      </c>
      <c r="F360" s="2" t="str">
        <f>IFERROR(INDEX(Movimientos!$G$2:$G$1994,MATCH(A360&amp;"ENTRADA",Movimientos!$R$2:$R$1994,0)),"-")</f>
        <v>-</v>
      </c>
      <c r="G360" s="2" t="str">
        <f>IFERROR(INDEX(Movimientos!$L$2:$L$1994,MATCH(A360&amp;"ENTRADA",Movimientos!$R$2:$R$1994,0)),"-")</f>
        <v>-</v>
      </c>
      <c r="H360" s="17" t="str">
        <f>IFERROR(IF(INDEX(Movimientos!$M$2:$M$1994,MATCH(A360&amp;"ENTRADA",Movimientos!$R$2:$R$1994,0))=0,"S/D",INDEX(Movimientos!$M$2:$M$1994,MATCH(A360&amp;"ENTRADA",Movimientos!$R$2:$R$1994,0))),"S/D")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2636</v>
      </c>
      <c r="B361" s="2" t="str">
        <f>IFERROR(INDEX(Movimientos!$C$2:$C$1994,MATCH(A361&amp;"ENTRADA",Movimientos!$R$2:$R$1994,0)),"-")</f>
        <v>-</v>
      </c>
      <c r="C361" s="2" t="str">
        <f>IFERROR(INDEX(Movimientos!$D$2:$D$1994,MATCH(A361&amp;"ENTRADA",Movimientos!$R$2:$R$1994,0)),"-")</f>
        <v>-</v>
      </c>
      <c r="D361" s="2" t="str">
        <f>IFERROR(INDEX(Movimientos!$E$2:$E$1994,MATCH(A361&amp;"ENTRADA",Movimientos!$R$2:$R$1994,0)),"-")</f>
        <v>-</v>
      </c>
      <c r="E361" s="2" t="str">
        <f>IFERROR(INDEX(Movimientos!$F$2:$F$1994,MATCH(A361&amp;"ENTRADA",Movimientos!$R$2:$R$1994,0)),"-")</f>
        <v>-</v>
      </c>
      <c r="F361" s="2" t="str">
        <f>IFERROR(INDEX(Movimientos!$G$2:$G$1994,MATCH(A361&amp;"ENTRADA",Movimientos!$R$2:$R$1994,0)),"-")</f>
        <v>-</v>
      </c>
      <c r="G361" s="2" t="str">
        <f>IFERROR(INDEX(Movimientos!$L$2:$L$1994,MATCH(A361&amp;"ENTRADA",Movimientos!$R$2:$R$1994,0)),"-")</f>
        <v>-</v>
      </c>
      <c r="H361" s="17" t="str">
        <f>IFERROR(IF(INDEX(Movimientos!$M$2:$M$1994,MATCH(A361&amp;"ENTRADA",Movimientos!$R$2:$R$1994,0))=0,"S/D",INDEX(Movimientos!$M$2:$M$1994,MATCH(A361&amp;"ENTRADA",Movimientos!$R$2:$R$1994,0))),"S/D")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2637</v>
      </c>
      <c r="B362" s="2" t="str">
        <f>IFERROR(INDEX(Movimientos!$C$2:$C$1994,MATCH(A362&amp;"ENTRADA",Movimientos!$R$2:$R$1994,0)),"-")</f>
        <v>-</v>
      </c>
      <c r="C362" s="2" t="str">
        <f>IFERROR(INDEX(Movimientos!$D$2:$D$1994,MATCH(A362&amp;"ENTRADA",Movimientos!$R$2:$R$1994,0)),"-")</f>
        <v>-</v>
      </c>
      <c r="D362" s="2" t="str">
        <f>IFERROR(INDEX(Movimientos!$E$2:$E$1994,MATCH(A362&amp;"ENTRADA",Movimientos!$R$2:$R$1994,0)),"-")</f>
        <v>-</v>
      </c>
      <c r="E362" s="2" t="str">
        <f>IFERROR(INDEX(Movimientos!$F$2:$F$1994,MATCH(A362&amp;"ENTRADA",Movimientos!$R$2:$R$1994,0)),"-")</f>
        <v>-</v>
      </c>
      <c r="F362" s="2" t="str">
        <f>IFERROR(INDEX(Movimientos!$G$2:$G$1994,MATCH(A362&amp;"ENTRADA",Movimientos!$R$2:$R$1994,0)),"-")</f>
        <v>-</v>
      </c>
      <c r="G362" s="2" t="str">
        <f>IFERROR(INDEX(Movimientos!$L$2:$L$1994,MATCH(A362&amp;"ENTRADA",Movimientos!$R$2:$R$1994,0)),"-")</f>
        <v>-</v>
      </c>
      <c r="H362" s="17" t="str">
        <f>IFERROR(IF(INDEX(Movimientos!$M$2:$M$1994,MATCH(A362&amp;"ENTRADA",Movimientos!$R$2:$R$1994,0))=0,"S/D",INDEX(Movimientos!$M$2:$M$1994,MATCH(A362&amp;"ENTRADA",Movimientos!$R$2:$R$1994,0))),"S/D")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2638</v>
      </c>
      <c r="B363" s="2" t="str">
        <f>IFERROR(INDEX(Movimientos!$C$2:$C$1994,MATCH(A363&amp;"ENTRADA",Movimientos!$R$2:$R$1994,0)),"-")</f>
        <v>-</v>
      </c>
      <c r="C363" s="2" t="str">
        <f>IFERROR(INDEX(Movimientos!$D$2:$D$1994,MATCH(A363&amp;"ENTRADA",Movimientos!$R$2:$R$1994,0)),"-")</f>
        <v>-</v>
      </c>
      <c r="D363" s="2" t="str">
        <f>IFERROR(INDEX(Movimientos!$E$2:$E$1994,MATCH(A363&amp;"ENTRADA",Movimientos!$R$2:$R$1994,0)),"-")</f>
        <v>-</v>
      </c>
      <c r="E363" s="2" t="str">
        <f>IFERROR(INDEX(Movimientos!$F$2:$F$1994,MATCH(A363&amp;"ENTRADA",Movimientos!$R$2:$R$1994,0)),"-")</f>
        <v>-</v>
      </c>
      <c r="F363" s="2" t="str">
        <f>IFERROR(INDEX(Movimientos!$G$2:$G$1994,MATCH(A363&amp;"ENTRADA",Movimientos!$R$2:$R$1994,0)),"-")</f>
        <v>-</v>
      </c>
      <c r="G363" s="2" t="str">
        <f>IFERROR(INDEX(Movimientos!$L$2:$L$1994,MATCH(A363&amp;"ENTRADA",Movimientos!$R$2:$R$1994,0)),"-")</f>
        <v>-</v>
      </c>
      <c r="H363" s="17" t="str">
        <f>IFERROR(IF(INDEX(Movimientos!$M$2:$M$1994,MATCH(A363&amp;"ENTRADA",Movimientos!$R$2:$R$1994,0))=0,"S/D",INDEX(Movimientos!$M$2:$M$1994,MATCH(A363&amp;"ENTRADA",Movimientos!$R$2:$R$1994,0))),"S/D")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2639</v>
      </c>
      <c r="B364" s="2" t="str">
        <f>IFERROR(INDEX(Movimientos!$C$2:$C$1994,MATCH(A364&amp;"ENTRADA",Movimientos!$R$2:$R$1994,0)),"-")</f>
        <v>-</v>
      </c>
      <c r="C364" s="2" t="str">
        <f>IFERROR(INDEX(Movimientos!$D$2:$D$1994,MATCH(A364&amp;"ENTRADA",Movimientos!$R$2:$R$1994,0)),"-")</f>
        <v>-</v>
      </c>
      <c r="D364" s="2" t="str">
        <f>IFERROR(INDEX(Movimientos!$E$2:$E$1994,MATCH(A364&amp;"ENTRADA",Movimientos!$R$2:$R$1994,0)),"-")</f>
        <v>-</v>
      </c>
      <c r="E364" s="2" t="str">
        <f>IFERROR(INDEX(Movimientos!$F$2:$F$1994,MATCH(A364&amp;"ENTRADA",Movimientos!$R$2:$R$1994,0)),"-")</f>
        <v>-</v>
      </c>
      <c r="F364" s="2" t="str">
        <f>IFERROR(INDEX(Movimientos!$G$2:$G$1994,MATCH(A364&amp;"ENTRADA",Movimientos!$R$2:$R$1994,0)),"-")</f>
        <v>-</v>
      </c>
      <c r="G364" s="2" t="str">
        <f>IFERROR(INDEX(Movimientos!$L$2:$L$1994,MATCH(A364&amp;"ENTRADA",Movimientos!$R$2:$R$1994,0)),"-")</f>
        <v>-</v>
      </c>
      <c r="H364" s="17" t="str">
        <f>IFERROR(IF(INDEX(Movimientos!$M$2:$M$1994,MATCH(A364&amp;"ENTRADA",Movimientos!$R$2:$R$1994,0))=0,"S/D",INDEX(Movimientos!$M$2:$M$1994,MATCH(A364&amp;"ENTRADA",Movimientos!$R$2:$R$1994,0))),"S/D")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2640</v>
      </c>
      <c r="B365" s="2" t="str">
        <f>IFERROR(INDEX(Movimientos!$C$2:$C$1994,MATCH(A365&amp;"ENTRADA",Movimientos!$R$2:$R$1994,0)),"-")</f>
        <v>-</v>
      </c>
      <c r="C365" s="2" t="str">
        <f>IFERROR(INDEX(Movimientos!$D$2:$D$1994,MATCH(A365&amp;"ENTRADA",Movimientos!$R$2:$R$1994,0)),"-")</f>
        <v>-</v>
      </c>
      <c r="D365" s="2" t="str">
        <f>IFERROR(INDEX(Movimientos!$E$2:$E$1994,MATCH(A365&amp;"ENTRADA",Movimientos!$R$2:$R$1994,0)),"-")</f>
        <v>-</v>
      </c>
      <c r="E365" s="2" t="str">
        <f>IFERROR(INDEX(Movimientos!$F$2:$F$1994,MATCH(A365&amp;"ENTRADA",Movimientos!$R$2:$R$1994,0)),"-")</f>
        <v>-</v>
      </c>
      <c r="F365" s="2" t="str">
        <f>IFERROR(INDEX(Movimientos!$G$2:$G$1994,MATCH(A365&amp;"ENTRADA",Movimientos!$R$2:$R$1994,0)),"-")</f>
        <v>-</v>
      </c>
      <c r="G365" s="2" t="str">
        <f>IFERROR(INDEX(Movimientos!$L$2:$L$1994,MATCH(A365&amp;"ENTRADA",Movimientos!$R$2:$R$1994,0)),"-")</f>
        <v>-</v>
      </c>
      <c r="H365" s="17" t="str">
        <f>IFERROR(IF(INDEX(Movimientos!$M$2:$M$1994,MATCH(A365&amp;"ENTRADA",Movimientos!$R$2:$R$1994,0))=0,"S/D",INDEX(Movimientos!$M$2:$M$1994,MATCH(A365&amp;"ENTRADA",Movimientos!$R$2:$R$1994,0))),"S/D")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2641</v>
      </c>
      <c r="B366" s="2" t="str">
        <f>IFERROR(INDEX(Movimientos!$C$2:$C$1994,MATCH(A366&amp;"ENTRADA",Movimientos!$R$2:$R$1994,0)),"-")</f>
        <v>-</v>
      </c>
      <c r="C366" s="2" t="str">
        <f>IFERROR(INDEX(Movimientos!$D$2:$D$1994,MATCH(A366&amp;"ENTRADA",Movimientos!$R$2:$R$1994,0)),"-")</f>
        <v>-</v>
      </c>
      <c r="D366" s="2" t="str">
        <f>IFERROR(INDEX(Movimientos!$E$2:$E$1994,MATCH(A366&amp;"ENTRADA",Movimientos!$R$2:$R$1994,0)),"-")</f>
        <v>-</v>
      </c>
      <c r="E366" s="2" t="str">
        <f>IFERROR(INDEX(Movimientos!$F$2:$F$1994,MATCH(A366&amp;"ENTRADA",Movimientos!$R$2:$R$1994,0)),"-")</f>
        <v>-</v>
      </c>
      <c r="F366" s="2" t="str">
        <f>IFERROR(INDEX(Movimientos!$G$2:$G$1994,MATCH(A366&amp;"ENTRADA",Movimientos!$R$2:$R$1994,0)),"-")</f>
        <v>-</v>
      </c>
      <c r="G366" s="2" t="str">
        <f>IFERROR(INDEX(Movimientos!$L$2:$L$1994,MATCH(A366&amp;"ENTRADA",Movimientos!$R$2:$R$1994,0)),"-")</f>
        <v>-</v>
      </c>
      <c r="H366" s="17" t="str">
        <f>IFERROR(IF(INDEX(Movimientos!$M$2:$M$1994,MATCH(A366&amp;"ENTRADA",Movimientos!$R$2:$R$1994,0))=0,"S/D",INDEX(Movimientos!$M$2:$M$1994,MATCH(A366&amp;"ENTRADA",Movimientos!$R$2:$R$1994,0))),"S/D")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2642</v>
      </c>
      <c r="B367" s="2" t="str">
        <f>IFERROR(INDEX(Movimientos!$C$2:$C$1994,MATCH(A367&amp;"ENTRADA",Movimientos!$R$2:$R$1994,0)),"-")</f>
        <v>-</v>
      </c>
      <c r="C367" s="2" t="str">
        <f>IFERROR(INDEX(Movimientos!$D$2:$D$1994,MATCH(A367&amp;"ENTRADA",Movimientos!$R$2:$R$1994,0)),"-")</f>
        <v>-</v>
      </c>
      <c r="D367" s="2" t="str">
        <f>IFERROR(INDEX(Movimientos!$E$2:$E$1994,MATCH(A367&amp;"ENTRADA",Movimientos!$R$2:$R$1994,0)),"-")</f>
        <v>-</v>
      </c>
      <c r="E367" s="2" t="str">
        <f>IFERROR(INDEX(Movimientos!$F$2:$F$1994,MATCH(A367&amp;"ENTRADA",Movimientos!$R$2:$R$1994,0)),"-")</f>
        <v>-</v>
      </c>
      <c r="F367" s="2" t="str">
        <f>IFERROR(INDEX(Movimientos!$G$2:$G$1994,MATCH(A367&amp;"ENTRADA",Movimientos!$R$2:$R$1994,0)),"-")</f>
        <v>-</v>
      </c>
      <c r="G367" s="2" t="str">
        <f>IFERROR(INDEX(Movimientos!$L$2:$L$1994,MATCH(A367&amp;"ENTRADA",Movimientos!$R$2:$R$1994,0)),"-")</f>
        <v>-</v>
      </c>
      <c r="H367" s="17" t="str">
        <f>IFERROR(IF(INDEX(Movimientos!$M$2:$M$1994,MATCH(A367&amp;"ENTRADA",Movimientos!$R$2:$R$1994,0))=0,"S/D",INDEX(Movimientos!$M$2:$M$1994,MATCH(A367&amp;"ENTRADA",Movimientos!$R$2:$R$1994,0))),"S/D")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2643</v>
      </c>
      <c r="B368" s="2" t="str">
        <f>IFERROR(INDEX(Movimientos!$C$2:$C$1994,MATCH(A368&amp;"ENTRADA",Movimientos!$R$2:$R$1994,0)),"-")</f>
        <v>-</v>
      </c>
      <c r="C368" s="2" t="str">
        <f>IFERROR(INDEX(Movimientos!$D$2:$D$1994,MATCH(A368&amp;"ENTRADA",Movimientos!$R$2:$R$1994,0)),"-")</f>
        <v>-</v>
      </c>
      <c r="D368" s="2" t="str">
        <f>IFERROR(INDEX(Movimientos!$E$2:$E$1994,MATCH(A368&amp;"ENTRADA",Movimientos!$R$2:$R$1994,0)),"-")</f>
        <v>-</v>
      </c>
      <c r="E368" s="2" t="str">
        <f>IFERROR(INDEX(Movimientos!$F$2:$F$1994,MATCH(A368&amp;"ENTRADA",Movimientos!$R$2:$R$1994,0)),"-")</f>
        <v>-</v>
      </c>
      <c r="F368" s="2" t="str">
        <f>IFERROR(INDEX(Movimientos!$G$2:$G$1994,MATCH(A368&amp;"ENTRADA",Movimientos!$R$2:$R$1994,0)),"-")</f>
        <v>-</v>
      </c>
      <c r="G368" s="2" t="str">
        <f>IFERROR(INDEX(Movimientos!$L$2:$L$1994,MATCH(A368&amp;"ENTRADA",Movimientos!$R$2:$R$1994,0)),"-")</f>
        <v>-</v>
      </c>
      <c r="H368" s="17" t="str">
        <f>IFERROR(IF(INDEX(Movimientos!$M$2:$M$1994,MATCH(A368&amp;"ENTRADA",Movimientos!$R$2:$R$1994,0))=0,"S/D",INDEX(Movimientos!$M$2:$M$1994,MATCH(A368&amp;"ENTRADA",Movimientos!$R$2:$R$1994,0))),"S/D")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2644</v>
      </c>
      <c r="B369" s="2" t="str">
        <f>IFERROR(INDEX(Movimientos!$C$2:$C$1994,MATCH(A369&amp;"ENTRADA",Movimientos!$R$2:$R$1994,0)),"-")</f>
        <v>-</v>
      </c>
      <c r="C369" s="2" t="str">
        <f>IFERROR(INDEX(Movimientos!$D$2:$D$1994,MATCH(A369&amp;"ENTRADA",Movimientos!$R$2:$R$1994,0)),"-")</f>
        <v>-</v>
      </c>
      <c r="D369" s="2" t="str">
        <f>IFERROR(INDEX(Movimientos!$E$2:$E$1994,MATCH(A369&amp;"ENTRADA",Movimientos!$R$2:$R$1994,0)),"-")</f>
        <v>-</v>
      </c>
      <c r="E369" s="2" t="str">
        <f>IFERROR(INDEX(Movimientos!$F$2:$F$1994,MATCH(A369&amp;"ENTRADA",Movimientos!$R$2:$R$1994,0)),"-")</f>
        <v>-</v>
      </c>
      <c r="F369" s="2" t="str">
        <f>IFERROR(INDEX(Movimientos!$G$2:$G$1994,MATCH(A369&amp;"ENTRADA",Movimientos!$R$2:$R$1994,0)),"-")</f>
        <v>-</v>
      </c>
      <c r="G369" s="2" t="str">
        <f>IFERROR(INDEX(Movimientos!$L$2:$L$1994,MATCH(A369&amp;"ENTRADA",Movimientos!$R$2:$R$1994,0)),"-")</f>
        <v>-</v>
      </c>
      <c r="H369" s="17" t="str">
        <f>IFERROR(IF(INDEX(Movimientos!$M$2:$M$1994,MATCH(A369&amp;"ENTRADA",Movimientos!$R$2:$R$1994,0))=0,"S/D",INDEX(Movimientos!$M$2:$M$1994,MATCH(A369&amp;"ENTRADA",Movimientos!$R$2:$R$1994,0))),"S/D")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2645</v>
      </c>
      <c r="B370" s="2" t="str">
        <f>IFERROR(INDEX(Movimientos!$C$2:$C$1994,MATCH(A370&amp;"ENTRADA",Movimientos!$R$2:$R$1994,0)),"-")</f>
        <v>-</v>
      </c>
      <c r="C370" s="2" t="str">
        <f>IFERROR(INDEX(Movimientos!$D$2:$D$1994,MATCH(A370&amp;"ENTRADA",Movimientos!$R$2:$R$1994,0)),"-")</f>
        <v>-</v>
      </c>
      <c r="D370" s="2" t="str">
        <f>IFERROR(INDEX(Movimientos!$E$2:$E$1994,MATCH(A370&amp;"ENTRADA",Movimientos!$R$2:$R$1994,0)),"-")</f>
        <v>-</v>
      </c>
      <c r="E370" s="2" t="str">
        <f>IFERROR(INDEX(Movimientos!$F$2:$F$1994,MATCH(A370&amp;"ENTRADA",Movimientos!$R$2:$R$1994,0)),"-")</f>
        <v>-</v>
      </c>
      <c r="F370" s="2" t="str">
        <f>IFERROR(INDEX(Movimientos!$G$2:$G$1994,MATCH(A370&amp;"ENTRADA",Movimientos!$R$2:$R$1994,0)),"-")</f>
        <v>-</v>
      </c>
      <c r="G370" s="2" t="str">
        <f>IFERROR(INDEX(Movimientos!$L$2:$L$1994,MATCH(A370&amp;"ENTRADA",Movimientos!$R$2:$R$1994,0)),"-")</f>
        <v>-</v>
      </c>
      <c r="H370" s="17" t="str">
        <f>IFERROR(IF(INDEX(Movimientos!$M$2:$M$1994,MATCH(A370&amp;"ENTRADA",Movimientos!$R$2:$R$1994,0))=0,"S/D",INDEX(Movimientos!$M$2:$M$1994,MATCH(A370&amp;"ENTRADA",Movimientos!$R$2:$R$1994,0))),"S/D")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2646</v>
      </c>
      <c r="B371" s="2" t="str">
        <f>IFERROR(INDEX(Movimientos!$C$2:$C$1994,MATCH(A371&amp;"ENTRADA",Movimientos!$R$2:$R$1994,0)),"-")</f>
        <v>-</v>
      </c>
      <c r="C371" s="2" t="str">
        <f>IFERROR(INDEX(Movimientos!$D$2:$D$1994,MATCH(A371&amp;"ENTRADA",Movimientos!$R$2:$R$1994,0)),"-")</f>
        <v>-</v>
      </c>
      <c r="D371" s="2" t="str">
        <f>IFERROR(INDEX(Movimientos!$E$2:$E$1994,MATCH(A371&amp;"ENTRADA",Movimientos!$R$2:$R$1994,0)),"-")</f>
        <v>-</v>
      </c>
      <c r="E371" s="2" t="str">
        <f>IFERROR(INDEX(Movimientos!$F$2:$F$1994,MATCH(A371&amp;"ENTRADA",Movimientos!$R$2:$R$1994,0)),"-")</f>
        <v>-</v>
      </c>
      <c r="F371" s="2" t="str">
        <f>IFERROR(INDEX(Movimientos!$G$2:$G$1994,MATCH(A371&amp;"ENTRADA",Movimientos!$R$2:$R$1994,0)),"-")</f>
        <v>-</v>
      </c>
      <c r="G371" s="2" t="str">
        <f>IFERROR(INDEX(Movimientos!$L$2:$L$1994,MATCH(A371&amp;"ENTRADA",Movimientos!$R$2:$R$1994,0)),"-")</f>
        <v>-</v>
      </c>
      <c r="H371" s="17" t="str">
        <f>IFERROR(IF(INDEX(Movimientos!$M$2:$M$1994,MATCH(A371&amp;"ENTRADA",Movimientos!$R$2:$R$1994,0))=0,"S/D",INDEX(Movimientos!$M$2:$M$1994,MATCH(A371&amp;"ENTRADA",Movimientos!$R$2:$R$1994,0))),"S/D")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2647</v>
      </c>
      <c r="B372" s="2" t="str">
        <f>IFERROR(INDEX(Movimientos!$C$2:$C$1994,MATCH(A372&amp;"ENTRADA",Movimientos!$R$2:$R$1994,0)),"-")</f>
        <v>-</v>
      </c>
      <c r="C372" s="2" t="str">
        <f>IFERROR(INDEX(Movimientos!$D$2:$D$1994,MATCH(A372&amp;"ENTRADA",Movimientos!$R$2:$R$1994,0)),"-")</f>
        <v>-</v>
      </c>
      <c r="D372" s="2" t="str">
        <f>IFERROR(INDEX(Movimientos!$E$2:$E$1994,MATCH(A372&amp;"ENTRADA",Movimientos!$R$2:$R$1994,0)),"-")</f>
        <v>-</v>
      </c>
      <c r="E372" s="2" t="str">
        <f>IFERROR(INDEX(Movimientos!$F$2:$F$1994,MATCH(A372&amp;"ENTRADA",Movimientos!$R$2:$R$1994,0)),"-")</f>
        <v>-</v>
      </c>
      <c r="F372" s="2" t="str">
        <f>IFERROR(INDEX(Movimientos!$G$2:$G$1994,MATCH(A372&amp;"ENTRADA",Movimientos!$R$2:$R$1994,0)),"-")</f>
        <v>-</v>
      </c>
      <c r="G372" s="2" t="str">
        <f>IFERROR(INDEX(Movimientos!$L$2:$L$1994,MATCH(A372&amp;"ENTRADA",Movimientos!$R$2:$R$1994,0)),"-")</f>
        <v>-</v>
      </c>
      <c r="H372" s="17" t="str">
        <f>IFERROR(IF(INDEX(Movimientos!$M$2:$M$1994,MATCH(A372&amp;"ENTRADA",Movimientos!$R$2:$R$1994,0))=0,"S/D",INDEX(Movimientos!$M$2:$M$1994,MATCH(A372&amp;"ENTRADA",Movimientos!$R$2:$R$1994,0))),"S/D")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2648</v>
      </c>
      <c r="B373" s="2" t="str">
        <f>IFERROR(INDEX(Movimientos!$C$2:$C$1994,MATCH(A373&amp;"ENTRADA",Movimientos!$R$2:$R$1994,0)),"-")</f>
        <v>-</v>
      </c>
      <c r="C373" s="2" t="str">
        <f>IFERROR(INDEX(Movimientos!$D$2:$D$1994,MATCH(A373&amp;"ENTRADA",Movimientos!$R$2:$R$1994,0)),"-")</f>
        <v>-</v>
      </c>
      <c r="D373" s="2" t="str">
        <f>IFERROR(INDEX(Movimientos!$E$2:$E$1994,MATCH(A373&amp;"ENTRADA",Movimientos!$R$2:$R$1994,0)),"-")</f>
        <v>-</v>
      </c>
      <c r="E373" s="2" t="str">
        <f>IFERROR(INDEX(Movimientos!$F$2:$F$1994,MATCH(A373&amp;"ENTRADA",Movimientos!$R$2:$R$1994,0)),"-")</f>
        <v>-</v>
      </c>
      <c r="F373" s="2" t="str">
        <f>IFERROR(INDEX(Movimientos!$G$2:$G$1994,MATCH(A373&amp;"ENTRADA",Movimientos!$R$2:$R$1994,0)),"-")</f>
        <v>-</v>
      </c>
      <c r="G373" s="2" t="str">
        <f>IFERROR(INDEX(Movimientos!$L$2:$L$1994,MATCH(A373&amp;"ENTRADA",Movimientos!$R$2:$R$1994,0)),"-")</f>
        <v>-</v>
      </c>
      <c r="H373" s="17" t="str">
        <f>IFERROR(IF(INDEX(Movimientos!$M$2:$M$1994,MATCH(A373&amp;"ENTRADA",Movimientos!$R$2:$R$1994,0))=0,"S/D",INDEX(Movimientos!$M$2:$M$1994,MATCH(A373&amp;"ENTRADA",Movimientos!$R$2:$R$1994,0))),"S/D")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2649</v>
      </c>
      <c r="B374" s="2" t="str">
        <f>IFERROR(INDEX(Movimientos!$C$2:$C$1994,MATCH(A374&amp;"ENTRADA",Movimientos!$R$2:$R$1994,0)),"-")</f>
        <v>-</v>
      </c>
      <c r="C374" s="2" t="str">
        <f>IFERROR(INDEX(Movimientos!$D$2:$D$1994,MATCH(A374&amp;"ENTRADA",Movimientos!$R$2:$R$1994,0)),"-")</f>
        <v>-</v>
      </c>
      <c r="D374" s="2" t="str">
        <f>IFERROR(INDEX(Movimientos!$E$2:$E$1994,MATCH(A374&amp;"ENTRADA",Movimientos!$R$2:$R$1994,0)),"-")</f>
        <v>-</v>
      </c>
      <c r="E374" s="2" t="str">
        <f>IFERROR(INDEX(Movimientos!$F$2:$F$1994,MATCH(A374&amp;"ENTRADA",Movimientos!$R$2:$R$1994,0)),"-")</f>
        <v>-</v>
      </c>
      <c r="F374" s="2" t="str">
        <f>IFERROR(INDEX(Movimientos!$G$2:$G$1994,MATCH(A374&amp;"ENTRADA",Movimientos!$R$2:$R$1994,0)),"-")</f>
        <v>-</v>
      </c>
      <c r="G374" s="2" t="str">
        <f>IFERROR(INDEX(Movimientos!$L$2:$L$1994,MATCH(A374&amp;"ENTRADA",Movimientos!$R$2:$R$1994,0)),"-")</f>
        <v>-</v>
      </c>
      <c r="H374" s="17" t="str">
        <f>IFERROR(IF(INDEX(Movimientos!$M$2:$M$1994,MATCH(A374&amp;"ENTRADA",Movimientos!$R$2:$R$1994,0))=0,"S/D",INDEX(Movimientos!$M$2:$M$1994,MATCH(A374&amp;"ENTRADA",Movimientos!$R$2:$R$1994,0))),"S/D")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2650</v>
      </c>
      <c r="B375" s="2" t="str">
        <f>IFERROR(INDEX(Movimientos!$C$2:$C$1994,MATCH(A375&amp;"ENTRADA",Movimientos!$R$2:$R$1994,0)),"-")</f>
        <v>-</v>
      </c>
      <c r="C375" s="2" t="str">
        <f>IFERROR(INDEX(Movimientos!$D$2:$D$1994,MATCH(A375&amp;"ENTRADA",Movimientos!$R$2:$R$1994,0)),"-")</f>
        <v>-</v>
      </c>
      <c r="D375" s="2" t="str">
        <f>IFERROR(INDEX(Movimientos!$E$2:$E$1994,MATCH(A375&amp;"ENTRADA",Movimientos!$R$2:$R$1994,0)),"-")</f>
        <v>-</v>
      </c>
      <c r="E375" s="2" t="str">
        <f>IFERROR(INDEX(Movimientos!$F$2:$F$1994,MATCH(A375&amp;"ENTRADA",Movimientos!$R$2:$R$1994,0)),"-")</f>
        <v>-</v>
      </c>
      <c r="F375" s="2" t="str">
        <f>IFERROR(INDEX(Movimientos!$G$2:$G$1994,MATCH(A375&amp;"ENTRADA",Movimientos!$R$2:$R$1994,0)),"-")</f>
        <v>-</v>
      </c>
      <c r="G375" s="2" t="str">
        <f>IFERROR(INDEX(Movimientos!$L$2:$L$1994,MATCH(A375&amp;"ENTRADA",Movimientos!$R$2:$R$1994,0)),"-")</f>
        <v>-</v>
      </c>
      <c r="H375" s="17" t="str">
        <f>IFERROR(IF(INDEX(Movimientos!$M$2:$M$1994,MATCH(A375&amp;"ENTRADA",Movimientos!$R$2:$R$1994,0))=0,"S/D",INDEX(Movimientos!$M$2:$M$1994,MATCH(A375&amp;"ENTRADA",Movimientos!$R$2:$R$1994,0))),"S/D")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2651</v>
      </c>
      <c r="B376" s="2" t="str">
        <f>IFERROR(INDEX(Movimientos!$C$2:$C$1994,MATCH(A376&amp;"ENTRADA",Movimientos!$R$2:$R$1994,0)),"-")</f>
        <v>-</v>
      </c>
      <c r="C376" s="2" t="str">
        <f>IFERROR(INDEX(Movimientos!$D$2:$D$1994,MATCH(A376&amp;"ENTRADA",Movimientos!$R$2:$R$1994,0)),"-")</f>
        <v>-</v>
      </c>
      <c r="D376" s="2" t="str">
        <f>IFERROR(INDEX(Movimientos!$E$2:$E$1994,MATCH(A376&amp;"ENTRADA",Movimientos!$R$2:$R$1994,0)),"-")</f>
        <v>-</v>
      </c>
      <c r="E376" s="2" t="str">
        <f>IFERROR(INDEX(Movimientos!$F$2:$F$1994,MATCH(A376&amp;"ENTRADA",Movimientos!$R$2:$R$1994,0)),"-")</f>
        <v>-</v>
      </c>
      <c r="F376" s="2" t="str">
        <f>IFERROR(INDEX(Movimientos!$G$2:$G$1994,MATCH(A376&amp;"ENTRADA",Movimientos!$R$2:$R$1994,0)),"-")</f>
        <v>-</v>
      </c>
      <c r="G376" s="2" t="str">
        <f>IFERROR(INDEX(Movimientos!$L$2:$L$1994,MATCH(A376&amp;"ENTRADA",Movimientos!$R$2:$R$1994,0)),"-")</f>
        <v>-</v>
      </c>
      <c r="H376" s="17" t="str">
        <f>IFERROR(IF(INDEX(Movimientos!$M$2:$M$1994,MATCH(A376&amp;"ENTRADA",Movimientos!$R$2:$R$1994,0))=0,"S/D",INDEX(Movimientos!$M$2:$M$1994,MATCH(A376&amp;"ENTRADA",Movimientos!$R$2:$R$1994,0))),"S/D")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2652</v>
      </c>
      <c r="B377" s="2" t="str">
        <f>IFERROR(INDEX(Movimientos!$C$2:$C$1994,MATCH(A377&amp;"ENTRADA",Movimientos!$R$2:$R$1994,0)),"-")</f>
        <v>-</v>
      </c>
      <c r="C377" s="2" t="str">
        <f>IFERROR(INDEX(Movimientos!$D$2:$D$1994,MATCH(A377&amp;"ENTRADA",Movimientos!$R$2:$R$1994,0)),"-")</f>
        <v>-</v>
      </c>
      <c r="D377" s="2" t="str">
        <f>IFERROR(INDEX(Movimientos!$E$2:$E$1994,MATCH(A377&amp;"ENTRADA",Movimientos!$R$2:$R$1994,0)),"-")</f>
        <v>-</v>
      </c>
      <c r="E377" s="2" t="str">
        <f>IFERROR(INDEX(Movimientos!$F$2:$F$1994,MATCH(A377&amp;"ENTRADA",Movimientos!$R$2:$R$1994,0)),"-")</f>
        <v>-</v>
      </c>
      <c r="F377" s="2" t="str">
        <f>IFERROR(INDEX(Movimientos!$G$2:$G$1994,MATCH(A377&amp;"ENTRADA",Movimientos!$R$2:$R$1994,0)),"-")</f>
        <v>-</v>
      </c>
      <c r="G377" s="2" t="str">
        <f>IFERROR(INDEX(Movimientos!$L$2:$L$1994,MATCH(A377&amp;"ENTRADA",Movimientos!$R$2:$R$1994,0)),"-")</f>
        <v>-</v>
      </c>
      <c r="H377" s="17" t="str">
        <f>IFERROR(IF(INDEX(Movimientos!$M$2:$M$1994,MATCH(A377&amp;"ENTRADA",Movimientos!$R$2:$R$1994,0))=0,"S/D",INDEX(Movimientos!$M$2:$M$1994,MATCH(A377&amp;"ENTRADA",Movimientos!$R$2:$R$1994,0))),"S/D")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2653</v>
      </c>
      <c r="B378" s="2" t="str">
        <f>IFERROR(INDEX(Movimientos!$C$2:$C$1994,MATCH(A378&amp;"ENTRADA",Movimientos!$R$2:$R$1994,0)),"-")</f>
        <v>-</v>
      </c>
      <c r="C378" s="2" t="str">
        <f>IFERROR(INDEX(Movimientos!$D$2:$D$1994,MATCH(A378&amp;"ENTRADA",Movimientos!$R$2:$R$1994,0)),"-")</f>
        <v>-</v>
      </c>
      <c r="D378" s="2" t="str">
        <f>IFERROR(INDEX(Movimientos!$E$2:$E$1994,MATCH(A378&amp;"ENTRADA",Movimientos!$R$2:$R$1994,0)),"-")</f>
        <v>-</v>
      </c>
      <c r="E378" s="2" t="str">
        <f>IFERROR(INDEX(Movimientos!$F$2:$F$1994,MATCH(A378&amp;"ENTRADA",Movimientos!$R$2:$R$1994,0)),"-")</f>
        <v>-</v>
      </c>
      <c r="F378" s="2" t="str">
        <f>IFERROR(INDEX(Movimientos!$G$2:$G$1994,MATCH(A378&amp;"ENTRADA",Movimientos!$R$2:$R$1994,0)),"-")</f>
        <v>-</v>
      </c>
      <c r="G378" s="2" t="str">
        <f>IFERROR(INDEX(Movimientos!$L$2:$L$1994,MATCH(A378&amp;"ENTRADA",Movimientos!$R$2:$R$1994,0)),"-")</f>
        <v>-</v>
      </c>
      <c r="H378" s="17" t="str">
        <f>IFERROR(IF(INDEX(Movimientos!$M$2:$M$1994,MATCH(A378&amp;"ENTRADA",Movimientos!$R$2:$R$1994,0))=0,"S/D",INDEX(Movimientos!$M$2:$M$1994,MATCH(A378&amp;"ENTRADA",Movimientos!$R$2:$R$1994,0))),"S/D")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2654</v>
      </c>
      <c r="B379" s="2" t="str">
        <f>IFERROR(INDEX(Movimientos!$C$2:$C$1994,MATCH(A379&amp;"ENTRADA",Movimientos!$R$2:$R$1994,0)),"-")</f>
        <v>-</v>
      </c>
      <c r="C379" s="2" t="str">
        <f>IFERROR(INDEX(Movimientos!$D$2:$D$1994,MATCH(A379&amp;"ENTRADA",Movimientos!$R$2:$R$1994,0)),"-")</f>
        <v>-</v>
      </c>
      <c r="D379" s="2" t="str">
        <f>IFERROR(INDEX(Movimientos!$E$2:$E$1994,MATCH(A379&amp;"ENTRADA",Movimientos!$R$2:$R$1994,0)),"-")</f>
        <v>-</v>
      </c>
      <c r="E379" s="2" t="str">
        <f>IFERROR(INDEX(Movimientos!$F$2:$F$1994,MATCH(A379&amp;"ENTRADA",Movimientos!$R$2:$R$1994,0)),"-")</f>
        <v>-</v>
      </c>
      <c r="F379" s="2" t="str">
        <f>IFERROR(INDEX(Movimientos!$G$2:$G$1994,MATCH(A379&amp;"ENTRADA",Movimientos!$R$2:$R$1994,0)),"-")</f>
        <v>-</v>
      </c>
      <c r="G379" s="2" t="str">
        <f>IFERROR(INDEX(Movimientos!$L$2:$L$1994,MATCH(A379&amp;"ENTRADA",Movimientos!$R$2:$R$1994,0)),"-")</f>
        <v>-</v>
      </c>
      <c r="H379" s="17" t="str">
        <f>IFERROR(IF(INDEX(Movimientos!$M$2:$M$1994,MATCH(A379&amp;"ENTRADA",Movimientos!$R$2:$R$1994,0))=0,"S/D",INDEX(Movimientos!$M$2:$M$1994,MATCH(A379&amp;"ENTRADA",Movimientos!$R$2:$R$1994,0))),"S/D")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2655</v>
      </c>
      <c r="B380" s="2" t="str">
        <f>IFERROR(INDEX(Movimientos!$C$2:$C$1994,MATCH(A380&amp;"ENTRADA",Movimientos!$R$2:$R$1994,0)),"-")</f>
        <v>-</v>
      </c>
      <c r="C380" s="2" t="str">
        <f>IFERROR(INDEX(Movimientos!$D$2:$D$1994,MATCH(A380&amp;"ENTRADA",Movimientos!$R$2:$R$1994,0)),"-")</f>
        <v>-</v>
      </c>
      <c r="D380" s="2" t="str">
        <f>IFERROR(INDEX(Movimientos!$E$2:$E$1994,MATCH(A380&amp;"ENTRADA",Movimientos!$R$2:$R$1994,0)),"-")</f>
        <v>-</v>
      </c>
      <c r="E380" s="2" t="str">
        <f>IFERROR(INDEX(Movimientos!$F$2:$F$1994,MATCH(A380&amp;"ENTRADA",Movimientos!$R$2:$R$1994,0)),"-")</f>
        <v>-</v>
      </c>
      <c r="F380" s="2" t="str">
        <f>IFERROR(INDEX(Movimientos!$G$2:$G$1994,MATCH(A380&amp;"ENTRADA",Movimientos!$R$2:$R$1994,0)),"-")</f>
        <v>-</v>
      </c>
      <c r="G380" s="2" t="str">
        <f>IFERROR(INDEX(Movimientos!$L$2:$L$1994,MATCH(A380&amp;"ENTRADA",Movimientos!$R$2:$R$1994,0)),"-")</f>
        <v>-</v>
      </c>
      <c r="H380" s="17" t="str">
        <f>IFERROR(IF(INDEX(Movimientos!$M$2:$M$1994,MATCH(A380&amp;"ENTRADA",Movimientos!$R$2:$R$1994,0))=0,"S/D",INDEX(Movimientos!$M$2:$M$1994,MATCH(A380&amp;"ENTRADA",Movimientos!$R$2:$R$1994,0))),"S/D")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2656</v>
      </c>
      <c r="B381" s="2" t="str">
        <f>IFERROR(INDEX(Movimientos!$C$2:$C$1994,MATCH(A381&amp;"ENTRADA",Movimientos!$R$2:$R$1994,0)),"-")</f>
        <v>-</v>
      </c>
      <c r="C381" s="2" t="str">
        <f>IFERROR(INDEX(Movimientos!$D$2:$D$1994,MATCH(A381&amp;"ENTRADA",Movimientos!$R$2:$R$1994,0)),"-")</f>
        <v>-</v>
      </c>
      <c r="D381" s="2" t="str">
        <f>IFERROR(INDEX(Movimientos!$E$2:$E$1994,MATCH(A381&amp;"ENTRADA",Movimientos!$R$2:$R$1994,0)),"-")</f>
        <v>-</v>
      </c>
      <c r="E381" s="2" t="str">
        <f>IFERROR(INDEX(Movimientos!$F$2:$F$1994,MATCH(A381&amp;"ENTRADA",Movimientos!$R$2:$R$1994,0)),"-")</f>
        <v>-</v>
      </c>
      <c r="F381" s="2" t="str">
        <f>IFERROR(INDEX(Movimientos!$G$2:$G$1994,MATCH(A381&amp;"ENTRADA",Movimientos!$R$2:$R$1994,0)),"-")</f>
        <v>-</v>
      </c>
      <c r="G381" s="2" t="str">
        <f>IFERROR(INDEX(Movimientos!$L$2:$L$1994,MATCH(A381&amp;"ENTRADA",Movimientos!$R$2:$R$1994,0)),"-")</f>
        <v>-</v>
      </c>
      <c r="H381" s="17" t="str">
        <f>IFERROR(IF(INDEX(Movimientos!$M$2:$M$1994,MATCH(A381&amp;"ENTRADA",Movimientos!$R$2:$R$1994,0))=0,"S/D",INDEX(Movimientos!$M$2:$M$1994,MATCH(A381&amp;"ENTRADA",Movimientos!$R$2:$R$1994,0))),"S/D")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2657</v>
      </c>
      <c r="B382" s="2" t="str">
        <f>IFERROR(INDEX(Movimientos!$C$2:$C$1994,MATCH(A382&amp;"ENTRADA",Movimientos!$R$2:$R$1994,0)),"-")</f>
        <v>-</v>
      </c>
      <c r="C382" s="2" t="str">
        <f>IFERROR(INDEX(Movimientos!$D$2:$D$1994,MATCH(A382&amp;"ENTRADA",Movimientos!$R$2:$R$1994,0)),"-")</f>
        <v>-</v>
      </c>
      <c r="D382" s="2" t="str">
        <f>IFERROR(INDEX(Movimientos!$E$2:$E$1994,MATCH(A382&amp;"ENTRADA",Movimientos!$R$2:$R$1994,0)),"-")</f>
        <v>-</v>
      </c>
      <c r="E382" s="2" t="str">
        <f>IFERROR(INDEX(Movimientos!$F$2:$F$1994,MATCH(A382&amp;"ENTRADA",Movimientos!$R$2:$R$1994,0)),"-")</f>
        <v>-</v>
      </c>
      <c r="F382" s="2" t="str">
        <f>IFERROR(INDEX(Movimientos!$G$2:$G$1994,MATCH(A382&amp;"ENTRADA",Movimientos!$R$2:$R$1994,0)),"-")</f>
        <v>-</v>
      </c>
      <c r="G382" s="2" t="str">
        <f>IFERROR(INDEX(Movimientos!$L$2:$L$1994,MATCH(A382&amp;"ENTRADA",Movimientos!$R$2:$R$1994,0)),"-")</f>
        <v>-</v>
      </c>
      <c r="H382" s="17" t="str">
        <f>IFERROR(IF(INDEX(Movimientos!$M$2:$M$1994,MATCH(A382&amp;"ENTRADA",Movimientos!$R$2:$R$1994,0))=0,"S/D",INDEX(Movimientos!$M$2:$M$1994,MATCH(A382&amp;"ENTRADA",Movimientos!$R$2:$R$1994,0))),"S/D")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2658</v>
      </c>
      <c r="B383" s="2" t="str">
        <f>IFERROR(INDEX(Movimientos!$C$2:$C$1994,MATCH(A383&amp;"ENTRADA",Movimientos!$R$2:$R$1994,0)),"-")</f>
        <v>-</v>
      </c>
      <c r="C383" s="2" t="str">
        <f>IFERROR(INDEX(Movimientos!$D$2:$D$1994,MATCH(A383&amp;"ENTRADA",Movimientos!$R$2:$R$1994,0)),"-")</f>
        <v>-</v>
      </c>
      <c r="D383" s="2" t="str">
        <f>IFERROR(INDEX(Movimientos!$E$2:$E$1994,MATCH(A383&amp;"ENTRADA",Movimientos!$R$2:$R$1994,0)),"-")</f>
        <v>-</v>
      </c>
      <c r="E383" s="2" t="str">
        <f>IFERROR(INDEX(Movimientos!$F$2:$F$1994,MATCH(A383&amp;"ENTRADA",Movimientos!$R$2:$R$1994,0)),"-")</f>
        <v>-</v>
      </c>
      <c r="F383" s="2" t="str">
        <f>IFERROR(INDEX(Movimientos!$G$2:$G$1994,MATCH(A383&amp;"ENTRADA",Movimientos!$R$2:$R$1994,0)),"-")</f>
        <v>-</v>
      </c>
      <c r="G383" s="2" t="str">
        <f>IFERROR(INDEX(Movimientos!$L$2:$L$1994,MATCH(A383&amp;"ENTRADA",Movimientos!$R$2:$R$1994,0)),"-")</f>
        <v>-</v>
      </c>
      <c r="H383" s="17" t="str">
        <f>IFERROR(IF(INDEX(Movimientos!$M$2:$M$1994,MATCH(A383&amp;"ENTRADA",Movimientos!$R$2:$R$1994,0))=0,"S/D",INDEX(Movimientos!$M$2:$M$1994,MATCH(A383&amp;"ENTRADA",Movimientos!$R$2:$R$1994,0))),"S/D")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2659</v>
      </c>
      <c r="B384" s="2" t="str">
        <f>IFERROR(INDEX(Movimientos!$C$2:$C$1994,MATCH(A384&amp;"ENTRADA",Movimientos!$R$2:$R$1994,0)),"-")</f>
        <v>-</v>
      </c>
      <c r="C384" s="2" t="str">
        <f>IFERROR(INDEX(Movimientos!$D$2:$D$1994,MATCH(A384&amp;"ENTRADA",Movimientos!$R$2:$R$1994,0)),"-")</f>
        <v>-</v>
      </c>
      <c r="D384" s="2" t="str">
        <f>IFERROR(INDEX(Movimientos!$E$2:$E$1994,MATCH(A384&amp;"ENTRADA",Movimientos!$R$2:$R$1994,0)),"-")</f>
        <v>-</v>
      </c>
      <c r="E384" s="2" t="str">
        <f>IFERROR(INDEX(Movimientos!$F$2:$F$1994,MATCH(A384&amp;"ENTRADA",Movimientos!$R$2:$R$1994,0)),"-")</f>
        <v>-</v>
      </c>
      <c r="F384" s="2" t="str">
        <f>IFERROR(INDEX(Movimientos!$G$2:$G$1994,MATCH(A384&amp;"ENTRADA",Movimientos!$R$2:$R$1994,0)),"-")</f>
        <v>-</v>
      </c>
      <c r="G384" s="2" t="str">
        <f>IFERROR(INDEX(Movimientos!$L$2:$L$1994,MATCH(A384&amp;"ENTRADA",Movimientos!$R$2:$R$1994,0)),"-")</f>
        <v>-</v>
      </c>
      <c r="H384" s="17" t="str">
        <f>IFERROR(IF(INDEX(Movimientos!$M$2:$M$1994,MATCH(A384&amp;"ENTRADA",Movimientos!$R$2:$R$1994,0))=0,"S/D",INDEX(Movimientos!$M$2:$M$1994,MATCH(A384&amp;"ENTRADA",Movimientos!$R$2:$R$1994,0))),"S/D")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2660</v>
      </c>
      <c r="B385" s="2" t="str">
        <f>IFERROR(INDEX(Movimientos!$C$2:$C$1994,MATCH(A385&amp;"ENTRADA",Movimientos!$R$2:$R$1994,0)),"-")</f>
        <v>-</v>
      </c>
      <c r="C385" s="2" t="str">
        <f>IFERROR(INDEX(Movimientos!$D$2:$D$1994,MATCH(A385&amp;"ENTRADA",Movimientos!$R$2:$R$1994,0)),"-")</f>
        <v>-</v>
      </c>
      <c r="D385" s="2" t="str">
        <f>IFERROR(INDEX(Movimientos!$E$2:$E$1994,MATCH(A385&amp;"ENTRADA",Movimientos!$R$2:$R$1994,0)),"-")</f>
        <v>-</v>
      </c>
      <c r="E385" s="2" t="str">
        <f>IFERROR(INDEX(Movimientos!$F$2:$F$1994,MATCH(A385&amp;"ENTRADA",Movimientos!$R$2:$R$1994,0)),"-")</f>
        <v>-</v>
      </c>
      <c r="F385" s="2" t="str">
        <f>IFERROR(INDEX(Movimientos!$G$2:$G$1994,MATCH(A385&amp;"ENTRADA",Movimientos!$R$2:$R$1994,0)),"-")</f>
        <v>-</v>
      </c>
      <c r="G385" s="2" t="str">
        <f>IFERROR(INDEX(Movimientos!$L$2:$L$1994,MATCH(A385&amp;"ENTRADA",Movimientos!$R$2:$R$1994,0)),"-")</f>
        <v>-</v>
      </c>
      <c r="H385" s="17" t="str">
        <f>IFERROR(IF(INDEX(Movimientos!$M$2:$M$1994,MATCH(A385&amp;"ENTRADA",Movimientos!$R$2:$R$1994,0))=0,"S/D",INDEX(Movimientos!$M$2:$M$1994,MATCH(A385&amp;"ENTRADA",Movimientos!$R$2:$R$1994,0))),"S/D")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2661</v>
      </c>
      <c r="B386" s="2" t="str">
        <f>IFERROR(INDEX(Movimientos!$C$2:$C$1994,MATCH(A386&amp;"ENTRADA",Movimientos!$R$2:$R$1994,0)),"-")</f>
        <v>-</v>
      </c>
      <c r="C386" s="2" t="str">
        <f>IFERROR(INDEX(Movimientos!$D$2:$D$1994,MATCH(A386&amp;"ENTRADA",Movimientos!$R$2:$R$1994,0)),"-")</f>
        <v>-</v>
      </c>
      <c r="D386" s="2" t="str">
        <f>IFERROR(INDEX(Movimientos!$E$2:$E$1994,MATCH(A386&amp;"ENTRADA",Movimientos!$R$2:$R$1994,0)),"-")</f>
        <v>-</v>
      </c>
      <c r="E386" s="2" t="str">
        <f>IFERROR(INDEX(Movimientos!$F$2:$F$1994,MATCH(A386&amp;"ENTRADA",Movimientos!$R$2:$R$1994,0)),"-")</f>
        <v>-</v>
      </c>
      <c r="F386" s="2" t="str">
        <f>IFERROR(INDEX(Movimientos!$G$2:$G$1994,MATCH(A386&amp;"ENTRADA",Movimientos!$R$2:$R$1994,0)),"-")</f>
        <v>-</v>
      </c>
      <c r="G386" s="2" t="str">
        <f>IFERROR(INDEX(Movimientos!$L$2:$L$1994,MATCH(A386&amp;"ENTRADA",Movimientos!$R$2:$R$1994,0)),"-")</f>
        <v>-</v>
      </c>
      <c r="H386" s="17" t="str">
        <f>IFERROR(IF(INDEX(Movimientos!$M$2:$M$1994,MATCH(A386&amp;"ENTRADA",Movimientos!$R$2:$R$1994,0))=0,"S/D",INDEX(Movimientos!$M$2:$M$1994,MATCH(A386&amp;"ENTRADA",Movimientos!$R$2:$R$1994,0))),"S/D")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2662</v>
      </c>
      <c r="B387" s="2" t="str">
        <f>IFERROR(INDEX(Movimientos!$C$2:$C$1994,MATCH(A387&amp;"ENTRADA",Movimientos!$R$2:$R$1994,0)),"-")</f>
        <v>-</v>
      </c>
      <c r="C387" s="2" t="str">
        <f>IFERROR(INDEX(Movimientos!$D$2:$D$1994,MATCH(A387&amp;"ENTRADA",Movimientos!$R$2:$R$1994,0)),"-")</f>
        <v>-</v>
      </c>
      <c r="D387" s="2" t="str">
        <f>IFERROR(INDEX(Movimientos!$E$2:$E$1994,MATCH(A387&amp;"ENTRADA",Movimientos!$R$2:$R$1994,0)),"-")</f>
        <v>-</v>
      </c>
      <c r="E387" s="2" t="str">
        <f>IFERROR(INDEX(Movimientos!$F$2:$F$1994,MATCH(A387&amp;"ENTRADA",Movimientos!$R$2:$R$1994,0)),"-")</f>
        <v>-</v>
      </c>
      <c r="F387" s="2" t="str">
        <f>IFERROR(INDEX(Movimientos!$G$2:$G$1994,MATCH(A387&amp;"ENTRADA",Movimientos!$R$2:$R$1994,0)),"-")</f>
        <v>-</v>
      </c>
      <c r="G387" s="2" t="str">
        <f>IFERROR(INDEX(Movimientos!$L$2:$L$1994,MATCH(A387&amp;"ENTRADA",Movimientos!$R$2:$R$1994,0)),"-")</f>
        <v>-</v>
      </c>
      <c r="H387" s="17" t="str">
        <f>IFERROR(IF(INDEX(Movimientos!$M$2:$M$1994,MATCH(A387&amp;"ENTRADA",Movimientos!$R$2:$R$1994,0))=0,"S/D",INDEX(Movimientos!$M$2:$M$1994,MATCH(A387&amp;"ENTRADA",Movimientos!$R$2:$R$1994,0))),"S/D")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2663</v>
      </c>
      <c r="B388" s="2" t="str">
        <f>IFERROR(INDEX(Movimientos!$C$2:$C$1994,MATCH(A388&amp;"ENTRADA",Movimientos!$R$2:$R$1994,0)),"-")</f>
        <v>-</v>
      </c>
      <c r="C388" s="2" t="str">
        <f>IFERROR(INDEX(Movimientos!$D$2:$D$1994,MATCH(A388&amp;"ENTRADA",Movimientos!$R$2:$R$1994,0)),"-")</f>
        <v>-</v>
      </c>
      <c r="D388" s="2" t="str">
        <f>IFERROR(INDEX(Movimientos!$E$2:$E$1994,MATCH(A388&amp;"ENTRADA",Movimientos!$R$2:$R$1994,0)),"-")</f>
        <v>-</v>
      </c>
      <c r="E388" s="2" t="str">
        <f>IFERROR(INDEX(Movimientos!$F$2:$F$1994,MATCH(A388&amp;"ENTRADA",Movimientos!$R$2:$R$1994,0)),"-")</f>
        <v>-</v>
      </c>
      <c r="F388" s="2" t="str">
        <f>IFERROR(INDEX(Movimientos!$G$2:$G$1994,MATCH(A388&amp;"ENTRADA",Movimientos!$R$2:$R$1994,0)),"-")</f>
        <v>-</v>
      </c>
      <c r="G388" s="2" t="str">
        <f>IFERROR(INDEX(Movimientos!$L$2:$L$1994,MATCH(A388&amp;"ENTRADA",Movimientos!$R$2:$R$1994,0)),"-")</f>
        <v>-</v>
      </c>
      <c r="H388" s="17" t="str">
        <f>IFERROR(IF(INDEX(Movimientos!$M$2:$M$1994,MATCH(A388&amp;"ENTRADA",Movimientos!$R$2:$R$1994,0))=0,"S/D",INDEX(Movimientos!$M$2:$M$1994,MATCH(A388&amp;"ENTRADA",Movimientos!$R$2:$R$1994,0))),"S/D")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2664</v>
      </c>
      <c r="B389" s="2" t="str">
        <f>IFERROR(INDEX(Movimientos!$C$2:$C$1994,MATCH(A389&amp;"ENTRADA",Movimientos!$R$2:$R$1994,0)),"-")</f>
        <v>-</v>
      </c>
      <c r="C389" s="2" t="str">
        <f>IFERROR(INDEX(Movimientos!$D$2:$D$1994,MATCH(A389&amp;"ENTRADA",Movimientos!$R$2:$R$1994,0)),"-")</f>
        <v>-</v>
      </c>
      <c r="D389" s="2" t="str">
        <f>IFERROR(INDEX(Movimientos!$E$2:$E$1994,MATCH(A389&amp;"ENTRADA",Movimientos!$R$2:$R$1994,0)),"-")</f>
        <v>-</v>
      </c>
      <c r="E389" s="2" t="str">
        <f>IFERROR(INDEX(Movimientos!$F$2:$F$1994,MATCH(A389&amp;"ENTRADA",Movimientos!$R$2:$R$1994,0)),"-")</f>
        <v>-</v>
      </c>
      <c r="F389" s="2" t="str">
        <f>IFERROR(INDEX(Movimientos!$G$2:$G$1994,MATCH(A389&amp;"ENTRADA",Movimientos!$R$2:$R$1994,0)),"-")</f>
        <v>-</v>
      </c>
      <c r="G389" s="2" t="str">
        <f>IFERROR(INDEX(Movimientos!$L$2:$L$1994,MATCH(A389&amp;"ENTRADA",Movimientos!$R$2:$R$1994,0)),"-")</f>
        <v>-</v>
      </c>
      <c r="H389" s="17" t="str">
        <f>IFERROR(IF(INDEX(Movimientos!$M$2:$M$1994,MATCH(A389&amp;"ENTRADA",Movimientos!$R$2:$R$1994,0))=0,"S/D",INDEX(Movimientos!$M$2:$M$1994,MATCH(A389&amp;"ENTRADA",Movimientos!$R$2:$R$1994,0))),"S/D")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2665</v>
      </c>
      <c r="B390" s="2" t="str">
        <f>IFERROR(INDEX(Movimientos!$C$2:$C$1994,MATCH(A390&amp;"ENTRADA",Movimientos!$R$2:$R$1994,0)),"-")</f>
        <v>-</v>
      </c>
      <c r="C390" s="2" t="str">
        <f>IFERROR(INDEX(Movimientos!$D$2:$D$1994,MATCH(A390&amp;"ENTRADA",Movimientos!$R$2:$R$1994,0)),"-")</f>
        <v>-</v>
      </c>
      <c r="D390" s="2" t="str">
        <f>IFERROR(INDEX(Movimientos!$E$2:$E$1994,MATCH(A390&amp;"ENTRADA",Movimientos!$R$2:$R$1994,0)),"-")</f>
        <v>-</v>
      </c>
      <c r="E390" s="2" t="str">
        <f>IFERROR(INDEX(Movimientos!$F$2:$F$1994,MATCH(A390&amp;"ENTRADA",Movimientos!$R$2:$R$1994,0)),"-")</f>
        <v>-</v>
      </c>
      <c r="F390" s="2" t="str">
        <f>IFERROR(INDEX(Movimientos!$G$2:$G$1994,MATCH(A390&amp;"ENTRADA",Movimientos!$R$2:$R$1994,0)),"-")</f>
        <v>-</v>
      </c>
      <c r="G390" s="2" t="str">
        <f>IFERROR(INDEX(Movimientos!$L$2:$L$1994,MATCH(A390&amp;"ENTRADA",Movimientos!$R$2:$R$1994,0)),"-")</f>
        <v>-</v>
      </c>
      <c r="H390" s="17" t="str">
        <f>IFERROR(IF(INDEX(Movimientos!$M$2:$M$1994,MATCH(A390&amp;"ENTRADA",Movimientos!$R$2:$R$1994,0))=0,"S/D",INDEX(Movimientos!$M$2:$M$1994,MATCH(A390&amp;"ENTRADA",Movimientos!$R$2:$R$1994,0))),"S/D")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2666</v>
      </c>
      <c r="B391" s="2" t="str">
        <f>IFERROR(INDEX(Movimientos!$C$2:$C$1994,MATCH(A391&amp;"ENTRADA",Movimientos!$R$2:$R$1994,0)),"-")</f>
        <v>-</v>
      </c>
      <c r="C391" s="2" t="str">
        <f>IFERROR(INDEX(Movimientos!$D$2:$D$1994,MATCH(A391&amp;"ENTRADA",Movimientos!$R$2:$R$1994,0)),"-")</f>
        <v>-</v>
      </c>
      <c r="D391" s="2" t="str">
        <f>IFERROR(INDEX(Movimientos!$E$2:$E$1994,MATCH(A391&amp;"ENTRADA",Movimientos!$R$2:$R$1994,0)),"-")</f>
        <v>-</v>
      </c>
      <c r="E391" s="2" t="str">
        <f>IFERROR(INDEX(Movimientos!$F$2:$F$1994,MATCH(A391&amp;"ENTRADA",Movimientos!$R$2:$R$1994,0)),"-")</f>
        <v>-</v>
      </c>
      <c r="F391" s="2" t="str">
        <f>IFERROR(INDEX(Movimientos!$G$2:$G$1994,MATCH(A391&amp;"ENTRADA",Movimientos!$R$2:$R$1994,0)),"-")</f>
        <v>-</v>
      </c>
      <c r="G391" s="2" t="str">
        <f>IFERROR(INDEX(Movimientos!$L$2:$L$1994,MATCH(A391&amp;"ENTRADA",Movimientos!$R$2:$R$1994,0)),"-")</f>
        <v>-</v>
      </c>
      <c r="H391" s="17" t="str">
        <f>IFERROR(IF(INDEX(Movimientos!$M$2:$M$1994,MATCH(A391&amp;"ENTRADA",Movimientos!$R$2:$R$1994,0))=0,"S/D",INDEX(Movimientos!$M$2:$M$1994,MATCH(A391&amp;"ENTRADA",Movimientos!$R$2:$R$1994,0))),"S/D")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2667</v>
      </c>
      <c r="B392" s="2" t="str">
        <f>IFERROR(INDEX(Movimientos!$C$2:$C$1994,MATCH(A392&amp;"ENTRADA",Movimientos!$R$2:$R$1994,0)),"-")</f>
        <v>-</v>
      </c>
      <c r="C392" s="2" t="str">
        <f>IFERROR(INDEX(Movimientos!$D$2:$D$1994,MATCH(A392&amp;"ENTRADA",Movimientos!$R$2:$R$1994,0)),"-")</f>
        <v>-</v>
      </c>
      <c r="D392" s="2" t="str">
        <f>IFERROR(INDEX(Movimientos!$E$2:$E$1994,MATCH(A392&amp;"ENTRADA",Movimientos!$R$2:$R$1994,0)),"-")</f>
        <v>-</v>
      </c>
      <c r="E392" s="2" t="str">
        <f>IFERROR(INDEX(Movimientos!$F$2:$F$1994,MATCH(A392&amp;"ENTRADA",Movimientos!$R$2:$R$1994,0)),"-")</f>
        <v>-</v>
      </c>
      <c r="F392" s="2" t="str">
        <f>IFERROR(INDEX(Movimientos!$G$2:$G$1994,MATCH(A392&amp;"ENTRADA",Movimientos!$R$2:$R$1994,0)),"-")</f>
        <v>-</v>
      </c>
      <c r="G392" s="2" t="str">
        <f>IFERROR(INDEX(Movimientos!$L$2:$L$1994,MATCH(A392&amp;"ENTRADA",Movimientos!$R$2:$R$1994,0)),"-")</f>
        <v>-</v>
      </c>
      <c r="H392" s="17" t="str">
        <f>IFERROR(IF(INDEX(Movimientos!$M$2:$M$1994,MATCH(A392&amp;"ENTRADA",Movimientos!$R$2:$R$1994,0))=0,"S/D",INDEX(Movimientos!$M$2:$M$1994,MATCH(A392&amp;"ENTRADA",Movimientos!$R$2:$R$1994,0))),"S/D")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2668</v>
      </c>
      <c r="B393" s="2" t="str">
        <f>IFERROR(INDEX(Movimientos!$C$2:$C$1994,MATCH(A393&amp;"ENTRADA",Movimientos!$R$2:$R$1994,0)),"-")</f>
        <v>-</v>
      </c>
      <c r="C393" s="2" t="str">
        <f>IFERROR(INDEX(Movimientos!$D$2:$D$1994,MATCH(A393&amp;"ENTRADA",Movimientos!$R$2:$R$1994,0)),"-")</f>
        <v>-</v>
      </c>
      <c r="D393" s="2" t="str">
        <f>IFERROR(INDEX(Movimientos!$E$2:$E$1994,MATCH(A393&amp;"ENTRADA",Movimientos!$R$2:$R$1994,0)),"-")</f>
        <v>-</v>
      </c>
      <c r="E393" s="2" t="str">
        <f>IFERROR(INDEX(Movimientos!$F$2:$F$1994,MATCH(A393&amp;"ENTRADA",Movimientos!$R$2:$R$1994,0)),"-")</f>
        <v>-</v>
      </c>
      <c r="F393" s="2" t="str">
        <f>IFERROR(INDEX(Movimientos!$G$2:$G$1994,MATCH(A393&amp;"ENTRADA",Movimientos!$R$2:$R$1994,0)),"-")</f>
        <v>-</v>
      </c>
      <c r="G393" s="2" t="str">
        <f>IFERROR(INDEX(Movimientos!$L$2:$L$1994,MATCH(A393&amp;"ENTRADA",Movimientos!$R$2:$R$1994,0)),"-")</f>
        <v>-</v>
      </c>
      <c r="H393" s="17" t="str">
        <f>IFERROR(IF(INDEX(Movimientos!$M$2:$M$1994,MATCH(A393&amp;"ENTRADA",Movimientos!$R$2:$R$1994,0))=0,"S/D",INDEX(Movimientos!$M$2:$M$1994,MATCH(A393&amp;"ENTRADA",Movimientos!$R$2:$R$1994,0))),"S/D")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2669</v>
      </c>
      <c r="B394" s="2" t="str">
        <f>IFERROR(INDEX(Movimientos!$C$2:$C$1994,MATCH(A394&amp;"ENTRADA",Movimientos!$R$2:$R$1994,0)),"-")</f>
        <v>-</v>
      </c>
      <c r="C394" s="2" t="str">
        <f>IFERROR(INDEX(Movimientos!$D$2:$D$1994,MATCH(A394&amp;"ENTRADA",Movimientos!$R$2:$R$1994,0)),"-")</f>
        <v>-</v>
      </c>
      <c r="D394" s="2" t="str">
        <f>IFERROR(INDEX(Movimientos!$E$2:$E$1994,MATCH(A394&amp;"ENTRADA",Movimientos!$R$2:$R$1994,0)),"-")</f>
        <v>-</v>
      </c>
      <c r="E394" s="2" t="str">
        <f>IFERROR(INDEX(Movimientos!$F$2:$F$1994,MATCH(A394&amp;"ENTRADA",Movimientos!$R$2:$R$1994,0)),"-")</f>
        <v>-</v>
      </c>
      <c r="F394" s="2" t="str">
        <f>IFERROR(INDEX(Movimientos!$G$2:$G$1994,MATCH(A394&amp;"ENTRADA",Movimientos!$R$2:$R$1994,0)),"-")</f>
        <v>-</v>
      </c>
      <c r="G394" s="2" t="str">
        <f>IFERROR(INDEX(Movimientos!$L$2:$L$1994,MATCH(A394&amp;"ENTRADA",Movimientos!$R$2:$R$1994,0)),"-")</f>
        <v>-</v>
      </c>
      <c r="H394" s="17" t="str">
        <f>IFERROR(IF(INDEX(Movimientos!$M$2:$M$1994,MATCH(A394&amp;"ENTRADA",Movimientos!$R$2:$R$1994,0))=0,"S/D",INDEX(Movimientos!$M$2:$M$1994,MATCH(A394&amp;"ENTRADA",Movimientos!$R$2:$R$1994,0))),"S/D")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2670</v>
      </c>
      <c r="B395" s="2" t="str">
        <f>IFERROR(INDEX(Movimientos!$C$2:$C$1994,MATCH(A395&amp;"ENTRADA",Movimientos!$R$2:$R$1994,0)),"-")</f>
        <v>-</v>
      </c>
      <c r="C395" s="2" t="str">
        <f>IFERROR(INDEX(Movimientos!$D$2:$D$1994,MATCH(A395&amp;"ENTRADA",Movimientos!$R$2:$R$1994,0)),"-")</f>
        <v>-</v>
      </c>
      <c r="D395" s="2" t="str">
        <f>IFERROR(INDEX(Movimientos!$E$2:$E$1994,MATCH(A395&amp;"ENTRADA",Movimientos!$R$2:$R$1994,0)),"-")</f>
        <v>-</v>
      </c>
      <c r="E395" s="2" t="str">
        <f>IFERROR(INDEX(Movimientos!$F$2:$F$1994,MATCH(A395&amp;"ENTRADA",Movimientos!$R$2:$R$1994,0)),"-")</f>
        <v>-</v>
      </c>
      <c r="F395" s="2" t="str">
        <f>IFERROR(INDEX(Movimientos!$G$2:$G$1994,MATCH(A395&amp;"ENTRADA",Movimientos!$R$2:$R$1994,0)),"-")</f>
        <v>-</v>
      </c>
      <c r="G395" s="2" t="str">
        <f>IFERROR(INDEX(Movimientos!$L$2:$L$1994,MATCH(A395&amp;"ENTRADA",Movimientos!$R$2:$R$1994,0)),"-")</f>
        <v>-</v>
      </c>
      <c r="H395" s="17" t="str">
        <f>IFERROR(IF(INDEX(Movimientos!$M$2:$M$1994,MATCH(A395&amp;"ENTRADA",Movimientos!$R$2:$R$1994,0))=0,"S/D",INDEX(Movimientos!$M$2:$M$1994,MATCH(A395&amp;"ENTRADA",Movimientos!$R$2:$R$1994,0))),"S/D")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2671</v>
      </c>
      <c r="B396" s="2" t="str">
        <f>IFERROR(INDEX(Movimientos!$C$2:$C$1994,MATCH(A396&amp;"ENTRADA",Movimientos!$R$2:$R$1994,0)),"-")</f>
        <v>-</v>
      </c>
      <c r="C396" s="2" t="str">
        <f>IFERROR(INDEX(Movimientos!$D$2:$D$1994,MATCH(A396&amp;"ENTRADA",Movimientos!$R$2:$R$1994,0)),"-")</f>
        <v>-</v>
      </c>
      <c r="D396" s="2" t="str">
        <f>IFERROR(INDEX(Movimientos!$E$2:$E$1994,MATCH(A396&amp;"ENTRADA",Movimientos!$R$2:$R$1994,0)),"-")</f>
        <v>-</v>
      </c>
      <c r="E396" s="2" t="str">
        <f>IFERROR(INDEX(Movimientos!$F$2:$F$1994,MATCH(A396&amp;"ENTRADA",Movimientos!$R$2:$R$1994,0)),"-")</f>
        <v>-</v>
      </c>
      <c r="F396" s="2" t="str">
        <f>IFERROR(INDEX(Movimientos!$G$2:$G$1994,MATCH(A396&amp;"ENTRADA",Movimientos!$R$2:$R$1994,0)),"-")</f>
        <v>-</v>
      </c>
      <c r="G396" s="2" t="str">
        <f>IFERROR(INDEX(Movimientos!$L$2:$L$1994,MATCH(A396&amp;"ENTRADA",Movimientos!$R$2:$R$1994,0)),"-")</f>
        <v>-</v>
      </c>
      <c r="H396" s="17" t="str">
        <f>IFERROR(IF(INDEX(Movimientos!$M$2:$M$1994,MATCH(A396&amp;"ENTRADA",Movimientos!$R$2:$R$1994,0))=0,"S/D",INDEX(Movimientos!$M$2:$M$1994,MATCH(A396&amp;"ENTRADA",Movimientos!$R$2:$R$1994,0))),"S/D")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2672</v>
      </c>
      <c r="B397" s="2" t="str">
        <f>IFERROR(INDEX(Movimientos!$C$2:$C$1994,MATCH(A397&amp;"ENTRADA",Movimientos!$R$2:$R$1994,0)),"-")</f>
        <v>-</v>
      </c>
      <c r="C397" s="2" t="str">
        <f>IFERROR(INDEX(Movimientos!$D$2:$D$1994,MATCH(A397&amp;"ENTRADA",Movimientos!$R$2:$R$1994,0)),"-")</f>
        <v>-</v>
      </c>
      <c r="D397" s="2" t="str">
        <f>IFERROR(INDEX(Movimientos!$E$2:$E$1994,MATCH(A397&amp;"ENTRADA",Movimientos!$R$2:$R$1994,0)),"-")</f>
        <v>-</v>
      </c>
      <c r="E397" s="2" t="str">
        <f>IFERROR(INDEX(Movimientos!$F$2:$F$1994,MATCH(A397&amp;"ENTRADA",Movimientos!$R$2:$R$1994,0)),"-")</f>
        <v>-</v>
      </c>
      <c r="F397" s="2" t="str">
        <f>IFERROR(INDEX(Movimientos!$G$2:$G$1994,MATCH(A397&amp;"ENTRADA",Movimientos!$R$2:$R$1994,0)),"-")</f>
        <v>-</v>
      </c>
      <c r="G397" s="2" t="str">
        <f>IFERROR(INDEX(Movimientos!$L$2:$L$1994,MATCH(A397&amp;"ENTRADA",Movimientos!$R$2:$R$1994,0)),"-")</f>
        <v>-</v>
      </c>
      <c r="H397" s="17" t="str">
        <f>IFERROR(IF(INDEX(Movimientos!$M$2:$M$1994,MATCH(A397&amp;"ENTRADA",Movimientos!$R$2:$R$1994,0))=0,"S/D",INDEX(Movimientos!$M$2:$M$1994,MATCH(A397&amp;"ENTRADA",Movimientos!$R$2:$R$1994,0))),"S/D")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2673</v>
      </c>
      <c r="B398" s="2" t="str">
        <f>IFERROR(INDEX(Movimientos!$C$2:$C$1994,MATCH(A398&amp;"ENTRADA",Movimientos!$R$2:$R$1994,0)),"-")</f>
        <v>-</v>
      </c>
      <c r="C398" s="2" t="str">
        <f>IFERROR(INDEX(Movimientos!$D$2:$D$1994,MATCH(A398&amp;"ENTRADA",Movimientos!$R$2:$R$1994,0)),"-")</f>
        <v>-</v>
      </c>
      <c r="D398" s="2" t="str">
        <f>IFERROR(INDEX(Movimientos!$E$2:$E$1994,MATCH(A398&amp;"ENTRADA",Movimientos!$R$2:$R$1994,0)),"-")</f>
        <v>-</v>
      </c>
      <c r="E398" s="2" t="str">
        <f>IFERROR(INDEX(Movimientos!$F$2:$F$1994,MATCH(A398&amp;"ENTRADA",Movimientos!$R$2:$R$1994,0)),"-")</f>
        <v>-</v>
      </c>
      <c r="F398" s="2" t="str">
        <f>IFERROR(INDEX(Movimientos!$G$2:$G$1994,MATCH(A398&amp;"ENTRADA",Movimientos!$R$2:$R$1994,0)),"-")</f>
        <v>-</v>
      </c>
      <c r="G398" s="2" t="str">
        <f>IFERROR(INDEX(Movimientos!$L$2:$L$1994,MATCH(A398&amp;"ENTRADA",Movimientos!$R$2:$R$1994,0)),"-")</f>
        <v>-</v>
      </c>
      <c r="H398" s="17" t="str">
        <f>IFERROR(IF(INDEX(Movimientos!$M$2:$M$1994,MATCH(A398&amp;"ENTRADA",Movimientos!$R$2:$R$1994,0))=0,"S/D",INDEX(Movimientos!$M$2:$M$1994,MATCH(A398&amp;"ENTRADA",Movimientos!$R$2:$R$1994,0))),"S/D")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2674</v>
      </c>
      <c r="B399" s="2" t="str">
        <f>IFERROR(INDEX(Movimientos!$C$2:$C$1994,MATCH(A399&amp;"ENTRADA",Movimientos!$R$2:$R$1994,0)),"-")</f>
        <v>-</v>
      </c>
      <c r="C399" s="2" t="str">
        <f>IFERROR(INDEX(Movimientos!$D$2:$D$1994,MATCH(A399&amp;"ENTRADA",Movimientos!$R$2:$R$1994,0)),"-")</f>
        <v>-</v>
      </c>
      <c r="D399" s="2" t="str">
        <f>IFERROR(INDEX(Movimientos!$E$2:$E$1994,MATCH(A399&amp;"ENTRADA",Movimientos!$R$2:$R$1994,0)),"-")</f>
        <v>-</v>
      </c>
      <c r="E399" s="2" t="str">
        <f>IFERROR(INDEX(Movimientos!$F$2:$F$1994,MATCH(A399&amp;"ENTRADA",Movimientos!$R$2:$R$1994,0)),"-")</f>
        <v>-</v>
      </c>
      <c r="F399" s="2" t="str">
        <f>IFERROR(INDEX(Movimientos!$G$2:$G$1994,MATCH(A399&amp;"ENTRADA",Movimientos!$R$2:$R$1994,0)),"-")</f>
        <v>-</v>
      </c>
      <c r="G399" s="2" t="str">
        <f>IFERROR(INDEX(Movimientos!$L$2:$L$1994,MATCH(A399&amp;"ENTRADA",Movimientos!$R$2:$R$1994,0)),"-")</f>
        <v>-</v>
      </c>
      <c r="H399" s="17" t="str">
        <f>IFERROR(IF(INDEX(Movimientos!$M$2:$M$1994,MATCH(A399&amp;"ENTRADA",Movimientos!$R$2:$R$1994,0))=0,"S/D",INDEX(Movimientos!$M$2:$M$1994,MATCH(A399&amp;"ENTRADA",Movimientos!$R$2:$R$1994,0))),"S/D")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2675</v>
      </c>
      <c r="B400" s="2" t="str">
        <f>IFERROR(INDEX(Movimientos!$C$2:$C$1994,MATCH(A400&amp;"ENTRADA",Movimientos!$R$2:$R$1994,0)),"-")</f>
        <v>-</v>
      </c>
      <c r="C400" s="2" t="str">
        <f>IFERROR(INDEX(Movimientos!$D$2:$D$1994,MATCH(A400&amp;"ENTRADA",Movimientos!$R$2:$R$1994,0)),"-")</f>
        <v>-</v>
      </c>
      <c r="D400" s="2" t="str">
        <f>IFERROR(INDEX(Movimientos!$E$2:$E$1994,MATCH(A400&amp;"ENTRADA",Movimientos!$R$2:$R$1994,0)),"-")</f>
        <v>-</v>
      </c>
      <c r="E400" s="2" t="str">
        <f>IFERROR(INDEX(Movimientos!$F$2:$F$1994,MATCH(A400&amp;"ENTRADA",Movimientos!$R$2:$R$1994,0)),"-")</f>
        <v>-</v>
      </c>
      <c r="F400" s="2" t="str">
        <f>IFERROR(INDEX(Movimientos!$G$2:$G$1994,MATCH(A400&amp;"ENTRADA",Movimientos!$R$2:$R$1994,0)),"-")</f>
        <v>-</v>
      </c>
      <c r="G400" s="2" t="str">
        <f>IFERROR(INDEX(Movimientos!$L$2:$L$1994,MATCH(A400&amp;"ENTRADA",Movimientos!$R$2:$R$1994,0)),"-")</f>
        <v>-</v>
      </c>
      <c r="H400" s="17" t="str">
        <f>IFERROR(IF(INDEX(Movimientos!$M$2:$M$1994,MATCH(A400&amp;"ENTRADA",Movimientos!$R$2:$R$1994,0))=0,"S/D",INDEX(Movimientos!$M$2:$M$1994,MATCH(A400&amp;"ENTRADA",Movimientos!$R$2:$R$1994,0))),"S/D")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2676</v>
      </c>
      <c r="B401" s="2" t="str">
        <f>IFERROR(INDEX(Movimientos!$C$2:$C$1994,MATCH(A401&amp;"ENTRADA",Movimientos!$R$2:$R$1994,0)),"-")</f>
        <v>-</v>
      </c>
      <c r="C401" s="2" t="str">
        <f>IFERROR(INDEX(Movimientos!$D$2:$D$1994,MATCH(A401&amp;"ENTRADA",Movimientos!$R$2:$R$1994,0)),"-")</f>
        <v>-</v>
      </c>
      <c r="D401" s="2" t="str">
        <f>IFERROR(INDEX(Movimientos!$E$2:$E$1994,MATCH(A401&amp;"ENTRADA",Movimientos!$R$2:$R$1994,0)),"-")</f>
        <v>-</v>
      </c>
      <c r="E401" s="2" t="str">
        <f>IFERROR(INDEX(Movimientos!$F$2:$F$1994,MATCH(A401&amp;"ENTRADA",Movimientos!$R$2:$R$1994,0)),"-")</f>
        <v>-</v>
      </c>
      <c r="F401" s="2" t="str">
        <f>IFERROR(INDEX(Movimientos!$G$2:$G$1994,MATCH(A401&amp;"ENTRADA",Movimientos!$R$2:$R$1994,0)),"-")</f>
        <v>-</v>
      </c>
      <c r="G401" s="2" t="str">
        <f>IFERROR(INDEX(Movimientos!$L$2:$L$1994,MATCH(A401&amp;"ENTRADA",Movimientos!$R$2:$R$1994,0)),"-")</f>
        <v>-</v>
      </c>
      <c r="H401" s="17" t="str">
        <f>IFERROR(IF(INDEX(Movimientos!$M$2:$M$1994,MATCH(A401&amp;"ENTRADA",Movimientos!$R$2:$R$1994,0))=0,"S/D",INDEX(Movimientos!$M$2:$M$1994,MATCH(A401&amp;"ENTRADA",Movimientos!$R$2:$R$1994,0))),"S/D")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2677</v>
      </c>
      <c r="B402" s="2" t="str">
        <f>IFERROR(INDEX(Movimientos!$C$2:$C$1994,MATCH(A402&amp;"ENTRADA",Movimientos!$R$2:$R$1994,0)),"-")</f>
        <v>-</v>
      </c>
      <c r="C402" s="2" t="str">
        <f>IFERROR(INDEX(Movimientos!$D$2:$D$1994,MATCH(A402&amp;"ENTRADA",Movimientos!$R$2:$R$1994,0)),"-")</f>
        <v>-</v>
      </c>
      <c r="D402" s="2" t="str">
        <f>IFERROR(INDEX(Movimientos!$E$2:$E$1994,MATCH(A402&amp;"ENTRADA",Movimientos!$R$2:$R$1994,0)),"-")</f>
        <v>-</v>
      </c>
      <c r="E402" s="2" t="str">
        <f>IFERROR(INDEX(Movimientos!$F$2:$F$1994,MATCH(A402&amp;"ENTRADA",Movimientos!$R$2:$R$1994,0)),"-")</f>
        <v>-</v>
      </c>
      <c r="F402" s="2" t="str">
        <f>IFERROR(INDEX(Movimientos!$G$2:$G$1994,MATCH(A402&amp;"ENTRADA",Movimientos!$R$2:$R$1994,0)),"-")</f>
        <v>-</v>
      </c>
      <c r="G402" s="2" t="str">
        <f>IFERROR(INDEX(Movimientos!$L$2:$L$1994,MATCH(A402&amp;"ENTRADA",Movimientos!$R$2:$R$1994,0)),"-")</f>
        <v>-</v>
      </c>
      <c r="H402" s="17" t="str">
        <f>IFERROR(IF(INDEX(Movimientos!$M$2:$M$1994,MATCH(A402&amp;"ENTRADA",Movimientos!$R$2:$R$1994,0))=0,"S/D",INDEX(Movimientos!$M$2:$M$1994,MATCH(A402&amp;"ENTRADA",Movimientos!$R$2:$R$1994,0))),"S/D")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2678</v>
      </c>
      <c r="B403" s="2" t="str">
        <f>IFERROR(INDEX(Movimientos!$C$2:$C$1994,MATCH(A403&amp;"ENTRADA",Movimientos!$R$2:$R$1994,0)),"-")</f>
        <v>-</v>
      </c>
      <c r="C403" s="2" t="str">
        <f>IFERROR(INDEX(Movimientos!$D$2:$D$1994,MATCH(A403&amp;"ENTRADA",Movimientos!$R$2:$R$1994,0)),"-")</f>
        <v>-</v>
      </c>
      <c r="D403" s="2" t="str">
        <f>IFERROR(INDEX(Movimientos!$E$2:$E$1994,MATCH(A403&amp;"ENTRADA",Movimientos!$R$2:$R$1994,0)),"-")</f>
        <v>-</v>
      </c>
      <c r="E403" s="2" t="str">
        <f>IFERROR(INDEX(Movimientos!$F$2:$F$1994,MATCH(A403&amp;"ENTRADA",Movimientos!$R$2:$R$1994,0)),"-")</f>
        <v>-</v>
      </c>
      <c r="F403" s="2" t="str">
        <f>IFERROR(INDEX(Movimientos!$G$2:$G$1994,MATCH(A403&amp;"ENTRADA",Movimientos!$R$2:$R$1994,0)),"-")</f>
        <v>-</v>
      </c>
      <c r="G403" s="2" t="str">
        <f>IFERROR(INDEX(Movimientos!$L$2:$L$1994,MATCH(A403&amp;"ENTRADA",Movimientos!$R$2:$R$1994,0)),"-")</f>
        <v>-</v>
      </c>
      <c r="H403" s="17" t="str">
        <f>IFERROR(IF(INDEX(Movimientos!$M$2:$M$1994,MATCH(A403&amp;"ENTRADA",Movimientos!$R$2:$R$1994,0))=0,"S/D",INDEX(Movimientos!$M$2:$M$1994,MATCH(A403&amp;"ENTRADA",Movimientos!$R$2:$R$1994,0))),"S/D")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2679</v>
      </c>
      <c r="B404" s="2" t="str">
        <f>IFERROR(INDEX(Movimientos!$C$2:$C$1994,MATCH(A404&amp;"ENTRADA",Movimientos!$R$2:$R$1994,0)),"-")</f>
        <v>-</v>
      </c>
      <c r="C404" s="2" t="str">
        <f>IFERROR(INDEX(Movimientos!$D$2:$D$1994,MATCH(A404&amp;"ENTRADA",Movimientos!$R$2:$R$1994,0)),"-")</f>
        <v>-</v>
      </c>
      <c r="D404" s="2" t="str">
        <f>IFERROR(INDEX(Movimientos!$E$2:$E$1994,MATCH(A404&amp;"ENTRADA",Movimientos!$R$2:$R$1994,0)),"-")</f>
        <v>-</v>
      </c>
      <c r="E404" s="2" t="str">
        <f>IFERROR(INDEX(Movimientos!$F$2:$F$1994,MATCH(A404&amp;"ENTRADA",Movimientos!$R$2:$R$1994,0)),"-")</f>
        <v>-</v>
      </c>
      <c r="F404" s="2" t="str">
        <f>IFERROR(INDEX(Movimientos!$G$2:$G$1994,MATCH(A404&amp;"ENTRADA",Movimientos!$R$2:$R$1994,0)),"-")</f>
        <v>-</v>
      </c>
      <c r="G404" s="2" t="str">
        <f>IFERROR(INDEX(Movimientos!$L$2:$L$1994,MATCH(A404&amp;"ENTRADA",Movimientos!$R$2:$R$1994,0)),"-")</f>
        <v>-</v>
      </c>
      <c r="H404" s="17" t="str">
        <f>IFERROR(IF(INDEX(Movimientos!$M$2:$M$1994,MATCH(A404&amp;"ENTRADA",Movimientos!$R$2:$R$1994,0))=0,"S/D",INDEX(Movimientos!$M$2:$M$1994,MATCH(A404&amp;"ENTRADA",Movimientos!$R$2:$R$1994,0))),"S/D")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2680</v>
      </c>
      <c r="B405" s="2" t="str">
        <f>IFERROR(INDEX(Movimientos!$C$2:$C$1994,MATCH(A405&amp;"ENTRADA",Movimientos!$R$2:$R$1994,0)),"-")</f>
        <v>-</v>
      </c>
      <c r="C405" s="2" t="str">
        <f>IFERROR(INDEX(Movimientos!$D$2:$D$1994,MATCH(A405&amp;"ENTRADA",Movimientos!$R$2:$R$1994,0)),"-")</f>
        <v>-</v>
      </c>
      <c r="D405" s="2" t="str">
        <f>IFERROR(INDEX(Movimientos!$E$2:$E$1994,MATCH(A405&amp;"ENTRADA",Movimientos!$R$2:$R$1994,0)),"-")</f>
        <v>-</v>
      </c>
      <c r="E405" s="2" t="str">
        <f>IFERROR(INDEX(Movimientos!$F$2:$F$1994,MATCH(A405&amp;"ENTRADA",Movimientos!$R$2:$R$1994,0)),"-")</f>
        <v>-</v>
      </c>
      <c r="F405" s="2" t="str">
        <f>IFERROR(INDEX(Movimientos!$G$2:$G$1994,MATCH(A405&amp;"ENTRADA",Movimientos!$R$2:$R$1994,0)),"-")</f>
        <v>-</v>
      </c>
      <c r="G405" s="2" t="str">
        <f>IFERROR(INDEX(Movimientos!$L$2:$L$1994,MATCH(A405&amp;"ENTRADA",Movimientos!$R$2:$R$1994,0)),"-")</f>
        <v>-</v>
      </c>
      <c r="H405" s="17" t="str">
        <f>IFERROR(IF(INDEX(Movimientos!$M$2:$M$1994,MATCH(A405&amp;"ENTRADA",Movimientos!$R$2:$R$1994,0))=0,"S/D",INDEX(Movimientos!$M$2:$M$1994,MATCH(A405&amp;"ENTRADA",Movimientos!$R$2:$R$1994,0))),"S/D")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2681</v>
      </c>
      <c r="B406" s="2" t="str">
        <f>IFERROR(INDEX(Movimientos!$C$2:$C$1994,MATCH(A406&amp;"ENTRADA",Movimientos!$R$2:$R$1994,0)),"-")</f>
        <v>-</v>
      </c>
      <c r="C406" s="2" t="str">
        <f>IFERROR(INDEX(Movimientos!$D$2:$D$1994,MATCH(A406&amp;"ENTRADA",Movimientos!$R$2:$R$1994,0)),"-")</f>
        <v>-</v>
      </c>
      <c r="D406" s="2" t="str">
        <f>IFERROR(INDEX(Movimientos!$E$2:$E$1994,MATCH(A406&amp;"ENTRADA",Movimientos!$R$2:$R$1994,0)),"-")</f>
        <v>-</v>
      </c>
      <c r="E406" s="2" t="str">
        <f>IFERROR(INDEX(Movimientos!$F$2:$F$1994,MATCH(A406&amp;"ENTRADA",Movimientos!$R$2:$R$1994,0)),"-")</f>
        <v>-</v>
      </c>
      <c r="F406" s="2" t="str">
        <f>IFERROR(INDEX(Movimientos!$G$2:$G$1994,MATCH(A406&amp;"ENTRADA",Movimientos!$R$2:$R$1994,0)),"-")</f>
        <v>-</v>
      </c>
      <c r="G406" s="2" t="str">
        <f>IFERROR(INDEX(Movimientos!$L$2:$L$1994,MATCH(A406&amp;"ENTRADA",Movimientos!$R$2:$R$1994,0)),"-")</f>
        <v>-</v>
      </c>
      <c r="H406" s="17" t="str">
        <f>IFERROR(IF(INDEX(Movimientos!$M$2:$M$1994,MATCH(A406&amp;"ENTRADA",Movimientos!$R$2:$R$1994,0))=0,"S/D",INDEX(Movimientos!$M$2:$M$1994,MATCH(A406&amp;"ENTRADA",Movimientos!$R$2:$R$1994,0))),"S/D")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2682</v>
      </c>
      <c r="B407" s="2" t="str">
        <f>IFERROR(INDEX(Movimientos!$C$2:$C$1994,MATCH(A407&amp;"ENTRADA",Movimientos!$R$2:$R$1994,0)),"-")</f>
        <v>-</v>
      </c>
      <c r="C407" s="2" t="str">
        <f>IFERROR(INDEX(Movimientos!$D$2:$D$1994,MATCH(A407&amp;"ENTRADA",Movimientos!$R$2:$R$1994,0)),"-")</f>
        <v>-</v>
      </c>
      <c r="D407" s="2" t="str">
        <f>IFERROR(INDEX(Movimientos!$E$2:$E$1994,MATCH(A407&amp;"ENTRADA",Movimientos!$R$2:$R$1994,0)),"-")</f>
        <v>-</v>
      </c>
      <c r="E407" s="2" t="str">
        <f>IFERROR(INDEX(Movimientos!$F$2:$F$1994,MATCH(A407&amp;"ENTRADA",Movimientos!$R$2:$R$1994,0)),"-")</f>
        <v>-</v>
      </c>
      <c r="F407" s="2" t="str">
        <f>IFERROR(INDEX(Movimientos!$G$2:$G$1994,MATCH(A407&amp;"ENTRADA",Movimientos!$R$2:$R$1994,0)),"-")</f>
        <v>-</v>
      </c>
      <c r="G407" s="2" t="str">
        <f>IFERROR(INDEX(Movimientos!$L$2:$L$1994,MATCH(A407&amp;"ENTRADA",Movimientos!$R$2:$R$1994,0)),"-")</f>
        <v>-</v>
      </c>
      <c r="H407" s="17" t="str">
        <f>IFERROR(IF(INDEX(Movimientos!$M$2:$M$1994,MATCH(A407&amp;"ENTRADA",Movimientos!$R$2:$R$1994,0))=0,"S/D",INDEX(Movimientos!$M$2:$M$1994,MATCH(A407&amp;"ENTRADA",Movimientos!$R$2:$R$1994,0))),"S/D")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2683</v>
      </c>
      <c r="B408" s="2" t="str">
        <f>IFERROR(INDEX(Movimientos!$C$2:$C$1994,MATCH(A408&amp;"ENTRADA",Movimientos!$R$2:$R$1994,0)),"-")</f>
        <v>-</v>
      </c>
      <c r="C408" s="2" t="str">
        <f>IFERROR(INDEX(Movimientos!$D$2:$D$1994,MATCH(A408&amp;"ENTRADA",Movimientos!$R$2:$R$1994,0)),"-")</f>
        <v>-</v>
      </c>
      <c r="D408" s="2" t="str">
        <f>IFERROR(INDEX(Movimientos!$E$2:$E$1994,MATCH(A408&amp;"ENTRADA",Movimientos!$R$2:$R$1994,0)),"-")</f>
        <v>-</v>
      </c>
      <c r="E408" s="2" t="str">
        <f>IFERROR(INDEX(Movimientos!$F$2:$F$1994,MATCH(A408&amp;"ENTRADA",Movimientos!$R$2:$R$1994,0)),"-")</f>
        <v>-</v>
      </c>
      <c r="F408" s="2" t="str">
        <f>IFERROR(INDEX(Movimientos!$G$2:$G$1994,MATCH(A408&amp;"ENTRADA",Movimientos!$R$2:$R$1994,0)),"-")</f>
        <v>-</v>
      </c>
      <c r="G408" s="2" t="str">
        <f>IFERROR(INDEX(Movimientos!$L$2:$L$1994,MATCH(A408&amp;"ENTRADA",Movimientos!$R$2:$R$1994,0)),"-")</f>
        <v>-</v>
      </c>
      <c r="H408" s="17" t="str">
        <f>IFERROR(IF(INDEX(Movimientos!$M$2:$M$1994,MATCH(A408&amp;"ENTRADA",Movimientos!$R$2:$R$1994,0))=0,"S/D",INDEX(Movimientos!$M$2:$M$1994,MATCH(A408&amp;"ENTRADA",Movimientos!$R$2:$R$1994,0))),"S/D")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2684</v>
      </c>
      <c r="B409" s="2" t="str">
        <f>IFERROR(INDEX(Movimientos!$C$2:$C$1994,MATCH(A409&amp;"ENTRADA",Movimientos!$R$2:$R$1994,0)),"-")</f>
        <v>-</v>
      </c>
      <c r="C409" s="2" t="str">
        <f>IFERROR(INDEX(Movimientos!$D$2:$D$1994,MATCH(A409&amp;"ENTRADA",Movimientos!$R$2:$R$1994,0)),"-")</f>
        <v>-</v>
      </c>
      <c r="D409" s="2" t="str">
        <f>IFERROR(INDEX(Movimientos!$E$2:$E$1994,MATCH(A409&amp;"ENTRADA",Movimientos!$R$2:$R$1994,0)),"-")</f>
        <v>-</v>
      </c>
      <c r="E409" s="2" t="str">
        <f>IFERROR(INDEX(Movimientos!$F$2:$F$1994,MATCH(A409&amp;"ENTRADA",Movimientos!$R$2:$R$1994,0)),"-")</f>
        <v>-</v>
      </c>
      <c r="F409" s="2" t="str">
        <f>IFERROR(INDEX(Movimientos!$G$2:$G$1994,MATCH(A409&amp;"ENTRADA",Movimientos!$R$2:$R$1994,0)),"-")</f>
        <v>-</v>
      </c>
      <c r="G409" s="2" t="str">
        <f>IFERROR(INDEX(Movimientos!$L$2:$L$1994,MATCH(A409&amp;"ENTRADA",Movimientos!$R$2:$R$1994,0)),"-")</f>
        <v>-</v>
      </c>
      <c r="H409" s="17" t="str">
        <f>IFERROR(IF(INDEX(Movimientos!$M$2:$M$1994,MATCH(A409&amp;"ENTRADA",Movimientos!$R$2:$R$1994,0))=0,"S/D",INDEX(Movimientos!$M$2:$M$1994,MATCH(A409&amp;"ENTRADA",Movimientos!$R$2:$R$1994,0))),"S/D")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2685</v>
      </c>
      <c r="B410" s="2" t="str">
        <f>IFERROR(INDEX(Movimientos!$C$2:$C$1994,MATCH(A410&amp;"ENTRADA",Movimientos!$R$2:$R$1994,0)),"-")</f>
        <v>-</v>
      </c>
      <c r="C410" s="2" t="str">
        <f>IFERROR(INDEX(Movimientos!$D$2:$D$1994,MATCH(A410&amp;"ENTRADA",Movimientos!$R$2:$R$1994,0)),"-")</f>
        <v>-</v>
      </c>
      <c r="D410" s="2" t="str">
        <f>IFERROR(INDEX(Movimientos!$E$2:$E$1994,MATCH(A410&amp;"ENTRADA",Movimientos!$R$2:$R$1994,0)),"-")</f>
        <v>-</v>
      </c>
      <c r="E410" s="2" t="str">
        <f>IFERROR(INDEX(Movimientos!$F$2:$F$1994,MATCH(A410&amp;"ENTRADA",Movimientos!$R$2:$R$1994,0)),"-")</f>
        <v>-</v>
      </c>
      <c r="F410" s="2" t="str">
        <f>IFERROR(INDEX(Movimientos!$G$2:$G$1994,MATCH(A410&amp;"ENTRADA",Movimientos!$R$2:$R$1994,0)),"-")</f>
        <v>-</v>
      </c>
      <c r="G410" s="2" t="str">
        <f>IFERROR(INDEX(Movimientos!$L$2:$L$1994,MATCH(A410&amp;"ENTRADA",Movimientos!$R$2:$R$1994,0)),"-")</f>
        <v>-</v>
      </c>
      <c r="H410" s="17" t="str">
        <f>IFERROR(IF(INDEX(Movimientos!$M$2:$M$1994,MATCH(A410&amp;"ENTRADA",Movimientos!$R$2:$R$1994,0))=0,"S/D",INDEX(Movimientos!$M$2:$M$1994,MATCH(A410&amp;"ENTRADA",Movimientos!$R$2:$R$1994,0))),"S/D")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2686</v>
      </c>
      <c r="B411" s="2" t="str">
        <f>IFERROR(INDEX(Movimientos!$C$2:$C$1994,MATCH(A411&amp;"ENTRADA",Movimientos!$R$2:$R$1994,0)),"-")</f>
        <v>-</v>
      </c>
      <c r="C411" s="2" t="str">
        <f>IFERROR(INDEX(Movimientos!$D$2:$D$1994,MATCH(A411&amp;"ENTRADA",Movimientos!$R$2:$R$1994,0)),"-")</f>
        <v>-</v>
      </c>
      <c r="D411" s="2" t="str">
        <f>IFERROR(INDEX(Movimientos!$E$2:$E$1994,MATCH(A411&amp;"ENTRADA",Movimientos!$R$2:$R$1994,0)),"-")</f>
        <v>-</v>
      </c>
      <c r="E411" s="2" t="str">
        <f>IFERROR(INDEX(Movimientos!$F$2:$F$1994,MATCH(A411&amp;"ENTRADA",Movimientos!$R$2:$R$1994,0)),"-")</f>
        <v>-</v>
      </c>
      <c r="F411" s="2" t="str">
        <f>IFERROR(INDEX(Movimientos!$G$2:$G$1994,MATCH(A411&amp;"ENTRADA",Movimientos!$R$2:$R$1994,0)),"-")</f>
        <v>-</v>
      </c>
      <c r="G411" s="2" t="str">
        <f>IFERROR(INDEX(Movimientos!$L$2:$L$1994,MATCH(A411&amp;"ENTRADA",Movimientos!$R$2:$R$1994,0)),"-")</f>
        <v>-</v>
      </c>
      <c r="H411" s="17" t="str">
        <f>IFERROR(IF(INDEX(Movimientos!$M$2:$M$1994,MATCH(A411&amp;"ENTRADA",Movimientos!$R$2:$R$1994,0))=0,"S/D",INDEX(Movimientos!$M$2:$M$1994,MATCH(A411&amp;"ENTRADA",Movimientos!$R$2:$R$1994,0))),"S/D")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2687</v>
      </c>
      <c r="B412" s="2" t="str">
        <f>IFERROR(INDEX(Movimientos!$C$2:$C$1994,MATCH(A412&amp;"ENTRADA",Movimientos!$R$2:$R$1994,0)),"-")</f>
        <v>-</v>
      </c>
      <c r="C412" s="2" t="str">
        <f>IFERROR(INDEX(Movimientos!$D$2:$D$1994,MATCH(A412&amp;"ENTRADA",Movimientos!$R$2:$R$1994,0)),"-")</f>
        <v>-</v>
      </c>
      <c r="D412" s="2" t="str">
        <f>IFERROR(INDEX(Movimientos!$E$2:$E$1994,MATCH(A412&amp;"ENTRADA",Movimientos!$R$2:$R$1994,0)),"-")</f>
        <v>-</v>
      </c>
      <c r="E412" s="2" t="str">
        <f>IFERROR(INDEX(Movimientos!$F$2:$F$1994,MATCH(A412&amp;"ENTRADA",Movimientos!$R$2:$R$1994,0)),"-")</f>
        <v>-</v>
      </c>
      <c r="F412" s="2" t="str">
        <f>IFERROR(INDEX(Movimientos!$G$2:$G$1994,MATCH(A412&amp;"ENTRADA",Movimientos!$R$2:$R$1994,0)),"-")</f>
        <v>-</v>
      </c>
      <c r="G412" s="2" t="str">
        <f>IFERROR(INDEX(Movimientos!$L$2:$L$1994,MATCH(A412&amp;"ENTRADA",Movimientos!$R$2:$R$1994,0)),"-")</f>
        <v>-</v>
      </c>
      <c r="H412" s="17" t="str">
        <f>IFERROR(IF(INDEX(Movimientos!$M$2:$M$1994,MATCH(A412&amp;"ENTRADA",Movimientos!$R$2:$R$1994,0))=0,"S/D",INDEX(Movimientos!$M$2:$M$1994,MATCH(A412&amp;"ENTRADA",Movimientos!$R$2:$R$1994,0))),"S/D")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2688</v>
      </c>
      <c r="B413" s="2" t="str">
        <f>IFERROR(INDEX(Movimientos!$C$2:$C$1994,MATCH(A413&amp;"ENTRADA",Movimientos!$R$2:$R$1994,0)),"-")</f>
        <v>-</v>
      </c>
      <c r="C413" s="2" t="str">
        <f>IFERROR(INDEX(Movimientos!$D$2:$D$1994,MATCH(A413&amp;"ENTRADA",Movimientos!$R$2:$R$1994,0)),"-")</f>
        <v>-</v>
      </c>
      <c r="D413" s="2" t="str">
        <f>IFERROR(INDEX(Movimientos!$E$2:$E$1994,MATCH(A413&amp;"ENTRADA",Movimientos!$R$2:$R$1994,0)),"-")</f>
        <v>-</v>
      </c>
      <c r="E413" s="2" t="str">
        <f>IFERROR(INDEX(Movimientos!$F$2:$F$1994,MATCH(A413&amp;"ENTRADA",Movimientos!$R$2:$R$1994,0)),"-")</f>
        <v>-</v>
      </c>
      <c r="F413" s="2" t="str">
        <f>IFERROR(INDEX(Movimientos!$G$2:$G$1994,MATCH(A413&amp;"ENTRADA",Movimientos!$R$2:$R$1994,0)),"-")</f>
        <v>-</v>
      </c>
      <c r="G413" s="2" t="str">
        <f>IFERROR(INDEX(Movimientos!$L$2:$L$1994,MATCH(A413&amp;"ENTRADA",Movimientos!$R$2:$R$1994,0)),"-")</f>
        <v>-</v>
      </c>
      <c r="H413" s="17" t="str">
        <f>IFERROR(IF(INDEX(Movimientos!$M$2:$M$1994,MATCH(A413&amp;"ENTRADA",Movimientos!$R$2:$R$1994,0))=0,"S/D",INDEX(Movimientos!$M$2:$M$1994,MATCH(A413&amp;"ENTRADA",Movimientos!$R$2:$R$1994,0))),"S/D")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2689</v>
      </c>
      <c r="B414" s="2" t="str">
        <f>IFERROR(INDEX(Movimientos!$C$2:$C$1994,MATCH(A414&amp;"ENTRADA",Movimientos!$R$2:$R$1994,0)),"-")</f>
        <v>-</v>
      </c>
      <c r="C414" s="2" t="str">
        <f>IFERROR(INDEX(Movimientos!$D$2:$D$1994,MATCH(A414&amp;"ENTRADA",Movimientos!$R$2:$R$1994,0)),"-")</f>
        <v>-</v>
      </c>
      <c r="D414" s="2" t="str">
        <f>IFERROR(INDEX(Movimientos!$E$2:$E$1994,MATCH(A414&amp;"ENTRADA",Movimientos!$R$2:$R$1994,0)),"-")</f>
        <v>-</v>
      </c>
      <c r="E414" s="2" t="str">
        <f>IFERROR(INDEX(Movimientos!$F$2:$F$1994,MATCH(A414&amp;"ENTRADA",Movimientos!$R$2:$R$1994,0)),"-")</f>
        <v>-</v>
      </c>
      <c r="F414" s="2" t="str">
        <f>IFERROR(INDEX(Movimientos!$G$2:$G$1994,MATCH(A414&amp;"ENTRADA",Movimientos!$R$2:$R$1994,0)),"-")</f>
        <v>-</v>
      </c>
      <c r="G414" s="2" t="str">
        <f>IFERROR(INDEX(Movimientos!$L$2:$L$1994,MATCH(A414&amp;"ENTRADA",Movimientos!$R$2:$R$1994,0)),"-")</f>
        <v>-</v>
      </c>
      <c r="H414" s="17" t="str">
        <f>IFERROR(IF(INDEX(Movimientos!$M$2:$M$1994,MATCH(A414&amp;"ENTRADA",Movimientos!$R$2:$R$1994,0))=0,"S/D",INDEX(Movimientos!$M$2:$M$1994,MATCH(A414&amp;"ENTRADA",Movimientos!$R$2:$R$1994,0))),"S/D")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2690</v>
      </c>
      <c r="B415" s="2" t="str">
        <f>IFERROR(INDEX(Movimientos!$C$2:$C$1994,MATCH(A415&amp;"ENTRADA",Movimientos!$R$2:$R$1994,0)),"-")</f>
        <v>-</v>
      </c>
      <c r="C415" s="2" t="str">
        <f>IFERROR(INDEX(Movimientos!$D$2:$D$1994,MATCH(A415&amp;"ENTRADA",Movimientos!$R$2:$R$1994,0)),"-")</f>
        <v>-</v>
      </c>
      <c r="D415" s="2" t="str">
        <f>IFERROR(INDEX(Movimientos!$E$2:$E$1994,MATCH(A415&amp;"ENTRADA",Movimientos!$R$2:$R$1994,0)),"-")</f>
        <v>-</v>
      </c>
      <c r="E415" s="2" t="str">
        <f>IFERROR(INDEX(Movimientos!$F$2:$F$1994,MATCH(A415&amp;"ENTRADA",Movimientos!$R$2:$R$1994,0)),"-")</f>
        <v>-</v>
      </c>
      <c r="F415" s="2" t="str">
        <f>IFERROR(INDEX(Movimientos!$G$2:$G$1994,MATCH(A415&amp;"ENTRADA",Movimientos!$R$2:$R$1994,0)),"-")</f>
        <v>-</v>
      </c>
      <c r="G415" s="2" t="str">
        <f>IFERROR(INDEX(Movimientos!$L$2:$L$1994,MATCH(A415&amp;"ENTRADA",Movimientos!$R$2:$R$1994,0)),"-")</f>
        <v>-</v>
      </c>
      <c r="H415" s="17" t="str">
        <f>IFERROR(IF(INDEX(Movimientos!$M$2:$M$1994,MATCH(A415&amp;"ENTRADA",Movimientos!$R$2:$R$1994,0))=0,"S/D",INDEX(Movimientos!$M$2:$M$1994,MATCH(A415&amp;"ENTRADA",Movimientos!$R$2:$R$1994,0))),"S/D")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2691</v>
      </c>
      <c r="B416" s="2" t="str">
        <f>IFERROR(INDEX(Movimientos!$C$2:$C$1994,MATCH(A416&amp;"ENTRADA",Movimientos!$R$2:$R$1994,0)),"-")</f>
        <v>-</v>
      </c>
      <c r="C416" s="2" t="str">
        <f>IFERROR(INDEX(Movimientos!$D$2:$D$1994,MATCH(A416&amp;"ENTRADA",Movimientos!$R$2:$R$1994,0)),"-")</f>
        <v>-</v>
      </c>
      <c r="D416" s="2" t="str">
        <f>IFERROR(INDEX(Movimientos!$E$2:$E$1994,MATCH(A416&amp;"ENTRADA",Movimientos!$R$2:$R$1994,0)),"-")</f>
        <v>-</v>
      </c>
      <c r="E416" s="2" t="str">
        <f>IFERROR(INDEX(Movimientos!$F$2:$F$1994,MATCH(A416&amp;"ENTRADA",Movimientos!$R$2:$R$1994,0)),"-")</f>
        <v>-</v>
      </c>
      <c r="F416" s="2" t="str">
        <f>IFERROR(INDEX(Movimientos!$G$2:$G$1994,MATCH(A416&amp;"ENTRADA",Movimientos!$R$2:$R$1994,0)),"-")</f>
        <v>-</v>
      </c>
      <c r="G416" s="2" t="str">
        <f>IFERROR(INDEX(Movimientos!$L$2:$L$1994,MATCH(A416&amp;"ENTRADA",Movimientos!$R$2:$R$1994,0)),"-")</f>
        <v>-</v>
      </c>
      <c r="H416" s="17" t="str">
        <f>IFERROR(IF(INDEX(Movimientos!$M$2:$M$1994,MATCH(A416&amp;"ENTRADA",Movimientos!$R$2:$R$1994,0))=0,"S/D",INDEX(Movimientos!$M$2:$M$1994,MATCH(A416&amp;"ENTRADA",Movimientos!$R$2:$R$1994,0))),"S/D")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2692</v>
      </c>
      <c r="B417" s="2" t="str">
        <f>IFERROR(INDEX(Movimientos!$C$2:$C$1994,MATCH(A417&amp;"ENTRADA",Movimientos!$R$2:$R$1994,0)),"-")</f>
        <v>-</v>
      </c>
      <c r="C417" s="2" t="str">
        <f>IFERROR(INDEX(Movimientos!$D$2:$D$1994,MATCH(A417&amp;"ENTRADA",Movimientos!$R$2:$R$1994,0)),"-")</f>
        <v>-</v>
      </c>
      <c r="D417" s="2" t="str">
        <f>IFERROR(INDEX(Movimientos!$E$2:$E$1994,MATCH(A417&amp;"ENTRADA",Movimientos!$R$2:$R$1994,0)),"-")</f>
        <v>-</v>
      </c>
      <c r="E417" s="2" t="str">
        <f>IFERROR(INDEX(Movimientos!$F$2:$F$1994,MATCH(A417&amp;"ENTRADA",Movimientos!$R$2:$R$1994,0)),"-")</f>
        <v>-</v>
      </c>
      <c r="F417" s="2" t="str">
        <f>IFERROR(INDEX(Movimientos!$G$2:$G$1994,MATCH(A417&amp;"ENTRADA",Movimientos!$R$2:$R$1994,0)),"-")</f>
        <v>-</v>
      </c>
      <c r="G417" s="2" t="str">
        <f>IFERROR(INDEX(Movimientos!$L$2:$L$1994,MATCH(A417&amp;"ENTRADA",Movimientos!$R$2:$R$1994,0)),"-")</f>
        <v>-</v>
      </c>
      <c r="H417" s="17" t="str">
        <f>IFERROR(IF(INDEX(Movimientos!$M$2:$M$1994,MATCH(A417&amp;"ENTRADA",Movimientos!$R$2:$R$1994,0))=0,"S/D",INDEX(Movimientos!$M$2:$M$1994,MATCH(A417&amp;"ENTRADA",Movimientos!$R$2:$R$1994,0))),"S/D")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2693</v>
      </c>
      <c r="B418" s="2" t="str">
        <f>IFERROR(INDEX(Movimientos!$C$2:$C$1994,MATCH(A418&amp;"ENTRADA",Movimientos!$R$2:$R$1994,0)),"-")</f>
        <v>-</v>
      </c>
      <c r="C418" s="2" t="str">
        <f>IFERROR(INDEX(Movimientos!$D$2:$D$1994,MATCH(A418&amp;"ENTRADA",Movimientos!$R$2:$R$1994,0)),"-")</f>
        <v>-</v>
      </c>
      <c r="D418" s="2" t="str">
        <f>IFERROR(INDEX(Movimientos!$E$2:$E$1994,MATCH(A418&amp;"ENTRADA",Movimientos!$R$2:$R$1994,0)),"-")</f>
        <v>-</v>
      </c>
      <c r="E418" s="2" t="str">
        <f>IFERROR(INDEX(Movimientos!$F$2:$F$1994,MATCH(A418&amp;"ENTRADA",Movimientos!$R$2:$R$1994,0)),"-")</f>
        <v>-</v>
      </c>
      <c r="F418" s="2" t="str">
        <f>IFERROR(INDEX(Movimientos!$G$2:$G$1994,MATCH(A418&amp;"ENTRADA",Movimientos!$R$2:$R$1994,0)),"-")</f>
        <v>-</v>
      </c>
      <c r="G418" s="2" t="str">
        <f>IFERROR(INDEX(Movimientos!$L$2:$L$1994,MATCH(A418&amp;"ENTRADA",Movimientos!$R$2:$R$1994,0)),"-")</f>
        <v>-</v>
      </c>
      <c r="H418" s="17" t="str">
        <f>IFERROR(IF(INDEX(Movimientos!$M$2:$M$1994,MATCH(A418&amp;"ENTRADA",Movimientos!$R$2:$R$1994,0))=0,"S/D",INDEX(Movimientos!$M$2:$M$1994,MATCH(A418&amp;"ENTRADA",Movimientos!$R$2:$R$1994,0))),"S/D")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2694</v>
      </c>
      <c r="B419" s="2" t="str">
        <f>IFERROR(INDEX(Movimientos!$C$2:$C$1994,MATCH(A419&amp;"ENTRADA",Movimientos!$R$2:$R$1994,0)),"-")</f>
        <v>-</v>
      </c>
      <c r="C419" s="2" t="str">
        <f>IFERROR(INDEX(Movimientos!$D$2:$D$1994,MATCH(A419&amp;"ENTRADA",Movimientos!$R$2:$R$1994,0)),"-")</f>
        <v>-</v>
      </c>
      <c r="D419" s="2" t="str">
        <f>IFERROR(INDEX(Movimientos!$E$2:$E$1994,MATCH(A419&amp;"ENTRADA",Movimientos!$R$2:$R$1994,0)),"-")</f>
        <v>-</v>
      </c>
      <c r="E419" s="2" t="str">
        <f>IFERROR(INDEX(Movimientos!$F$2:$F$1994,MATCH(A419&amp;"ENTRADA",Movimientos!$R$2:$R$1994,0)),"-")</f>
        <v>-</v>
      </c>
      <c r="F419" s="2" t="str">
        <f>IFERROR(INDEX(Movimientos!$G$2:$G$1994,MATCH(A419&amp;"ENTRADA",Movimientos!$R$2:$R$1994,0)),"-")</f>
        <v>-</v>
      </c>
      <c r="G419" s="2" t="str">
        <f>IFERROR(INDEX(Movimientos!$L$2:$L$1994,MATCH(A419&amp;"ENTRADA",Movimientos!$R$2:$R$1994,0)),"-")</f>
        <v>-</v>
      </c>
      <c r="H419" s="17" t="str">
        <f>IFERROR(IF(INDEX(Movimientos!$M$2:$M$1994,MATCH(A419&amp;"ENTRADA",Movimientos!$R$2:$R$1994,0))=0,"S/D",INDEX(Movimientos!$M$2:$M$1994,MATCH(A419&amp;"ENTRADA",Movimientos!$R$2:$R$1994,0))),"S/D")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2695</v>
      </c>
      <c r="B420" s="2" t="str">
        <f>IFERROR(INDEX(Movimientos!$C$2:$C$1994,MATCH(A420&amp;"ENTRADA",Movimientos!$R$2:$R$1994,0)),"-")</f>
        <v>-</v>
      </c>
      <c r="C420" s="2" t="str">
        <f>IFERROR(INDEX(Movimientos!$D$2:$D$1994,MATCH(A420&amp;"ENTRADA",Movimientos!$R$2:$R$1994,0)),"-")</f>
        <v>-</v>
      </c>
      <c r="D420" s="2" t="str">
        <f>IFERROR(INDEX(Movimientos!$E$2:$E$1994,MATCH(A420&amp;"ENTRADA",Movimientos!$R$2:$R$1994,0)),"-")</f>
        <v>-</v>
      </c>
      <c r="E420" s="2" t="str">
        <f>IFERROR(INDEX(Movimientos!$F$2:$F$1994,MATCH(A420&amp;"ENTRADA",Movimientos!$R$2:$R$1994,0)),"-")</f>
        <v>-</v>
      </c>
      <c r="F420" s="2" t="str">
        <f>IFERROR(INDEX(Movimientos!$G$2:$G$1994,MATCH(A420&amp;"ENTRADA",Movimientos!$R$2:$R$1994,0)),"-")</f>
        <v>-</v>
      </c>
      <c r="G420" s="2" t="str">
        <f>IFERROR(INDEX(Movimientos!$L$2:$L$1994,MATCH(A420&amp;"ENTRADA",Movimientos!$R$2:$R$1994,0)),"-")</f>
        <v>-</v>
      </c>
      <c r="H420" s="17" t="str">
        <f>IFERROR(IF(INDEX(Movimientos!$M$2:$M$1994,MATCH(A420&amp;"ENTRADA",Movimientos!$R$2:$R$1994,0))=0,"S/D",INDEX(Movimientos!$M$2:$M$1994,MATCH(A420&amp;"ENTRADA",Movimientos!$R$2:$R$1994,0))),"S/D")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2696</v>
      </c>
      <c r="B421" s="2" t="str">
        <f>IFERROR(INDEX(Movimientos!$C$2:$C$1994,MATCH(A421&amp;"ENTRADA",Movimientos!$R$2:$R$1994,0)),"-")</f>
        <v>-</v>
      </c>
      <c r="C421" s="2" t="str">
        <f>IFERROR(INDEX(Movimientos!$D$2:$D$1994,MATCH(A421&amp;"ENTRADA",Movimientos!$R$2:$R$1994,0)),"-")</f>
        <v>-</v>
      </c>
      <c r="D421" s="2" t="str">
        <f>IFERROR(INDEX(Movimientos!$E$2:$E$1994,MATCH(A421&amp;"ENTRADA",Movimientos!$R$2:$R$1994,0)),"-")</f>
        <v>-</v>
      </c>
      <c r="E421" s="2" t="str">
        <f>IFERROR(INDEX(Movimientos!$F$2:$F$1994,MATCH(A421&amp;"ENTRADA",Movimientos!$R$2:$R$1994,0)),"-")</f>
        <v>-</v>
      </c>
      <c r="F421" s="2" t="str">
        <f>IFERROR(INDEX(Movimientos!$G$2:$G$1994,MATCH(A421&amp;"ENTRADA",Movimientos!$R$2:$R$1994,0)),"-")</f>
        <v>-</v>
      </c>
      <c r="G421" s="2" t="str">
        <f>IFERROR(INDEX(Movimientos!$L$2:$L$1994,MATCH(A421&amp;"ENTRADA",Movimientos!$R$2:$R$1994,0)),"-")</f>
        <v>-</v>
      </c>
      <c r="H421" s="17" t="str">
        <f>IFERROR(IF(INDEX(Movimientos!$M$2:$M$1994,MATCH(A421&amp;"ENTRADA",Movimientos!$R$2:$R$1994,0))=0,"S/D",INDEX(Movimientos!$M$2:$M$1994,MATCH(A421&amp;"ENTRADA",Movimientos!$R$2:$R$1994,0))),"S/D")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2697</v>
      </c>
      <c r="B422" s="2" t="str">
        <f>IFERROR(INDEX(Movimientos!$C$2:$C$1994,MATCH(A422&amp;"ENTRADA",Movimientos!$R$2:$R$1994,0)),"-")</f>
        <v>-</v>
      </c>
      <c r="C422" s="2" t="str">
        <f>IFERROR(INDEX(Movimientos!$D$2:$D$1994,MATCH(A422&amp;"ENTRADA",Movimientos!$R$2:$R$1994,0)),"-")</f>
        <v>-</v>
      </c>
      <c r="D422" s="2" t="str">
        <f>IFERROR(INDEX(Movimientos!$E$2:$E$1994,MATCH(A422&amp;"ENTRADA",Movimientos!$R$2:$R$1994,0)),"-")</f>
        <v>-</v>
      </c>
      <c r="E422" s="2" t="str">
        <f>IFERROR(INDEX(Movimientos!$F$2:$F$1994,MATCH(A422&amp;"ENTRADA",Movimientos!$R$2:$R$1994,0)),"-")</f>
        <v>-</v>
      </c>
      <c r="F422" s="2" t="str">
        <f>IFERROR(INDEX(Movimientos!$G$2:$G$1994,MATCH(A422&amp;"ENTRADA",Movimientos!$R$2:$R$1994,0)),"-")</f>
        <v>-</v>
      </c>
      <c r="G422" s="2" t="str">
        <f>IFERROR(INDEX(Movimientos!$L$2:$L$1994,MATCH(A422&amp;"ENTRADA",Movimientos!$R$2:$R$1994,0)),"-")</f>
        <v>-</v>
      </c>
      <c r="H422" s="17" t="str">
        <f>IFERROR(IF(INDEX(Movimientos!$M$2:$M$1994,MATCH(A422&amp;"ENTRADA",Movimientos!$R$2:$R$1994,0))=0,"S/D",INDEX(Movimientos!$M$2:$M$1994,MATCH(A422&amp;"ENTRADA",Movimientos!$R$2:$R$1994,0))),"S/D")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2698</v>
      </c>
      <c r="B423" s="2" t="str">
        <f>IFERROR(INDEX(Movimientos!$C$2:$C$1994,MATCH(A423&amp;"ENTRADA",Movimientos!$R$2:$R$1994,0)),"-")</f>
        <v>-</v>
      </c>
      <c r="C423" s="2" t="str">
        <f>IFERROR(INDEX(Movimientos!$D$2:$D$1994,MATCH(A423&amp;"ENTRADA",Movimientos!$R$2:$R$1994,0)),"-")</f>
        <v>-</v>
      </c>
      <c r="D423" s="2" t="str">
        <f>IFERROR(INDEX(Movimientos!$E$2:$E$1994,MATCH(A423&amp;"ENTRADA",Movimientos!$R$2:$R$1994,0)),"-")</f>
        <v>-</v>
      </c>
      <c r="E423" s="2" t="str">
        <f>IFERROR(INDEX(Movimientos!$F$2:$F$1994,MATCH(A423&amp;"ENTRADA",Movimientos!$R$2:$R$1994,0)),"-")</f>
        <v>-</v>
      </c>
      <c r="F423" s="2" t="str">
        <f>IFERROR(INDEX(Movimientos!$G$2:$G$1994,MATCH(A423&amp;"ENTRADA",Movimientos!$R$2:$R$1994,0)),"-")</f>
        <v>-</v>
      </c>
      <c r="G423" s="2" t="str">
        <f>IFERROR(INDEX(Movimientos!$L$2:$L$1994,MATCH(A423&amp;"ENTRADA",Movimientos!$R$2:$R$1994,0)),"-")</f>
        <v>-</v>
      </c>
      <c r="H423" s="17" t="str">
        <f>IFERROR(IF(INDEX(Movimientos!$M$2:$M$1994,MATCH(A423&amp;"ENTRADA",Movimientos!$R$2:$R$1994,0))=0,"S/D",INDEX(Movimientos!$M$2:$M$1994,MATCH(A423&amp;"ENTRADA",Movimientos!$R$2:$R$1994,0))),"S/D")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2699</v>
      </c>
      <c r="B424" s="2" t="str">
        <f>IFERROR(INDEX(Movimientos!$C$2:$C$1994,MATCH(A424&amp;"ENTRADA",Movimientos!$R$2:$R$1994,0)),"-")</f>
        <v>-</v>
      </c>
      <c r="C424" s="2" t="str">
        <f>IFERROR(INDEX(Movimientos!$D$2:$D$1994,MATCH(A424&amp;"ENTRADA",Movimientos!$R$2:$R$1994,0)),"-")</f>
        <v>-</v>
      </c>
      <c r="D424" s="2" t="str">
        <f>IFERROR(INDEX(Movimientos!$E$2:$E$1994,MATCH(A424&amp;"ENTRADA",Movimientos!$R$2:$R$1994,0)),"-")</f>
        <v>-</v>
      </c>
      <c r="E424" s="2" t="str">
        <f>IFERROR(INDEX(Movimientos!$F$2:$F$1994,MATCH(A424&amp;"ENTRADA",Movimientos!$R$2:$R$1994,0)),"-")</f>
        <v>-</v>
      </c>
      <c r="F424" s="2" t="str">
        <f>IFERROR(INDEX(Movimientos!$G$2:$G$1994,MATCH(A424&amp;"ENTRADA",Movimientos!$R$2:$R$1994,0)),"-")</f>
        <v>-</v>
      </c>
      <c r="G424" s="2" t="str">
        <f>IFERROR(INDEX(Movimientos!$L$2:$L$1994,MATCH(A424&amp;"ENTRADA",Movimientos!$R$2:$R$1994,0)),"-")</f>
        <v>-</v>
      </c>
      <c r="H424" s="17" t="str">
        <f>IFERROR(IF(INDEX(Movimientos!$M$2:$M$1994,MATCH(A424&amp;"ENTRADA",Movimientos!$R$2:$R$1994,0))=0,"S/D",INDEX(Movimientos!$M$2:$M$1994,MATCH(A424&amp;"ENTRADA",Movimientos!$R$2:$R$1994,0))),"S/D")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2700</v>
      </c>
      <c r="B425" s="2" t="str">
        <f>IFERROR(INDEX(Movimientos!$C$2:$C$1994,MATCH(A425&amp;"ENTRADA",Movimientos!$R$2:$R$1994,0)),"-")</f>
        <v>-</v>
      </c>
      <c r="C425" s="2" t="str">
        <f>IFERROR(INDEX(Movimientos!$D$2:$D$1994,MATCH(A425&amp;"ENTRADA",Movimientos!$R$2:$R$1994,0)),"-")</f>
        <v>-</v>
      </c>
      <c r="D425" s="2" t="str">
        <f>IFERROR(INDEX(Movimientos!$E$2:$E$1994,MATCH(A425&amp;"ENTRADA",Movimientos!$R$2:$R$1994,0)),"-")</f>
        <v>-</v>
      </c>
      <c r="E425" s="2" t="str">
        <f>IFERROR(INDEX(Movimientos!$F$2:$F$1994,MATCH(A425&amp;"ENTRADA",Movimientos!$R$2:$R$1994,0)),"-")</f>
        <v>-</v>
      </c>
      <c r="F425" s="2" t="str">
        <f>IFERROR(INDEX(Movimientos!$G$2:$G$1994,MATCH(A425&amp;"ENTRADA",Movimientos!$R$2:$R$1994,0)),"-")</f>
        <v>-</v>
      </c>
      <c r="G425" s="2" t="str">
        <f>IFERROR(INDEX(Movimientos!$L$2:$L$1994,MATCH(A425&amp;"ENTRADA",Movimientos!$R$2:$R$1994,0)),"-")</f>
        <v>-</v>
      </c>
      <c r="H425" s="17" t="str">
        <f>IFERROR(IF(INDEX(Movimientos!$M$2:$M$1994,MATCH(A425&amp;"ENTRADA",Movimientos!$R$2:$R$1994,0))=0,"S/D",INDEX(Movimientos!$M$2:$M$1994,MATCH(A425&amp;"ENTRADA",Movimientos!$R$2:$R$1994,0))),"S/D")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2701</v>
      </c>
      <c r="B426" s="2" t="str">
        <f>IFERROR(INDEX(Movimientos!$C$2:$C$1994,MATCH(A426&amp;"ENTRADA",Movimientos!$R$2:$R$1994,0)),"-")</f>
        <v>-</v>
      </c>
      <c r="C426" s="2" t="str">
        <f>IFERROR(INDEX(Movimientos!$D$2:$D$1994,MATCH(A426&amp;"ENTRADA",Movimientos!$R$2:$R$1994,0)),"-")</f>
        <v>-</v>
      </c>
      <c r="D426" s="2" t="str">
        <f>IFERROR(INDEX(Movimientos!$E$2:$E$1994,MATCH(A426&amp;"ENTRADA",Movimientos!$R$2:$R$1994,0)),"-")</f>
        <v>-</v>
      </c>
      <c r="E426" s="2" t="str">
        <f>IFERROR(INDEX(Movimientos!$F$2:$F$1994,MATCH(A426&amp;"ENTRADA",Movimientos!$R$2:$R$1994,0)),"-")</f>
        <v>-</v>
      </c>
      <c r="F426" s="2" t="str">
        <f>IFERROR(INDEX(Movimientos!$G$2:$G$1994,MATCH(A426&amp;"ENTRADA",Movimientos!$R$2:$R$1994,0)),"-")</f>
        <v>-</v>
      </c>
      <c r="G426" s="2" t="str">
        <f>IFERROR(INDEX(Movimientos!$L$2:$L$1994,MATCH(A426&amp;"ENTRADA",Movimientos!$R$2:$R$1994,0)),"-")</f>
        <v>-</v>
      </c>
      <c r="H426" s="17" t="str">
        <f>IFERROR(IF(INDEX(Movimientos!$M$2:$M$1994,MATCH(A426&amp;"ENTRADA",Movimientos!$R$2:$R$1994,0))=0,"S/D",INDEX(Movimientos!$M$2:$M$1994,MATCH(A426&amp;"ENTRADA",Movimientos!$R$2:$R$1994,0))),"S/D")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2702</v>
      </c>
      <c r="B427" s="2" t="str">
        <f>IFERROR(INDEX(Movimientos!$C$2:$C$1994,MATCH(A427&amp;"ENTRADA",Movimientos!$R$2:$R$1994,0)),"-")</f>
        <v>-</v>
      </c>
      <c r="C427" s="2" t="str">
        <f>IFERROR(INDEX(Movimientos!$D$2:$D$1994,MATCH(A427&amp;"ENTRADA",Movimientos!$R$2:$R$1994,0)),"-")</f>
        <v>-</v>
      </c>
      <c r="D427" s="2" t="str">
        <f>IFERROR(INDEX(Movimientos!$E$2:$E$1994,MATCH(A427&amp;"ENTRADA",Movimientos!$R$2:$R$1994,0)),"-")</f>
        <v>-</v>
      </c>
      <c r="E427" s="2" t="str">
        <f>IFERROR(INDEX(Movimientos!$F$2:$F$1994,MATCH(A427&amp;"ENTRADA",Movimientos!$R$2:$R$1994,0)),"-")</f>
        <v>-</v>
      </c>
      <c r="F427" s="2" t="str">
        <f>IFERROR(INDEX(Movimientos!$G$2:$G$1994,MATCH(A427&amp;"ENTRADA",Movimientos!$R$2:$R$1994,0)),"-")</f>
        <v>-</v>
      </c>
      <c r="G427" s="2" t="str">
        <f>IFERROR(INDEX(Movimientos!$L$2:$L$1994,MATCH(A427&amp;"ENTRADA",Movimientos!$R$2:$R$1994,0)),"-")</f>
        <v>-</v>
      </c>
      <c r="H427" s="17" t="str">
        <f>IFERROR(IF(INDEX(Movimientos!$M$2:$M$1994,MATCH(A427&amp;"ENTRADA",Movimientos!$R$2:$R$1994,0))=0,"S/D",INDEX(Movimientos!$M$2:$M$1994,MATCH(A427&amp;"ENTRADA",Movimientos!$R$2:$R$1994,0))),"S/D")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2703</v>
      </c>
      <c r="B428" s="2" t="str">
        <f>IFERROR(INDEX(Movimientos!$C$2:$C$1994,MATCH(A428&amp;"ENTRADA",Movimientos!$R$2:$R$1994,0)),"-")</f>
        <v>-</v>
      </c>
      <c r="C428" s="2" t="str">
        <f>IFERROR(INDEX(Movimientos!$D$2:$D$1994,MATCH(A428&amp;"ENTRADA",Movimientos!$R$2:$R$1994,0)),"-")</f>
        <v>-</v>
      </c>
      <c r="D428" s="2" t="str">
        <f>IFERROR(INDEX(Movimientos!$E$2:$E$1994,MATCH(A428&amp;"ENTRADA",Movimientos!$R$2:$R$1994,0)),"-")</f>
        <v>-</v>
      </c>
      <c r="E428" s="2" t="str">
        <f>IFERROR(INDEX(Movimientos!$F$2:$F$1994,MATCH(A428&amp;"ENTRADA",Movimientos!$R$2:$R$1994,0)),"-")</f>
        <v>-</v>
      </c>
      <c r="F428" s="2" t="str">
        <f>IFERROR(INDEX(Movimientos!$G$2:$G$1994,MATCH(A428&amp;"ENTRADA",Movimientos!$R$2:$R$1994,0)),"-")</f>
        <v>-</v>
      </c>
      <c r="G428" s="2" t="str">
        <f>IFERROR(INDEX(Movimientos!$L$2:$L$1994,MATCH(A428&amp;"ENTRADA",Movimientos!$R$2:$R$1994,0)),"-")</f>
        <v>-</v>
      </c>
      <c r="H428" s="17" t="str">
        <f>IFERROR(IF(INDEX(Movimientos!$M$2:$M$1994,MATCH(A428&amp;"ENTRADA",Movimientos!$R$2:$R$1994,0))=0,"S/D",INDEX(Movimientos!$M$2:$M$1994,MATCH(A428&amp;"ENTRADA",Movimientos!$R$2:$R$1994,0))),"S/D")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2704</v>
      </c>
      <c r="B429" s="2" t="str">
        <f>IFERROR(INDEX(Movimientos!$C$2:$C$1994,MATCH(A429&amp;"ENTRADA",Movimientos!$R$2:$R$1994,0)),"-")</f>
        <v>-</v>
      </c>
      <c r="C429" s="2" t="str">
        <f>IFERROR(INDEX(Movimientos!$D$2:$D$1994,MATCH(A429&amp;"ENTRADA",Movimientos!$R$2:$R$1994,0)),"-")</f>
        <v>-</v>
      </c>
      <c r="D429" s="2" t="str">
        <f>IFERROR(INDEX(Movimientos!$E$2:$E$1994,MATCH(A429&amp;"ENTRADA",Movimientos!$R$2:$R$1994,0)),"-")</f>
        <v>-</v>
      </c>
      <c r="E429" s="2" t="str">
        <f>IFERROR(INDEX(Movimientos!$F$2:$F$1994,MATCH(A429&amp;"ENTRADA",Movimientos!$R$2:$R$1994,0)),"-")</f>
        <v>-</v>
      </c>
      <c r="F429" s="2" t="str">
        <f>IFERROR(INDEX(Movimientos!$G$2:$G$1994,MATCH(A429&amp;"ENTRADA",Movimientos!$R$2:$R$1994,0)),"-")</f>
        <v>-</v>
      </c>
      <c r="G429" s="2" t="str">
        <f>IFERROR(INDEX(Movimientos!$L$2:$L$1994,MATCH(A429&amp;"ENTRADA",Movimientos!$R$2:$R$1994,0)),"-")</f>
        <v>-</v>
      </c>
      <c r="H429" s="17" t="str">
        <f>IFERROR(IF(INDEX(Movimientos!$M$2:$M$1994,MATCH(A429&amp;"ENTRADA",Movimientos!$R$2:$R$1994,0))=0,"S/D",INDEX(Movimientos!$M$2:$M$1994,MATCH(A429&amp;"ENTRADA",Movimientos!$R$2:$R$1994,0))),"S/D")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2705</v>
      </c>
      <c r="B430" s="2" t="str">
        <f>IFERROR(INDEX(Movimientos!$C$2:$C$1994,MATCH(A430&amp;"ENTRADA",Movimientos!$R$2:$R$1994,0)),"-")</f>
        <v>-</v>
      </c>
      <c r="C430" s="2" t="str">
        <f>IFERROR(INDEX(Movimientos!$D$2:$D$1994,MATCH(A430&amp;"ENTRADA",Movimientos!$R$2:$R$1994,0)),"-")</f>
        <v>-</v>
      </c>
      <c r="D430" s="2" t="str">
        <f>IFERROR(INDEX(Movimientos!$E$2:$E$1994,MATCH(A430&amp;"ENTRADA",Movimientos!$R$2:$R$1994,0)),"-")</f>
        <v>-</v>
      </c>
      <c r="E430" s="2" t="str">
        <f>IFERROR(INDEX(Movimientos!$F$2:$F$1994,MATCH(A430&amp;"ENTRADA",Movimientos!$R$2:$R$1994,0)),"-")</f>
        <v>-</v>
      </c>
      <c r="F430" s="2" t="str">
        <f>IFERROR(INDEX(Movimientos!$G$2:$G$1994,MATCH(A430&amp;"ENTRADA",Movimientos!$R$2:$R$1994,0)),"-")</f>
        <v>-</v>
      </c>
      <c r="G430" s="2" t="str">
        <f>IFERROR(INDEX(Movimientos!$L$2:$L$1994,MATCH(A430&amp;"ENTRADA",Movimientos!$R$2:$R$1994,0)),"-")</f>
        <v>-</v>
      </c>
      <c r="H430" s="17" t="str">
        <f>IFERROR(IF(INDEX(Movimientos!$M$2:$M$1994,MATCH(A430&amp;"ENTRADA",Movimientos!$R$2:$R$1994,0))=0,"S/D",INDEX(Movimientos!$M$2:$M$1994,MATCH(A430&amp;"ENTRADA",Movimientos!$R$2:$R$1994,0))),"S/D")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2706</v>
      </c>
      <c r="B431" s="2" t="str">
        <f>IFERROR(INDEX(Movimientos!$C$2:$C$1994,MATCH(A431&amp;"ENTRADA",Movimientos!$R$2:$R$1994,0)),"-")</f>
        <v>-</v>
      </c>
      <c r="C431" s="2" t="str">
        <f>IFERROR(INDEX(Movimientos!$D$2:$D$1994,MATCH(A431&amp;"ENTRADA",Movimientos!$R$2:$R$1994,0)),"-")</f>
        <v>-</v>
      </c>
      <c r="D431" s="2" t="str">
        <f>IFERROR(INDEX(Movimientos!$E$2:$E$1994,MATCH(A431&amp;"ENTRADA",Movimientos!$R$2:$R$1994,0)),"-")</f>
        <v>-</v>
      </c>
      <c r="E431" s="2" t="str">
        <f>IFERROR(INDEX(Movimientos!$F$2:$F$1994,MATCH(A431&amp;"ENTRADA",Movimientos!$R$2:$R$1994,0)),"-")</f>
        <v>-</v>
      </c>
      <c r="F431" s="2" t="str">
        <f>IFERROR(INDEX(Movimientos!$G$2:$G$1994,MATCH(A431&amp;"ENTRADA",Movimientos!$R$2:$R$1994,0)),"-")</f>
        <v>-</v>
      </c>
      <c r="G431" s="2" t="str">
        <f>IFERROR(INDEX(Movimientos!$L$2:$L$1994,MATCH(A431&amp;"ENTRADA",Movimientos!$R$2:$R$1994,0)),"-")</f>
        <v>-</v>
      </c>
      <c r="H431" s="17" t="str">
        <f>IFERROR(IF(INDEX(Movimientos!$M$2:$M$1994,MATCH(A431&amp;"ENTRADA",Movimientos!$R$2:$R$1994,0))=0,"S/D",INDEX(Movimientos!$M$2:$M$1994,MATCH(A431&amp;"ENTRADA",Movimientos!$R$2:$R$1994,0))),"S/D")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2707</v>
      </c>
      <c r="B432" s="2" t="str">
        <f>IFERROR(INDEX(Movimientos!$C$2:$C$1994,MATCH(A432&amp;"ENTRADA",Movimientos!$R$2:$R$1994,0)),"-")</f>
        <v>-</v>
      </c>
      <c r="C432" s="2" t="str">
        <f>IFERROR(INDEX(Movimientos!$D$2:$D$1994,MATCH(A432&amp;"ENTRADA",Movimientos!$R$2:$R$1994,0)),"-")</f>
        <v>-</v>
      </c>
      <c r="D432" s="2" t="str">
        <f>IFERROR(INDEX(Movimientos!$E$2:$E$1994,MATCH(A432&amp;"ENTRADA",Movimientos!$R$2:$R$1994,0)),"-")</f>
        <v>-</v>
      </c>
      <c r="E432" s="2" t="str">
        <f>IFERROR(INDEX(Movimientos!$F$2:$F$1994,MATCH(A432&amp;"ENTRADA",Movimientos!$R$2:$R$1994,0)),"-")</f>
        <v>-</v>
      </c>
      <c r="F432" s="2" t="str">
        <f>IFERROR(INDEX(Movimientos!$G$2:$G$1994,MATCH(A432&amp;"ENTRADA",Movimientos!$R$2:$R$1994,0)),"-")</f>
        <v>-</v>
      </c>
      <c r="G432" s="2" t="str">
        <f>IFERROR(INDEX(Movimientos!$L$2:$L$1994,MATCH(A432&amp;"ENTRADA",Movimientos!$R$2:$R$1994,0)),"-")</f>
        <v>-</v>
      </c>
      <c r="H432" s="17" t="str">
        <f>IFERROR(IF(INDEX(Movimientos!$M$2:$M$1994,MATCH(A432&amp;"ENTRADA",Movimientos!$R$2:$R$1994,0))=0,"S/D",INDEX(Movimientos!$M$2:$M$1994,MATCH(A432&amp;"ENTRADA",Movimientos!$R$2:$R$1994,0))),"S/D")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2708</v>
      </c>
      <c r="B433" s="2" t="str">
        <f>IFERROR(INDEX(Movimientos!$C$2:$C$1994,MATCH(A433&amp;"ENTRADA",Movimientos!$R$2:$R$1994,0)),"-")</f>
        <v>-</v>
      </c>
      <c r="C433" s="2" t="str">
        <f>IFERROR(INDEX(Movimientos!$D$2:$D$1994,MATCH(A433&amp;"ENTRADA",Movimientos!$R$2:$R$1994,0)),"-")</f>
        <v>-</v>
      </c>
      <c r="D433" s="2" t="str">
        <f>IFERROR(INDEX(Movimientos!$E$2:$E$1994,MATCH(A433&amp;"ENTRADA",Movimientos!$R$2:$R$1994,0)),"-")</f>
        <v>-</v>
      </c>
      <c r="E433" s="2" t="str">
        <f>IFERROR(INDEX(Movimientos!$F$2:$F$1994,MATCH(A433&amp;"ENTRADA",Movimientos!$R$2:$R$1994,0)),"-")</f>
        <v>-</v>
      </c>
      <c r="F433" s="2" t="str">
        <f>IFERROR(INDEX(Movimientos!$G$2:$G$1994,MATCH(A433&amp;"ENTRADA",Movimientos!$R$2:$R$1994,0)),"-")</f>
        <v>-</v>
      </c>
      <c r="G433" s="2" t="str">
        <f>IFERROR(INDEX(Movimientos!$L$2:$L$1994,MATCH(A433&amp;"ENTRADA",Movimientos!$R$2:$R$1994,0)),"-")</f>
        <v>-</v>
      </c>
      <c r="H433" s="17" t="str">
        <f>IFERROR(IF(INDEX(Movimientos!$M$2:$M$1994,MATCH(A433&amp;"ENTRADA",Movimientos!$R$2:$R$1994,0))=0,"S/D",INDEX(Movimientos!$M$2:$M$1994,MATCH(A433&amp;"ENTRADA",Movimientos!$R$2:$R$1994,0))),"S/D")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2709</v>
      </c>
      <c r="B434" s="2" t="str">
        <f>IFERROR(INDEX(Movimientos!$C$2:$C$1994,MATCH(A434&amp;"ENTRADA",Movimientos!$R$2:$R$1994,0)),"-")</f>
        <v>-</v>
      </c>
      <c r="C434" s="2" t="str">
        <f>IFERROR(INDEX(Movimientos!$D$2:$D$1994,MATCH(A434&amp;"ENTRADA",Movimientos!$R$2:$R$1994,0)),"-")</f>
        <v>-</v>
      </c>
      <c r="D434" s="2" t="str">
        <f>IFERROR(INDEX(Movimientos!$E$2:$E$1994,MATCH(A434&amp;"ENTRADA",Movimientos!$R$2:$R$1994,0)),"-")</f>
        <v>-</v>
      </c>
      <c r="E434" s="2" t="str">
        <f>IFERROR(INDEX(Movimientos!$F$2:$F$1994,MATCH(A434&amp;"ENTRADA",Movimientos!$R$2:$R$1994,0)),"-")</f>
        <v>-</v>
      </c>
      <c r="F434" s="2" t="str">
        <f>IFERROR(INDEX(Movimientos!$G$2:$G$1994,MATCH(A434&amp;"ENTRADA",Movimientos!$R$2:$R$1994,0)),"-")</f>
        <v>-</v>
      </c>
      <c r="G434" s="2" t="str">
        <f>IFERROR(INDEX(Movimientos!$L$2:$L$1994,MATCH(A434&amp;"ENTRADA",Movimientos!$R$2:$R$1994,0)),"-")</f>
        <v>-</v>
      </c>
      <c r="H434" s="17" t="str">
        <f>IFERROR(IF(INDEX(Movimientos!$M$2:$M$1994,MATCH(A434&amp;"ENTRADA",Movimientos!$R$2:$R$1994,0))=0,"S/D",INDEX(Movimientos!$M$2:$M$1994,MATCH(A434&amp;"ENTRADA",Movimientos!$R$2:$R$1994,0))),"S/D")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2710</v>
      </c>
      <c r="B435" s="2" t="str">
        <f>IFERROR(INDEX(Movimientos!$C$2:$C$1994,MATCH(A435&amp;"ENTRADA",Movimientos!$R$2:$R$1994,0)),"-")</f>
        <v>-</v>
      </c>
      <c r="C435" s="2" t="str">
        <f>IFERROR(INDEX(Movimientos!$D$2:$D$1994,MATCH(A435&amp;"ENTRADA",Movimientos!$R$2:$R$1994,0)),"-")</f>
        <v>-</v>
      </c>
      <c r="D435" s="2" t="str">
        <f>IFERROR(INDEX(Movimientos!$E$2:$E$1994,MATCH(A435&amp;"ENTRADA",Movimientos!$R$2:$R$1994,0)),"-")</f>
        <v>-</v>
      </c>
      <c r="E435" s="2" t="str">
        <f>IFERROR(INDEX(Movimientos!$F$2:$F$1994,MATCH(A435&amp;"ENTRADA",Movimientos!$R$2:$R$1994,0)),"-")</f>
        <v>-</v>
      </c>
      <c r="F435" s="2" t="str">
        <f>IFERROR(INDEX(Movimientos!$G$2:$G$1994,MATCH(A435&amp;"ENTRADA",Movimientos!$R$2:$R$1994,0)),"-")</f>
        <v>-</v>
      </c>
      <c r="G435" s="2" t="str">
        <f>IFERROR(INDEX(Movimientos!$L$2:$L$1994,MATCH(A435&amp;"ENTRADA",Movimientos!$R$2:$R$1994,0)),"-")</f>
        <v>-</v>
      </c>
      <c r="H435" s="17" t="str">
        <f>IFERROR(IF(INDEX(Movimientos!$M$2:$M$1994,MATCH(A435&amp;"ENTRADA",Movimientos!$R$2:$R$1994,0))=0,"S/D",INDEX(Movimientos!$M$2:$M$1994,MATCH(A435&amp;"ENTRADA",Movimientos!$R$2:$R$1994,0))),"S/D")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2711</v>
      </c>
      <c r="B436" s="2" t="str">
        <f>IFERROR(INDEX(Movimientos!$C$2:$C$1994,MATCH(A436&amp;"ENTRADA",Movimientos!$R$2:$R$1994,0)),"-")</f>
        <v>-</v>
      </c>
      <c r="C436" s="2" t="str">
        <f>IFERROR(INDEX(Movimientos!$D$2:$D$1994,MATCH(A436&amp;"ENTRADA",Movimientos!$R$2:$R$1994,0)),"-")</f>
        <v>-</v>
      </c>
      <c r="D436" s="2" t="str">
        <f>IFERROR(INDEX(Movimientos!$E$2:$E$1994,MATCH(A436&amp;"ENTRADA",Movimientos!$R$2:$R$1994,0)),"-")</f>
        <v>-</v>
      </c>
      <c r="E436" s="2" t="str">
        <f>IFERROR(INDEX(Movimientos!$F$2:$F$1994,MATCH(A436&amp;"ENTRADA",Movimientos!$R$2:$R$1994,0)),"-")</f>
        <v>-</v>
      </c>
      <c r="F436" s="2" t="str">
        <f>IFERROR(INDEX(Movimientos!$G$2:$G$1994,MATCH(A436&amp;"ENTRADA",Movimientos!$R$2:$R$1994,0)),"-")</f>
        <v>-</v>
      </c>
      <c r="G436" s="2" t="str">
        <f>IFERROR(INDEX(Movimientos!$L$2:$L$1994,MATCH(A436&amp;"ENTRADA",Movimientos!$R$2:$R$1994,0)),"-")</f>
        <v>-</v>
      </c>
      <c r="H436" s="17" t="str">
        <f>IFERROR(IF(INDEX(Movimientos!$M$2:$M$1994,MATCH(A436&amp;"ENTRADA",Movimientos!$R$2:$R$1994,0))=0,"S/D",INDEX(Movimientos!$M$2:$M$1994,MATCH(A436&amp;"ENTRADA",Movimientos!$R$2:$R$1994,0))),"S/D")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2712</v>
      </c>
      <c r="B437" s="2" t="str">
        <f>IFERROR(INDEX(Movimientos!$C$2:$C$1994,MATCH(A437&amp;"ENTRADA",Movimientos!$R$2:$R$1994,0)),"-")</f>
        <v>-</v>
      </c>
      <c r="C437" s="2" t="str">
        <f>IFERROR(INDEX(Movimientos!$D$2:$D$1994,MATCH(A437&amp;"ENTRADA",Movimientos!$R$2:$R$1994,0)),"-")</f>
        <v>-</v>
      </c>
      <c r="D437" s="2" t="str">
        <f>IFERROR(INDEX(Movimientos!$E$2:$E$1994,MATCH(A437&amp;"ENTRADA",Movimientos!$R$2:$R$1994,0)),"-")</f>
        <v>-</v>
      </c>
      <c r="E437" s="2" t="str">
        <f>IFERROR(INDEX(Movimientos!$F$2:$F$1994,MATCH(A437&amp;"ENTRADA",Movimientos!$R$2:$R$1994,0)),"-")</f>
        <v>-</v>
      </c>
      <c r="F437" s="2" t="str">
        <f>IFERROR(INDEX(Movimientos!$G$2:$G$1994,MATCH(A437&amp;"ENTRADA",Movimientos!$R$2:$R$1994,0)),"-")</f>
        <v>-</v>
      </c>
      <c r="G437" s="2" t="str">
        <f>IFERROR(INDEX(Movimientos!$L$2:$L$1994,MATCH(A437&amp;"ENTRADA",Movimientos!$R$2:$R$1994,0)),"-")</f>
        <v>-</v>
      </c>
      <c r="H437" s="17" t="str">
        <f>IFERROR(IF(INDEX(Movimientos!$M$2:$M$1994,MATCH(A437&amp;"ENTRADA",Movimientos!$R$2:$R$1994,0))=0,"S/D",INDEX(Movimientos!$M$2:$M$1994,MATCH(A437&amp;"ENTRADA",Movimientos!$R$2:$R$1994,0))),"S/D")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2713</v>
      </c>
      <c r="B438" s="2" t="str">
        <f>IFERROR(INDEX(Movimientos!$C$2:$C$1994,MATCH(A438&amp;"ENTRADA",Movimientos!$R$2:$R$1994,0)),"-")</f>
        <v>-</v>
      </c>
      <c r="C438" s="2" t="str">
        <f>IFERROR(INDEX(Movimientos!$D$2:$D$1994,MATCH(A438&amp;"ENTRADA",Movimientos!$R$2:$R$1994,0)),"-")</f>
        <v>-</v>
      </c>
      <c r="D438" s="2" t="str">
        <f>IFERROR(INDEX(Movimientos!$E$2:$E$1994,MATCH(A438&amp;"ENTRADA",Movimientos!$R$2:$R$1994,0)),"-")</f>
        <v>-</v>
      </c>
      <c r="E438" s="2" t="str">
        <f>IFERROR(INDEX(Movimientos!$F$2:$F$1994,MATCH(A438&amp;"ENTRADA",Movimientos!$R$2:$R$1994,0)),"-")</f>
        <v>-</v>
      </c>
      <c r="F438" s="2" t="str">
        <f>IFERROR(INDEX(Movimientos!$G$2:$G$1994,MATCH(A438&amp;"ENTRADA",Movimientos!$R$2:$R$1994,0)),"-")</f>
        <v>-</v>
      </c>
      <c r="G438" s="2" t="str">
        <f>IFERROR(INDEX(Movimientos!$L$2:$L$1994,MATCH(A438&amp;"ENTRADA",Movimientos!$R$2:$R$1994,0)),"-")</f>
        <v>-</v>
      </c>
      <c r="H438" s="17" t="str">
        <f>IFERROR(IF(INDEX(Movimientos!$M$2:$M$1994,MATCH(A438&amp;"ENTRADA",Movimientos!$R$2:$R$1994,0))=0,"S/D",INDEX(Movimientos!$M$2:$M$1994,MATCH(A438&amp;"ENTRADA",Movimientos!$R$2:$R$1994,0))),"S/D")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2714</v>
      </c>
      <c r="B439" s="2" t="str">
        <f>IFERROR(INDEX(Movimientos!$C$2:$C$1994,MATCH(A439&amp;"ENTRADA",Movimientos!$R$2:$R$1994,0)),"-")</f>
        <v>-</v>
      </c>
      <c r="C439" s="2" t="str">
        <f>IFERROR(INDEX(Movimientos!$D$2:$D$1994,MATCH(A439&amp;"ENTRADA",Movimientos!$R$2:$R$1994,0)),"-")</f>
        <v>-</v>
      </c>
      <c r="D439" s="2" t="str">
        <f>IFERROR(INDEX(Movimientos!$E$2:$E$1994,MATCH(A439&amp;"ENTRADA",Movimientos!$R$2:$R$1994,0)),"-")</f>
        <v>-</v>
      </c>
      <c r="E439" s="2" t="str">
        <f>IFERROR(INDEX(Movimientos!$F$2:$F$1994,MATCH(A439&amp;"ENTRADA",Movimientos!$R$2:$R$1994,0)),"-")</f>
        <v>-</v>
      </c>
      <c r="F439" s="2" t="str">
        <f>IFERROR(INDEX(Movimientos!$G$2:$G$1994,MATCH(A439&amp;"ENTRADA",Movimientos!$R$2:$R$1994,0)),"-")</f>
        <v>-</v>
      </c>
      <c r="G439" s="2" t="str">
        <f>IFERROR(INDEX(Movimientos!$L$2:$L$1994,MATCH(A439&amp;"ENTRADA",Movimientos!$R$2:$R$1994,0)),"-")</f>
        <v>-</v>
      </c>
      <c r="H439" s="17" t="str">
        <f>IFERROR(IF(INDEX(Movimientos!$M$2:$M$1994,MATCH(A439&amp;"ENTRADA",Movimientos!$R$2:$R$1994,0))=0,"S/D",INDEX(Movimientos!$M$2:$M$1994,MATCH(A439&amp;"ENTRADA",Movimientos!$R$2:$R$1994,0))),"S/D")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2715</v>
      </c>
      <c r="B440" s="2" t="str">
        <f>IFERROR(INDEX(Movimientos!$C$2:$C$1994,MATCH(A440&amp;"ENTRADA",Movimientos!$R$2:$R$1994,0)),"-")</f>
        <v>-</v>
      </c>
      <c r="C440" s="2" t="str">
        <f>IFERROR(INDEX(Movimientos!$D$2:$D$1994,MATCH(A440&amp;"ENTRADA",Movimientos!$R$2:$R$1994,0)),"-")</f>
        <v>-</v>
      </c>
      <c r="D440" s="2" t="str">
        <f>IFERROR(INDEX(Movimientos!$E$2:$E$1994,MATCH(A440&amp;"ENTRADA",Movimientos!$R$2:$R$1994,0)),"-")</f>
        <v>-</v>
      </c>
      <c r="E440" s="2" t="str">
        <f>IFERROR(INDEX(Movimientos!$F$2:$F$1994,MATCH(A440&amp;"ENTRADA",Movimientos!$R$2:$R$1994,0)),"-")</f>
        <v>-</v>
      </c>
      <c r="F440" s="2" t="str">
        <f>IFERROR(INDEX(Movimientos!$G$2:$G$1994,MATCH(A440&amp;"ENTRADA",Movimientos!$R$2:$R$1994,0)),"-")</f>
        <v>-</v>
      </c>
      <c r="G440" s="2" t="str">
        <f>IFERROR(INDEX(Movimientos!$L$2:$L$1994,MATCH(A440&amp;"ENTRADA",Movimientos!$R$2:$R$1994,0)),"-")</f>
        <v>-</v>
      </c>
      <c r="H440" s="17" t="str">
        <f>IFERROR(IF(INDEX(Movimientos!$M$2:$M$1994,MATCH(A440&amp;"ENTRADA",Movimientos!$R$2:$R$1994,0))=0,"S/D",INDEX(Movimientos!$M$2:$M$1994,MATCH(A440&amp;"ENTRADA",Movimientos!$R$2:$R$1994,0))),"S/D")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2716</v>
      </c>
      <c r="B441" s="2" t="str">
        <f>IFERROR(INDEX(Movimientos!$C$2:$C$1994,MATCH(A441&amp;"ENTRADA",Movimientos!$R$2:$R$1994,0)),"-")</f>
        <v>-</v>
      </c>
      <c r="C441" s="2" t="str">
        <f>IFERROR(INDEX(Movimientos!$D$2:$D$1994,MATCH(A441&amp;"ENTRADA",Movimientos!$R$2:$R$1994,0)),"-")</f>
        <v>-</v>
      </c>
      <c r="D441" s="2" t="str">
        <f>IFERROR(INDEX(Movimientos!$E$2:$E$1994,MATCH(A441&amp;"ENTRADA",Movimientos!$R$2:$R$1994,0)),"-")</f>
        <v>-</v>
      </c>
      <c r="E441" s="2" t="str">
        <f>IFERROR(INDEX(Movimientos!$F$2:$F$1994,MATCH(A441&amp;"ENTRADA",Movimientos!$R$2:$R$1994,0)),"-")</f>
        <v>-</v>
      </c>
      <c r="F441" s="2" t="str">
        <f>IFERROR(INDEX(Movimientos!$G$2:$G$1994,MATCH(A441&amp;"ENTRADA",Movimientos!$R$2:$R$1994,0)),"-")</f>
        <v>-</v>
      </c>
      <c r="G441" s="2" t="str">
        <f>IFERROR(INDEX(Movimientos!$L$2:$L$1994,MATCH(A441&amp;"ENTRADA",Movimientos!$R$2:$R$1994,0)),"-")</f>
        <v>-</v>
      </c>
      <c r="H441" s="17" t="str">
        <f>IFERROR(IF(INDEX(Movimientos!$M$2:$M$1994,MATCH(A441&amp;"ENTRADA",Movimientos!$R$2:$R$1994,0))=0,"S/D",INDEX(Movimientos!$M$2:$M$1994,MATCH(A441&amp;"ENTRADA",Movimientos!$R$2:$R$1994,0))),"S/D")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2717</v>
      </c>
      <c r="B442" s="2" t="str">
        <f>IFERROR(INDEX(Movimientos!$C$2:$C$1994,MATCH(A442&amp;"ENTRADA",Movimientos!$R$2:$R$1994,0)),"-")</f>
        <v>-</v>
      </c>
      <c r="C442" s="2" t="str">
        <f>IFERROR(INDEX(Movimientos!$D$2:$D$1994,MATCH(A442&amp;"ENTRADA",Movimientos!$R$2:$R$1994,0)),"-")</f>
        <v>-</v>
      </c>
      <c r="D442" s="2" t="str">
        <f>IFERROR(INDEX(Movimientos!$E$2:$E$1994,MATCH(A442&amp;"ENTRADA",Movimientos!$R$2:$R$1994,0)),"-")</f>
        <v>-</v>
      </c>
      <c r="E442" s="2" t="str">
        <f>IFERROR(INDEX(Movimientos!$F$2:$F$1994,MATCH(A442&amp;"ENTRADA",Movimientos!$R$2:$R$1994,0)),"-")</f>
        <v>-</v>
      </c>
      <c r="F442" s="2" t="str">
        <f>IFERROR(INDEX(Movimientos!$G$2:$G$1994,MATCH(A442&amp;"ENTRADA",Movimientos!$R$2:$R$1994,0)),"-")</f>
        <v>-</v>
      </c>
      <c r="G442" s="2" t="str">
        <f>IFERROR(INDEX(Movimientos!$L$2:$L$1994,MATCH(A442&amp;"ENTRADA",Movimientos!$R$2:$R$1994,0)),"-")</f>
        <v>-</v>
      </c>
      <c r="H442" s="17" t="str">
        <f>IFERROR(IF(INDEX(Movimientos!$M$2:$M$1994,MATCH(A442&amp;"ENTRADA",Movimientos!$R$2:$R$1994,0))=0,"S/D",INDEX(Movimientos!$M$2:$M$1994,MATCH(A442&amp;"ENTRADA",Movimientos!$R$2:$R$1994,0))),"S/D")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2718</v>
      </c>
      <c r="B443" s="2" t="str">
        <f>IFERROR(INDEX(Movimientos!$C$2:$C$1994,MATCH(A443&amp;"ENTRADA",Movimientos!$R$2:$R$1994,0)),"-")</f>
        <v>-</v>
      </c>
      <c r="C443" s="2" t="str">
        <f>IFERROR(INDEX(Movimientos!$D$2:$D$1994,MATCH(A443&amp;"ENTRADA",Movimientos!$R$2:$R$1994,0)),"-")</f>
        <v>-</v>
      </c>
      <c r="D443" s="2" t="str">
        <f>IFERROR(INDEX(Movimientos!$E$2:$E$1994,MATCH(A443&amp;"ENTRADA",Movimientos!$R$2:$R$1994,0)),"-")</f>
        <v>-</v>
      </c>
      <c r="E443" s="2" t="str">
        <f>IFERROR(INDEX(Movimientos!$F$2:$F$1994,MATCH(A443&amp;"ENTRADA",Movimientos!$R$2:$R$1994,0)),"-")</f>
        <v>-</v>
      </c>
      <c r="F443" s="2" t="str">
        <f>IFERROR(INDEX(Movimientos!$G$2:$G$1994,MATCH(A443&amp;"ENTRADA",Movimientos!$R$2:$R$1994,0)),"-")</f>
        <v>-</v>
      </c>
      <c r="G443" s="2" t="str">
        <f>IFERROR(INDEX(Movimientos!$L$2:$L$1994,MATCH(A443&amp;"ENTRADA",Movimientos!$R$2:$R$1994,0)),"-")</f>
        <v>-</v>
      </c>
      <c r="H443" s="17" t="str">
        <f>IFERROR(IF(INDEX(Movimientos!$M$2:$M$1994,MATCH(A443&amp;"ENTRADA",Movimientos!$R$2:$R$1994,0))=0,"S/D",INDEX(Movimientos!$M$2:$M$1994,MATCH(A443&amp;"ENTRADA",Movimientos!$R$2:$R$1994,0))),"S/D")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2719</v>
      </c>
      <c r="B444" s="2" t="str">
        <f>IFERROR(INDEX(Movimientos!$C$2:$C$1994,MATCH(A444&amp;"ENTRADA",Movimientos!$R$2:$R$1994,0)),"-")</f>
        <v>-</v>
      </c>
      <c r="C444" s="2" t="str">
        <f>IFERROR(INDEX(Movimientos!$D$2:$D$1994,MATCH(A444&amp;"ENTRADA",Movimientos!$R$2:$R$1994,0)),"-")</f>
        <v>-</v>
      </c>
      <c r="D444" s="2" t="str">
        <f>IFERROR(INDEX(Movimientos!$E$2:$E$1994,MATCH(A444&amp;"ENTRADA",Movimientos!$R$2:$R$1994,0)),"-")</f>
        <v>-</v>
      </c>
      <c r="E444" s="2" t="str">
        <f>IFERROR(INDEX(Movimientos!$F$2:$F$1994,MATCH(A444&amp;"ENTRADA",Movimientos!$R$2:$R$1994,0)),"-")</f>
        <v>-</v>
      </c>
      <c r="F444" s="2" t="str">
        <f>IFERROR(INDEX(Movimientos!$G$2:$G$1994,MATCH(A444&amp;"ENTRADA",Movimientos!$R$2:$R$1994,0)),"-")</f>
        <v>-</v>
      </c>
      <c r="G444" s="2" t="str">
        <f>IFERROR(INDEX(Movimientos!$L$2:$L$1994,MATCH(A444&amp;"ENTRADA",Movimientos!$R$2:$R$1994,0)),"-")</f>
        <v>-</v>
      </c>
      <c r="H444" s="17" t="str">
        <f>IFERROR(IF(INDEX(Movimientos!$M$2:$M$1994,MATCH(A444&amp;"ENTRADA",Movimientos!$R$2:$R$1994,0))=0,"S/D",INDEX(Movimientos!$M$2:$M$1994,MATCH(A444&amp;"ENTRADA",Movimientos!$R$2:$R$1994,0))),"S/D")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2720</v>
      </c>
      <c r="B445" s="2" t="str">
        <f>IFERROR(INDEX(Movimientos!$C$2:$C$1994,MATCH(A445&amp;"ENTRADA",Movimientos!$R$2:$R$1994,0)),"-")</f>
        <v>-</v>
      </c>
      <c r="C445" s="2" t="str">
        <f>IFERROR(INDEX(Movimientos!$D$2:$D$1994,MATCH(A445&amp;"ENTRADA",Movimientos!$R$2:$R$1994,0)),"-")</f>
        <v>-</v>
      </c>
      <c r="D445" s="2" t="str">
        <f>IFERROR(INDEX(Movimientos!$E$2:$E$1994,MATCH(A445&amp;"ENTRADA",Movimientos!$R$2:$R$1994,0)),"-")</f>
        <v>-</v>
      </c>
      <c r="E445" s="2" t="str">
        <f>IFERROR(INDEX(Movimientos!$F$2:$F$1994,MATCH(A445&amp;"ENTRADA",Movimientos!$R$2:$R$1994,0)),"-")</f>
        <v>-</v>
      </c>
      <c r="F445" s="2" t="str">
        <f>IFERROR(INDEX(Movimientos!$G$2:$G$1994,MATCH(A445&amp;"ENTRADA",Movimientos!$R$2:$R$1994,0)),"-")</f>
        <v>-</v>
      </c>
      <c r="G445" s="2" t="str">
        <f>IFERROR(INDEX(Movimientos!$L$2:$L$1994,MATCH(A445&amp;"ENTRADA",Movimientos!$R$2:$R$1994,0)),"-")</f>
        <v>-</v>
      </c>
      <c r="H445" s="17" t="str">
        <f>IFERROR(IF(INDEX(Movimientos!$M$2:$M$1994,MATCH(A445&amp;"ENTRADA",Movimientos!$R$2:$R$1994,0))=0,"S/D",INDEX(Movimientos!$M$2:$M$1994,MATCH(A445&amp;"ENTRADA",Movimientos!$R$2:$R$1994,0))),"S/D")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2721</v>
      </c>
      <c r="B446" s="2" t="str">
        <f>IFERROR(INDEX(Movimientos!$C$2:$C$1994,MATCH(A446&amp;"ENTRADA",Movimientos!$R$2:$R$1994,0)),"-")</f>
        <v>-</v>
      </c>
      <c r="C446" s="2" t="str">
        <f>IFERROR(INDEX(Movimientos!$D$2:$D$1994,MATCH(A446&amp;"ENTRADA",Movimientos!$R$2:$R$1994,0)),"-")</f>
        <v>-</v>
      </c>
      <c r="D446" s="2" t="str">
        <f>IFERROR(INDEX(Movimientos!$E$2:$E$1994,MATCH(A446&amp;"ENTRADA",Movimientos!$R$2:$R$1994,0)),"-")</f>
        <v>-</v>
      </c>
      <c r="E446" s="2" t="str">
        <f>IFERROR(INDEX(Movimientos!$F$2:$F$1994,MATCH(A446&amp;"ENTRADA",Movimientos!$R$2:$R$1994,0)),"-")</f>
        <v>-</v>
      </c>
      <c r="F446" s="2" t="str">
        <f>IFERROR(INDEX(Movimientos!$G$2:$G$1994,MATCH(A446&amp;"ENTRADA",Movimientos!$R$2:$R$1994,0)),"-")</f>
        <v>-</v>
      </c>
      <c r="G446" s="2" t="str">
        <f>IFERROR(INDEX(Movimientos!$L$2:$L$1994,MATCH(A446&amp;"ENTRADA",Movimientos!$R$2:$R$1994,0)),"-")</f>
        <v>-</v>
      </c>
      <c r="H446" s="17" t="str">
        <f>IFERROR(IF(INDEX(Movimientos!$M$2:$M$1994,MATCH(A446&amp;"ENTRADA",Movimientos!$R$2:$R$1994,0))=0,"S/D",INDEX(Movimientos!$M$2:$M$1994,MATCH(A446&amp;"ENTRADA",Movimientos!$R$2:$R$1994,0))),"S/D")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2722</v>
      </c>
      <c r="B447" s="2" t="str">
        <f>IFERROR(INDEX(Movimientos!$C$2:$C$1994,MATCH(A447&amp;"ENTRADA",Movimientos!$R$2:$R$1994,0)),"-")</f>
        <v>-</v>
      </c>
      <c r="C447" s="2" t="str">
        <f>IFERROR(INDEX(Movimientos!$D$2:$D$1994,MATCH(A447&amp;"ENTRADA",Movimientos!$R$2:$R$1994,0)),"-")</f>
        <v>-</v>
      </c>
      <c r="D447" s="2" t="str">
        <f>IFERROR(INDEX(Movimientos!$E$2:$E$1994,MATCH(A447&amp;"ENTRADA",Movimientos!$R$2:$R$1994,0)),"-")</f>
        <v>-</v>
      </c>
      <c r="E447" s="2" t="str">
        <f>IFERROR(INDEX(Movimientos!$F$2:$F$1994,MATCH(A447&amp;"ENTRADA",Movimientos!$R$2:$R$1994,0)),"-")</f>
        <v>-</v>
      </c>
      <c r="F447" s="2" t="str">
        <f>IFERROR(INDEX(Movimientos!$G$2:$G$1994,MATCH(A447&amp;"ENTRADA",Movimientos!$R$2:$R$1994,0)),"-")</f>
        <v>-</v>
      </c>
      <c r="G447" s="2" t="str">
        <f>IFERROR(INDEX(Movimientos!$L$2:$L$1994,MATCH(A447&amp;"ENTRADA",Movimientos!$R$2:$R$1994,0)),"-")</f>
        <v>-</v>
      </c>
      <c r="H447" s="17" t="str">
        <f>IFERROR(IF(INDEX(Movimientos!$M$2:$M$1994,MATCH(A447&amp;"ENTRADA",Movimientos!$R$2:$R$1994,0))=0,"S/D",INDEX(Movimientos!$M$2:$M$1994,MATCH(A447&amp;"ENTRADA",Movimientos!$R$2:$R$1994,0))),"S/D")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2723</v>
      </c>
      <c r="B448" s="2" t="str">
        <f>IFERROR(INDEX(Movimientos!$C$2:$C$1994,MATCH(A448&amp;"ENTRADA",Movimientos!$R$2:$R$1994,0)),"-")</f>
        <v>-</v>
      </c>
      <c r="C448" s="2" t="str">
        <f>IFERROR(INDEX(Movimientos!$D$2:$D$1994,MATCH(A448&amp;"ENTRADA",Movimientos!$R$2:$R$1994,0)),"-")</f>
        <v>-</v>
      </c>
      <c r="D448" s="2" t="str">
        <f>IFERROR(INDEX(Movimientos!$E$2:$E$1994,MATCH(A448&amp;"ENTRADA",Movimientos!$R$2:$R$1994,0)),"-")</f>
        <v>-</v>
      </c>
      <c r="E448" s="2" t="str">
        <f>IFERROR(INDEX(Movimientos!$F$2:$F$1994,MATCH(A448&amp;"ENTRADA",Movimientos!$R$2:$R$1994,0)),"-")</f>
        <v>-</v>
      </c>
      <c r="F448" s="2" t="str">
        <f>IFERROR(INDEX(Movimientos!$G$2:$G$1994,MATCH(A448&amp;"ENTRADA",Movimientos!$R$2:$R$1994,0)),"-")</f>
        <v>-</v>
      </c>
      <c r="G448" s="2" t="str">
        <f>IFERROR(INDEX(Movimientos!$L$2:$L$1994,MATCH(A448&amp;"ENTRADA",Movimientos!$R$2:$R$1994,0)),"-")</f>
        <v>-</v>
      </c>
      <c r="H448" s="17" t="str">
        <f>IFERROR(IF(INDEX(Movimientos!$M$2:$M$1994,MATCH(A448&amp;"ENTRADA",Movimientos!$R$2:$R$1994,0))=0,"S/D",INDEX(Movimientos!$M$2:$M$1994,MATCH(A448&amp;"ENTRADA",Movimientos!$R$2:$R$1994,0))),"S/D")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2724</v>
      </c>
      <c r="B449" s="2" t="str">
        <f>IFERROR(INDEX(Movimientos!$C$2:$C$1994,MATCH(A449&amp;"ENTRADA",Movimientos!$R$2:$R$1994,0)),"-")</f>
        <v>-</v>
      </c>
      <c r="C449" s="2" t="str">
        <f>IFERROR(INDEX(Movimientos!$D$2:$D$1994,MATCH(A449&amp;"ENTRADA",Movimientos!$R$2:$R$1994,0)),"-")</f>
        <v>-</v>
      </c>
      <c r="D449" s="2" t="str">
        <f>IFERROR(INDEX(Movimientos!$E$2:$E$1994,MATCH(A449&amp;"ENTRADA",Movimientos!$R$2:$R$1994,0)),"-")</f>
        <v>-</v>
      </c>
      <c r="E449" s="2" t="str">
        <f>IFERROR(INDEX(Movimientos!$F$2:$F$1994,MATCH(A449&amp;"ENTRADA",Movimientos!$R$2:$R$1994,0)),"-")</f>
        <v>-</v>
      </c>
      <c r="F449" s="2" t="str">
        <f>IFERROR(INDEX(Movimientos!$G$2:$G$1994,MATCH(A449&amp;"ENTRADA",Movimientos!$R$2:$R$1994,0)),"-")</f>
        <v>-</v>
      </c>
      <c r="G449" s="2" t="str">
        <f>IFERROR(INDEX(Movimientos!$L$2:$L$1994,MATCH(A449&amp;"ENTRADA",Movimientos!$R$2:$R$1994,0)),"-")</f>
        <v>-</v>
      </c>
      <c r="H449" s="17" t="str">
        <f>IFERROR(IF(INDEX(Movimientos!$M$2:$M$1994,MATCH(A449&amp;"ENTRADA",Movimientos!$R$2:$R$1994,0))=0,"S/D",INDEX(Movimientos!$M$2:$M$1994,MATCH(A449&amp;"ENTRADA",Movimientos!$R$2:$R$1994,0))),"S/D")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2725</v>
      </c>
      <c r="B450" s="2" t="str">
        <f>IFERROR(INDEX(Movimientos!$C$2:$C$1994,MATCH(A450&amp;"ENTRADA",Movimientos!$R$2:$R$1994,0)),"-")</f>
        <v>-</v>
      </c>
      <c r="C450" s="2" t="str">
        <f>IFERROR(INDEX(Movimientos!$D$2:$D$1994,MATCH(A450&amp;"ENTRADA",Movimientos!$R$2:$R$1994,0)),"-")</f>
        <v>-</v>
      </c>
      <c r="D450" s="2" t="str">
        <f>IFERROR(INDEX(Movimientos!$E$2:$E$1994,MATCH(A450&amp;"ENTRADA",Movimientos!$R$2:$R$1994,0)),"-")</f>
        <v>-</v>
      </c>
      <c r="E450" s="2" t="str">
        <f>IFERROR(INDEX(Movimientos!$F$2:$F$1994,MATCH(A450&amp;"ENTRADA",Movimientos!$R$2:$R$1994,0)),"-")</f>
        <v>-</v>
      </c>
      <c r="F450" s="2" t="str">
        <f>IFERROR(INDEX(Movimientos!$G$2:$G$1994,MATCH(A450&amp;"ENTRADA",Movimientos!$R$2:$R$1994,0)),"-")</f>
        <v>-</v>
      </c>
      <c r="G450" s="2" t="str">
        <f>IFERROR(INDEX(Movimientos!$L$2:$L$1994,MATCH(A450&amp;"ENTRADA",Movimientos!$R$2:$R$1994,0)),"-")</f>
        <v>-</v>
      </c>
      <c r="H450" s="17" t="str">
        <f>IFERROR(IF(INDEX(Movimientos!$M$2:$M$1994,MATCH(A450&amp;"ENTRADA",Movimientos!$R$2:$R$1994,0))=0,"S/D",INDEX(Movimientos!$M$2:$M$1994,MATCH(A450&amp;"ENTRADA",Movimientos!$R$2:$R$1994,0))),"S/D")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2726</v>
      </c>
      <c r="B451" s="2" t="str">
        <f>IFERROR(INDEX(Movimientos!$C$2:$C$1994,MATCH(A451&amp;"ENTRADA",Movimientos!$R$2:$R$1994,0)),"-")</f>
        <v>-</v>
      </c>
      <c r="C451" s="2" t="str">
        <f>IFERROR(INDEX(Movimientos!$D$2:$D$1994,MATCH(A451&amp;"ENTRADA",Movimientos!$R$2:$R$1994,0)),"-")</f>
        <v>-</v>
      </c>
      <c r="D451" s="2" t="str">
        <f>IFERROR(INDEX(Movimientos!$E$2:$E$1994,MATCH(A451&amp;"ENTRADA",Movimientos!$R$2:$R$1994,0)),"-")</f>
        <v>-</v>
      </c>
      <c r="E451" s="2" t="str">
        <f>IFERROR(INDEX(Movimientos!$F$2:$F$1994,MATCH(A451&amp;"ENTRADA",Movimientos!$R$2:$R$1994,0)),"-")</f>
        <v>-</v>
      </c>
      <c r="F451" s="2" t="str">
        <f>IFERROR(INDEX(Movimientos!$G$2:$G$1994,MATCH(A451&amp;"ENTRADA",Movimientos!$R$2:$R$1994,0)),"-")</f>
        <v>-</v>
      </c>
      <c r="G451" s="2" t="str">
        <f>IFERROR(INDEX(Movimientos!$L$2:$L$1994,MATCH(A451&amp;"ENTRADA",Movimientos!$R$2:$R$1994,0)),"-")</f>
        <v>-</v>
      </c>
      <c r="H451" s="17" t="str">
        <f>IFERROR(IF(INDEX(Movimientos!$M$2:$M$1994,MATCH(A451&amp;"ENTRADA",Movimientos!$R$2:$R$1994,0))=0,"S/D",INDEX(Movimientos!$M$2:$M$1994,MATCH(A451&amp;"ENTRADA",Movimientos!$R$2:$R$1994,0))),"S/D")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2727</v>
      </c>
      <c r="B452" s="2" t="str">
        <f>IFERROR(INDEX(Movimientos!$C$2:$C$1994,MATCH(A452&amp;"ENTRADA",Movimientos!$R$2:$R$1994,0)),"-")</f>
        <v>-</v>
      </c>
      <c r="C452" s="2" t="str">
        <f>IFERROR(INDEX(Movimientos!$D$2:$D$1994,MATCH(A452&amp;"ENTRADA",Movimientos!$R$2:$R$1994,0)),"-")</f>
        <v>-</v>
      </c>
      <c r="D452" s="2" t="str">
        <f>IFERROR(INDEX(Movimientos!$E$2:$E$1994,MATCH(A452&amp;"ENTRADA",Movimientos!$R$2:$R$1994,0)),"-")</f>
        <v>-</v>
      </c>
      <c r="E452" s="2" t="str">
        <f>IFERROR(INDEX(Movimientos!$F$2:$F$1994,MATCH(A452&amp;"ENTRADA",Movimientos!$R$2:$R$1994,0)),"-")</f>
        <v>-</v>
      </c>
      <c r="F452" s="2" t="str">
        <f>IFERROR(INDEX(Movimientos!$G$2:$G$1994,MATCH(A452&amp;"ENTRADA",Movimientos!$R$2:$R$1994,0)),"-")</f>
        <v>-</v>
      </c>
      <c r="G452" s="2" t="str">
        <f>IFERROR(INDEX(Movimientos!$L$2:$L$1994,MATCH(A452&amp;"ENTRADA",Movimientos!$R$2:$R$1994,0)),"-")</f>
        <v>-</v>
      </c>
      <c r="H452" s="17" t="str">
        <f>IFERROR(IF(INDEX(Movimientos!$M$2:$M$1994,MATCH(A452&amp;"ENTRADA",Movimientos!$R$2:$R$1994,0))=0,"S/D",INDEX(Movimientos!$M$2:$M$1994,MATCH(A452&amp;"ENTRADA",Movimientos!$R$2:$R$1994,0))),"S/D")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2728</v>
      </c>
      <c r="B453" s="2" t="str">
        <f>IFERROR(INDEX(Movimientos!$C$2:$C$1994,MATCH(A453&amp;"ENTRADA",Movimientos!$R$2:$R$1994,0)),"-")</f>
        <v>-</v>
      </c>
      <c r="C453" s="2" t="str">
        <f>IFERROR(INDEX(Movimientos!$D$2:$D$1994,MATCH(A453&amp;"ENTRADA",Movimientos!$R$2:$R$1994,0)),"-")</f>
        <v>-</v>
      </c>
      <c r="D453" s="2" t="str">
        <f>IFERROR(INDEX(Movimientos!$E$2:$E$1994,MATCH(A453&amp;"ENTRADA",Movimientos!$R$2:$R$1994,0)),"-")</f>
        <v>-</v>
      </c>
      <c r="E453" s="2" t="str">
        <f>IFERROR(INDEX(Movimientos!$F$2:$F$1994,MATCH(A453&amp;"ENTRADA",Movimientos!$R$2:$R$1994,0)),"-")</f>
        <v>-</v>
      </c>
      <c r="F453" s="2" t="str">
        <f>IFERROR(INDEX(Movimientos!$G$2:$G$1994,MATCH(A453&amp;"ENTRADA",Movimientos!$R$2:$R$1994,0)),"-")</f>
        <v>-</v>
      </c>
      <c r="G453" s="2" t="str">
        <f>IFERROR(INDEX(Movimientos!$L$2:$L$1994,MATCH(A453&amp;"ENTRADA",Movimientos!$R$2:$R$1994,0)),"-")</f>
        <v>-</v>
      </c>
      <c r="H453" s="17" t="str">
        <f>IFERROR(IF(INDEX(Movimientos!$M$2:$M$1994,MATCH(A453&amp;"ENTRADA",Movimientos!$R$2:$R$1994,0))=0,"S/D",INDEX(Movimientos!$M$2:$M$1994,MATCH(A453&amp;"ENTRADA",Movimientos!$R$2:$R$1994,0))),"S/D")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2729</v>
      </c>
      <c r="B454" s="2" t="str">
        <f>IFERROR(INDEX(Movimientos!$C$2:$C$1994,MATCH(A454&amp;"ENTRADA",Movimientos!$R$2:$R$1994,0)),"-")</f>
        <v>-</v>
      </c>
      <c r="C454" s="2" t="str">
        <f>IFERROR(INDEX(Movimientos!$D$2:$D$1994,MATCH(A454&amp;"ENTRADA",Movimientos!$R$2:$R$1994,0)),"-")</f>
        <v>-</v>
      </c>
      <c r="D454" s="2" t="str">
        <f>IFERROR(INDEX(Movimientos!$E$2:$E$1994,MATCH(A454&amp;"ENTRADA",Movimientos!$R$2:$R$1994,0)),"-")</f>
        <v>-</v>
      </c>
      <c r="E454" s="2" t="str">
        <f>IFERROR(INDEX(Movimientos!$F$2:$F$1994,MATCH(A454&amp;"ENTRADA",Movimientos!$R$2:$R$1994,0)),"-")</f>
        <v>-</v>
      </c>
      <c r="F454" s="2" t="str">
        <f>IFERROR(INDEX(Movimientos!$G$2:$G$1994,MATCH(A454&amp;"ENTRADA",Movimientos!$R$2:$R$1994,0)),"-")</f>
        <v>-</v>
      </c>
      <c r="G454" s="2" t="str">
        <f>IFERROR(INDEX(Movimientos!$L$2:$L$1994,MATCH(A454&amp;"ENTRADA",Movimientos!$R$2:$R$1994,0)),"-")</f>
        <v>-</v>
      </c>
      <c r="H454" s="17" t="str">
        <f>IFERROR(IF(INDEX(Movimientos!$M$2:$M$1994,MATCH(A454&amp;"ENTRADA",Movimientos!$R$2:$R$1994,0))=0,"S/D",INDEX(Movimientos!$M$2:$M$1994,MATCH(A454&amp;"ENTRADA",Movimientos!$R$2:$R$1994,0))),"S/D")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2730</v>
      </c>
      <c r="B455" s="2" t="str">
        <f>IFERROR(INDEX(Movimientos!$C$2:$C$1994,MATCH(A455&amp;"ENTRADA",Movimientos!$R$2:$R$1994,0)),"-")</f>
        <v>-</v>
      </c>
      <c r="C455" s="2" t="str">
        <f>IFERROR(INDEX(Movimientos!$D$2:$D$1994,MATCH(A455&amp;"ENTRADA",Movimientos!$R$2:$R$1994,0)),"-")</f>
        <v>-</v>
      </c>
      <c r="D455" s="2" t="str">
        <f>IFERROR(INDEX(Movimientos!$E$2:$E$1994,MATCH(A455&amp;"ENTRADA",Movimientos!$R$2:$R$1994,0)),"-")</f>
        <v>-</v>
      </c>
      <c r="E455" s="2" t="str">
        <f>IFERROR(INDEX(Movimientos!$F$2:$F$1994,MATCH(A455&amp;"ENTRADA",Movimientos!$R$2:$R$1994,0)),"-")</f>
        <v>-</v>
      </c>
      <c r="F455" s="2" t="str">
        <f>IFERROR(INDEX(Movimientos!$G$2:$G$1994,MATCH(A455&amp;"ENTRADA",Movimientos!$R$2:$R$1994,0)),"-")</f>
        <v>-</v>
      </c>
      <c r="G455" s="2" t="str">
        <f>IFERROR(INDEX(Movimientos!$L$2:$L$1994,MATCH(A455&amp;"ENTRADA",Movimientos!$R$2:$R$1994,0)),"-")</f>
        <v>-</v>
      </c>
      <c r="H455" s="17" t="str">
        <f>IFERROR(IF(INDEX(Movimientos!$M$2:$M$1994,MATCH(A455&amp;"ENTRADA",Movimientos!$R$2:$R$1994,0))=0,"S/D",INDEX(Movimientos!$M$2:$M$1994,MATCH(A455&amp;"ENTRADA",Movimientos!$R$2:$R$1994,0))),"S/D")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2731</v>
      </c>
      <c r="B456" s="2" t="str">
        <f>IFERROR(INDEX(Movimientos!$C$2:$C$1994,MATCH(A456&amp;"ENTRADA",Movimientos!$R$2:$R$1994,0)),"-")</f>
        <v>-</v>
      </c>
      <c r="C456" s="2" t="str">
        <f>IFERROR(INDEX(Movimientos!$D$2:$D$1994,MATCH(A456&amp;"ENTRADA",Movimientos!$R$2:$R$1994,0)),"-")</f>
        <v>-</v>
      </c>
      <c r="D456" s="2" t="str">
        <f>IFERROR(INDEX(Movimientos!$E$2:$E$1994,MATCH(A456&amp;"ENTRADA",Movimientos!$R$2:$R$1994,0)),"-")</f>
        <v>-</v>
      </c>
      <c r="E456" s="2" t="str">
        <f>IFERROR(INDEX(Movimientos!$F$2:$F$1994,MATCH(A456&amp;"ENTRADA",Movimientos!$R$2:$R$1994,0)),"-")</f>
        <v>-</v>
      </c>
      <c r="F456" s="2" t="str">
        <f>IFERROR(INDEX(Movimientos!$G$2:$G$1994,MATCH(A456&amp;"ENTRADA",Movimientos!$R$2:$R$1994,0)),"-")</f>
        <v>-</v>
      </c>
      <c r="G456" s="2" t="str">
        <f>IFERROR(INDEX(Movimientos!$L$2:$L$1994,MATCH(A456&amp;"ENTRADA",Movimientos!$R$2:$R$1994,0)),"-")</f>
        <v>-</v>
      </c>
      <c r="H456" s="17" t="str">
        <f>IFERROR(IF(INDEX(Movimientos!$M$2:$M$1994,MATCH(A456&amp;"ENTRADA",Movimientos!$R$2:$R$1994,0))=0,"S/D",INDEX(Movimientos!$M$2:$M$1994,MATCH(A456&amp;"ENTRADA",Movimientos!$R$2:$R$1994,0))),"S/D")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2732</v>
      </c>
      <c r="B457" s="2" t="str">
        <f>IFERROR(INDEX(Movimientos!$C$2:$C$1994,MATCH(A457&amp;"ENTRADA",Movimientos!$R$2:$R$1994,0)),"-")</f>
        <v>-</v>
      </c>
      <c r="C457" s="2" t="str">
        <f>IFERROR(INDEX(Movimientos!$D$2:$D$1994,MATCH(A457&amp;"ENTRADA",Movimientos!$R$2:$R$1994,0)),"-")</f>
        <v>-</v>
      </c>
      <c r="D457" s="2" t="str">
        <f>IFERROR(INDEX(Movimientos!$E$2:$E$1994,MATCH(A457&amp;"ENTRADA",Movimientos!$R$2:$R$1994,0)),"-")</f>
        <v>-</v>
      </c>
      <c r="E457" s="2" t="str">
        <f>IFERROR(INDEX(Movimientos!$F$2:$F$1994,MATCH(A457&amp;"ENTRADA",Movimientos!$R$2:$R$1994,0)),"-")</f>
        <v>-</v>
      </c>
      <c r="F457" s="2" t="str">
        <f>IFERROR(INDEX(Movimientos!$G$2:$G$1994,MATCH(A457&amp;"ENTRADA",Movimientos!$R$2:$R$1994,0)),"-")</f>
        <v>-</v>
      </c>
      <c r="G457" s="2" t="str">
        <f>IFERROR(INDEX(Movimientos!$L$2:$L$1994,MATCH(A457&amp;"ENTRADA",Movimientos!$R$2:$R$1994,0)),"-")</f>
        <v>-</v>
      </c>
      <c r="H457" s="17" t="str">
        <f>IFERROR(IF(INDEX(Movimientos!$M$2:$M$1994,MATCH(A457&amp;"ENTRADA",Movimientos!$R$2:$R$1994,0))=0,"S/D",INDEX(Movimientos!$M$2:$M$1994,MATCH(A457&amp;"ENTRADA",Movimientos!$R$2:$R$1994,0))),"S/D")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2733</v>
      </c>
      <c r="B458" s="2" t="str">
        <f>IFERROR(INDEX(Movimientos!$C$2:$C$1994,MATCH(A458&amp;"ENTRADA",Movimientos!$R$2:$R$1994,0)),"-")</f>
        <v>-</v>
      </c>
      <c r="C458" s="2" t="str">
        <f>IFERROR(INDEX(Movimientos!$D$2:$D$1994,MATCH(A458&amp;"ENTRADA",Movimientos!$R$2:$R$1994,0)),"-")</f>
        <v>-</v>
      </c>
      <c r="D458" s="2" t="str">
        <f>IFERROR(INDEX(Movimientos!$E$2:$E$1994,MATCH(A458&amp;"ENTRADA",Movimientos!$R$2:$R$1994,0)),"-")</f>
        <v>-</v>
      </c>
      <c r="E458" s="2" t="str">
        <f>IFERROR(INDEX(Movimientos!$F$2:$F$1994,MATCH(A458&amp;"ENTRADA",Movimientos!$R$2:$R$1994,0)),"-")</f>
        <v>-</v>
      </c>
      <c r="F458" s="2" t="str">
        <f>IFERROR(INDEX(Movimientos!$G$2:$G$1994,MATCH(A458&amp;"ENTRADA",Movimientos!$R$2:$R$1994,0)),"-")</f>
        <v>-</v>
      </c>
      <c r="G458" s="2" t="str">
        <f>IFERROR(INDEX(Movimientos!$L$2:$L$1994,MATCH(A458&amp;"ENTRADA",Movimientos!$R$2:$R$1994,0)),"-")</f>
        <v>-</v>
      </c>
      <c r="H458" s="17" t="str">
        <f>IFERROR(IF(INDEX(Movimientos!$M$2:$M$1994,MATCH(A458&amp;"ENTRADA",Movimientos!$R$2:$R$1994,0))=0,"S/D",INDEX(Movimientos!$M$2:$M$1994,MATCH(A458&amp;"ENTRADA",Movimientos!$R$2:$R$1994,0))),"S/D")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2734</v>
      </c>
      <c r="B459" s="2" t="str">
        <f>IFERROR(INDEX(Movimientos!$C$2:$C$1994,MATCH(A459&amp;"ENTRADA",Movimientos!$R$2:$R$1994,0)),"-")</f>
        <v>-</v>
      </c>
      <c r="C459" s="2" t="str">
        <f>IFERROR(INDEX(Movimientos!$D$2:$D$1994,MATCH(A459&amp;"ENTRADA",Movimientos!$R$2:$R$1994,0)),"-")</f>
        <v>-</v>
      </c>
      <c r="D459" s="2" t="str">
        <f>IFERROR(INDEX(Movimientos!$E$2:$E$1994,MATCH(A459&amp;"ENTRADA",Movimientos!$R$2:$R$1994,0)),"-")</f>
        <v>-</v>
      </c>
      <c r="E459" s="2" t="str">
        <f>IFERROR(INDEX(Movimientos!$F$2:$F$1994,MATCH(A459&amp;"ENTRADA",Movimientos!$R$2:$R$1994,0)),"-")</f>
        <v>-</v>
      </c>
      <c r="F459" s="2" t="str">
        <f>IFERROR(INDEX(Movimientos!$G$2:$G$1994,MATCH(A459&amp;"ENTRADA",Movimientos!$R$2:$R$1994,0)),"-")</f>
        <v>-</v>
      </c>
      <c r="G459" s="2" t="str">
        <f>IFERROR(INDEX(Movimientos!$L$2:$L$1994,MATCH(A459&amp;"ENTRADA",Movimientos!$R$2:$R$1994,0)),"-")</f>
        <v>-</v>
      </c>
      <c r="H459" s="17" t="str">
        <f>IFERROR(IF(INDEX(Movimientos!$M$2:$M$1994,MATCH(A459&amp;"ENTRADA",Movimientos!$R$2:$R$1994,0))=0,"S/D",INDEX(Movimientos!$M$2:$M$1994,MATCH(A459&amp;"ENTRADA",Movimientos!$R$2:$R$1994,0))),"S/D")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2735</v>
      </c>
      <c r="B460" s="2" t="str">
        <f>IFERROR(INDEX(Movimientos!$C$2:$C$1994,MATCH(A460&amp;"ENTRADA",Movimientos!$R$2:$R$1994,0)),"-")</f>
        <v>-</v>
      </c>
      <c r="C460" s="2" t="str">
        <f>IFERROR(INDEX(Movimientos!$D$2:$D$1994,MATCH(A460&amp;"ENTRADA",Movimientos!$R$2:$R$1994,0)),"-")</f>
        <v>-</v>
      </c>
      <c r="D460" s="2" t="str">
        <f>IFERROR(INDEX(Movimientos!$E$2:$E$1994,MATCH(A460&amp;"ENTRADA",Movimientos!$R$2:$R$1994,0)),"-")</f>
        <v>-</v>
      </c>
      <c r="E460" s="2" t="str">
        <f>IFERROR(INDEX(Movimientos!$F$2:$F$1994,MATCH(A460&amp;"ENTRADA",Movimientos!$R$2:$R$1994,0)),"-")</f>
        <v>-</v>
      </c>
      <c r="F460" s="2" t="str">
        <f>IFERROR(INDEX(Movimientos!$G$2:$G$1994,MATCH(A460&amp;"ENTRADA",Movimientos!$R$2:$R$1994,0)),"-")</f>
        <v>-</v>
      </c>
      <c r="G460" s="2" t="str">
        <f>IFERROR(INDEX(Movimientos!$L$2:$L$1994,MATCH(A460&amp;"ENTRADA",Movimientos!$R$2:$R$1994,0)),"-")</f>
        <v>-</v>
      </c>
      <c r="H460" s="17" t="str">
        <f>IFERROR(IF(INDEX(Movimientos!$M$2:$M$1994,MATCH(A460&amp;"ENTRADA",Movimientos!$R$2:$R$1994,0))=0,"S/D",INDEX(Movimientos!$M$2:$M$1994,MATCH(A460&amp;"ENTRADA",Movimientos!$R$2:$R$1994,0))),"S/D")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2736</v>
      </c>
      <c r="B461" s="2" t="str">
        <f>IFERROR(INDEX(Movimientos!$C$2:$C$1994,MATCH(A461&amp;"ENTRADA",Movimientos!$R$2:$R$1994,0)),"-")</f>
        <v>-</v>
      </c>
      <c r="C461" s="2" t="str">
        <f>IFERROR(INDEX(Movimientos!$D$2:$D$1994,MATCH(A461&amp;"ENTRADA",Movimientos!$R$2:$R$1994,0)),"-")</f>
        <v>-</v>
      </c>
      <c r="D461" s="2" t="str">
        <f>IFERROR(INDEX(Movimientos!$E$2:$E$1994,MATCH(A461&amp;"ENTRADA",Movimientos!$R$2:$R$1994,0)),"-")</f>
        <v>-</v>
      </c>
      <c r="E461" s="2" t="str">
        <f>IFERROR(INDEX(Movimientos!$F$2:$F$1994,MATCH(A461&amp;"ENTRADA",Movimientos!$R$2:$R$1994,0)),"-")</f>
        <v>-</v>
      </c>
      <c r="F461" s="2" t="str">
        <f>IFERROR(INDEX(Movimientos!$G$2:$G$1994,MATCH(A461&amp;"ENTRADA",Movimientos!$R$2:$R$1994,0)),"-")</f>
        <v>-</v>
      </c>
      <c r="G461" s="2" t="str">
        <f>IFERROR(INDEX(Movimientos!$L$2:$L$1994,MATCH(A461&amp;"ENTRADA",Movimientos!$R$2:$R$1994,0)),"-")</f>
        <v>-</v>
      </c>
      <c r="H461" s="17" t="str">
        <f>IFERROR(IF(INDEX(Movimientos!$M$2:$M$1994,MATCH(A461&amp;"ENTRADA",Movimientos!$R$2:$R$1994,0))=0,"S/D",INDEX(Movimientos!$M$2:$M$1994,MATCH(A461&amp;"ENTRADA",Movimientos!$R$2:$R$1994,0))),"S/D")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2737</v>
      </c>
      <c r="B462" s="2" t="str">
        <f>IFERROR(INDEX(Movimientos!$C$2:$C$1994,MATCH(A462&amp;"ENTRADA",Movimientos!$R$2:$R$1994,0)),"-")</f>
        <v>-</v>
      </c>
      <c r="C462" s="2" t="str">
        <f>IFERROR(INDEX(Movimientos!$D$2:$D$1994,MATCH(A462&amp;"ENTRADA",Movimientos!$R$2:$R$1994,0)),"-")</f>
        <v>-</v>
      </c>
      <c r="D462" s="2" t="str">
        <f>IFERROR(INDEX(Movimientos!$E$2:$E$1994,MATCH(A462&amp;"ENTRADA",Movimientos!$R$2:$R$1994,0)),"-")</f>
        <v>-</v>
      </c>
      <c r="E462" s="2" t="str">
        <f>IFERROR(INDEX(Movimientos!$F$2:$F$1994,MATCH(A462&amp;"ENTRADA",Movimientos!$R$2:$R$1994,0)),"-")</f>
        <v>-</v>
      </c>
      <c r="F462" s="2" t="str">
        <f>IFERROR(INDEX(Movimientos!$G$2:$G$1994,MATCH(A462&amp;"ENTRADA",Movimientos!$R$2:$R$1994,0)),"-")</f>
        <v>-</v>
      </c>
      <c r="G462" s="2" t="str">
        <f>IFERROR(INDEX(Movimientos!$L$2:$L$1994,MATCH(A462&amp;"ENTRADA",Movimientos!$R$2:$R$1994,0)),"-")</f>
        <v>-</v>
      </c>
      <c r="H462" s="17" t="str">
        <f>IFERROR(IF(INDEX(Movimientos!$M$2:$M$1994,MATCH(A462&amp;"ENTRADA",Movimientos!$R$2:$R$1994,0))=0,"S/D",INDEX(Movimientos!$M$2:$M$1994,MATCH(A462&amp;"ENTRADA",Movimientos!$R$2:$R$1994,0))),"S/D")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2738</v>
      </c>
      <c r="B463" s="2" t="str">
        <f>IFERROR(INDEX(Movimientos!$C$2:$C$1994,MATCH(A463&amp;"ENTRADA",Movimientos!$R$2:$R$1994,0)),"-")</f>
        <v>-</v>
      </c>
      <c r="C463" s="2" t="str">
        <f>IFERROR(INDEX(Movimientos!$D$2:$D$1994,MATCH(A463&amp;"ENTRADA",Movimientos!$R$2:$R$1994,0)),"-")</f>
        <v>-</v>
      </c>
      <c r="D463" s="2" t="str">
        <f>IFERROR(INDEX(Movimientos!$E$2:$E$1994,MATCH(A463&amp;"ENTRADA",Movimientos!$R$2:$R$1994,0)),"-")</f>
        <v>-</v>
      </c>
      <c r="E463" s="2" t="str">
        <f>IFERROR(INDEX(Movimientos!$F$2:$F$1994,MATCH(A463&amp;"ENTRADA",Movimientos!$R$2:$R$1994,0)),"-")</f>
        <v>-</v>
      </c>
      <c r="F463" s="2" t="str">
        <f>IFERROR(INDEX(Movimientos!$G$2:$G$1994,MATCH(A463&amp;"ENTRADA",Movimientos!$R$2:$R$1994,0)),"-")</f>
        <v>-</v>
      </c>
      <c r="G463" s="2" t="str">
        <f>IFERROR(INDEX(Movimientos!$L$2:$L$1994,MATCH(A463&amp;"ENTRADA",Movimientos!$R$2:$R$1994,0)),"-")</f>
        <v>-</v>
      </c>
      <c r="H463" s="17" t="str">
        <f>IFERROR(IF(INDEX(Movimientos!$M$2:$M$1994,MATCH(A463&amp;"ENTRADA",Movimientos!$R$2:$R$1994,0))=0,"S/D",INDEX(Movimientos!$M$2:$M$1994,MATCH(A463&amp;"ENTRADA",Movimientos!$R$2:$R$1994,0))),"S/D")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2739</v>
      </c>
      <c r="B464" s="2" t="str">
        <f>IFERROR(INDEX(Movimientos!$C$2:$C$1994,MATCH(A464&amp;"ENTRADA",Movimientos!$R$2:$R$1994,0)),"-")</f>
        <v>-</v>
      </c>
      <c r="C464" s="2" t="str">
        <f>IFERROR(INDEX(Movimientos!$D$2:$D$1994,MATCH(A464&amp;"ENTRADA",Movimientos!$R$2:$R$1994,0)),"-")</f>
        <v>-</v>
      </c>
      <c r="D464" s="2" t="str">
        <f>IFERROR(INDEX(Movimientos!$E$2:$E$1994,MATCH(A464&amp;"ENTRADA",Movimientos!$R$2:$R$1994,0)),"-")</f>
        <v>-</v>
      </c>
      <c r="E464" s="2" t="str">
        <f>IFERROR(INDEX(Movimientos!$F$2:$F$1994,MATCH(A464&amp;"ENTRADA",Movimientos!$R$2:$R$1994,0)),"-")</f>
        <v>-</v>
      </c>
      <c r="F464" s="2" t="str">
        <f>IFERROR(INDEX(Movimientos!$G$2:$G$1994,MATCH(A464&amp;"ENTRADA",Movimientos!$R$2:$R$1994,0)),"-")</f>
        <v>-</v>
      </c>
      <c r="G464" s="2" t="str">
        <f>IFERROR(INDEX(Movimientos!$L$2:$L$1994,MATCH(A464&amp;"ENTRADA",Movimientos!$R$2:$R$1994,0)),"-")</f>
        <v>-</v>
      </c>
      <c r="H464" s="17" t="str">
        <f>IFERROR(IF(INDEX(Movimientos!$M$2:$M$1994,MATCH(A464&amp;"ENTRADA",Movimientos!$R$2:$R$1994,0))=0,"S/D",INDEX(Movimientos!$M$2:$M$1994,MATCH(A464&amp;"ENTRADA",Movimientos!$R$2:$R$1994,0))),"S/D")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2740</v>
      </c>
      <c r="B465" s="2" t="str">
        <f>IFERROR(INDEX(Movimientos!$C$2:$C$1994,MATCH(A465&amp;"ENTRADA",Movimientos!$R$2:$R$1994,0)),"-")</f>
        <v>-</v>
      </c>
      <c r="C465" s="2" t="str">
        <f>IFERROR(INDEX(Movimientos!$D$2:$D$1994,MATCH(A465&amp;"ENTRADA",Movimientos!$R$2:$R$1994,0)),"-")</f>
        <v>-</v>
      </c>
      <c r="D465" s="2" t="str">
        <f>IFERROR(INDEX(Movimientos!$E$2:$E$1994,MATCH(A465&amp;"ENTRADA",Movimientos!$R$2:$R$1994,0)),"-")</f>
        <v>-</v>
      </c>
      <c r="E465" s="2" t="str">
        <f>IFERROR(INDEX(Movimientos!$F$2:$F$1994,MATCH(A465&amp;"ENTRADA",Movimientos!$R$2:$R$1994,0)),"-")</f>
        <v>-</v>
      </c>
      <c r="F465" s="2" t="str">
        <f>IFERROR(INDEX(Movimientos!$G$2:$G$1994,MATCH(A465&amp;"ENTRADA",Movimientos!$R$2:$R$1994,0)),"-")</f>
        <v>-</v>
      </c>
      <c r="G465" s="2" t="str">
        <f>IFERROR(INDEX(Movimientos!$L$2:$L$1994,MATCH(A465&amp;"ENTRADA",Movimientos!$R$2:$R$1994,0)),"-")</f>
        <v>-</v>
      </c>
      <c r="H465" s="17" t="str">
        <f>IFERROR(IF(INDEX(Movimientos!$M$2:$M$1994,MATCH(A465&amp;"ENTRADA",Movimientos!$R$2:$R$1994,0))=0,"S/D",INDEX(Movimientos!$M$2:$M$1994,MATCH(A465&amp;"ENTRADA",Movimientos!$R$2:$R$1994,0))),"S/D")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2741</v>
      </c>
      <c r="B466" s="2" t="str">
        <f>IFERROR(INDEX(Movimientos!$C$2:$C$1994,MATCH(A466&amp;"ENTRADA",Movimientos!$R$2:$R$1994,0)),"-")</f>
        <v>-</v>
      </c>
      <c r="C466" s="2" t="str">
        <f>IFERROR(INDEX(Movimientos!$D$2:$D$1994,MATCH(A466&amp;"ENTRADA",Movimientos!$R$2:$R$1994,0)),"-")</f>
        <v>-</v>
      </c>
      <c r="D466" s="2" t="str">
        <f>IFERROR(INDEX(Movimientos!$E$2:$E$1994,MATCH(A466&amp;"ENTRADA",Movimientos!$R$2:$R$1994,0)),"-")</f>
        <v>-</v>
      </c>
      <c r="E466" s="2" t="str">
        <f>IFERROR(INDEX(Movimientos!$F$2:$F$1994,MATCH(A466&amp;"ENTRADA",Movimientos!$R$2:$R$1994,0)),"-")</f>
        <v>-</v>
      </c>
      <c r="F466" s="2" t="str">
        <f>IFERROR(INDEX(Movimientos!$G$2:$G$1994,MATCH(A466&amp;"ENTRADA",Movimientos!$R$2:$R$1994,0)),"-")</f>
        <v>-</v>
      </c>
      <c r="G466" s="2" t="str">
        <f>IFERROR(INDEX(Movimientos!$L$2:$L$1994,MATCH(A466&amp;"ENTRADA",Movimientos!$R$2:$R$1994,0)),"-")</f>
        <v>-</v>
      </c>
      <c r="H466" s="17" t="str">
        <f>IFERROR(IF(INDEX(Movimientos!$M$2:$M$1994,MATCH(A466&amp;"ENTRADA",Movimientos!$R$2:$R$1994,0))=0,"S/D",INDEX(Movimientos!$M$2:$M$1994,MATCH(A466&amp;"ENTRADA",Movimientos!$R$2:$R$1994,0))),"S/D")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2742</v>
      </c>
      <c r="B467" s="2" t="str">
        <f>IFERROR(INDEX(Movimientos!$C$2:$C$1994,MATCH(A467&amp;"ENTRADA",Movimientos!$R$2:$R$1994,0)),"-")</f>
        <v>-</v>
      </c>
      <c r="C467" s="2" t="str">
        <f>IFERROR(INDEX(Movimientos!$D$2:$D$1994,MATCH(A467&amp;"ENTRADA",Movimientos!$R$2:$R$1994,0)),"-")</f>
        <v>-</v>
      </c>
      <c r="D467" s="2" t="str">
        <f>IFERROR(INDEX(Movimientos!$E$2:$E$1994,MATCH(A467&amp;"ENTRADA",Movimientos!$R$2:$R$1994,0)),"-")</f>
        <v>-</v>
      </c>
      <c r="E467" s="2" t="str">
        <f>IFERROR(INDEX(Movimientos!$F$2:$F$1994,MATCH(A467&amp;"ENTRADA",Movimientos!$R$2:$R$1994,0)),"-")</f>
        <v>-</v>
      </c>
      <c r="F467" s="2" t="str">
        <f>IFERROR(INDEX(Movimientos!$G$2:$G$1994,MATCH(A467&amp;"ENTRADA",Movimientos!$R$2:$R$1994,0)),"-")</f>
        <v>-</v>
      </c>
      <c r="G467" s="2" t="str">
        <f>IFERROR(INDEX(Movimientos!$L$2:$L$1994,MATCH(A467&amp;"ENTRADA",Movimientos!$R$2:$R$1994,0)),"-")</f>
        <v>-</v>
      </c>
      <c r="H467" s="17" t="str">
        <f>IFERROR(IF(INDEX(Movimientos!$M$2:$M$1994,MATCH(A467&amp;"ENTRADA",Movimientos!$R$2:$R$1994,0))=0,"S/D",INDEX(Movimientos!$M$2:$M$1994,MATCH(A467&amp;"ENTRADA",Movimientos!$R$2:$R$1994,0))),"S/D")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2743</v>
      </c>
      <c r="B468" s="2" t="str">
        <f>IFERROR(INDEX(Movimientos!$C$2:$C$1994,MATCH(A468&amp;"ENTRADA",Movimientos!$R$2:$R$1994,0)),"-")</f>
        <v>-</v>
      </c>
      <c r="C468" s="2" t="str">
        <f>IFERROR(INDEX(Movimientos!$D$2:$D$1994,MATCH(A468&amp;"ENTRADA",Movimientos!$R$2:$R$1994,0)),"-")</f>
        <v>-</v>
      </c>
      <c r="D468" s="2" t="str">
        <f>IFERROR(INDEX(Movimientos!$E$2:$E$1994,MATCH(A468&amp;"ENTRADA",Movimientos!$R$2:$R$1994,0)),"-")</f>
        <v>-</v>
      </c>
      <c r="E468" s="2" t="str">
        <f>IFERROR(INDEX(Movimientos!$F$2:$F$1994,MATCH(A468&amp;"ENTRADA",Movimientos!$R$2:$R$1994,0)),"-")</f>
        <v>-</v>
      </c>
      <c r="F468" s="2" t="str">
        <f>IFERROR(INDEX(Movimientos!$G$2:$G$1994,MATCH(A468&amp;"ENTRADA",Movimientos!$R$2:$R$1994,0)),"-")</f>
        <v>-</v>
      </c>
      <c r="G468" s="2" t="str">
        <f>IFERROR(INDEX(Movimientos!$L$2:$L$1994,MATCH(A468&amp;"ENTRADA",Movimientos!$R$2:$R$1994,0)),"-")</f>
        <v>-</v>
      </c>
      <c r="H468" s="17" t="str">
        <f>IFERROR(IF(INDEX(Movimientos!$M$2:$M$1994,MATCH(A468&amp;"ENTRADA",Movimientos!$R$2:$R$1994,0))=0,"S/D",INDEX(Movimientos!$M$2:$M$1994,MATCH(A468&amp;"ENTRADA",Movimientos!$R$2:$R$1994,0))),"S/D")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2744</v>
      </c>
      <c r="B469" s="2" t="str">
        <f>IFERROR(INDEX(Movimientos!$C$2:$C$1994,MATCH(A469&amp;"ENTRADA",Movimientos!$R$2:$R$1994,0)),"-")</f>
        <v>-</v>
      </c>
      <c r="C469" s="2" t="str">
        <f>IFERROR(INDEX(Movimientos!$D$2:$D$1994,MATCH(A469&amp;"ENTRADA",Movimientos!$R$2:$R$1994,0)),"-")</f>
        <v>-</v>
      </c>
      <c r="D469" s="2" t="str">
        <f>IFERROR(INDEX(Movimientos!$E$2:$E$1994,MATCH(A469&amp;"ENTRADA",Movimientos!$R$2:$R$1994,0)),"-")</f>
        <v>-</v>
      </c>
      <c r="E469" s="2" t="str">
        <f>IFERROR(INDEX(Movimientos!$F$2:$F$1994,MATCH(A469&amp;"ENTRADA",Movimientos!$R$2:$R$1994,0)),"-")</f>
        <v>-</v>
      </c>
      <c r="F469" s="2" t="str">
        <f>IFERROR(INDEX(Movimientos!$G$2:$G$1994,MATCH(A469&amp;"ENTRADA",Movimientos!$R$2:$R$1994,0)),"-")</f>
        <v>-</v>
      </c>
      <c r="G469" s="2" t="str">
        <f>IFERROR(INDEX(Movimientos!$L$2:$L$1994,MATCH(A469&amp;"ENTRADA",Movimientos!$R$2:$R$1994,0)),"-")</f>
        <v>-</v>
      </c>
      <c r="H469" s="17" t="str">
        <f>IFERROR(IF(INDEX(Movimientos!$M$2:$M$1994,MATCH(A469&amp;"ENTRADA",Movimientos!$R$2:$R$1994,0))=0,"S/D",INDEX(Movimientos!$M$2:$M$1994,MATCH(A469&amp;"ENTRADA",Movimientos!$R$2:$R$1994,0))),"S/D")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2745</v>
      </c>
      <c r="B470" s="2" t="str">
        <f>IFERROR(INDEX(Movimientos!$C$2:$C$1994,MATCH(A470&amp;"ENTRADA",Movimientos!$R$2:$R$1994,0)),"-")</f>
        <v>-</v>
      </c>
      <c r="C470" s="2" t="str">
        <f>IFERROR(INDEX(Movimientos!$D$2:$D$1994,MATCH(A470&amp;"ENTRADA",Movimientos!$R$2:$R$1994,0)),"-")</f>
        <v>-</v>
      </c>
      <c r="D470" s="2" t="str">
        <f>IFERROR(INDEX(Movimientos!$E$2:$E$1994,MATCH(A470&amp;"ENTRADA",Movimientos!$R$2:$R$1994,0)),"-")</f>
        <v>-</v>
      </c>
      <c r="E470" s="2" t="str">
        <f>IFERROR(INDEX(Movimientos!$F$2:$F$1994,MATCH(A470&amp;"ENTRADA",Movimientos!$R$2:$R$1994,0)),"-")</f>
        <v>-</v>
      </c>
      <c r="F470" s="2" t="str">
        <f>IFERROR(INDEX(Movimientos!$G$2:$G$1994,MATCH(A470&amp;"ENTRADA",Movimientos!$R$2:$R$1994,0)),"-")</f>
        <v>-</v>
      </c>
      <c r="G470" s="2" t="str">
        <f>IFERROR(INDEX(Movimientos!$L$2:$L$1994,MATCH(A470&amp;"ENTRADA",Movimientos!$R$2:$R$1994,0)),"-")</f>
        <v>-</v>
      </c>
      <c r="H470" s="17" t="str">
        <f>IFERROR(IF(INDEX(Movimientos!$M$2:$M$1994,MATCH(A470&amp;"ENTRADA",Movimientos!$R$2:$R$1994,0))=0,"S/D",INDEX(Movimientos!$M$2:$M$1994,MATCH(A470&amp;"ENTRADA",Movimientos!$R$2:$R$1994,0))),"S/D")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2746</v>
      </c>
      <c r="B471" s="2" t="str">
        <f>IFERROR(INDEX(Movimientos!$C$2:$C$1994,MATCH(A471&amp;"ENTRADA",Movimientos!$R$2:$R$1994,0)),"-")</f>
        <v>-</v>
      </c>
      <c r="C471" s="2" t="str">
        <f>IFERROR(INDEX(Movimientos!$D$2:$D$1994,MATCH(A471&amp;"ENTRADA",Movimientos!$R$2:$R$1994,0)),"-")</f>
        <v>-</v>
      </c>
      <c r="D471" s="2" t="str">
        <f>IFERROR(INDEX(Movimientos!$E$2:$E$1994,MATCH(A471&amp;"ENTRADA",Movimientos!$R$2:$R$1994,0)),"-")</f>
        <v>-</v>
      </c>
      <c r="E471" s="2" t="str">
        <f>IFERROR(INDEX(Movimientos!$F$2:$F$1994,MATCH(A471&amp;"ENTRADA",Movimientos!$R$2:$R$1994,0)),"-")</f>
        <v>-</v>
      </c>
      <c r="F471" s="2" t="str">
        <f>IFERROR(INDEX(Movimientos!$G$2:$G$1994,MATCH(A471&amp;"ENTRADA",Movimientos!$R$2:$R$1994,0)),"-")</f>
        <v>-</v>
      </c>
      <c r="G471" s="2" t="str">
        <f>IFERROR(INDEX(Movimientos!$L$2:$L$1994,MATCH(A471&amp;"ENTRADA",Movimientos!$R$2:$R$1994,0)),"-")</f>
        <v>-</v>
      </c>
      <c r="H471" s="17" t="str">
        <f>IFERROR(IF(INDEX(Movimientos!$M$2:$M$1994,MATCH(A471&amp;"ENTRADA",Movimientos!$R$2:$R$1994,0))=0,"S/D",INDEX(Movimientos!$M$2:$M$1994,MATCH(A471&amp;"ENTRADA",Movimientos!$R$2:$R$1994,0))),"S/D")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2747</v>
      </c>
      <c r="B472" s="2" t="str">
        <f>IFERROR(INDEX(Movimientos!$C$2:$C$1994,MATCH(A472&amp;"ENTRADA",Movimientos!$R$2:$R$1994,0)),"-")</f>
        <v>-</v>
      </c>
      <c r="C472" s="2" t="str">
        <f>IFERROR(INDEX(Movimientos!$D$2:$D$1994,MATCH(A472&amp;"ENTRADA",Movimientos!$R$2:$R$1994,0)),"-")</f>
        <v>-</v>
      </c>
      <c r="D472" s="2" t="str">
        <f>IFERROR(INDEX(Movimientos!$E$2:$E$1994,MATCH(A472&amp;"ENTRADA",Movimientos!$R$2:$R$1994,0)),"-")</f>
        <v>-</v>
      </c>
      <c r="E472" s="2" t="str">
        <f>IFERROR(INDEX(Movimientos!$F$2:$F$1994,MATCH(A472&amp;"ENTRADA",Movimientos!$R$2:$R$1994,0)),"-")</f>
        <v>-</v>
      </c>
      <c r="F472" s="2" t="str">
        <f>IFERROR(INDEX(Movimientos!$G$2:$G$1994,MATCH(A472&amp;"ENTRADA",Movimientos!$R$2:$R$1994,0)),"-")</f>
        <v>-</v>
      </c>
      <c r="G472" s="2" t="str">
        <f>IFERROR(INDEX(Movimientos!$L$2:$L$1994,MATCH(A472&amp;"ENTRADA",Movimientos!$R$2:$R$1994,0)),"-")</f>
        <v>-</v>
      </c>
      <c r="H472" s="17" t="str">
        <f>IFERROR(IF(INDEX(Movimientos!$M$2:$M$1994,MATCH(A472&amp;"ENTRADA",Movimientos!$R$2:$R$1994,0))=0,"S/D",INDEX(Movimientos!$M$2:$M$1994,MATCH(A472&amp;"ENTRADA",Movimientos!$R$2:$R$1994,0))),"S/D")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2748</v>
      </c>
      <c r="B473" s="2" t="str">
        <f>IFERROR(INDEX(Movimientos!$C$2:$C$1994,MATCH(A473&amp;"ENTRADA",Movimientos!$R$2:$R$1994,0)),"-")</f>
        <v>-</v>
      </c>
      <c r="C473" s="2" t="str">
        <f>IFERROR(INDEX(Movimientos!$D$2:$D$1994,MATCH(A473&amp;"ENTRADA",Movimientos!$R$2:$R$1994,0)),"-")</f>
        <v>-</v>
      </c>
      <c r="D473" s="2" t="str">
        <f>IFERROR(INDEX(Movimientos!$E$2:$E$1994,MATCH(A473&amp;"ENTRADA",Movimientos!$R$2:$R$1994,0)),"-")</f>
        <v>-</v>
      </c>
      <c r="E473" s="2" t="str">
        <f>IFERROR(INDEX(Movimientos!$F$2:$F$1994,MATCH(A473&amp;"ENTRADA",Movimientos!$R$2:$R$1994,0)),"-")</f>
        <v>-</v>
      </c>
      <c r="F473" s="2" t="str">
        <f>IFERROR(INDEX(Movimientos!$G$2:$G$1994,MATCH(A473&amp;"ENTRADA",Movimientos!$R$2:$R$1994,0)),"-")</f>
        <v>-</v>
      </c>
      <c r="G473" s="2" t="str">
        <f>IFERROR(INDEX(Movimientos!$L$2:$L$1994,MATCH(A473&amp;"ENTRADA",Movimientos!$R$2:$R$1994,0)),"-")</f>
        <v>-</v>
      </c>
      <c r="H473" s="17" t="str">
        <f>IFERROR(IF(INDEX(Movimientos!$M$2:$M$1994,MATCH(A473&amp;"ENTRADA",Movimientos!$R$2:$R$1994,0))=0,"S/D",INDEX(Movimientos!$M$2:$M$1994,MATCH(A473&amp;"ENTRADA",Movimientos!$R$2:$R$1994,0))),"S/D")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2749</v>
      </c>
      <c r="B474" s="2" t="str">
        <f>IFERROR(INDEX(Movimientos!$C$2:$C$1994,MATCH(A474&amp;"ENTRADA",Movimientos!$R$2:$R$1994,0)),"-")</f>
        <v>-</v>
      </c>
      <c r="C474" s="2" t="str">
        <f>IFERROR(INDEX(Movimientos!$D$2:$D$1994,MATCH(A474&amp;"ENTRADA",Movimientos!$R$2:$R$1994,0)),"-")</f>
        <v>-</v>
      </c>
      <c r="D474" s="2" t="str">
        <f>IFERROR(INDEX(Movimientos!$E$2:$E$1994,MATCH(A474&amp;"ENTRADA",Movimientos!$R$2:$R$1994,0)),"-")</f>
        <v>-</v>
      </c>
      <c r="E474" s="2" t="str">
        <f>IFERROR(INDEX(Movimientos!$F$2:$F$1994,MATCH(A474&amp;"ENTRADA",Movimientos!$R$2:$R$1994,0)),"-")</f>
        <v>-</v>
      </c>
      <c r="F474" s="2" t="str">
        <f>IFERROR(INDEX(Movimientos!$G$2:$G$1994,MATCH(A474&amp;"ENTRADA",Movimientos!$R$2:$R$1994,0)),"-")</f>
        <v>-</v>
      </c>
      <c r="G474" s="2" t="str">
        <f>IFERROR(INDEX(Movimientos!$L$2:$L$1994,MATCH(A474&amp;"ENTRADA",Movimientos!$R$2:$R$1994,0)),"-")</f>
        <v>-</v>
      </c>
      <c r="H474" s="17" t="str">
        <f>IFERROR(IF(INDEX(Movimientos!$M$2:$M$1994,MATCH(A474&amp;"ENTRADA",Movimientos!$R$2:$R$1994,0))=0,"S/D",INDEX(Movimientos!$M$2:$M$1994,MATCH(A474&amp;"ENTRADA",Movimientos!$R$2:$R$1994,0))),"S/D")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2750</v>
      </c>
      <c r="B475" s="2" t="str">
        <f>IFERROR(INDEX(Movimientos!$C$2:$C$1994,MATCH(A475&amp;"ENTRADA",Movimientos!$R$2:$R$1994,0)),"-")</f>
        <v>-</v>
      </c>
      <c r="C475" s="2" t="str">
        <f>IFERROR(INDEX(Movimientos!$D$2:$D$1994,MATCH(A475&amp;"ENTRADA",Movimientos!$R$2:$R$1994,0)),"-")</f>
        <v>-</v>
      </c>
      <c r="D475" s="2" t="str">
        <f>IFERROR(INDEX(Movimientos!$E$2:$E$1994,MATCH(A475&amp;"ENTRADA",Movimientos!$R$2:$R$1994,0)),"-")</f>
        <v>-</v>
      </c>
      <c r="E475" s="2" t="str">
        <f>IFERROR(INDEX(Movimientos!$F$2:$F$1994,MATCH(A475&amp;"ENTRADA",Movimientos!$R$2:$R$1994,0)),"-")</f>
        <v>-</v>
      </c>
      <c r="F475" s="2" t="str">
        <f>IFERROR(INDEX(Movimientos!$G$2:$G$1994,MATCH(A475&amp;"ENTRADA",Movimientos!$R$2:$R$1994,0)),"-")</f>
        <v>-</v>
      </c>
      <c r="G475" s="2" t="str">
        <f>IFERROR(INDEX(Movimientos!$L$2:$L$1994,MATCH(A475&amp;"ENTRADA",Movimientos!$R$2:$R$1994,0)),"-")</f>
        <v>-</v>
      </c>
      <c r="H475" s="17" t="str">
        <f>IFERROR(IF(INDEX(Movimientos!$M$2:$M$1994,MATCH(A475&amp;"ENTRADA",Movimientos!$R$2:$R$1994,0))=0,"S/D",INDEX(Movimientos!$M$2:$M$1994,MATCH(A475&amp;"ENTRADA",Movimientos!$R$2:$R$1994,0))),"S/D")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2751</v>
      </c>
      <c r="B476" s="2" t="str">
        <f>IFERROR(INDEX(Movimientos!$C$2:$C$1994,MATCH(A476&amp;"ENTRADA",Movimientos!$R$2:$R$1994,0)),"-")</f>
        <v>-</v>
      </c>
      <c r="C476" s="2" t="str">
        <f>IFERROR(INDEX(Movimientos!$D$2:$D$1994,MATCH(A476&amp;"ENTRADA",Movimientos!$R$2:$R$1994,0)),"-")</f>
        <v>-</v>
      </c>
      <c r="D476" s="2" t="str">
        <f>IFERROR(INDEX(Movimientos!$E$2:$E$1994,MATCH(A476&amp;"ENTRADA",Movimientos!$R$2:$R$1994,0)),"-")</f>
        <v>-</v>
      </c>
      <c r="E476" s="2" t="str">
        <f>IFERROR(INDEX(Movimientos!$F$2:$F$1994,MATCH(A476&amp;"ENTRADA",Movimientos!$R$2:$R$1994,0)),"-")</f>
        <v>-</v>
      </c>
      <c r="F476" s="2" t="str">
        <f>IFERROR(INDEX(Movimientos!$G$2:$G$1994,MATCH(A476&amp;"ENTRADA",Movimientos!$R$2:$R$1994,0)),"-")</f>
        <v>-</v>
      </c>
      <c r="G476" s="2" t="str">
        <f>IFERROR(INDEX(Movimientos!$L$2:$L$1994,MATCH(A476&amp;"ENTRADA",Movimientos!$R$2:$R$1994,0)),"-")</f>
        <v>-</v>
      </c>
      <c r="H476" s="17" t="str">
        <f>IFERROR(IF(INDEX(Movimientos!$M$2:$M$1994,MATCH(A476&amp;"ENTRADA",Movimientos!$R$2:$R$1994,0))=0,"S/D",INDEX(Movimientos!$M$2:$M$1994,MATCH(A476&amp;"ENTRADA",Movimientos!$R$2:$R$1994,0))),"S/D")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2752</v>
      </c>
      <c r="B477" s="2" t="str">
        <f>IFERROR(INDEX(Movimientos!$C$2:$C$1994,MATCH(A477&amp;"ENTRADA",Movimientos!$R$2:$R$1994,0)),"-")</f>
        <v>-</v>
      </c>
      <c r="C477" s="2" t="str">
        <f>IFERROR(INDEX(Movimientos!$D$2:$D$1994,MATCH(A477&amp;"ENTRADA",Movimientos!$R$2:$R$1994,0)),"-")</f>
        <v>-</v>
      </c>
      <c r="D477" s="2" t="str">
        <f>IFERROR(INDEX(Movimientos!$E$2:$E$1994,MATCH(A477&amp;"ENTRADA",Movimientos!$R$2:$R$1994,0)),"-")</f>
        <v>-</v>
      </c>
      <c r="E477" s="2" t="str">
        <f>IFERROR(INDEX(Movimientos!$F$2:$F$1994,MATCH(A477&amp;"ENTRADA",Movimientos!$R$2:$R$1994,0)),"-")</f>
        <v>-</v>
      </c>
      <c r="F477" s="2" t="str">
        <f>IFERROR(INDEX(Movimientos!$G$2:$G$1994,MATCH(A477&amp;"ENTRADA",Movimientos!$R$2:$R$1994,0)),"-")</f>
        <v>-</v>
      </c>
      <c r="G477" s="2" t="str">
        <f>IFERROR(INDEX(Movimientos!$L$2:$L$1994,MATCH(A477&amp;"ENTRADA",Movimientos!$R$2:$R$1994,0)),"-")</f>
        <v>-</v>
      </c>
      <c r="H477" s="17" t="str">
        <f>IFERROR(IF(INDEX(Movimientos!$M$2:$M$1994,MATCH(A477&amp;"ENTRADA",Movimientos!$R$2:$R$1994,0))=0,"S/D",INDEX(Movimientos!$M$2:$M$1994,MATCH(A477&amp;"ENTRADA",Movimientos!$R$2:$R$1994,0))),"S/D")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2753</v>
      </c>
      <c r="B478" s="2" t="str">
        <f>IFERROR(INDEX(Movimientos!$C$2:$C$1994,MATCH(A478&amp;"ENTRADA",Movimientos!$R$2:$R$1994,0)),"-")</f>
        <v>-</v>
      </c>
      <c r="C478" s="2" t="str">
        <f>IFERROR(INDEX(Movimientos!$D$2:$D$1994,MATCH(A478&amp;"ENTRADA",Movimientos!$R$2:$R$1994,0)),"-")</f>
        <v>-</v>
      </c>
      <c r="D478" s="2" t="str">
        <f>IFERROR(INDEX(Movimientos!$E$2:$E$1994,MATCH(A478&amp;"ENTRADA",Movimientos!$R$2:$R$1994,0)),"-")</f>
        <v>-</v>
      </c>
      <c r="E478" s="2" t="str">
        <f>IFERROR(INDEX(Movimientos!$F$2:$F$1994,MATCH(A478&amp;"ENTRADA",Movimientos!$R$2:$R$1994,0)),"-")</f>
        <v>-</v>
      </c>
      <c r="F478" s="2" t="str">
        <f>IFERROR(INDEX(Movimientos!$G$2:$G$1994,MATCH(A478&amp;"ENTRADA",Movimientos!$R$2:$R$1994,0)),"-")</f>
        <v>-</v>
      </c>
      <c r="G478" s="2" t="str">
        <f>IFERROR(INDEX(Movimientos!$L$2:$L$1994,MATCH(A478&amp;"ENTRADA",Movimientos!$R$2:$R$1994,0)),"-")</f>
        <v>-</v>
      </c>
      <c r="H478" s="17" t="str">
        <f>IFERROR(IF(INDEX(Movimientos!$M$2:$M$1994,MATCH(A478&amp;"ENTRADA",Movimientos!$R$2:$R$1994,0))=0,"S/D",INDEX(Movimientos!$M$2:$M$1994,MATCH(A478&amp;"ENTRADA",Movimientos!$R$2:$R$1994,0))),"S/D")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2754</v>
      </c>
      <c r="B479" s="2" t="str">
        <f>IFERROR(INDEX(Movimientos!$C$2:$C$1994,MATCH(A479&amp;"ENTRADA",Movimientos!$R$2:$R$1994,0)),"-")</f>
        <v>-</v>
      </c>
      <c r="C479" s="2" t="str">
        <f>IFERROR(INDEX(Movimientos!$D$2:$D$1994,MATCH(A479&amp;"ENTRADA",Movimientos!$R$2:$R$1994,0)),"-")</f>
        <v>-</v>
      </c>
      <c r="D479" s="2" t="str">
        <f>IFERROR(INDEX(Movimientos!$E$2:$E$1994,MATCH(A479&amp;"ENTRADA",Movimientos!$R$2:$R$1994,0)),"-")</f>
        <v>-</v>
      </c>
      <c r="E479" s="2" t="str">
        <f>IFERROR(INDEX(Movimientos!$F$2:$F$1994,MATCH(A479&amp;"ENTRADA",Movimientos!$R$2:$R$1994,0)),"-")</f>
        <v>-</v>
      </c>
      <c r="F479" s="2" t="str">
        <f>IFERROR(INDEX(Movimientos!$G$2:$G$1994,MATCH(A479&amp;"ENTRADA",Movimientos!$R$2:$R$1994,0)),"-")</f>
        <v>-</v>
      </c>
      <c r="G479" s="2" t="str">
        <f>IFERROR(INDEX(Movimientos!$L$2:$L$1994,MATCH(A479&amp;"ENTRADA",Movimientos!$R$2:$R$1994,0)),"-")</f>
        <v>-</v>
      </c>
      <c r="H479" s="17" t="str">
        <f>IFERROR(IF(INDEX(Movimientos!$M$2:$M$1994,MATCH(A479&amp;"ENTRADA",Movimientos!$R$2:$R$1994,0))=0,"S/D",INDEX(Movimientos!$M$2:$M$1994,MATCH(A479&amp;"ENTRADA",Movimientos!$R$2:$R$1994,0))),"S/D")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2755</v>
      </c>
      <c r="B480" s="2" t="str">
        <f>IFERROR(INDEX(Movimientos!$C$2:$C$1994,MATCH(A480&amp;"ENTRADA",Movimientos!$R$2:$R$1994,0)),"-")</f>
        <v>-</v>
      </c>
      <c r="C480" s="2" t="str">
        <f>IFERROR(INDEX(Movimientos!$D$2:$D$1994,MATCH(A480&amp;"ENTRADA",Movimientos!$R$2:$R$1994,0)),"-")</f>
        <v>-</v>
      </c>
      <c r="D480" s="2" t="str">
        <f>IFERROR(INDEX(Movimientos!$E$2:$E$1994,MATCH(A480&amp;"ENTRADA",Movimientos!$R$2:$R$1994,0)),"-")</f>
        <v>-</v>
      </c>
      <c r="E480" s="2" t="str">
        <f>IFERROR(INDEX(Movimientos!$F$2:$F$1994,MATCH(A480&amp;"ENTRADA",Movimientos!$R$2:$R$1994,0)),"-")</f>
        <v>-</v>
      </c>
      <c r="F480" s="2" t="str">
        <f>IFERROR(INDEX(Movimientos!$G$2:$G$1994,MATCH(A480&amp;"ENTRADA",Movimientos!$R$2:$R$1994,0)),"-")</f>
        <v>-</v>
      </c>
      <c r="G480" s="2" t="str">
        <f>IFERROR(INDEX(Movimientos!$L$2:$L$1994,MATCH(A480&amp;"ENTRADA",Movimientos!$R$2:$R$1994,0)),"-")</f>
        <v>-</v>
      </c>
      <c r="H480" s="17" t="str">
        <f>IFERROR(IF(INDEX(Movimientos!$M$2:$M$1994,MATCH(A480&amp;"ENTRADA",Movimientos!$R$2:$R$1994,0))=0,"S/D",INDEX(Movimientos!$M$2:$M$1994,MATCH(A480&amp;"ENTRADA",Movimientos!$R$2:$R$1994,0))),"S/D")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2756</v>
      </c>
      <c r="B481" s="2" t="str">
        <f>IFERROR(INDEX(Movimientos!$C$2:$C$1994,MATCH(A481&amp;"ENTRADA",Movimientos!$R$2:$R$1994,0)),"-")</f>
        <v>-</v>
      </c>
      <c r="C481" s="2" t="str">
        <f>IFERROR(INDEX(Movimientos!$D$2:$D$1994,MATCH(A481&amp;"ENTRADA",Movimientos!$R$2:$R$1994,0)),"-")</f>
        <v>-</v>
      </c>
      <c r="D481" s="2" t="str">
        <f>IFERROR(INDEX(Movimientos!$E$2:$E$1994,MATCH(A481&amp;"ENTRADA",Movimientos!$R$2:$R$1994,0)),"-")</f>
        <v>-</v>
      </c>
      <c r="E481" s="2" t="str">
        <f>IFERROR(INDEX(Movimientos!$F$2:$F$1994,MATCH(A481&amp;"ENTRADA",Movimientos!$R$2:$R$1994,0)),"-")</f>
        <v>-</v>
      </c>
      <c r="F481" s="2" t="str">
        <f>IFERROR(INDEX(Movimientos!$G$2:$G$1994,MATCH(A481&amp;"ENTRADA",Movimientos!$R$2:$R$1994,0)),"-")</f>
        <v>-</v>
      </c>
      <c r="G481" s="2" t="str">
        <f>IFERROR(INDEX(Movimientos!$L$2:$L$1994,MATCH(A481&amp;"ENTRADA",Movimientos!$R$2:$R$1994,0)),"-")</f>
        <v>-</v>
      </c>
      <c r="H481" s="17" t="str">
        <f>IFERROR(IF(INDEX(Movimientos!$M$2:$M$1994,MATCH(A481&amp;"ENTRADA",Movimientos!$R$2:$R$1994,0))=0,"S/D",INDEX(Movimientos!$M$2:$M$1994,MATCH(A481&amp;"ENTRADA",Movimientos!$R$2:$R$1994,0))),"S/D")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2757</v>
      </c>
      <c r="B482" s="2" t="str">
        <f>IFERROR(INDEX(Movimientos!$C$2:$C$1994,MATCH(A482&amp;"ENTRADA",Movimientos!$R$2:$R$1994,0)),"-")</f>
        <v>-</v>
      </c>
      <c r="C482" s="2" t="str">
        <f>IFERROR(INDEX(Movimientos!$D$2:$D$1994,MATCH(A482&amp;"ENTRADA",Movimientos!$R$2:$R$1994,0)),"-")</f>
        <v>-</v>
      </c>
      <c r="D482" s="2" t="str">
        <f>IFERROR(INDEX(Movimientos!$E$2:$E$1994,MATCH(A482&amp;"ENTRADA",Movimientos!$R$2:$R$1994,0)),"-")</f>
        <v>-</v>
      </c>
      <c r="E482" s="2" t="str">
        <f>IFERROR(INDEX(Movimientos!$F$2:$F$1994,MATCH(A482&amp;"ENTRADA",Movimientos!$R$2:$R$1994,0)),"-")</f>
        <v>-</v>
      </c>
      <c r="F482" s="2" t="str">
        <f>IFERROR(INDEX(Movimientos!$G$2:$G$1994,MATCH(A482&amp;"ENTRADA",Movimientos!$R$2:$R$1994,0)),"-")</f>
        <v>-</v>
      </c>
      <c r="G482" s="2" t="str">
        <f>IFERROR(INDEX(Movimientos!$L$2:$L$1994,MATCH(A482&amp;"ENTRADA",Movimientos!$R$2:$R$1994,0)),"-")</f>
        <v>-</v>
      </c>
      <c r="H482" s="17" t="str">
        <f>IFERROR(IF(INDEX(Movimientos!$M$2:$M$1994,MATCH(A482&amp;"ENTRADA",Movimientos!$R$2:$R$1994,0))=0,"S/D",INDEX(Movimientos!$M$2:$M$1994,MATCH(A482&amp;"ENTRADA",Movimientos!$R$2:$R$1994,0))),"S/D")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2758</v>
      </c>
      <c r="B483" s="2" t="str">
        <f>IFERROR(INDEX(Movimientos!$C$2:$C$1994,MATCH(A483&amp;"ENTRADA",Movimientos!$R$2:$R$1994,0)),"-")</f>
        <v>-</v>
      </c>
      <c r="C483" s="2" t="str">
        <f>IFERROR(INDEX(Movimientos!$D$2:$D$1994,MATCH(A483&amp;"ENTRADA",Movimientos!$R$2:$R$1994,0)),"-")</f>
        <v>-</v>
      </c>
      <c r="D483" s="2" t="str">
        <f>IFERROR(INDEX(Movimientos!$E$2:$E$1994,MATCH(A483&amp;"ENTRADA",Movimientos!$R$2:$R$1994,0)),"-")</f>
        <v>-</v>
      </c>
      <c r="E483" s="2" t="str">
        <f>IFERROR(INDEX(Movimientos!$F$2:$F$1994,MATCH(A483&amp;"ENTRADA",Movimientos!$R$2:$R$1994,0)),"-")</f>
        <v>-</v>
      </c>
      <c r="F483" s="2" t="str">
        <f>IFERROR(INDEX(Movimientos!$G$2:$G$1994,MATCH(A483&amp;"ENTRADA",Movimientos!$R$2:$R$1994,0)),"-")</f>
        <v>-</v>
      </c>
      <c r="G483" s="2" t="str">
        <f>IFERROR(INDEX(Movimientos!$L$2:$L$1994,MATCH(A483&amp;"ENTRADA",Movimientos!$R$2:$R$1994,0)),"-")</f>
        <v>-</v>
      </c>
      <c r="H483" s="17" t="str">
        <f>IFERROR(IF(INDEX(Movimientos!$M$2:$M$1994,MATCH(A483&amp;"ENTRADA",Movimientos!$R$2:$R$1994,0))=0,"S/D",INDEX(Movimientos!$M$2:$M$1994,MATCH(A483&amp;"ENTRADA",Movimientos!$R$2:$R$1994,0))),"S/D")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2759</v>
      </c>
      <c r="B484" s="2" t="str">
        <f>IFERROR(INDEX(Movimientos!$C$2:$C$1994,MATCH(A484&amp;"ENTRADA",Movimientos!$R$2:$R$1994,0)),"-")</f>
        <v>-</v>
      </c>
      <c r="C484" s="2" t="str">
        <f>IFERROR(INDEX(Movimientos!$D$2:$D$1994,MATCH(A484&amp;"ENTRADA",Movimientos!$R$2:$R$1994,0)),"-")</f>
        <v>-</v>
      </c>
      <c r="D484" s="2" t="str">
        <f>IFERROR(INDEX(Movimientos!$E$2:$E$1994,MATCH(A484&amp;"ENTRADA",Movimientos!$R$2:$R$1994,0)),"-")</f>
        <v>-</v>
      </c>
      <c r="E484" s="2" t="str">
        <f>IFERROR(INDEX(Movimientos!$F$2:$F$1994,MATCH(A484&amp;"ENTRADA",Movimientos!$R$2:$R$1994,0)),"-")</f>
        <v>-</v>
      </c>
      <c r="F484" s="2" t="str">
        <f>IFERROR(INDEX(Movimientos!$G$2:$G$1994,MATCH(A484&amp;"ENTRADA",Movimientos!$R$2:$R$1994,0)),"-")</f>
        <v>-</v>
      </c>
      <c r="G484" s="2" t="str">
        <f>IFERROR(INDEX(Movimientos!$L$2:$L$1994,MATCH(A484&amp;"ENTRADA",Movimientos!$R$2:$R$1994,0)),"-")</f>
        <v>-</v>
      </c>
      <c r="H484" s="17" t="str">
        <f>IFERROR(IF(INDEX(Movimientos!$M$2:$M$1994,MATCH(A484&amp;"ENTRADA",Movimientos!$R$2:$R$1994,0))=0,"S/D",INDEX(Movimientos!$M$2:$M$1994,MATCH(A484&amp;"ENTRADA",Movimientos!$R$2:$R$1994,0))),"S/D")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2760</v>
      </c>
      <c r="B485" s="2" t="str">
        <f>IFERROR(INDEX(Movimientos!$C$2:$C$1994,MATCH(A485&amp;"ENTRADA",Movimientos!$R$2:$R$1994,0)),"-")</f>
        <v>-</v>
      </c>
      <c r="C485" s="2" t="str">
        <f>IFERROR(INDEX(Movimientos!$D$2:$D$1994,MATCH(A485&amp;"ENTRADA",Movimientos!$R$2:$R$1994,0)),"-")</f>
        <v>-</v>
      </c>
      <c r="D485" s="2" t="str">
        <f>IFERROR(INDEX(Movimientos!$E$2:$E$1994,MATCH(A485&amp;"ENTRADA",Movimientos!$R$2:$R$1994,0)),"-")</f>
        <v>-</v>
      </c>
      <c r="E485" s="2" t="str">
        <f>IFERROR(INDEX(Movimientos!$F$2:$F$1994,MATCH(A485&amp;"ENTRADA",Movimientos!$R$2:$R$1994,0)),"-")</f>
        <v>-</v>
      </c>
      <c r="F485" s="2" t="str">
        <f>IFERROR(INDEX(Movimientos!$G$2:$G$1994,MATCH(A485&amp;"ENTRADA",Movimientos!$R$2:$R$1994,0)),"-")</f>
        <v>-</v>
      </c>
      <c r="G485" s="2" t="str">
        <f>IFERROR(INDEX(Movimientos!$L$2:$L$1994,MATCH(A485&amp;"ENTRADA",Movimientos!$R$2:$R$1994,0)),"-")</f>
        <v>-</v>
      </c>
      <c r="H485" s="17" t="str">
        <f>IFERROR(IF(INDEX(Movimientos!$M$2:$M$1994,MATCH(A485&amp;"ENTRADA",Movimientos!$R$2:$R$1994,0))=0,"S/D",INDEX(Movimientos!$M$2:$M$1994,MATCH(A485&amp;"ENTRADA",Movimientos!$R$2:$R$1994,0))),"S/D")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2761</v>
      </c>
      <c r="B486" s="2" t="str">
        <f>IFERROR(INDEX(Movimientos!$C$2:$C$1994,MATCH(A486&amp;"ENTRADA",Movimientos!$R$2:$R$1994,0)),"-")</f>
        <v>-</v>
      </c>
      <c r="C486" s="2" t="str">
        <f>IFERROR(INDEX(Movimientos!$D$2:$D$1994,MATCH(A486&amp;"ENTRADA",Movimientos!$R$2:$R$1994,0)),"-")</f>
        <v>-</v>
      </c>
      <c r="D486" s="2" t="str">
        <f>IFERROR(INDEX(Movimientos!$E$2:$E$1994,MATCH(A486&amp;"ENTRADA",Movimientos!$R$2:$R$1994,0)),"-")</f>
        <v>-</v>
      </c>
      <c r="E486" s="2" t="str">
        <f>IFERROR(INDEX(Movimientos!$F$2:$F$1994,MATCH(A486&amp;"ENTRADA",Movimientos!$R$2:$R$1994,0)),"-")</f>
        <v>-</v>
      </c>
      <c r="F486" s="2" t="str">
        <f>IFERROR(INDEX(Movimientos!$G$2:$G$1994,MATCH(A486&amp;"ENTRADA",Movimientos!$R$2:$R$1994,0)),"-")</f>
        <v>-</v>
      </c>
      <c r="G486" s="2" t="str">
        <f>IFERROR(INDEX(Movimientos!$L$2:$L$1994,MATCH(A486&amp;"ENTRADA",Movimientos!$R$2:$R$1994,0)),"-")</f>
        <v>-</v>
      </c>
      <c r="H486" s="17" t="str">
        <f>IFERROR(IF(INDEX(Movimientos!$M$2:$M$1994,MATCH(A486&amp;"ENTRADA",Movimientos!$R$2:$R$1994,0))=0,"S/D",INDEX(Movimientos!$M$2:$M$1994,MATCH(A486&amp;"ENTRADA",Movimientos!$R$2:$R$1994,0))),"S/D")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2762</v>
      </c>
      <c r="B487" s="2" t="str">
        <f>IFERROR(INDEX(Movimientos!$C$2:$C$1994,MATCH(A487&amp;"ENTRADA",Movimientos!$R$2:$R$1994,0)),"-")</f>
        <v>-</v>
      </c>
      <c r="C487" s="2" t="str">
        <f>IFERROR(INDEX(Movimientos!$D$2:$D$1994,MATCH(A487&amp;"ENTRADA",Movimientos!$R$2:$R$1994,0)),"-")</f>
        <v>-</v>
      </c>
      <c r="D487" s="2" t="str">
        <f>IFERROR(INDEX(Movimientos!$E$2:$E$1994,MATCH(A487&amp;"ENTRADA",Movimientos!$R$2:$R$1994,0)),"-")</f>
        <v>-</v>
      </c>
      <c r="E487" s="2" t="str">
        <f>IFERROR(INDEX(Movimientos!$F$2:$F$1994,MATCH(A487&amp;"ENTRADA",Movimientos!$R$2:$R$1994,0)),"-")</f>
        <v>-</v>
      </c>
      <c r="F487" s="2" t="str">
        <f>IFERROR(INDEX(Movimientos!$G$2:$G$1994,MATCH(A487&amp;"ENTRADA",Movimientos!$R$2:$R$1994,0)),"-")</f>
        <v>-</v>
      </c>
      <c r="G487" s="2" t="str">
        <f>IFERROR(INDEX(Movimientos!$L$2:$L$1994,MATCH(A487&amp;"ENTRADA",Movimientos!$R$2:$R$1994,0)),"-")</f>
        <v>-</v>
      </c>
      <c r="H487" s="17" t="str">
        <f>IFERROR(IF(INDEX(Movimientos!$M$2:$M$1994,MATCH(A487&amp;"ENTRADA",Movimientos!$R$2:$R$1994,0))=0,"S/D",INDEX(Movimientos!$M$2:$M$1994,MATCH(A487&amp;"ENTRADA",Movimientos!$R$2:$R$1994,0))),"S/D")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2763</v>
      </c>
      <c r="B488" s="2" t="str">
        <f>IFERROR(INDEX(Movimientos!$C$2:$C$1994,MATCH(A488&amp;"ENTRADA",Movimientos!$R$2:$R$1994,0)),"-")</f>
        <v>-</v>
      </c>
      <c r="C488" s="2" t="str">
        <f>IFERROR(INDEX(Movimientos!$D$2:$D$1994,MATCH(A488&amp;"ENTRADA",Movimientos!$R$2:$R$1994,0)),"-")</f>
        <v>-</v>
      </c>
      <c r="D488" s="2" t="str">
        <f>IFERROR(INDEX(Movimientos!$E$2:$E$1994,MATCH(A488&amp;"ENTRADA",Movimientos!$R$2:$R$1994,0)),"-")</f>
        <v>-</v>
      </c>
      <c r="E488" s="2" t="str">
        <f>IFERROR(INDEX(Movimientos!$F$2:$F$1994,MATCH(A488&amp;"ENTRADA",Movimientos!$R$2:$R$1994,0)),"-")</f>
        <v>-</v>
      </c>
      <c r="F488" s="2" t="str">
        <f>IFERROR(INDEX(Movimientos!$G$2:$G$1994,MATCH(A488&amp;"ENTRADA",Movimientos!$R$2:$R$1994,0)),"-")</f>
        <v>-</v>
      </c>
      <c r="G488" s="2" t="str">
        <f>IFERROR(INDEX(Movimientos!$L$2:$L$1994,MATCH(A488&amp;"ENTRADA",Movimientos!$R$2:$R$1994,0)),"-")</f>
        <v>-</v>
      </c>
      <c r="H488" s="17" t="str">
        <f>IFERROR(IF(INDEX(Movimientos!$M$2:$M$1994,MATCH(A488&amp;"ENTRADA",Movimientos!$R$2:$R$1994,0))=0,"S/D",INDEX(Movimientos!$M$2:$M$1994,MATCH(A488&amp;"ENTRADA",Movimientos!$R$2:$R$1994,0))),"S/D")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2764</v>
      </c>
      <c r="B489" s="2" t="str">
        <f>IFERROR(INDEX(Movimientos!$C$2:$C$1994,MATCH(A489&amp;"ENTRADA",Movimientos!$R$2:$R$1994,0)),"-")</f>
        <v>-</v>
      </c>
      <c r="C489" s="2" t="str">
        <f>IFERROR(INDEX(Movimientos!$D$2:$D$1994,MATCH(A489&amp;"ENTRADA",Movimientos!$R$2:$R$1994,0)),"-")</f>
        <v>-</v>
      </c>
      <c r="D489" s="2" t="str">
        <f>IFERROR(INDEX(Movimientos!$E$2:$E$1994,MATCH(A489&amp;"ENTRADA",Movimientos!$R$2:$R$1994,0)),"-")</f>
        <v>-</v>
      </c>
      <c r="E489" s="2" t="str">
        <f>IFERROR(INDEX(Movimientos!$F$2:$F$1994,MATCH(A489&amp;"ENTRADA",Movimientos!$R$2:$R$1994,0)),"-")</f>
        <v>-</v>
      </c>
      <c r="F489" s="2" t="str">
        <f>IFERROR(INDEX(Movimientos!$G$2:$G$1994,MATCH(A489&amp;"ENTRADA",Movimientos!$R$2:$R$1994,0)),"-")</f>
        <v>-</v>
      </c>
      <c r="G489" s="2" t="str">
        <f>IFERROR(INDEX(Movimientos!$L$2:$L$1994,MATCH(A489&amp;"ENTRADA",Movimientos!$R$2:$R$1994,0)),"-")</f>
        <v>-</v>
      </c>
      <c r="H489" s="17" t="str">
        <f>IFERROR(IF(INDEX(Movimientos!$M$2:$M$1994,MATCH(A489&amp;"ENTRADA",Movimientos!$R$2:$R$1994,0))=0,"S/D",INDEX(Movimientos!$M$2:$M$1994,MATCH(A489&amp;"ENTRADA",Movimientos!$R$2:$R$1994,0))),"S/D")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2765</v>
      </c>
      <c r="B490" s="2" t="str">
        <f>IFERROR(INDEX(Movimientos!$C$2:$C$1994,MATCH(A490&amp;"ENTRADA",Movimientos!$R$2:$R$1994,0)),"-")</f>
        <v>-</v>
      </c>
      <c r="C490" s="2" t="str">
        <f>IFERROR(INDEX(Movimientos!$D$2:$D$1994,MATCH(A490&amp;"ENTRADA",Movimientos!$R$2:$R$1994,0)),"-")</f>
        <v>-</v>
      </c>
      <c r="D490" s="2" t="str">
        <f>IFERROR(INDEX(Movimientos!$E$2:$E$1994,MATCH(A490&amp;"ENTRADA",Movimientos!$R$2:$R$1994,0)),"-")</f>
        <v>-</v>
      </c>
      <c r="E490" s="2" t="str">
        <f>IFERROR(INDEX(Movimientos!$F$2:$F$1994,MATCH(A490&amp;"ENTRADA",Movimientos!$R$2:$R$1994,0)),"-")</f>
        <v>-</v>
      </c>
      <c r="F490" s="2" t="str">
        <f>IFERROR(INDEX(Movimientos!$G$2:$G$1994,MATCH(A490&amp;"ENTRADA",Movimientos!$R$2:$R$1994,0)),"-")</f>
        <v>-</v>
      </c>
      <c r="G490" s="2" t="str">
        <f>IFERROR(INDEX(Movimientos!$L$2:$L$1994,MATCH(A490&amp;"ENTRADA",Movimientos!$R$2:$R$1994,0)),"-")</f>
        <v>-</v>
      </c>
      <c r="H490" s="17" t="str">
        <f>IFERROR(IF(INDEX(Movimientos!$M$2:$M$1994,MATCH(A490&amp;"ENTRADA",Movimientos!$R$2:$R$1994,0))=0,"S/D",INDEX(Movimientos!$M$2:$M$1994,MATCH(A490&amp;"ENTRADA",Movimientos!$R$2:$R$1994,0))),"S/D")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2766</v>
      </c>
      <c r="B491" s="2" t="str">
        <f>IFERROR(INDEX(Movimientos!$C$2:$C$1994,MATCH(A491&amp;"ENTRADA",Movimientos!$R$2:$R$1994,0)),"-")</f>
        <v>-</v>
      </c>
      <c r="C491" s="2" t="str">
        <f>IFERROR(INDEX(Movimientos!$D$2:$D$1994,MATCH(A491&amp;"ENTRADA",Movimientos!$R$2:$R$1994,0)),"-")</f>
        <v>-</v>
      </c>
      <c r="D491" s="2" t="str">
        <f>IFERROR(INDEX(Movimientos!$E$2:$E$1994,MATCH(A491&amp;"ENTRADA",Movimientos!$R$2:$R$1994,0)),"-")</f>
        <v>-</v>
      </c>
      <c r="E491" s="2" t="str">
        <f>IFERROR(INDEX(Movimientos!$F$2:$F$1994,MATCH(A491&amp;"ENTRADA",Movimientos!$R$2:$R$1994,0)),"-")</f>
        <v>-</v>
      </c>
      <c r="F491" s="2" t="str">
        <f>IFERROR(INDEX(Movimientos!$G$2:$G$1994,MATCH(A491&amp;"ENTRADA",Movimientos!$R$2:$R$1994,0)),"-")</f>
        <v>-</v>
      </c>
      <c r="G491" s="2" t="str">
        <f>IFERROR(INDEX(Movimientos!$L$2:$L$1994,MATCH(A491&amp;"ENTRADA",Movimientos!$R$2:$R$1994,0)),"-")</f>
        <v>-</v>
      </c>
      <c r="H491" s="17" t="str">
        <f>IFERROR(IF(INDEX(Movimientos!$M$2:$M$1994,MATCH(A491&amp;"ENTRADA",Movimientos!$R$2:$R$1994,0))=0,"S/D",INDEX(Movimientos!$M$2:$M$1994,MATCH(A491&amp;"ENTRADA",Movimientos!$R$2:$R$1994,0))),"S/D")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2767</v>
      </c>
      <c r="B492" s="2" t="str">
        <f>IFERROR(INDEX(Movimientos!$C$2:$C$1994,MATCH(A492&amp;"ENTRADA",Movimientos!$R$2:$R$1994,0)),"-")</f>
        <v>-</v>
      </c>
      <c r="C492" s="2" t="str">
        <f>IFERROR(INDEX(Movimientos!$D$2:$D$1994,MATCH(A492&amp;"ENTRADA",Movimientos!$R$2:$R$1994,0)),"-")</f>
        <v>-</v>
      </c>
      <c r="D492" s="2" t="str">
        <f>IFERROR(INDEX(Movimientos!$E$2:$E$1994,MATCH(A492&amp;"ENTRADA",Movimientos!$R$2:$R$1994,0)),"-")</f>
        <v>-</v>
      </c>
      <c r="E492" s="2" t="str">
        <f>IFERROR(INDEX(Movimientos!$F$2:$F$1994,MATCH(A492&amp;"ENTRADA",Movimientos!$R$2:$R$1994,0)),"-")</f>
        <v>-</v>
      </c>
      <c r="F492" s="2" t="str">
        <f>IFERROR(INDEX(Movimientos!$G$2:$G$1994,MATCH(A492&amp;"ENTRADA",Movimientos!$R$2:$R$1994,0)),"-")</f>
        <v>-</v>
      </c>
      <c r="G492" s="2" t="str">
        <f>IFERROR(INDEX(Movimientos!$L$2:$L$1994,MATCH(A492&amp;"ENTRADA",Movimientos!$R$2:$R$1994,0)),"-")</f>
        <v>-</v>
      </c>
      <c r="H492" s="17" t="str">
        <f>IFERROR(IF(INDEX(Movimientos!$M$2:$M$1994,MATCH(A492&amp;"ENTRADA",Movimientos!$R$2:$R$1994,0))=0,"S/D",INDEX(Movimientos!$M$2:$M$1994,MATCH(A492&amp;"ENTRADA",Movimientos!$R$2:$R$1994,0))),"S/D")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2768</v>
      </c>
      <c r="B493" s="2" t="str">
        <f>IFERROR(INDEX(Movimientos!$C$2:$C$1994,MATCH(A493&amp;"ENTRADA",Movimientos!$R$2:$R$1994,0)),"-")</f>
        <v>-</v>
      </c>
      <c r="C493" s="2" t="str">
        <f>IFERROR(INDEX(Movimientos!$D$2:$D$1994,MATCH(A493&amp;"ENTRADA",Movimientos!$R$2:$R$1994,0)),"-")</f>
        <v>-</v>
      </c>
      <c r="D493" s="2" t="str">
        <f>IFERROR(INDEX(Movimientos!$E$2:$E$1994,MATCH(A493&amp;"ENTRADA",Movimientos!$R$2:$R$1994,0)),"-")</f>
        <v>-</v>
      </c>
      <c r="E493" s="2" t="str">
        <f>IFERROR(INDEX(Movimientos!$F$2:$F$1994,MATCH(A493&amp;"ENTRADA",Movimientos!$R$2:$R$1994,0)),"-")</f>
        <v>-</v>
      </c>
      <c r="F493" s="2" t="str">
        <f>IFERROR(INDEX(Movimientos!$G$2:$G$1994,MATCH(A493&amp;"ENTRADA",Movimientos!$R$2:$R$1994,0)),"-")</f>
        <v>-</v>
      </c>
      <c r="G493" s="2" t="str">
        <f>IFERROR(INDEX(Movimientos!$L$2:$L$1994,MATCH(A493&amp;"ENTRADA",Movimientos!$R$2:$R$1994,0)),"-")</f>
        <v>-</v>
      </c>
      <c r="H493" s="17" t="str">
        <f>IFERROR(IF(INDEX(Movimientos!$M$2:$M$1994,MATCH(A493&amp;"ENTRADA",Movimientos!$R$2:$R$1994,0))=0,"S/D",INDEX(Movimientos!$M$2:$M$1994,MATCH(A493&amp;"ENTRADA",Movimientos!$R$2:$R$1994,0))),"S/D")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2769</v>
      </c>
      <c r="B494" s="2" t="str">
        <f>IFERROR(INDEX(Movimientos!$C$2:$C$1994,MATCH(A494&amp;"ENTRADA",Movimientos!$R$2:$R$1994,0)),"-")</f>
        <v>-</v>
      </c>
      <c r="C494" s="2" t="str">
        <f>IFERROR(INDEX(Movimientos!$D$2:$D$1994,MATCH(A494&amp;"ENTRADA",Movimientos!$R$2:$R$1994,0)),"-")</f>
        <v>-</v>
      </c>
      <c r="D494" s="2" t="str">
        <f>IFERROR(INDEX(Movimientos!$E$2:$E$1994,MATCH(A494&amp;"ENTRADA",Movimientos!$R$2:$R$1994,0)),"-")</f>
        <v>-</v>
      </c>
      <c r="E494" s="2" t="str">
        <f>IFERROR(INDEX(Movimientos!$F$2:$F$1994,MATCH(A494&amp;"ENTRADA",Movimientos!$R$2:$R$1994,0)),"-")</f>
        <v>-</v>
      </c>
      <c r="F494" s="2" t="str">
        <f>IFERROR(INDEX(Movimientos!$G$2:$G$1994,MATCH(A494&amp;"ENTRADA",Movimientos!$R$2:$R$1994,0)),"-")</f>
        <v>-</v>
      </c>
      <c r="G494" s="2" t="str">
        <f>IFERROR(INDEX(Movimientos!$L$2:$L$1994,MATCH(A494&amp;"ENTRADA",Movimientos!$R$2:$R$1994,0)),"-")</f>
        <v>-</v>
      </c>
      <c r="H494" s="17" t="str">
        <f>IFERROR(IF(INDEX(Movimientos!$M$2:$M$1994,MATCH(A494&amp;"ENTRADA",Movimientos!$R$2:$R$1994,0))=0,"S/D",INDEX(Movimientos!$M$2:$M$1994,MATCH(A494&amp;"ENTRADA",Movimientos!$R$2:$R$1994,0))),"S/D")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2770</v>
      </c>
      <c r="B495" s="2" t="str">
        <f>IFERROR(INDEX(Movimientos!$C$2:$C$1994,MATCH(A495&amp;"ENTRADA",Movimientos!$R$2:$R$1994,0)),"-")</f>
        <v>-</v>
      </c>
      <c r="C495" s="2" t="str">
        <f>IFERROR(INDEX(Movimientos!$D$2:$D$1994,MATCH(A495&amp;"ENTRADA",Movimientos!$R$2:$R$1994,0)),"-")</f>
        <v>-</v>
      </c>
      <c r="D495" s="2" t="str">
        <f>IFERROR(INDEX(Movimientos!$E$2:$E$1994,MATCH(A495&amp;"ENTRADA",Movimientos!$R$2:$R$1994,0)),"-")</f>
        <v>-</v>
      </c>
      <c r="E495" s="2" t="str">
        <f>IFERROR(INDEX(Movimientos!$F$2:$F$1994,MATCH(A495&amp;"ENTRADA",Movimientos!$R$2:$R$1994,0)),"-")</f>
        <v>-</v>
      </c>
      <c r="F495" s="2" t="str">
        <f>IFERROR(INDEX(Movimientos!$G$2:$G$1994,MATCH(A495&amp;"ENTRADA",Movimientos!$R$2:$R$1994,0)),"-")</f>
        <v>-</v>
      </c>
      <c r="G495" s="2" t="str">
        <f>IFERROR(INDEX(Movimientos!$L$2:$L$1994,MATCH(A495&amp;"ENTRADA",Movimientos!$R$2:$R$1994,0)),"-")</f>
        <v>-</v>
      </c>
      <c r="H495" s="17" t="str">
        <f>IFERROR(IF(INDEX(Movimientos!$M$2:$M$1994,MATCH(A495&amp;"ENTRADA",Movimientos!$R$2:$R$1994,0))=0,"S/D",INDEX(Movimientos!$M$2:$M$1994,MATCH(A495&amp;"ENTRADA",Movimientos!$R$2:$R$1994,0))),"S/D")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2771</v>
      </c>
      <c r="B496" s="2" t="str">
        <f>IFERROR(INDEX(Movimientos!$C$2:$C$1994,MATCH(A496&amp;"ENTRADA",Movimientos!$R$2:$R$1994,0)),"-")</f>
        <v>-</v>
      </c>
      <c r="C496" s="2" t="str">
        <f>IFERROR(INDEX(Movimientos!$D$2:$D$1994,MATCH(A496&amp;"ENTRADA",Movimientos!$R$2:$R$1994,0)),"-")</f>
        <v>-</v>
      </c>
      <c r="D496" s="2" t="str">
        <f>IFERROR(INDEX(Movimientos!$E$2:$E$1994,MATCH(A496&amp;"ENTRADA",Movimientos!$R$2:$R$1994,0)),"-")</f>
        <v>-</v>
      </c>
      <c r="E496" s="2" t="str">
        <f>IFERROR(INDEX(Movimientos!$F$2:$F$1994,MATCH(A496&amp;"ENTRADA",Movimientos!$R$2:$R$1994,0)),"-")</f>
        <v>-</v>
      </c>
      <c r="F496" s="2" t="str">
        <f>IFERROR(INDEX(Movimientos!$G$2:$G$1994,MATCH(A496&amp;"ENTRADA",Movimientos!$R$2:$R$1994,0)),"-")</f>
        <v>-</v>
      </c>
      <c r="G496" s="2" t="str">
        <f>IFERROR(INDEX(Movimientos!$L$2:$L$1994,MATCH(A496&amp;"ENTRADA",Movimientos!$R$2:$R$1994,0)),"-")</f>
        <v>-</v>
      </c>
      <c r="H496" s="17" t="str">
        <f>IFERROR(IF(INDEX(Movimientos!$M$2:$M$1994,MATCH(A496&amp;"ENTRADA",Movimientos!$R$2:$R$1994,0))=0,"S/D",INDEX(Movimientos!$M$2:$M$1994,MATCH(A496&amp;"ENTRADA",Movimientos!$R$2:$R$1994,0))),"S/D")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2772</v>
      </c>
      <c r="B497" s="2" t="str">
        <f>IFERROR(INDEX(Movimientos!$C$2:$C$1994,MATCH(A497&amp;"ENTRADA",Movimientos!$R$2:$R$1994,0)),"-")</f>
        <v>-</v>
      </c>
      <c r="C497" s="2" t="str">
        <f>IFERROR(INDEX(Movimientos!$D$2:$D$1994,MATCH(A497&amp;"ENTRADA",Movimientos!$R$2:$R$1994,0)),"-")</f>
        <v>-</v>
      </c>
      <c r="D497" s="2" t="str">
        <f>IFERROR(INDEX(Movimientos!$E$2:$E$1994,MATCH(A497&amp;"ENTRADA",Movimientos!$R$2:$R$1994,0)),"-")</f>
        <v>-</v>
      </c>
      <c r="E497" s="2" t="str">
        <f>IFERROR(INDEX(Movimientos!$F$2:$F$1994,MATCH(A497&amp;"ENTRADA",Movimientos!$R$2:$R$1994,0)),"-")</f>
        <v>-</v>
      </c>
      <c r="F497" s="2" t="str">
        <f>IFERROR(INDEX(Movimientos!$G$2:$G$1994,MATCH(A497&amp;"ENTRADA",Movimientos!$R$2:$R$1994,0)),"-")</f>
        <v>-</v>
      </c>
      <c r="G497" s="2" t="str">
        <f>IFERROR(INDEX(Movimientos!$L$2:$L$1994,MATCH(A497&amp;"ENTRADA",Movimientos!$R$2:$R$1994,0)),"-")</f>
        <v>-</v>
      </c>
      <c r="H497" s="17" t="str">
        <f>IFERROR(IF(INDEX(Movimientos!$M$2:$M$1994,MATCH(A497&amp;"ENTRADA",Movimientos!$R$2:$R$1994,0))=0,"S/D",INDEX(Movimientos!$M$2:$M$1994,MATCH(A497&amp;"ENTRADA",Movimientos!$R$2:$R$1994,0))),"S/D")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2773</v>
      </c>
      <c r="B498" s="2" t="str">
        <f>IFERROR(INDEX(Movimientos!$C$2:$C$1994,MATCH(A498&amp;"ENTRADA",Movimientos!$R$2:$R$1994,0)),"-")</f>
        <v>-</v>
      </c>
      <c r="C498" s="2" t="str">
        <f>IFERROR(INDEX(Movimientos!$D$2:$D$1994,MATCH(A498&amp;"ENTRADA",Movimientos!$R$2:$R$1994,0)),"-")</f>
        <v>-</v>
      </c>
      <c r="D498" s="2" t="str">
        <f>IFERROR(INDEX(Movimientos!$E$2:$E$1994,MATCH(A498&amp;"ENTRADA",Movimientos!$R$2:$R$1994,0)),"-")</f>
        <v>-</v>
      </c>
      <c r="E498" s="2" t="str">
        <f>IFERROR(INDEX(Movimientos!$F$2:$F$1994,MATCH(A498&amp;"ENTRADA",Movimientos!$R$2:$R$1994,0)),"-")</f>
        <v>-</v>
      </c>
      <c r="F498" s="2" t="str">
        <f>IFERROR(INDEX(Movimientos!$G$2:$G$1994,MATCH(A498&amp;"ENTRADA",Movimientos!$R$2:$R$1994,0)),"-")</f>
        <v>-</v>
      </c>
      <c r="G498" s="2" t="str">
        <f>IFERROR(INDEX(Movimientos!$L$2:$L$1994,MATCH(A498&amp;"ENTRADA",Movimientos!$R$2:$R$1994,0)),"-")</f>
        <v>-</v>
      </c>
      <c r="H498" s="17" t="str">
        <f>IFERROR(IF(INDEX(Movimientos!$M$2:$M$1994,MATCH(A498&amp;"ENTRADA",Movimientos!$R$2:$R$1994,0))=0,"S/D",INDEX(Movimientos!$M$2:$M$1994,MATCH(A498&amp;"ENTRADA",Movimientos!$R$2:$R$1994,0))),"S/D")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2774</v>
      </c>
      <c r="B499" s="2" t="str">
        <f>IFERROR(INDEX(Movimientos!$C$2:$C$1994,MATCH(A499&amp;"ENTRADA",Movimientos!$R$2:$R$1994,0)),"-")</f>
        <v>-</v>
      </c>
      <c r="C499" s="2" t="str">
        <f>IFERROR(INDEX(Movimientos!$D$2:$D$1994,MATCH(A499&amp;"ENTRADA",Movimientos!$R$2:$R$1994,0)),"-")</f>
        <v>-</v>
      </c>
      <c r="D499" s="2" t="str">
        <f>IFERROR(INDEX(Movimientos!$E$2:$E$1994,MATCH(A499&amp;"ENTRADA",Movimientos!$R$2:$R$1994,0)),"-")</f>
        <v>-</v>
      </c>
      <c r="E499" s="2" t="str">
        <f>IFERROR(INDEX(Movimientos!$F$2:$F$1994,MATCH(A499&amp;"ENTRADA",Movimientos!$R$2:$R$1994,0)),"-")</f>
        <v>-</v>
      </c>
      <c r="F499" s="2" t="str">
        <f>IFERROR(INDEX(Movimientos!$G$2:$G$1994,MATCH(A499&amp;"ENTRADA",Movimientos!$R$2:$R$1994,0)),"-")</f>
        <v>-</v>
      </c>
      <c r="G499" s="2" t="str">
        <f>IFERROR(INDEX(Movimientos!$L$2:$L$1994,MATCH(A499&amp;"ENTRADA",Movimientos!$R$2:$R$1994,0)),"-")</f>
        <v>-</v>
      </c>
      <c r="H499" s="17" t="str">
        <f>IFERROR(IF(INDEX(Movimientos!$M$2:$M$1994,MATCH(A499&amp;"ENTRADA",Movimientos!$R$2:$R$1994,0))=0,"S/D",INDEX(Movimientos!$M$2:$M$1994,MATCH(A499&amp;"ENTRADA",Movimientos!$R$2:$R$1994,0))),"S/D")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2775</v>
      </c>
      <c r="B500" s="2" t="str">
        <f>IFERROR(INDEX(Movimientos!$C$2:$C$1994,MATCH(A500&amp;"ENTRADA",Movimientos!$R$2:$R$1994,0)),"-")</f>
        <v>-</v>
      </c>
      <c r="C500" s="2" t="str">
        <f>IFERROR(INDEX(Movimientos!$D$2:$D$1994,MATCH(A500&amp;"ENTRADA",Movimientos!$R$2:$R$1994,0)),"-")</f>
        <v>-</v>
      </c>
      <c r="D500" s="2" t="str">
        <f>IFERROR(INDEX(Movimientos!$E$2:$E$1994,MATCH(A500&amp;"ENTRADA",Movimientos!$R$2:$R$1994,0)),"-")</f>
        <v>-</v>
      </c>
      <c r="E500" s="2" t="str">
        <f>IFERROR(INDEX(Movimientos!$F$2:$F$1994,MATCH(A500&amp;"ENTRADA",Movimientos!$R$2:$R$1994,0)),"-")</f>
        <v>-</v>
      </c>
      <c r="F500" s="2" t="str">
        <f>IFERROR(INDEX(Movimientos!$G$2:$G$1994,MATCH(A500&amp;"ENTRADA",Movimientos!$R$2:$R$1994,0)),"-")</f>
        <v>-</v>
      </c>
      <c r="G500" s="2" t="str">
        <f>IFERROR(INDEX(Movimientos!$L$2:$L$1994,MATCH(A500&amp;"ENTRADA",Movimientos!$R$2:$R$1994,0)),"-")</f>
        <v>-</v>
      </c>
      <c r="H500" s="17" t="str">
        <f>IFERROR(IF(INDEX(Movimientos!$M$2:$M$1994,MATCH(A500&amp;"ENTRADA",Movimientos!$R$2:$R$1994,0))=0,"S/D",INDEX(Movimientos!$M$2:$M$1994,MATCH(A500&amp;"ENTRADA",Movimientos!$R$2:$R$1994,0))),"S/D")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2776</v>
      </c>
      <c r="B501" s="2" t="str">
        <f>IFERROR(INDEX(Movimientos!$C$2:$C$1994,MATCH(A501&amp;"ENTRADA",Movimientos!$R$2:$R$1994,0)),"-")</f>
        <v>-</v>
      </c>
      <c r="C501" s="2" t="str">
        <f>IFERROR(INDEX(Movimientos!$D$2:$D$1994,MATCH(A501&amp;"ENTRADA",Movimientos!$R$2:$R$1994,0)),"-")</f>
        <v>-</v>
      </c>
      <c r="D501" s="2" t="str">
        <f>IFERROR(INDEX(Movimientos!$E$2:$E$1994,MATCH(A501&amp;"ENTRADA",Movimientos!$R$2:$R$1994,0)),"-")</f>
        <v>-</v>
      </c>
      <c r="E501" s="2" t="str">
        <f>IFERROR(INDEX(Movimientos!$F$2:$F$1994,MATCH(A501&amp;"ENTRADA",Movimientos!$R$2:$R$1994,0)),"-")</f>
        <v>-</v>
      </c>
      <c r="F501" s="2" t="str">
        <f>IFERROR(INDEX(Movimientos!$G$2:$G$1994,MATCH(A501&amp;"ENTRADA",Movimientos!$R$2:$R$1994,0)),"-")</f>
        <v>-</v>
      </c>
      <c r="G501" s="2" t="str">
        <f>IFERROR(INDEX(Movimientos!$L$2:$L$1994,MATCH(A501&amp;"ENTRADA",Movimientos!$R$2:$R$1994,0)),"-")</f>
        <v>-</v>
      </c>
      <c r="H501" s="17" t="str">
        <f>IFERROR(IF(INDEX(Movimientos!$M$2:$M$1994,MATCH(A501&amp;"ENTRADA",Movimientos!$R$2:$R$1994,0))=0,"S/D",INDEX(Movimientos!$M$2:$M$1994,MATCH(A501&amp;"ENTRADA",Movimientos!$R$2:$R$1994,0))),"S/D")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2777</v>
      </c>
      <c r="B502" s="2" t="str">
        <f>IFERROR(INDEX(Movimientos!$C$2:$C$1994,MATCH(A502&amp;"ENTRADA",Movimientos!$R$2:$R$1994,0)),"-")</f>
        <v>-</v>
      </c>
      <c r="C502" s="2" t="str">
        <f>IFERROR(INDEX(Movimientos!$D$2:$D$1994,MATCH(A502&amp;"ENTRADA",Movimientos!$R$2:$R$1994,0)),"-")</f>
        <v>-</v>
      </c>
      <c r="D502" s="2" t="str">
        <f>IFERROR(INDEX(Movimientos!$E$2:$E$1994,MATCH(A502&amp;"ENTRADA",Movimientos!$R$2:$R$1994,0)),"-")</f>
        <v>-</v>
      </c>
      <c r="E502" s="2" t="str">
        <f>IFERROR(INDEX(Movimientos!$F$2:$F$1994,MATCH(A502&amp;"ENTRADA",Movimientos!$R$2:$R$1994,0)),"-")</f>
        <v>-</v>
      </c>
      <c r="F502" s="2" t="str">
        <f>IFERROR(INDEX(Movimientos!$G$2:$G$1994,MATCH(A502&amp;"ENTRADA",Movimientos!$R$2:$R$1994,0)),"-")</f>
        <v>-</v>
      </c>
      <c r="G502" s="2" t="str">
        <f>IFERROR(INDEX(Movimientos!$L$2:$L$1994,MATCH(A502&amp;"ENTRADA",Movimientos!$R$2:$R$1994,0)),"-")</f>
        <v>-</v>
      </c>
      <c r="H502" s="17" t="str">
        <f>IFERROR(IF(INDEX(Movimientos!$M$2:$M$1994,MATCH(A502&amp;"ENTRADA",Movimientos!$R$2:$R$1994,0))=0,"S/D",INDEX(Movimientos!$M$2:$M$1994,MATCH(A502&amp;"ENTRADA",Movimientos!$R$2:$R$1994,0))),"S/D")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2778</v>
      </c>
      <c r="B503" s="2" t="str">
        <f>IFERROR(INDEX(Movimientos!$C$2:$C$1994,MATCH(A503&amp;"ENTRADA",Movimientos!$R$2:$R$1994,0)),"-")</f>
        <v>-</v>
      </c>
      <c r="C503" s="2" t="str">
        <f>IFERROR(INDEX(Movimientos!$D$2:$D$1994,MATCH(A503&amp;"ENTRADA",Movimientos!$R$2:$R$1994,0)),"-")</f>
        <v>-</v>
      </c>
      <c r="D503" s="2" t="str">
        <f>IFERROR(INDEX(Movimientos!$E$2:$E$1994,MATCH(A503&amp;"ENTRADA",Movimientos!$R$2:$R$1994,0)),"-")</f>
        <v>-</v>
      </c>
      <c r="E503" s="2" t="str">
        <f>IFERROR(INDEX(Movimientos!$F$2:$F$1994,MATCH(A503&amp;"ENTRADA",Movimientos!$R$2:$R$1994,0)),"-")</f>
        <v>-</v>
      </c>
      <c r="F503" s="2" t="str">
        <f>IFERROR(INDEX(Movimientos!$G$2:$G$1994,MATCH(A503&amp;"ENTRADA",Movimientos!$R$2:$R$1994,0)),"-")</f>
        <v>-</v>
      </c>
      <c r="G503" s="2" t="str">
        <f>IFERROR(INDEX(Movimientos!$L$2:$L$1994,MATCH(A503&amp;"ENTRADA",Movimientos!$R$2:$R$1994,0)),"-")</f>
        <v>-</v>
      </c>
      <c r="H503" s="17" t="str">
        <f>IFERROR(IF(INDEX(Movimientos!$M$2:$M$1994,MATCH(A503&amp;"ENTRADA",Movimientos!$R$2:$R$1994,0))=0,"S/D",INDEX(Movimientos!$M$2:$M$1994,MATCH(A503&amp;"ENTRADA",Movimientos!$R$2:$R$1994,0))),"S/D")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2779</v>
      </c>
      <c r="B504" s="2" t="str">
        <f>IFERROR(INDEX(Movimientos!$C$2:$C$1994,MATCH(A504&amp;"ENTRADA",Movimientos!$R$2:$R$1994,0)),"-")</f>
        <v>-</v>
      </c>
      <c r="C504" s="2" t="str">
        <f>IFERROR(INDEX(Movimientos!$D$2:$D$1994,MATCH(A504&amp;"ENTRADA",Movimientos!$R$2:$R$1994,0)),"-")</f>
        <v>-</v>
      </c>
      <c r="D504" s="2" t="str">
        <f>IFERROR(INDEX(Movimientos!$E$2:$E$1994,MATCH(A504&amp;"ENTRADA",Movimientos!$R$2:$R$1994,0)),"-")</f>
        <v>-</v>
      </c>
      <c r="E504" s="2" t="str">
        <f>IFERROR(INDEX(Movimientos!$F$2:$F$1994,MATCH(A504&amp;"ENTRADA",Movimientos!$R$2:$R$1994,0)),"-")</f>
        <v>-</v>
      </c>
      <c r="F504" s="2" t="str">
        <f>IFERROR(INDEX(Movimientos!$G$2:$G$1994,MATCH(A504&amp;"ENTRADA",Movimientos!$R$2:$R$1994,0)),"-")</f>
        <v>-</v>
      </c>
      <c r="G504" s="2" t="str">
        <f>IFERROR(INDEX(Movimientos!$L$2:$L$1994,MATCH(A504&amp;"ENTRADA",Movimientos!$R$2:$R$1994,0)),"-")</f>
        <v>-</v>
      </c>
      <c r="H504" s="17" t="str">
        <f>IFERROR(IF(INDEX(Movimientos!$M$2:$M$1994,MATCH(A504&amp;"ENTRADA",Movimientos!$R$2:$R$1994,0))=0,"S/D",INDEX(Movimientos!$M$2:$M$1994,MATCH(A504&amp;"ENTRADA",Movimientos!$R$2:$R$1994,0))),"S/D")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2780</v>
      </c>
      <c r="B505" s="2" t="str">
        <f>IFERROR(INDEX(Movimientos!$C$2:$C$1994,MATCH(A505&amp;"ENTRADA",Movimientos!$R$2:$R$1994,0)),"-")</f>
        <v>-</v>
      </c>
      <c r="C505" s="2" t="str">
        <f>IFERROR(INDEX(Movimientos!$D$2:$D$1994,MATCH(A505&amp;"ENTRADA",Movimientos!$R$2:$R$1994,0)),"-")</f>
        <v>-</v>
      </c>
      <c r="D505" s="2" t="str">
        <f>IFERROR(INDEX(Movimientos!$E$2:$E$1994,MATCH(A505&amp;"ENTRADA",Movimientos!$R$2:$R$1994,0)),"-")</f>
        <v>-</v>
      </c>
      <c r="E505" s="2" t="str">
        <f>IFERROR(INDEX(Movimientos!$F$2:$F$1994,MATCH(A505&amp;"ENTRADA",Movimientos!$R$2:$R$1994,0)),"-")</f>
        <v>-</v>
      </c>
      <c r="F505" s="2" t="str">
        <f>IFERROR(INDEX(Movimientos!$G$2:$G$1994,MATCH(A505&amp;"ENTRADA",Movimientos!$R$2:$R$1994,0)),"-")</f>
        <v>-</v>
      </c>
      <c r="G505" s="2" t="str">
        <f>IFERROR(INDEX(Movimientos!$L$2:$L$1994,MATCH(A505&amp;"ENTRADA",Movimientos!$R$2:$R$1994,0)),"-")</f>
        <v>-</v>
      </c>
      <c r="H505" s="17" t="str">
        <f>IFERROR(IF(INDEX(Movimientos!$M$2:$M$1994,MATCH(A505&amp;"ENTRADA",Movimientos!$R$2:$R$1994,0))=0,"S/D",INDEX(Movimientos!$M$2:$M$1994,MATCH(A505&amp;"ENTRADA",Movimientos!$R$2:$R$1994,0))),"S/D")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2781</v>
      </c>
      <c r="B506" s="2" t="str">
        <f>IFERROR(INDEX(Movimientos!$C$2:$C$1994,MATCH(A506&amp;"ENTRADA",Movimientos!$R$2:$R$1994,0)),"-")</f>
        <v>-</v>
      </c>
      <c r="C506" s="2" t="str">
        <f>IFERROR(INDEX(Movimientos!$D$2:$D$1994,MATCH(A506&amp;"ENTRADA",Movimientos!$R$2:$R$1994,0)),"-")</f>
        <v>-</v>
      </c>
      <c r="D506" s="2" t="str">
        <f>IFERROR(INDEX(Movimientos!$E$2:$E$1994,MATCH(A506&amp;"ENTRADA",Movimientos!$R$2:$R$1994,0)),"-")</f>
        <v>-</v>
      </c>
      <c r="E506" s="2" t="str">
        <f>IFERROR(INDEX(Movimientos!$F$2:$F$1994,MATCH(A506&amp;"ENTRADA",Movimientos!$R$2:$R$1994,0)),"-")</f>
        <v>-</v>
      </c>
      <c r="F506" s="2" t="str">
        <f>IFERROR(INDEX(Movimientos!$G$2:$G$1994,MATCH(A506&amp;"ENTRADA",Movimientos!$R$2:$R$1994,0)),"-")</f>
        <v>-</v>
      </c>
      <c r="G506" s="2" t="str">
        <f>IFERROR(INDEX(Movimientos!$L$2:$L$1994,MATCH(A506&amp;"ENTRADA",Movimientos!$R$2:$R$1994,0)),"-")</f>
        <v>-</v>
      </c>
      <c r="H506" s="17" t="str">
        <f>IFERROR(IF(INDEX(Movimientos!$M$2:$M$1994,MATCH(A506&amp;"ENTRADA",Movimientos!$R$2:$R$1994,0))=0,"S/D",INDEX(Movimientos!$M$2:$M$1994,MATCH(A506&amp;"ENTRADA",Movimientos!$R$2:$R$1994,0))),"S/D")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2782</v>
      </c>
      <c r="B507" s="2" t="str">
        <f>IFERROR(INDEX(Movimientos!$C$2:$C$1994,MATCH(A507&amp;"ENTRADA",Movimientos!$R$2:$R$1994,0)),"-")</f>
        <v>-</v>
      </c>
      <c r="C507" s="2" t="str">
        <f>IFERROR(INDEX(Movimientos!$D$2:$D$1994,MATCH(A507&amp;"ENTRADA",Movimientos!$R$2:$R$1994,0)),"-")</f>
        <v>-</v>
      </c>
      <c r="D507" s="2" t="str">
        <f>IFERROR(INDEX(Movimientos!$E$2:$E$1994,MATCH(A507&amp;"ENTRADA",Movimientos!$R$2:$R$1994,0)),"-")</f>
        <v>-</v>
      </c>
      <c r="E507" s="2" t="str">
        <f>IFERROR(INDEX(Movimientos!$F$2:$F$1994,MATCH(A507&amp;"ENTRADA",Movimientos!$R$2:$R$1994,0)),"-")</f>
        <v>-</v>
      </c>
      <c r="F507" s="2" t="str">
        <f>IFERROR(INDEX(Movimientos!$G$2:$G$1994,MATCH(A507&amp;"ENTRADA",Movimientos!$R$2:$R$1994,0)),"-")</f>
        <v>-</v>
      </c>
      <c r="G507" s="2" t="str">
        <f>IFERROR(INDEX(Movimientos!$L$2:$L$1994,MATCH(A507&amp;"ENTRADA",Movimientos!$R$2:$R$1994,0)),"-")</f>
        <v>-</v>
      </c>
      <c r="H507" s="17" t="str">
        <f>IFERROR(IF(INDEX(Movimientos!$M$2:$M$1994,MATCH(A507&amp;"ENTRADA",Movimientos!$R$2:$R$1994,0))=0,"S/D",INDEX(Movimientos!$M$2:$M$1994,MATCH(A507&amp;"ENTRADA",Movimientos!$R$2:$R$1994,0))),"S/D")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2783</v>
      </c>
      <c r="B508" s="2" t="str">
        <f>IFERROR(INDEX(Movimientos!$C$2:$C$1994,MATCH(A508&amp;"ENTRADA",Movimientos!$R$2:$R$1994,0)),"-")</f>
        <v>-</v>
      </c>
      <c r="C508" s="2" t="str">
        <f>IFERROR(INDEX(Movimientos!$D$2:$D$1994,MATCH(A508&amp;"ENTRADA",Movimientos!$R$2:$R$1994,0)),"-")</f>
        <v>-</v>
      </c>
      <c r="D508" s="2" t="str">
        <f>IFERROR(INDEX(Movimientos!$E$2:$E$1994,MATCH(A508&amp;"ENTRADA",Movimientos!$R$2:$R$1994,0)),"-")</f>
        <v>-</v>
      </c>
      <c r="E508" s="2" t="str">
        <f>IFERROR(INDEX(Movimientos!$F$2:$F$1994,MATCH(A508&amp;"ENTRADA",Movimientos!$R$2:$R$1994,0)),"-")</f>
        <v>-</v>
      </c>
      <c r="F508" s="2" t="str">
        <f>IFERROR(INDEX(Movimientos!$G$2:$G$1994,MATCH(A508&amp;"ENTRADA",Movimientos!$R$2:$R$1994,0)),"-")</f>
        <v>-</v>
      </c>
      <c r="G508" s="2" t="str">
        <f>IFERROR(INDEX(Movimientos!$L$2:$L$1994,MATCH(A508&amp;"ENTRADA",Movimientos!$R$2:$R$1994,0)),"-")</f>
        <v>-</v>
      </c>
      <c r="H508" s="17" t="str">
        <f>IFERROR(IF(INDEX(Movimientos!$M$2:$M$1994,MATCH(A508&amp;"ENTRADA",Movimientos!$R$2:$R$1994,0))=0,"S/D",INDEX(Movimientos!$M$2:$M$1994,MATCH(A508&amp;"ENTRADA",Movimientos!$R$2:$R$1994,0))),"S/D")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2784</v>
      </c>
      <c r="B509" s="2" t="str">
        <f>IFERROR(INDEX(Movimientos!$C$2:$C$1994,MATCH(A509&amp;"ENTRADA",Movimientos!$R$2:$R$1994,0)),"-")</f>
        <v>-</v>
      </c>
      <c r="C509" s="2" t="str">
        <f>IFERROR(INDEX(Movimientos!$D$2:$D$1994,MATCH(A509&amp;"ENTRADA",Movimientos!$R$2:$R$1994,0)),"-")</f>
        <v>-</v>
      </c>
      <c r="D509" s="2" t="str">
        <f>IFERROR(INDEX(Movimientos!$E$2:$E$1994,MATCH(A509&amp;"ENTRADA",Movimientos!$R$2:$R$1994,0)),"-")</f>
        <v>-</v>
      </c>
      <c r="E509" s="2" t="str">
        <f>IFERROR(INDEX(Movimientos!$F$2:$F$1994,MATCH(A509&amp;"ENTRADA",Movimientos!$R$2:$R$1994,0)),"-")</f>
        <v>-</v>
      </c>
      <c r="F509" s="2" t="str">
        <f>IFERROR(INDEX(Movimientos!$G$2:$G$1994,MATCH(A509&amp;"ENTRADA",Movimientos!$R$2:$R$1994,0)),"-")</f>
        <v>-</v>
      </c>
      <c r="G509" s="2" t="str">
        <f>IFERROR(INDEX(Movimientos!$L$2:$L$1994,MATCH(A509&amp;"ENTRADA",Movimientos!$R$2:$R$1994,0)),"-")</f>
        <v>-</v>
      </c>
      <c r="H509" s="17" t="str">
        <f>IFERROR(IF(INDEX(Movimientos!$M$2:$M$1994,MATCH(A509&amp;"ENTRADA",Movimientos!$R$2:$R$1994,0))=0,"S/D",INDEX(Movimientos!$M$2:$M$1994,MATCH(A509&amp;"ENTRADA",Movimientos!$R$2:$R$1994,0))),"S/D")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2785</v>
      </c>
      <c r="B510" s="2" t="str">
        <f>IFERROR(INDEX(Movimientos!$C$2:$C$1994,MATCH(A510&amp;"ENTRADA",Movimientos!$R$2:$R$1994,0)),"-")</f>
        <v>-</v>
      </c>
      <c r="C510" s="2" t="str">
        <f>IFERROR(INDEX(Movimientos!$D$2:$D$1994,MATCH(A510&amp;"ENTRADA",Movimientos!$R$2:$R$1994,0)),"-")</f>
        <v>-</v>
      </c>
      <c r="D510" s="2" t="str">
        <f>IFERROR(INDEX(Movimientos!$E$2:$E$1994,MATCH(A510&amp;"ENTRADA",Movimientos!$R$2:$R$1994,0)),"-")</f>
        <v>-</v>
      </c>
      <c r="E510" s="2" t="str">
        <f>IFERROR(INDEX(Movimientos!$F$2:$F$1994,MATCH(A510&amp;"ENTRADA",Movimientos!$R$2:$R$1994,0)),"-")</f>
        <v>-</v>
      </c>
      <c r="F510" s="2" t="str">
        <f>IFERROR(INDEX(Movimientos!$G$2:$G$1994,MATCH(A510&amp;"ENTRADA",Movimientos!$R$2:$R$1994,0)),"-")</f>
        <v>-</v>
      </c>
      <c r="G510" s="2" t="str">
        <f>IFERROR(INDEX(Movimientos!$L$2:$L$1994,MATCH(A510&amp;"ENTRADA",Movimientos!$R$2:$R$1994,0)),"-")</f>
        <v>-</v>
      </c>
      <c r="H510" s="17" t="str">
        <f>IFERROR(IF(INDEX(Movimientos!$M$2:$M$1994,MATCH(A510&amp;"ENTRADA",Movimientos!$R$2:$R$1994,0))=0,"S/D",INDEX(Movimientos!$M$2:$M$1994,MATCH(A510&amp;"ENTRADA",Movimientos!$R$2:$R$1994,0))),"S/D")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2786</v>
      </c>
      <c r="B511" s="2" t="str">
        <f>IFERROR(INDEX(Movimientos!$C$2:$C$1994,MATCH(A511&amp;"ENTRADA",Movimientos!$R$2:$R$1994,0)),"-")</f>
        <v>-</v>
      </c>
      <c r="C511" s="2" t="str">
        <f>IFERROR(INDEX(Movimientos!$D$2:$D$1994,MATCH(A511&amp;"ENTRADA",Movimientos!$R$2:$R$1994,0)),"-")</f>
        <v>-</v>
      </c>
      <c r="D511" s="2" t="str">
        <f>IFERROR(INDEX(Movimientos!$E$2:$E$1994,MATCH(A511&amp;"ENTRADA",Movimientos!$R$2:$R$1994,0)),"-")</f>
        <v>-</v>
      </c>
      <c r="E511" s="2" t="str">
        <f>IFERROR(INDEX(Movimientos!$F$2:$F$1994,MATCH(A511&amp;"ENTRADA",Movimientos!$R$2:$R$1994,0)),"-")</f>
        <v>-</v>
      </c>
      <c r="F511" s="2" t="str">
        <f>IFERROR(INDEX(Movimientos!$G$2:$G$1994,MATCH(A511&amp;"ENTRADA",Movimientos!$R$2:$R$1994,0)),"-")</f>
        <v>-</v>
      </c>
      <c r="G511" s="2" t="str">
        <f>IFERROR(INDEX(Movimientos!$L$2:$L$1994,MATCH(A511&amp;"ENTRADA",Movimientos!$R$2:$R$1994,0)),"-")</f>
        <v>-</v>
      </c>
      <c r="H511" s="17" t="str">
        <f>IFERROR(IF(INDEX(Movimientos!$M$2:$M$1994,MATCH(A511&amp;"ENTRADA",Movimientos!$R$2:$R$1994,0))=0,"S/D",INDEX(Movimientos!$M$2:$M$1994,MATCH(A511&amp;"ENTRADA",Movimientos!$R$2:$R$1994,0))),"S/D")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2787</v>
      </c>
      <c r="B512" s="2" t="str">
        <f>IFERROR(INDEX(Movimientos!$C$2:$C$1994,MATCH(A512&amp;"ENTRADA",Movimientos!$R$2:$R$1994,0)),"-")</f>
        <v>-</v>
      </c>
      <c r="C512" s="2" t="str">
        <f>IFERROR(INDEX(Movimientos!$D$2:$D$1994,MATCH(A512&amp;"ENTRADA",Movimientos!$R$2:$R$1994,0)),"-")</f>
        <v>-</v>
      </c>
      <c r="D512" s="2" t="str">
        <f>IFERROR(INDEX(Movimientos!$E$2:$E$1994,MATCH(A512&amp;"ENTRADA",Movimientos!$R$2:$R$1994,0)),"-")</f>
        <v>-</v>
      </c>
      <c r="E512" s="2" t="str">
        <f>IFERROR(INDEX(Movimientos!$F$2:$F$1994,MATCH(A512&amp;"ENTRADA",Movimientos!$R$2:$R$1994,0)),"-")</f>
        <v>-</v>
      </c>
      <c r="F512" s="2" t="str">
        <f>IFERROR(INDEX(Movimientos!$G$2:$G$1994,MATCH(A512&amp;"ENTRADA",Movimientos!$R$2:$R$1994,0)),"-")</f>
        <v>-</v>
      </c>
      <c r="G512" s="2" t="str">
        <f>IFERROR(INDEX(Movimientos!$L$2:$L$1994,MATCH(A512&amp;"ENTRADA",Movimientos!$R$2:$R$1994,0)),"-")</f>
        <v>-</v>
      </c>
      <c r="H512" s="17" t="str">
        <f>IFERROR(IF(INDEX(Movimientos!$M$2:$M$1994,MATCH(A512&amp;"ENTRADA",Movimientos!$R$2:$R$1994,0))=0,"S/D",INDEX(Movimientos!$M$2:$M$1994,MATCH(A512&amp;"ENTRADA",Movimientos!$R$2:$R$1994,0))),"S/D")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2788</v>
      </c>
      <c r="B513" s="2" t="str">
        <f>IFERROR(INDEX(Movimientos!$C$2:$C$1994,MATCH(A513&amp;"ENTRADA",Movimientos!$R$2:$R$1994,0)),"-")</f>
        <v>-</v>
      </c>
      <c r="C513" s="2" t="str">
        <f>IFERROR(INDEX(Movimientos!$D$2:$D$1994,MATCH(A513&amp;"ENTRADA",Movimientos!$R$2:$R$1994,0)),"-")</f>
        <v>-</v>
      </c>
      <c r="D513" s="2" t="str">
        <f>IFERROR(INDEX(Movimientos!$E$2:$E$1994,MATCH(A513&amp;"ENTRADA",Movimientos!$R$2:$R$1994,0)),"-")</f>
        <v>-</v>
      </c>
      <c r="E513" s="2" t="str">
        <f>IFERROR(INDEX(Movimientos!$F$2:$F$1994,MATCH(A513&amp;"ENTRADA",Movimientos!$R$2:$R$1994,0)),"-")</f>
        <v>-</v>
      </c>
      <c r="F513" s="2" t="str">
        <f>IFERROR(INDEX(Movimientos!$G$2:$G$1994,MATCH(A513&amp;"ENTRADA",Movimientos!$R$2:$R$1994,0)),"-")</f>
        <v>-</v>
      </c>
      <c r="G513" s="2" t="str">
        <f>IFERROR(INDEX(Movimientos!$L$2:$L$1994,MATCH(A513&amp;"ENTRADA",Movimientos!$R$2:$R$1994,0)),"-")</f>
        <v>-</v>
      </c>
      <c r="H513" s="17" t="str">
        <f>IFERROR(IF(INDEX(Movimientos!$M$2:$M$1994,MATCH(A513&amp;"ENTRADA",Movimientos!$R$2:$R$1994,0))=0,"S/D",INDEX(Movimientos!$M$2:$M$1994,MATCH(A513&amp;"ENTRADA",Movimientos!$R$2:$R$1994,0))),"S/D")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2789</v>
      </c>
      <c r="B514" s="2" t="str">
        <f>IFERROR(INDEX(Movimientos!$C$2:$C$1994,MATCH(A514&amp;"ENTRADA",Movimientos!$R$2:$R$1994,0)),"-")</f>
        <v>-</v>
      </c>
      <c r="C514" s="2" t="str">
        <f>IFERROR(INDEX(Movimientos!$D$2:$D$1994,MATCH(A514&amp;"ENTRADA",Movimientos!$R$2:$R$1994,0)),"-")</f>
        <v>-</v>
      </c>
      <c r="D514" s="2" t="str">
        <f>IFERROR(INDEX(Movimientos!$E$2:$E$1994,MATCH(A514&amp;"ENTRADA",Movimientos!$R$2:$R$1994,0)),"-")</f>
        <v>-</v>
      </c>
      <c r="E514" s="2" t="str">
        <f>IFERROR(INDEX(Movimientos!$F$2:$F$1994,MATCH(A514&amp;"ENTRADA",Movimientos!$R$2:$R$1994,0)),"-")</f>
        <v>-</v>
      </c>
      <c r="F514" s="2" t="str">
        <f>IFERROR(INDEX(Movimientos!$G$2:$G$1994,MATCH(A514&amp;"ENTRADA",Movimientos!$R$2:$R$1994,0)),"-")</f>
        <v>-</v>
      </c>
      <c r="G514" s="2" t="str">
        <f>IFERROR(INDEX(Movimientos!$L$2:$L$1994,MATCH(A514&amp;"ENTRADA",Movimientos!$R$2:$R$1994,0)),"-")</f>
        <v>-</v>
      </c>
      <c r="H514" s="17" t="str">
        <f>IFERROR(IF(INDEX(Movimientos!$M$2:$M$1994,MATCH(A514&amp;"ENTRADA",Movimientos!$R$2:$R$1994,0))=0,"S/D",INDEX(Movimientos!$M$2:$M$1994,MATCH(A514&amp;"ENTRADA",Movimientos!$R$2:$R$1994,0))),"S/D")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2790</v>
      </c>
      <c r="B515" s="2" t="str">
        <f>IFERROR(INDEX(Movimientos!$C$2:$C$1994,MATCH(A515&amp;"ENTRADA",Movimientos!$R$2:$R$1994,0)),"-")</f>
        <v>-</v>
      </c>
      <c r="C515" s="2" t="str">
        <f>IFERROR(INDEX(Movimientos!$D$2:$D$1994,MATCH(A515&amp;"ENTRADA",Movimientos!$R$2:$R$1994,0)),"-")</f>
        <v>-</v>
      </c>
      <c r="D515" s="2" t="str">
        <f>IFERROR(INDEX(Movimientos!$E$2:$E$1994,MATCH(A515&amp;"ENTRADA",Movimientos!$R$2:$R$1994,0)),"-")</f>
        <v>-</v>
      </c>
      <c r="E515" s="2" t="str">
        <f>IFERROR(INDEX(Movimientos!$F$2:$F$1994,MATCH(A515&amp;"ENTRADA",Movimientos!$R$2:$R$1994,0)),"-")</f>
        <v>-</v>
      </c>
      <c r="F515" s="2" t="str">
        <f>IFERROR(INDEX(Movimientos!$G$2:$G$1994,MATCH(A515&amp;"ENTRADA",Movimientos!$R$2:$R$1994,0)),"-")</f>
        <v>-</v>
      </c>
      <c r="G515" s="2" t="str">
        <f>IFERROR(INDEX(Movimientos!$L$2:$L$1994,MATCH(A515&amp;"ENTRADA",Movimientos!$R$2:$R$1994,0)),"-")</f>
        <v>-</v>
      </c>
      <c r="H515" s="17" t="str">
        <f>IFERROR(IF(INDEX(Movimientos!$M$2:$M$1994,MATCH(A515&amp;"ENTRADA",Movimientos!$R$2:$R$1994,0))=0,"S/D",INDEX(Movimientos!$M$2:$M$1994,MATCH(A515&amp;"ENTRADA",Movimientos!$R$2:$R$1994,0))),"S/D")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2791</v>
      </c>
      <c r="B516" s="2" t="str">
        <f>IFERROR(INDEX(Movimientos!$C$2:$C$1994,MATCH(A516&amp;"ENTRADA",Movimientos!$R$2:$R$1994,0)),"-")</f>
        <v>-</v>
      </c>
      <c r="C516" s="2" t="str">
        <f>IFERROR(INDEX(Movimientos!$D$2:$D$1994,MATCH(A516&amp;"ENTRADA",Movimientos!$R$2:$R$1994,0)),"-")</f>
        <v>-</v>
      </c>
      <c r="D516" s="2" t="str">
        <f>IFERROR(INDEX(Movimientos!$E$2:$E$1994,MATCH(A516&amp;"ENTRADA",Movimientos!$R$2:$R$1994,0)),"-")</f>
        <v>-</v>
      </c>
      <c r="E516" s="2" t="str">
        <f>IFERROR(INDEX(Movimientos!$F$2:$F$1994,MATCH(A516&amp;"ENTRADA",Movimientos!$R$2:$R$1994,0)),"-")</f>
        <v>-</v>
      </c>
      <c r="F516" s="2" t="str">
        <f>IFERROR(INDEX(Movimientos!$G$2:$G$1994,MATCH(A516&amp;"ENTRADA",Movimientos!$R$2:$R$1994,0)),"-")</f>
        <v>-</v>
      </c>
      <c r="G516" s="2" t="str">
        <f>IFERROR(INDEX(Movimientos!$L$2:$L$1994,MATCH(A516&amp;"ENTRADA",Movimientos!$R$2:$R$1994,0)),"-")</f>
        <v>-</v>
      </c>
      <c r="H516" s="17" t="str">
        <f>IFERROR(IF(INDEX(Movimientos!$M$2:$M$1994,MATCH(A516&amp;"ENTRADA",Movimientos!$R$2:$R$1994,0))=0,"S/D",INDEX(Movimientos!$M$2:$M$1994,MATCH(A516&amp;"ENTRADA",Movimientos!$R$2:$R$1994,0))),"S/D")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2792</v>
      </c>
      <c r="B517" s="2" t="str">
        <f>IFERROR(INDEX(Movimientos!$C$2:$C$1994,MATCH(A517&amp;"ENTRADA",Movimientos!$R$2:$R$1994,0)),"-")</f>
        <v>-</v>
      </c>
      <c r="C517" s="2" t="str">
        <f>IFERROR(INDEX(Movimientos!$D$2:$D$1994,MATCH(A517&amp;"ENTRADA",Movimientos!$R$2:$R$1994,0)),"-")</f>
        <v>-</v>
      </c>
      <c r="D517" s="2" t="str">
        <f>IFERROR(INDEX(Movimientos!$E$2:$E$1994,MATCH(A517&amp;"ENTRADA",Movimientos!$R$2:$R$1994,0)),"-")</f>
        <v>-</v>
      </c>
      <c r="E517" s="2" t="str">
        <f>IFERROR(INDEX(Movimientos!$F$2:$F$1994,MATCH(A517&amp;"ENTRADA",Movimientos!$R$2:$R$1994,0)),"-")</f>
        <v>-</v>
      </c>
      <c r="F517" s="2" t="str">
        <f>IFERROR(INDEX(Movimientos!$G$2:$G$1994,MATCH(A517&amp;"ENTRADA",Movimientos!$R$2:$R$1994,0)),"-")</f>
        <v>-</v>
      </c>
      <c r="G517" s="2" t="str">
        <f>IFERROR(INDEX(Movimientos!$L$2:$L$1994,MATCH(A517&amp;"ENTRADA",Movimientos!$R$2:$R$1994,0)),"-")</f>
        <v>-</v>
      </c>
      <c r="H517" s="17" t="str">
        <f>IFERROR(IF(INDEX(Movimientos!$M$2:$M$1994,MATCH(A517&amp;"ENTRADA",Movimientos!$R$2:$R$1994,0))=0,"S/D",INDEX(Movimientos!$M$2:$M$1994,MATCH(A517&amp;"ENTRADA",Movimientos!$R$2:$R$1994,0))),"S/D")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2793</v>
      </c>
      <c r="B518" s="2" t="str">
        <f>IFERROR(INDEX(Movimientos!$C$2:$C$1994,MATCH(A518&amp;"ENTRADA",Movimientos!$R$2:$R$1994,0)),"-")</f>
        <v>-</v>
      </c>
      <c r="C518" s="2" t="str">
        <f>IFERROR(INDEX(Movimientos!$D$2:$D$1994,MATCH(A518&amp;"ENTRADA",Movimientos!$R$2:$R$1994,0)),"-")</f>
        <v>-</v>
      </c>
      <c r="D518" s="2" t="str">
        <f>IFERROR(INDEX(Movimientos!$E$2:$E$1994,MATCH(A518&amp;"ENTRADA",Movimientos!$R$2:$R$1994,0)),"-")</f>
        <v>-</v>
      </c>
      <c r="E518" s="2" t="str">
        <f>IFERROR(INDEX(Movimientos!$F$2:$F$1994,MATCH(A518&amp;"ENTRADA",Movimientos!$R$2:$R$1994,0)),"-")</f>
        <v>-</v>
      </c>
      <c r="F518" s="2" t="str">
        <f>IFERROR(INDEX(Movimientos!$G$2:$G$1994,MATCH(A518&amp;"ENTRADA",Movimientos!$R$2:$R$1994,0)),"-")</f>
        <v>-</v>
      </c>
      <c r="G518" s="2" t="str">
        <f>IFERROR(INDEX(Movimientos!$L$2:$L$1994,MATCH(A518&amp;"ENTRADA",Movimientos!$R$2:$R$1994,0)),"-")</f>
        <v>-</v>
      </c>
      <c r="H518" s="17" t="str">
        <f>IFERROR(IF(INDEX(Movimientos!$M$2:$M$1994,MATCH(A518&amp;"ENTRADA",Movimientos!$R$2:$R$1994,0))=0,"S/D",INDEX(Movimientos!$M$2:$M$1994,MATCH(A518&amp;"ENTRADA",Movimientos!$R$2:$R$1994,0))),"S/D")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2794</v>
      </c>
      <c r="B519" s="2" t="str">
        <f>IFERROR(INDEX(Movimientos!$C$2:$C$1994,MATCH(A519&amp;"ENTRADA",Movimientos!$R$2:$R$1994,0)),"-")</f>
        <v>-</v>
      </c>
      <c r="C519" s="2" t="str">
        <f>IFERROR(INDEX(Movimientos!$D$2:$D$1994,MATCH(A519&amp;"ENTRADA",Movimientos!$R$2:$R$1994,0)),"-")</f>
        <v>-</v>
      </c>
      <c r="D519" s="2" t="str">
        <f>IFERROR(INDEX(Movimientos!$E$2:$E$1994,MATCH(A519&amp;"ENTRADA",Movimientos!$R$2:$R$1994,0)),"-")</f>
        <v>-</v>
      </c>
      <c r="E519" s="2" t="str">
        <f>IFERROR(INDEX(Movimientos!$F$2:$F$1994,MATCH(A519&amp;"ENTRADA",Movimientos!$R$2:$R$1994,0)),"-")</f>
        <v>-</v>
      </c>
      <c r="F519" s="2" t="str">
        <f>IFERROR(INDEX(Movimientos!$G$2:$G$1994,MATCH(A519&amp;"ENTRADA",Movimientos!$R$2:$R$1994,0)),"-")</f>
        <v>-</v>
      </c>
      <c r="G519" s="2" t="str">
        <f>IFERROR(INDEX(Movimientos!$L$2:$L$1994,MATCH(A519&amp;"ENTRADA",Movimientos!$R$2:$R$1994,0)),"-")</f>
        <v>-</v>
      </c>
      <c r="H519" s="17" t="str">
        <f>IFERROR(IF(INDEX(Movimientos!$M$2:$M$1994,MATCH(A519&amp;"ENTRADA",Movimientos!$R$2:$R$1994,0))=0,"S/D",INDEX(Movimientos!$M$2:$M$1994,MATCH(A519&amp;"ENTRADA",Movimientos!$R$2:$R$1994,0))),"S/D")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2795</v>
      </c>
      <c r="B520" s="2" t="str">
        <f>IFERROR(INDEX(Movimientos!$C$2:$C$1994,MATCH(A520&amp;"ENTRADA",Movimientos!$R$2:$R$1994,0)),"-")</f>
        <v>-</v>
      </c>
      <c r="C520" s="2" t="str">
        <f>IFERROR(INDEX(Movimientos!$D$2:$D$1994,MATCH(A520&amp;"ENTRADA",Movimientos!$R$2:$R$1994,0)),"-")</f>
        <v>-</v>
      </c>
      <c r="D520" s="2" t="str">
        <f>IFERROR(INDEX(Movimientos!$E$2:$E$1994,MATCH(A520&amp;"ENTRADA",Movimientos!$R$2:$R$1994,0)),"-")</f>
        <v>-</v>
      </c>
      <c r="E520" s="2" t="str">
        <f>IFERROR(INDEX(Movimientos!$F$2:$F$1994,MATCH(A520&amp;"ENTRADA",Movimientos!$R$2:$R$1994,0)),"-")</f>
        <v>-</v>
      </c>
      <c r="F520" s="2" t="str">
        <f>IFERROR(INDEX(Movimientos!$G$2:$G$1994,MATCH(A520&amp;"ENTRADA",Movimientos!$R$2:$R$1994,0)),"-")</f>
        <v>-</v>
      </c>
      <c r="G520" s="2" t="str">
        <f>IFERROR(INDEX(Movimientos!$L$2:$L$1994,MATCH(A520&amp;"ENTRADA",Movimientos!$R$2:$R$1994,0)),"-")</f>
        <v>-</v>
      </c>
      <c r="H520" s="17" t="str">
        <f>IFERROR(IF(INDEX(Movimientos!$M$2:$M$1994,MATCH(A520&amp;"ENTRADA",Movimientos!$R$2:$R$1994,0))=0,"S/D",INDEX(Movimientos!$M$2:$M$1994,MATCH(A520&amp;"ENTRADA",Movimientos!$R$2:$R$1994,0))),"S/D")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2796</v>
      </c>
      <c r="B521" s="2" t="str">
        <f>IFERROR(INDEX(Movimientos!$C$2:$C$1994,MATCH(A521&amp;"ENTRADA",Movimientos!$R$2:$R$1994,0)),"-")</f>
        <v>-</v>
      </c>
      <c r="C521" s="2" t="str">
        <f>IFERROR(INDEX(Movimientos!$D$2:$D$1994,MATCH(A521&amp;"ENTRADA",Movimientos!$R$2:$R$1994,0)),"-")</f>
        <v>-</v>
      </c>
      <c r="D521" s="2" t="str">
        <f>IFERROR(INDEX(Movimientos!$E$2:$E$1994,MATCH(A521&amp;"ENTRADA",Movimientos!$R$2:$R$1994,0)),"-")</f>
        <v>-</v>
      </c>
      <c r="E521" s="2" t="str">
        <f>IFERROR(INDEX(Movimientos!$F$2:$F$1994,MATCH(A521&amp;"ENTRADA",Movimientos!$R$2:$R$1994,0)),"-")</f>
        <v>-</v>
      </c>
      <c r="F521" s="2" t="str">
        <f>IFERROR(INDEX(Movimientos!$G$2:$G$1994,MATCH(A521&amp;"ENTRADA",Movimientos!$R$2:$R$1994,0)),"-")</f>
        <v>-</v>
      </c>
      <c r="G521" s="2" t="str">
        <f>IFERROR(INDEX(Movimientos!$L$2:$L$1994,MATCH(A521&amp;"ENTRADA",Movimientos!$R$2:$R$1994,0)),"-")</f>
        <v>-</v>
      </c>
      <c r="H521" s="17" t="str">
        <f>IFERROR(IF(INDEX(Movimientos!$M$2:$M$1994,MATCH(A521&amp;"ENTRADA",Movimientos!$R$2:$R$1994,0))=0,"S/D",INDEX(Movimientos!$M$2:$M$1994,MATCH(A521&amp;"ENTRADA",Movimientos!$R$2:$R$1994,0))),"S/D")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2797</v>
      </c>
      <c r="B522" s="2" t="str">
        <f>IFERROR(INDEX(Movimientos!$C$2:$C$1994,MATCH(A522&amp;"ENTRADA",Movimientos!$R$2:$R$1994,0)),"-")</f>
        <v>-</v>
      </c>
      <c r="C522" s="2" t="str">
        <f>IFERROR(INDEX(Movimientos!$D$2:$D$1994,MATCH(A522&amp;"ENTRADA",Movimientos!$R$2:$R$1994,0)),"-")</f>
        <v>-</v>
      </c>
      <c r="D522" s="2" t="str">
        <f>IFERROR(INDEX(Movimientos!$E$2:$E$1994,MATCH(A522&amp;"ENTRADA",Movimientos!$R$2:$R$1994,0)),"-")</f>
        <v>-</v>
      </c>
      <c r="E522" s="2" t="str">
        <f>IFERROR(INDEX(Movimientos!$F$2:$F$1994,MATCH(A522&amp;"ENTRADA",Movimientos!$R$2:$R$1994,0)),"-")</f>
        <v>-</v>
      </c>
      <c r="F522" s="2" t="str">
        <f>IFERROR(INDEX(Movimientos!$G$2:$G$1994,MATCH(A522&amp;"ENTRADA",Movimientos!$R$2:$R$1994,0)),"-")</f>
        <v>-</v>
      </c>
      <c r="G522" s="2" t="str">
        <f>IFERROR(INDEX(Movimientos!$L$2:$L$1994,MATCH(A522&amp;"ENTRADA",Movimientos!$R$2:$R$1994,0)),"-")</f>
        <v>-</v>
      </c>
      <c r="H522" s="17" t="str">
        <f>IFERROR(IF(INDEX(Movimientos!$M$2:$M$1994,MATCH(A522&amp;"ENTRADA",Movimientos!$R$2:$R$1994,0))=0,"S/D",INDEX(Movimientos!$M$2:$M$1994,MATCH(A522&amp;"ENTRADA",Movimientos!$R$2:$R$1994,0))),"S/D")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2798</v>
      </c>
      <c r="B523" s="2" t="str">
        <f>IFERROR(INDEX(Movimientos!$C$2:$C$1994,MATCH(A523&amp;"ENTRADA",Movimientos!$R$2:$R$1994,0)),"-")</f>
        <v>-</v>
      </c>
      <c r="C523" s="2" t="str">
        <f>IFERROR(INDEX(Movimientos!$D$2:$D$1994,MATCH(A523&amp;"ENTRADA",Movimientos!$R$2:$R$1994,0)),"-")</f>
        <v>-</v>
      </c>
      <c r="D523" s="2" t="str">
        <f>IFERROR(INDEX(Movimientos!$E$2:$E$1994,MATCH(A523&amp;"ENTRADA",Movimientos!$R$2:$R$1994,0)),"-")</f>
        <v>-</v>
      </c>
      <c r="E523" s="2" t="str">
        <f>IFERROR(INDEX(Movimientos!$F$2:$F$1994,MATCH(A523&amp;"ENTRADA",Movimientos!$R$2:$R$1994,0)),"-")</f>
        <v>-</v>
      </c>
      <c r="F523" s="2" t="str">
        <f>IFERROR(INDEX(Movimientos!$G$2:$G$1994,MATCH(A523&amp;"ENTRADA",Movimientos!$R$2:$R$1994,0)),"-")</f>
        <v>-</v>
      </c>
      <c r="G523" s="2" t="str">
        <f>IFERROR(INDEX(Movimientos!$L$2:$L$1994,MATCH(A523&amp;"ENTRADA",Movimientos!$R$2:$R$1994,0)),"-")</f>
        <v>-</v>
      </c>
      <c r="H523" s="17" t="str">
        <f>IFERROR(IF(INDEX(Movimientos!$M$2:$M$1994,MATCH(A523&amp;"ENTRADA",Movimientos!$R$2:$R$1994,0))=0,"S/D",INDEX(Movimientos!$M$2:$M$1994,MATCH(A523&amp;"ENTRADA",Movimientos!$R$2:$R$1994,0))),"S/D")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2799</v>
      </c>
      <c r="B524" s="2" t="str">
        <f>IFERROR(INDEX(Movimientos!$C$2:$C$1994,MATCH(A524&amp;"ENTRADA",Movimientos!$R$2:$R$1994,0)),"-")</f>
        <v>-</v>
      </c>
      <c r="C524" s="2" t="str">
        <f>IFERROR(INDEX(Movimientos!$D$2:$D$1994,MATCH(A524&amp;"ENTRADA",Movimientos!$R$2:$R$1994,0)),"-")</f>
        <v>-</v>
      </c>
      <c r="D524" s="2" t="str">
        <f>IFERROR(INDEX(Movimientos!$E$2:$E$1994,MATCH(A524&amp;"ENTRADA",Movimientos!$R$2:$R$1994,0)),"-")</f>
        <v>-</v>
      </c>
      <c r="E524" s="2" t="str">
        <f>IFERROR(INDEX(Movimientos!$F$2:$F$1994,MATCH(A524&amp;"ENTRADA",Movimientos!$R$2:$R$1994,0)),"-")</f>
        <v>-</v>
      </c>
      <c r="F524" s="2" t="str">
        <f>IFERROR(INDEX(Movimientos!$G$2:$G$1994,MATCH(A524&amp;"ENTRADA",Movimientos!$R$2:$R$1994,0)),"-")</f>
        <v>-</v>
      </c>
      <c r="G524" s="2" t="str">
        <f>IFERROR(INDEX(Movimientos!$L$2:$L$1994,MATCH(A524&amp;"ENTRADA",Movimientos!$R$2:$R$1994,0)),"-")</f>
        <v>-</v>
      </c>
      <c r="H524" s="17" t="str">
        <f>IFERROR(IF(INDEX(Movimientos!$M$2:$M$1994,MATCH(A524&amp;"ENTRADA",Movimientos!$R$2:$R$1994,0))=0,"S/D",INDEX(Movimientos!$M$2:$M$1994,MATCH(A524&amp;"ENTRADA",Movimientos!$R$2:$R$1994,0))),"S/D")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2800</v>
      </c>
      <c r="B525" s="2" t="str">
        <f>IFERROR(INDEX(Movimientos!$C$2:$C$1994,MATCH(A525&amp;"ENTRADA",Movimientos!$R$2:$R$1994,0)),"-")</f>
        <v>-</v>
      </c>
      <c r="C525" s="2" t="str">
        <f>IFERROR(INDEX(Movimientos!$D$2:$D$1994,MATCH(A525&amp;"ENTRADA",Movimientos!$R$2:$R$1994,0)),"-")</f>
        <v>-</v>
      </c>
      <c r="D525" s="2" t="str">
        <f>IFERROR(INDEX(Movimientos!$E$2:$E$1994,MATCH(A525&amp;"ENTRADA",Movimientos!$R$2:$R$1994,0)),"-")</f>
        <v>-</v>
      </c>
      <c r="E525" s="2" t="str">
        <f>IFERROR(INDEX(Movimientos!$F$2:$F$1994,MATCH(A525&amp;"ENTRADA",Movimientos!$R$2:$R$1994,0)),"-")</f>
        <v>-</v>
      </c>
      <c r="F525" s="2" t="str">
        <f>IFERROR(INDEX(Movimientos!$G$2:$G$1994,MATCH(A525&amp;"ENTRADA",Movimientos!$R$2:$R$1994,0)),"-")</f>
        <v>-</v>
      </c>
      <c r="G525" s="2" t="str">
        <f>IFERROR(INDEX(Movimientos!$L$2:$L$1994,MATCH(A525&amp;"ENTRADA",Movimientos!$R$2:$R$1994,0)),"-")</f>
        <v>-</v>
      </c>
      <c r="H525" s="17" t="str">
        <f>IFERROR(IF(INDEX(Movimientos!$M$2:$M$1994,MATCH(A525&amp;"ENTRADA",Movimientos!$R$2:$R$1994,0))=0,"S/D",INDEX(Movimientos!$M$2:$M$1994,MATCH(A525&amp;"ENTRADA",Movimientos!$R$2:$R$1994,0))),"S/D")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2801</v>
      </c>
      <c r="B526" s="2" t="str">
        <f>IFERROR(INDEX(Movimientos!$C$2:$C$1994,MATCH(A526&amp;"ENTRADA",Movimientos!$R$2:$R$1994,0)),"-")</f>
        <v>-</v>
      </c>
      <c r="C526" s="2" t="str">
        <f>IFERROR(INDEX(Movimientos!$D$2:$D$1994,MATCH(A526&amp;"ENTRADA",Movimientos!$R$2:$R$1994,0)),"-")</f>
        <v>-</v>
      </c>
      <c r="D526" s="2" t="str">
        <f>IFERROR(INDEX(Movimientos!$E$2:$E$1994,MATCH(A526&amp;"ENTRADA",Movimientos!$R$2:$R$1994,0)),"-")</f>
        <v>-</v>
      </c>
      <c r="E526" s="2" t="str">
        <f>IFERROR(INDEX(Movimientos!$F$2:$F$1994,MATCH(A526&amp;"ENTRADA",Movimientos!$R$2:$R$1994,0)),"-")</f>
        <v>-</v>
      </c>
      <c r="F526" s="2" t="str">
        <f>IFERROR(INDEX(Movimientos!$G$2:$G$1994,MATCH(A526&amp;"ENTRADA",Movimientos!$R$2:$R$1994,0)),"-")</f>
        <v>-</v>
      </c>
      <c r="G526" s="2" t="str">
        <f>IFERROR(INDEX(Movimientos!$L$2:$L$1994,MATCH(A526&amp;"ENTRADA",Movimientos!$R$2:$R$1994,0)),"-")</f>
        <v>-</v>
      </c>
      <c r="H526" s="17" t="str">
        <f>IFERROR(IF(INDEX(Movimientos!$M$2:$M$1994,MATCH(A526&amp;"ENTRADA",Movimientos!$R$2:$R$1994,0))=0,"S/D",INDEX(Movimientos!$M$2:$M$1994,MATCH(A526&amp;"ENTRADA",Movimientos!$R$2:$R$1994,0))),"S/D")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2802</v>
      </c>
      <c r="B527" s="2" t="str">
        <f>IFERROR(INDEX(Movimientos!$C$2:$C$1994,MATCH(A527&amp;"ENTRADA",Movimientos!$R$2:$R$1994,0)),"-")</f>
        <v>-</v>
      </c>
      <c r="C527" s="2" t="str">
        <f>IFERROR(INDEX(Movimientos!$D$2:$D$1994,MATCH(A527&amp;"ENTRADA",Movimientos!$R$2:$R$1994,0)),"-")</f>
        <v>-</v>
      </c>
      <c r="D527" s="2" t="str">
        <f>IFERROR(INDEX(Movimientos!$E$2:$E$1994,MATCH(A527&amp;"ENTRADA",Movimientos!$R$2:$R$1994,0)),"-")</f>
        <v>-</v>
      </c>
      <c r="E527" s="2" t="str">
        <f>IFERROR(INDEX(Movimientos!$F$2:$F$1994,MATCH(A527&amp;"ENTRADA",Movimientos!$R$2:$R$1994,0)),"-")</f>
        <v>-</v>
      </c>
      <c r="F527" s="2" t="str">
        <f>IFERROR(INDEX(Movimientos!$G$2:$G$1994,MATCH(A527&amp;"ENTRADA",Movimientos!$R$2:$R$1994,0)),"-")</f>
        <v>-</v>
      </c>
      <c r="G527" s="2" t="str">
        <f>IFERROR(INDEX(Movimientos!$L$2:$L$1994,MATCH(A527&amp;"ENTRADA",Movimientos!$R$2:$R$1994,0)),"-")</f>
        <v>-</v>
      </c>
      <c r="H527" s="17" t="str">
        <f>IFERROR(IF(INDEX(Movimientos!$M$2:$M$1994,MATCH(A527&amp;"ENTRADA",Movimientos!$R$2:$R$1994,0))=0,"S/D",INDEX(Movimientos!$M$2:$M$1994,MATCH(A527&amp;"ENTRADA",Movimientos!$R$2:$R$1994,0))),"S/D")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2803</v>
      </c>
      <c r="B528" s="2" t="str">
        <f>IFERROR(INDEX(Movimientos!$C$2:$C$1994,MATCH(A528&amp;"ENTRADA",Movimientos!$R$2:$R$1994,0)),"-")</f>
        <v>-</v>
      </c>
      <c r="C528" s="2" t="str">
        <f>IFERROR(INDEX(Movimientos!$D$2:$D$1994,MATCH(A528&amp;"ENTRADA",Movimientos!$R$2:$R$1994,0)),"-")</f>
        <v>-</v>
      </c>
      <c r="D528" s="2" t="str">
        <f>IFERROR(INDEX(Movimientos!$E$2:$E$1994,MATCH(A528&amp;"ENTRADA",Movimientos!$R$2:$R$1994,0)),"-")</f>
        <v>-</v>
      </c>
      <c r="E528" s="2" t="str">
        <f>IFERROR(INDEX(Movimientos!$F$2:$F$1994,MATCH(A528&amp;"ENTRADA",Movimientos!$R$2:$R$1994,0)),"-")</f>
        <v>-</v>
      </c>
      <c r="F528" s="2" t="str">
        <f>IFERROR(INDEX(Movimientos!$G$2:$G$1994,MATCH(A528&amp;"ENTRADA",Movimientos!$R$2:$R$1994,0)),"-")</f>
        <v>-</v>
      </c>
      <c r="G528" s="2" t="str">
        <f>IFERROR(INDEX(Movimientos!$L$2:$L$1994,MATCH(A528&amp;"ENTRADA",Movimientos!$R$2:$R$1994,0)),"-")</f>
        <v>-</v>
      </c>
      <c r="H528" s="17" t="str">
        <f>IFERROR(IF(INDEX(Movimientos!$M$2:$M$1994,MATCH(A528&amp;"ENTRADA",Movimientos!$R$2:$R$1994,0))=0,"S/D",INDEX(Movimientos!$M$2:$M$1994,MATCH(A528&amp;"ENTRADA",Movimientos!$R$2:$R$1994,0))),"S/D")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2804</v>
      </c>
      <c r="B529" s="2" t="str">
        <f>IFERROR(INDEX(Movimientos!$C$2:$C$1994,MATCH(A529&amp;"ENTRADA",Movimientos!$R$2:$R$1994,0)),"-")</f>
        <v>-</v>
      </c>
      <c r="C529" s="2" t="str">
        <f>IFERROR(INDEX(Movimientos!$D$2:$D$1994,MATCH(A529&amp;"ENTRADA",Movimientos!$R$2:$R$1994,0)),"-")</f>
        <v>-</v>
      </c>
      <c r="D529" s="2" t="str">
        <f>IFERROR(INDEX(Movimientos!$E$2:$E$1994,MATCH(A529&amp;"ENTRADA",Movimientos!$R$2:$R$1994,0)),"-")</f>
        <v>-</v>
      </c>
      <c r="E529" s="2" t="str">
        <f>IFERROR(INDEX(Movimientos!$F$2:$F$1994,MATCH(A529&amp;"ENTRADA",Movimientos!$R$2:$R$1994,0)),"-")</f>
        <v>-</v>
      </c>
      <c r="F529" s="2" t="str">
        <f>IFERROR(INDEX(Movimientos!$G$2:$G$1994,MATCH(A529&amp;"ENTRADA",Movimientos!$R$2:$R$1994,0)),"-")</f>
        <v>-</v>
      </c>
      <c r="G529" s="2" t="str">
        <f>IFERROR(INDEX(Movimientos!$L$2:$L$1994,MATCH(A529&amp;"ENTRADA",Movimientos!$R$2:$R$1994,0)),"-")</f>
        <v>-</v>
      </c>
      <c r="H529" s="17" t="str">
        <f>IFERROR(IF(INDEX(Movimientos!$M$2:$M$1994,MATCH(A529&amp;"ENTRADA",Movimientos!$R$2:$R$1994,0))=0,"S/D",INDEX(Movimientos!$M$2:$M$1994,MATCH(A529&amp;"ENTRADA",Movimientos!$R$2:$R$1994,0))),"S/D")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2805</v>
      </c>
      <c r="B530" s="2" t="str">
        <f>IFERROR(INDEX(Movimientos!$C$2:$C$1994,MATCH(A530&amp;"ENTRADA",Movimientos!$R$2:$R$1994,0)),"-")</f>
        <v>-</v>
      </c>
      <c r="C530" s="2" t="str">
        <f>IFERROR(INDEX(Movimientos!$D$2:$D$1994,MATCH(A530&amp;"ENTRADA",Movimientos!$R$2:$R$1994,0)),"-")</f>
        <v>-</v>
      </c>
      <c r="D530" s="2" t="str">
        <f>IFERROR(INDEX(Movimientos!$E$2:$E$1994,MATCH(A530&amp;"ENTRADA",Movimientos!$R$2:$R$1994,0)),"-")</f>
        <v>-</v>
      </c>
      <c r="E530" s="2" t="str">
        <f>IFERROR(INDEX(Movimientos!$F$2:$F$1994,MATCH(A530&amp;"ENTRADA",Movimientos!$R$2:$R$1994,0)),"-")</f>
        <v>-</v>
      </c>
      <c r="F530" s="2" t="str">
        <f>IFERROR(INDEX(Movimientos!$G$2:$G$1994,MATCH(A530&amp;"ENTRADA",Movimientos!$R$2:$R$1994,0)),"-")</f>
        <v>-</v>
      </c>
      <c r="G530" s="2" t="str">
        <f>IFERROR(INDEX(Movimientos!$L$2:$L$1994,MATCH(A530&amp;"ENTRADA",Movimientos!$R$2:$R$1994,0)),"-")</f>
        <v>-</v>
      </c>
      <c r="H530" s="17" t="str">
        <f>IFERROR(IF(INDEX(Movimientos!$M$2:$M$1994,MATCH(A530&amp;"ENTRADA",Movimientos!$R$2:$R$1994,0))=0,"S/D",INDEX(Movimientos!$M$2:$M$1994,MATCH(A530&amp;"ENTRADA",Movimientos!$R$2:$R$1994,0))),"S/D")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2806</v>
      </c>
      <c r="B531" s="2" t="str">
        <f>IFERROR(INDEX(Movimientos!$C$2:$C$1994,MATCH(A531&amp;"ENTRADA",Movimientos!$R$2:$R$1994,0)),"-")</f>
        <v>-</v>
      </c>
      <c r="C531" s="2" t="str">
        <f>IFERROR(INDEX(Movimientos!$D$2:$D$1994,MATCH(A531&amp;"ENTRADA",Movimientos!$R$2:$R$1994,0)),"-")</f>
        <v>-</v>
      </c>
      <c r="D531" s="2" t="str">
        <f>IFERROR(INDEX(Movimientos!$E$2:$E$1994,MATCH(A531&amp;"ENTRADA",Movimientos!$R$2:$R$1994,0)),"-")</f>
        <v>-</v>
      </c>
      <c r="E531" s="2" t="str">
        <f>IFERROR(INDEX(Movimientos!$F$2:$F$1994,MATCH(A531&amp;"ENTRADA",Movimientos!$R$2:$R$1994,0)),"-")</f>
        <v>-</v>
      </c>
      <c r="F531" s="2" t="str">
        <f>IFERROR(INDEX(Movimientos!$G$2:$G$1994,MATCH(A531&amp;"ENTRADA",Movimientos!$R$2:$R$1994,0)),"-")</f>
        <v>-</v>
      </c>
      <c r="G531" s="2" t="str">
        <f>IFERROR(INDEX(Movimientos!$L$2:$L$1994,MATCH(A531&amp;"ENTRADA",Movimientos!$R$2:$R$1994,0)),"-")</f>
        <v>-</v>
      </c>
      <c r="H531" s="17" t="str">
        <f>IFERROR(IF(INDEX(Movimientos!$M$2:$M$1994,MATCH(A531&amp;"ENTRADA",Movimientos!$R$2:$R$1994,0))=0,"S/D",INDEX(Movimientos!$M$2:$M$1994,MATCH(A531&amp;"ENTRADA",Movimientos!$R$2:$R$1994,0))),"S/D")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2807</v>
      </c>
      <c r="B532" s="2" t="str">
        <f>IFERROR(INDEX(Movimientos!$C$2:$C$1994,MATCH(A532&amp;"ENTRADA",Movimientos!$R$2:$R$1994,0)),"-")</f>
        <v>-</v>
      </c>
      <c r="C532" s="2" t="str">
        <f>IFERROR(INDEX(Movimientos!$D$2:$D$1994,MATCH(A532&amp;"ENTRADA",Movimientos!$R$2:$R$1994,0)),"-")</f>
        <v>-</v>
      </c>
      <c r="D532" s="2" t="str">
        <f>IFERROR(INDEX(Movimientos!$E$2:$E$1994,MATCH(A532&amp;"ENTRADA",Movimientos!$R$2:$R$1994,0)),"-")</f>
        <v>-</v>
      </c>
      <c r="E532" s="2" t="str">
        <f>IFERROR(INDEX(Movimientos!$F$2:$F$1994,MATCH(A532&amp;"ENTRADA",Movimientos!$R$2:$R$1994,0)),"-")</f>
        <v>-</v>
      </c>
      <c r="F532" s="2" t="str">
        <f>IFERROR(INDEX(Movimientos!$G$2:$G$1994,MATCH(A532&amp;"ENTRADA",Movimientos!$R$2:$R$1994,0)),"-")</f>
        <v>-</v>
      </c>
      <c r="G532" s="2" t="str">
        <f>IFERROR(INDEX(Movimientos!$L$2:$L$1994,MATCH(A532&amp;"ENTRADA",Movimientos!$R$2:$R$1994,0)),"-")</f>
        <v>-</v>
      </c>
      <c r="H532" s="17" t="str">
        <f>IFERROR(IF(INDEX(Movimientos!$M$2:$M$1994,MATCH(A532&amp;"ENTRADA",Movimientos!$R$2:$R$1994,0))=0,"S/D",INDEX(Movimientos!$M$2:$M$1994,MATCH(A532&amp;"ENTRADA",Movimientos!$R$2:$R$1994,0))),"S/D")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2808</v>
      </c>
      <c r="B533" s="2" t="str">
        <f>IFERROR(INDEX(Movimientos!$C$2:$C$1994,MATCH(A533&amp;"ENTRADA",Movimientos!$R$2:$R$1994,0)),"-")</f>
        <v>-</v>
      </c>
      <c r="C533" s="2" t="str">
        <f>IFERROR(INDEX(Movimientos!$D$2:$D$1994,MATCH(A533&amp;"ENTRADA",Movimientos!$R$2:$R$1994,0)),"-")</f>
        <v>-</v>
      </c>
      <c r="D533" s="2" t="str">
        <f>IFERROR(INDEX(Movimientos!$E$2:$E$1994,MATCH(A533&amp;"ENTRADA",Movimientos!$R$2:$R$1994,0)),"-")</f>
        <v>-</v>
      </c>
      <c r="E533" s="2" t="str">
        <f>IFERROR(INDEX(Movimientos!$F$2:$F$1994,MATCH(A533&amp;"ENTRADA",Movimientos!$R$2:$R$1994,0)),"-")</f>
        <v>-</v>
      </c>
      <c r="F533" s="2" t="str">
        <f>IFERROR(INDEX(Movimientos!$G$2:$G$1994,MATCH(A533&amp;"ENTRADA",Movimientos!$R$2:$R$1994,0)),"-")</f>
        <v>-</v>
      </c>
      <c r="G533" s="2" t="str">
        <f>IFERROR(INDEX(Movimientos!$L$2:$L$1994,MATCH(A533&amp;"ENTRADA",Movimientos!$R$2:$R$1994,0)),"-")</f>
        <v>-</v>
      </c>
      <c r="H533" s="17" t="str">
        <f>IFERROR(IF(INDEX(Movimientos!$M$2:$M$1994,MATCH(A533&amp;"ENTRADA",Movimientos!$R$2:$R$1994,0))=0,"S/D",INDEX(Movimientos!$M$2:$M$1994,MATCH(A533&amp;"ENTRADA",Movimientos!$R$2:$R$1994,0))),"S/D")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2809</v>
      </c>
      <c r="B534" s="2" t="str">
        <f>IFERROR(INDEX(Movimientos!$C$2:$C$1994,MATCH(A534&amp;"ENTRADA",Movimientos!$R$2:$R$1994,0)),"-")</f>
        <v>-</v>
      </c>
      <c r="C534" s="2" t="str">
        <f>IFERROR(INDEX(Movimientos!$D$2:$D$1994,MATCH(A534&amp;"ENTRADA",Movimientos!$R$2:$R$1994,0)),"-")</f>
        <v>-</v>
      </c>
      <c r="D534" s="2" t="str">
        <f>IFERROR(INDEX(Movimientos!$E$2:$E$1994,MATCH(A534&amp;"ENTRADA",Movimientos!$R$2:$R$1994,0)),"-")</f>
        <v>-</v>
      </c>
      <c r="E534" s="2" t="str">
        <f>IFERROR(INDEX(Movimientos!$F$2:$F$1994,MATCH(A534&amp;"ENTRADA",Movimientos!$R$2:$R$1994,0)),"-")</f>
        <v>-</v>
      </c>
      <c r="F534" s="2" t="str">
        <f>IFERROR(INDEX(Movimientos!$G$2:$G$1994,MATCH(A534&amp;"ENTRADA",Movimientos!$R$2:$R$1994,0)),"-")</f>
        <v>-</v>
      </c>
      <c r="G534" s="2" t="str">
        <f>IFERROR(INDEX(Movimientos!$L$2:$L$1994,MATCH(A534&amp;"ENTRADA",Movimientos!$R$2:$R$1994,0)),"-")</f>
        <v>-</v>
      </c>
      <c r="H534" s="17" t="str">
        <f>IFERROR(IF(INDEX(Movimientos!$M$2:$M$1994,MATCH(A534&amp;"ENTRADA",Movimientos!$R$2:$R$1994,0))=0,"S/D",INDEX(Movimientos!$M$2:$M$1994,MATCH(A534&amp;"ENTRADA",Movimientos!$R$2:$R$1994,0))),"S/D")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2810</v>
      </c>
      <c r="B535" s="2" t="str">
        <f>IFERROR(INDEX(Movimientos!$C$2:$C$1994,MATCH(A535&amp;"ENTRADA",Movimientos!$R$2:$R$1994,0)),"-")</f>
        <v>-</v>
      </c>
      <c r="C535" s="2" t="str">
        <f>IFERROR(INDEX(Movimientos!$D$2:$D$1994,MATCH(A535&amp;"ENTRADA",Movimientos!$R$2:$R$1994,0)),"-")</f>
        <v>-</v>
      </c>
      <c r="D535" s="2" t="str">
        <f>IFERROR(INDEX(Movimientos!$E$2:$E$1994,MATCH(A535&amp;"ENTRADA",Movimientos!$R$2:$R$1994,0)),"-")</f>
        <v>-</v>
      </c>
      <c r="E535" s="2" t="str">
        <f>IFERROR(INDEX(Movimientos!$F$2:$F$1994,MATCH(A535&amp;"ENTRADA",Movimientos!$R$2:$R$1994,0)),"-")</f>
        <v>-</v>
      </c>
      <c r="F535" s="2" t="str">
        <f>IFERROR(INDEX(Movimientos!$G$2:$G$1994,MATCH(A535&amp;"ENTRADA",Movimientos!$R$2:$R$1994,0)),"-")</f>
        <v>-</v>
      </c>
      <c r="G535" s="2" t="str">
        <f>IFERROR(INDEX(Movimientos!$L$2:$L$1994,MATCH(A535&amp;"ENTRADA",Movimientos!$R$2:$R$1994,0)),"-")</f>
        <v>-</v>
      </c>
      <c r="H535" s="17" t="str">
        <f>IFERROR(IF(INDEX(Movimientos!$M$2:$M$1994,MATCH(A535&amp;"ENTRADA",Movimientos!$R$2:$R$1994,0))=0,"S/D",INDEX(Movimientos!$M$2:$M$1994,MATCH(A535&amp;"ENTRADA",Movimientos!$R$2:$R$1994,0))),"S/D")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2811</v>
      </c>
      <c r="B536" s="2" t="str">
        <f>IFERROR(INDEX(Movimientos!$C$2:$C$1994,MATCH(A536&amp;"ENTRADA",Movimientos!$R$2:$R$1994,0)),"-")</f>
        <v>-</v>
      </c>
      <c r="C536" s="2" t="str">
        <f>IFERROR(INDEX(Movimientos!$D$2:$D$1994,MATCH(A536&amp;"ENTRADA",Movimientos!$R$2:$R$1994,0)),"-")</f>
        <v>-</v>
      </c>
      <c r="D536" s="2" t="str">
        <f>IFERROR(INDEX(Movimientos!$E$2:$E$1994,MATCH(A536&amp;"ENTRADA",Movimientos!$R$2:$R$1994,0)),"-")</f>
        <v>-</v>
      </c>
      <c r="E536" s="2" t="str">
        <f>IFERROR(INDEX(Movimientos!$F$2:$F$1994,MATCH(A536&amp;"ENTRADA",Movimientos!$R$2:$R$1994,0)),"-")</f>
        <v>-</v>
      </c>
      <c r="F536" s="2" t="str">
        <f>IFERROR(INDEX(Movimientos!$G$2:$G$1994,MATCH(A536&amp;"ENTRADA",Movimientos!$R$2:$R$1994,0)),"-")</f>
        <v>-</v>
      </c>
      <c r="G536" s="2" t="str">
        <f>IFERROR(INDEX(Movimientos!$L$2:$L$1994,MATCH(A536&amp;"ENTRADA",Movimientos!$R$2:$R$1994,0)),"-")</f>
        <v>-</v>
      </c>
      <c r="H536" s="17" t="str">
        <f>IFERROR(IF(INDEX(Movimientos!$M$2:$M$1994,MATCH(A536&amp;"ENTRADA",Movimientos!$R$2:$R$1994,0))=0,"S/D",INDEX(Movimientos!$M$2:$M$1994,MATCH(A536&amp;"ENTRADA",Movimientos!$R$2:$R$1994,0))),"S/D")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2812</v>
      </c>
      <c r="B537" s="2" t="str">
        <f>IFERROR(INDEX(Movimientos!$C$2:$C$1994,MATCH(A537&amp;"ENTRADA",Movimientos!$R$2:$R$1994,0)),"-")</f>
        <v>-</v>
      </c>
      <c r="C537" s="2" t="str">
        <f>IFERROR(INDEX(Movimientos!$D$2:$D$1994,MATCH(A537&amp;"ENTRADA",Movimientos!$R$2:$R$1994,0)),"-")</f>
        <v>-</v>
      </c>
      <c r="D537" s="2" t="str">
        <f>IFERROR(INDEX(Movimientos!$E$2:$E$1994,MATCH(A537&amp;"ENTRADA",Movimientos!$R$2:$R$1994,0)),"-")</f>
        <v>-</v>
      </c>
      <c r="E537" s="2" t="str">
        <f>IFERROR(INDEX(Movimientos!$F$2:$F$1994,MATCH(A537&amp;"ENTRADA",Movimientos!$R$2:$R$1994,0)),"-")</f>
        <v>-</v>
      </c>
      <c r="F537" s="2" t="str">
        <f>IFERROR(INDEX(Movimientos!$G$2:$G$1994,MATCH(A537&amp;"ENTRADA",Movimientos!$R$2:$R$1994,0)),"-")</f>
        <v>-</v>
      </c>
      <c r="G537" s="2" t="str">
        <f>IFERROR(INDEX(Movimientos!$L$2:$L$1994,MATCH(A537&amp;"ENTRADA",Movimientos!$R$2:$R$1994,0)),"-")</f>
        <v>-</v>
      </c>
      <c r="H537" s="17" t="str">
        <f>IFERROR(IF(INDEX(Movimientos!$M$2:$M$1994,MATCH(A537&amp;"ENTRADA",Movimientos!$R$2:$R$1994,0))=0,"S/D",INDEX(Movimientos!$M$2:$M$1994,MATCH(A537&amp;"ENTRADA",Movimientos!$R$2:$R$1994,0))),"S/D")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2813</v>
      </c>
      <c r="B538" s="2" t="str">
        <f>IFERROR(INDEX(Movimientos!$C$2:$C$1994,MATCH(A538&amp;"ENTRADA",Movimientos!$R$2:$R$1994,0)),"-")</f>
        <v>-</v>
      </c>
      <c r="C538" s="2" t="str">
        <f>IFERROR(INDEX(Movimientos!$D$2:$D$1994,MATCH(A538&amp;"ENTRADA",Movimientos!$R$2:$R$1994,0)),"-")</f>
        <v>-</v>
      </c>
      <c r="D538" s="2" t="str">
        <f>IFERROR(INDEX(Movimientos!$E$2:$E$1994,MATCH(A538&amp;"ENTRADA",Movimientos!$R$2:$R$1994,0)),"-")</f>
        <v>-</v>
      </c>
      <c r="E538" s="2" t="str">
        <f>IFERROR(INDEX(Movimientos!$F$2:$F$1994,MATCH(A538&amp;"ENTRADA",Movimientos!$R$2:$R$1994,0)),"-")</f>
        <v>-</v>
      </c>
      <c r="F538" s="2" t="str">
        <f>IFERROR(INDEX(Movimientos!$G$2:$G$1994,MATCH(A538&amp;"ENTRADA",Movimientos!$R$2:$R$1994,0)),"-")</f>
        <v>-</v>
      </c>
      <c r="G538" s="2" t="str">
        <f>IFERROR(INDEX(Movimientos!$L$2:$L$1994,MATCH(A538&amp;"ENTRADA",Movimientos!$R$2:$R$1994,0)),"-")</f>
        <v>-</v>
      </c>
      <c r="H538" s="17" t="str">
        <f>IFERROR(IF(INDEX(Movimientos!$M$2:$M$1994,MATCH(A538&amp;"ENTRADA",Movimientos!$R$2:$R$1994,0))=0,"S/D",INDEX(Movimientos!$M$2:$M$1994,MATCH(A538&amp;"ENTRADA",Movimientos!$R$2:$R$1994,0))),"S/D")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2814</v>
      </c>
      <c r="B539" s="2" t="str">
        <f>IFERROR(INDEX(Movimientos!$C$2:$C$1994,MATCH(A539&amp;"ENTRADA",Movimientos!$R$2:$R$1994,0)),"-")</f>
        <v>-</v>
      </c>
      <c r="C539" s="2" t="str">
        <f>IFERROR(INDEX(Movimientos!$D$2:$D$1994,MATCH(A539&amp;"ENTRADA",Movimientos!$R$2:$R$1994,0)),"-")</f>
        <v>-</v>
      </c>
      <c r="D539" s="2" t="str">
        <f>IFERROR(INDEX(Movimientos!$E$2:$E$1994,MATCH(A539&amp;"ENTRADA",Movimientos!$R$2:$R$1994,0)),"-")</f>
        <v>-</v>
      </c>
      <c r="E539" s="2" t="str">
        <f>IFERROR(INDEX(Movimientos!$F$2:$F$1994,MATCH(A539&amp;"ENTRADA",Movimientos!$R$2:$R$1994,0)),"-")</f>
        <v>-</v>
      </c>
      <c r="F539" s="2" t="str">
        <f>IFERROR(INDEX(Movimientos!$G$2:$G$1994,MATCH(A539&amp;"ENTRADA",Movimientos!$R$2:$R$1994,0)),"-")</f>
        <v>-</v>
      </c>
      <c r="G539" s="2" t="str">
        <f>IFERROR(INDEX(Movimientos!$L$2:$L$1994,MATCH(A539&amp;"ENTRADA",Movimientos!$R$2:$R$1994,0)),"-")</f>
        <v>-</v>
      </c>
      <c r="H539" s="17" t="str">
        <f>IFERROR(IF(INDEX(Movimientos!$M$2:$M$1994,MATCH(A539&amp;"ENTRADA",Movimientos!$R$2:$R$1994,0))=0,"S/D",INDEX(Movimientos!$M$2:$M$1994,MATCH(A539&amp;"ENTRADA",Movimientos!$R$2:$R$1994,0))),"S/D")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2815</v>
      </c>
      <c r="B540" s="2" t="str">
        <f>IFERROR(INDEX(Movimientos!$C$2:$C$1994,MATCH(A540&amp;"ENTRADA",Movimientos!$R$2:$R$1994,0)),"-")</f>
        <v>-</v>
      </c>
      <c r="C540" s="2" t="str">
        <f>IFERROR(INDEX(Movimientos!$D$2:$D$1994,MATCH(A540&amp;"ENTRADA",Movimientos!$R$2:$R$1994,0)),"-")</f>
        <v>-</v>
      </c>
      <c r="D540" s="2" t="str">
        <f>IFERROR(INDEX(Movimientos!$E$2:$E$1994,MATCH(A540&amp;"ENTRADA",Movimientos!$R$2:$R$1994,0)),"-")</f>
        <v>-</v>
      </c>
      <c r="E540" s="2" t="str">
        <f>IFERROR(INDEX(Movimientos!$F$2:$F$1994,MATCH(A540&amp;"ENTRADA",Movimientos!$R$2:$R$1994,0)),"-")</f>
        <v>-</v>
      </c>
      <c r="F540" s="2" t="str">
        <f>IFERROR(INDEX(Movimientos!$G$2:$G$1994,MATCH(A540&amp;"ENTRADA",Movimientos!$R$2:$R$1994,0)),"-")</f>
        <v>-</v>
      </c>
      <c r="G540" s="2" t="str">
        <f>IFERROR(INDEX(Movimientos!$L$2:$L$1994,MATCH(A540&amp;"ENTRADA",Movimientos!$R$2:$R$1994,0)),"-")</f>
        <v>-</v>
      </c>
      <c r="H540" s="17" t="str">
        <f>IFERROR(IF(INDEX(Movimientos!$M$2:$M$1994,MATCH(A540&amp;"ENTRADA",Movimientos!$R$2:$R$1994,0))=0,"S/D",INDEX(Movimientos!$M$2:$M$1994,MATCH(A540&amp;"ENTRADA",Movimientos!$R$2:$R$1994,0))),"S/D")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2816</v>
      </c>
      <c r="B541" s="2" t="str">
        <f>IFERROR(INDEX(Movimientos!$C$2:$C$1994,MATCH(A541&amp;"ENTRADA",Movimientos!$R$2:$R$1994,0)),"-")</f>
        <v>-</v>
      </c>
      <c r="C541" s="2" t="str">
        <f>IFERROR(INDEX(Movimientos!$D$2:$D$1994,MATCH(A541&amp;"ENTRADA",Movimientos!$R$2:$R$1994,0)),"-")</f>
        <v>-</v>
      </c>
      <c r="D541" s="2" t="str">
        <f>IFERROR(INDEX(Movimientos!$E$2:$E$1994,MATCH(A541&amp;"ENTRADA",Movimientos!$R$2:$R$1994,0)),"-")</f>
        <v>-</v>
      </c>
      <c r="E541" s="2" t="str">
        <f>IFERROR(INDEX(Movimientos!$F$2:$F$1994,MATCH(A541&amp;"ENTRADA",Movimientos!$R$2:$R$1994,0)),"-")</f>
        <v>-</v>
      </c>
      <c r="F541" s="2" t="str">
        <f>IFERROR(INDEX(Movimientos!$G$2:$G$1994,MATCH(A541&amp;"ENTRADA",Movimientos!$R$2:$R$1994,0)),"-")</f>
        <v>-</v>
      </c>
      <c r="G541" s="2" t="str">
        <f>IFERROR(INDEX(Movimientos!$L$2:$L$1994,MATCH(A541&amp;"ENTRADA",Movimientos!$R$2:$R$1994,0)),"-")</f>
        <v>-</v>
      </c>
      <c r="H541" s="17" t="str">
        <f>IFERROR(IF(INDEX(Movimientos!$M$2:$M$1994,MATCH(A541&amp;"ENTRADA",Movimientos!$R$2:$R$1994,0))=0,"S/D",INDEX(Movimientos!$M$2:$M$1994,MATCH(A541&amp;"ENTRADA",Movimientos!$R$2:$R$1994,0))),"S/D")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2817</v>
      </c>
      <c r="B542" s="2" t="str">
        <f>IFERROR(INDEX(Movimientos!$C$2:$C$1994,MATCH(A542&amp;"ENTRADA",Movimientos!$R$2:$R$1994,0)),"-")</f>
        <v>-</v>
      </c>
      <c r="C542" s="2" t="str">
        <f>IFERROR(INDEX(Movimientos!$D$2:$D$1994,MATCH(A542&amp;"ENTRADA",Movimientos!$R$2:$R$1994,0)),"-")</f>
        <v>-</v>
      </c>
      <c r="D542" s="2" t="str">
        <f>IFERROR(INDEX(Movimientos!$E$2:$E$1994,MATCH(A542&amp;"ENTRADA",Movimientos!$R$2:$R$1994,0)),"-")</f>
        <v>-</v>
      </c>
      <c r="E542" s="2" t="str">
        <f>IFERROR(INDEX(Movimientos!$F$2:$F$1994,MATCH(A542&amp;"ENTRADA",Movimientos!$R$2:$R$1994,0)),"-")</f>
        <v>-</v>
      </c>
      <c r="F542" s="2" t="str">
        <f>IFERROR(INDEX(Movimientos!$G$2:$G$1994,MATCH(A542&amp;"ENTRADA",Movimientos!$R$2:$R$1994,0)),"-")</f>
        <v>-</v>
      </c>
      <c r="G542" s="2" t="str">
        <f>IFERROR(INDEX(Movimientos!$L$2:$L$1994,MATCH(A542&amp;"ENTRADA",Movimientos!$R$2:$R$1994,0)),"-")</f>
        <v>-</v>
      </c>
      <c r="H542" s="17" t="str">
        <f>IFERROR(IF(INDEX(Movimientos!$M$2:$M$1994,MATCH(A542&amp;"ENTRADA",Movimientos!$R$2:$R$1994,0))=0,"S/D",INDEX(Movimientos!$M$2:$M$1994,MATCH(A542&amp;"ENTRADA",Movimientos!$R$2:$R$1994,0))),"S/D")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2818</v>
      </c>
      <c r="B543" s="2" t="str">
        <f>IFERROR(INDEX(Movimientos!$C$2:$C$1994,MATCH(A543&amp;"ENTRADA",Movimientos!$R$2:$R$1994,0)),"-")</f>
        <v>-</v>
      </c>
      <c r="C543" s="2" t="str">
        <f>IFERROR(INDEX(Movimientos!$D$2:$D$1994,MATCH(A543&amp;"ENTRADA",Movimientos!$R$2:$R$1994,0)),"-")</f>
        <v>-</v>
      </c>
      <c r="D543" s="2" t="str">
        <f>IFERROR(INDEX(Movimientos!$E$2:$E$1994,MATCH(A543&amp;"ENTRADA",Movimientos!$R$2:$R$1994,0)),"-")</f>
        <v>-</v>
      </c>
      <c r="E543" s="2" t="str">
        <f>IFERROR(INDEX(Movimientos!$F$2:$F$1994,MATCH(A543&amp;"ENTRADA",Movimientos!$R$2:$R$1994,0)),"-")</f>
        <v>-</v>
      </c>
      <c r="F543" s="2" t="str">
        <f>IFERROR(INDEX(Movimientos!$G$2:$G$1994,MATCH(A543&amp;"ENTRADA",Movimientos!$R$2:$R$1994,0)),"-")</f>
        <v>-</v>
      </c>
      <c r="G543" s="2" t="str">
        <f>IFERROR(INDEX(Movimientos!$L$2:$L$1994,MATCH(A543&amp;"ENTRADA",Movimientos!$R$2:$R$1994,0)),"-")</f>
        <v>-</v>
      </c>
      <c r="H543" s="17" t="str">
        <f>IFERROR(IF(INDEX(Movimientos!$M$2:$M$1994,MATCH(A543&amp;"ENTRADA",Movimientos!$R$2:$R$1994,0))=0,"S/D",INDEX(Movimientos!$M$2:$M$1994,MATCH(A543&amp;"ENTRADA",Movimientos!$R$2:$R$1994,0))),"S/D")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2819</v>
      </c>
      <c r="B544" s="2" t="str">
        <f>IFERROR(INDEX(Movimientos!$C$2:$C$1994,MATCH(A544&amp;"ENTRADA",Movimientos!$R$2:$R$1994,0)),"-")</f>
        <v>-</v>
      </c>
      <c r="C544" s="2" t="str">
        <f>IFERROR(INDEX(Movimientos!$D$2:$D$1994,MATCH(A544&amp;"ENTRADA",Movimientos!$R$2:$R$1994,0)),"-")</f>
        <v>-</v>
      </c>
      <c r="D544" s="2" t="str">
        <f>IFERROR(INDEX(Movimientos!$E$2:$E$1994,MATCH(A544&amp;"ENTRADA",Movimientos!$R$2:$R$1994,0)),"-")</f>
        <v>-</v>
      </c>
      <c r="E544" s="2" t="str">
        <f>IFERROR(INDEX(Movimientos!$F$2:$F$1994,MATCH(A544&amp;"ENTRADA",Movimientos!$R$2:$R$1994,0)),"-")</f>
        <v>-</v>
      </c>
      <c r="F544" s="2" t="str">
        <f>IFERROR(INDEX(Movimientos!$G$2:$G$1994,MATCH(A544&amp;"ENTRADA",Movimientos!$R$2:$R$1994,0)),"-")</f>
        <v>-</v>
      </c>
      <c r="G544" s="2" t="str">
        <f>IFERROR(INDEX(Movimientos!$L$2:$L$1994,MATCH(A544&amp;"ENTRADA",Movimientos!$R$2:$R$1994,0)),"-")</f>
        <v>-</v>
      </c>
      <c r="H544" s="17" t="str">
        <f>IFERROR(IF(INDEX(Movimientos!$M$2:$M$1994,MATCH(A544&amp;"ENTRADA",Movimientos!$R$2:$R$1994,0))=0,"S/D",INDEX(Movimientos!$M$2:$M$1994,MATCH(A544&amp;"ENTRADA",Movimientos!$R$2:$R$1994,0))),"S/D")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2820</v>
      </c>
      <c r="B545" s="2" t="str">
        <f>IFERROR(INDEX(Movimientos!$C$2:$C$1994,MATCH(A545&amp;"ENTRADA",Movimientos!$R$2:$R$1994,0)),"-")</f>
        <v>-</v>
      </c>
      <c r="C545" s="2" t="str">
        <f>IFERROR(INDEX(Movimientos!$D$2:$D$1994,MATCH(A545&amp;"ENTRADA",Movimientos!$R$2:$R$1994,0)),"-")</f>
        <v>-</v>
      </c>
      <c r="D545" s="2" t="str">
        <f>IFERROR(INDEX(Movimientos!$E$2:$E$1994,MATCH(A545&amp;"ENTRADA",Movimientos!$R$2:$R$1994,0)),"-")</f>
        <v>-</v>
      </c>
      <c r="E545" s="2" t="str">
        <f>IFERROR(INDEX(Movimientos!$F$2:$F$1994,MATCH(A545&amp;"ENTRADA",Movimientos!$R$2:$R$1994,0)),"-")</f>
        <v>-</v>
      </c>
      <c r="F545" s="2" t="str">
        <f>IFERROR(INDEX(Movimientos!$G$2:$G$1994,MATCH(A545&amp;"ENTRADA",Movimientos!$R$2:$R$1994,0)),"-")</f>
        <v>-</v>
      </c>
      <c r="G545" s="2" t="str">
        <f>IFERROR(INDEX(Movimientos!$L$2:$L$1994,MATCH(A545&amp;"ENTRADA",Movimientos!$R$2:$R$1994,0)),"-")</f>
        <v>-</v>
      </c>
      <c r="H545" s="17" t="str">
        <f>IFERROR(IF(INDEX(Movimientos!$M$2:$M$1994,MATCH(A545&amp;"ENTRADA",Movimientos!$R$2:$R$1994,0))=0,"S/D",INDEX(Movimientos!$M$2:$M$1994,MATCH(A545&amp;"ENTRADA",Movimientos!$R$2:$R$1994,0))),"S/D")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2821</v>
      </c>
      <c r="B546" s="2" t="str">
        <f>IFERROR(INDEX(Movimientos!$C$2:$C$1994,MATCH(A546&amp;"ENTRADA",Movimientos!$R$2:$R$1994,0)),"-")</f>
        <v>-</v>
      </c>
      <c r="C546" s="2" t="str">
        <f>IFERROR(INDEX(Movimientos!$D$2:$D$1994,MATCH(A546&amp;"ENTRADA",Movimientos!$R$2:$R$1994,0)),"-")</f>
        <v>-</v>
      </c>
      <c r="D546" s="2" t="str">
        <f>IFERROR(INDEX(Movimientos!$E$2:$E$1994,MATCH(A546&amp;"ENTRADA",Movimientos!$R$2:$R$1994,0)),"-")</f>
        <v>-</v>
      </c>
      <c r="E546" s="2" t="str">
        <f>IFERROR(INDEX(Movimientos!$F$2:$F$1994,MATCH(A546&amp;"ENTRADA",Movimientos!$R$2:$R$1994,0)),"-")</f>
        <v>-</v>
      </c>
      <c r="F546" s="2" t="str">
        <f>IFERROR(INDEX(Movimientos!$G$2:$G$1994,MATCH(A546&amp;"ENTRADA",Movimientos!$R$2:$R$1994,0)),"-")</f>
        <v>-</v>
      </c>
      <c r="G546" s="2" t="str">
        <f>IFERROR(INDEX(Movimientos!$L$2:$L$1994,MATCH(A546&amp;"ENTRADA",Movimientos!$R$2:$R$1994,0)),"-")</f>
        <v>-</v>
      </c>
      <c r="H546" s="17" t="str">
        <f>IFERROR(IF(INDEX(Movimientos!$M$2:$M$1994,MATCH(A546&amp;"ENTRADA",Movimientos!$R$2:$R$1994,0))=0,"S/D",INDEX(Movimientos!$M$2:$M$1994,MATCH(A546&amp;"ENTRADA",Movimientos!$R$2:$R$1994,0))),"S/D")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2822</v>
      </c>
      <c r="B547" s="2" t="str">
        <f>IFERROR(INDEX(Movimientos!$C$2:$C$1994,MATCH(A547&amp;"ENTRADA",Movimientos!$R$2:$R$1994,0)),"-")</f>
        <v>-</v>
      </c>
      <c r="C547" s="2" t="str">
        <f>IFERROR(INDEX(Movimientos!$D$2:$D$1994,MATCH(A547&amp;"ENTRADA",Movimientos!$R$2:$R$1994,0)),"-")</f>
        <v>-</v>
      </c>
      <c r="D547" s="2" t="str">
        <f>IFERROR(INDEX(Movimientos!$E$2:$E$1994,MATCH(A547&amp;"ENTRADA",Movimientos!$R$2:$R$1994,0)),"-")</f>
        <v>-</v>
      </c>
      <c r="E547" s="2" t="str">
        <f>IFERROR(INDEX(Movimientos!$F$2:$F$1994,MATCH(A547&amp;"ENTRADA",Movimientos!$R$2:$R$1994,0)),"-")</f>
        <v>-</v>
      </c>
      <c r="F547" s="2" t="str">
        <f>IFERROR(INDEX(Movimientos!$G$2:$G$1994,MATCH(A547&amp;"ENTRADA",Movimientos!$R$2:$R$1994,0)),"-")</f>
        <v>-</v>
      </c>
      <c r="G547" s="2" t="str">
        <f>IFERROR(INDEX(Movimientos!$L$2:$L$1994,MATCH(A547&amp;"ENTRADA",Movimientos!$R$2:$R$1994,0)),"-")</f>
        <v>-</v>
      </c>
      <c r="H547" s="17" t="str">
        <f>IFERROR(IF(INDEX(Movimientos!$M$2:$M$1994,MATCH(A547&amp;"ENTRADA",Movimientos!$R$2:$R$1994,0))=0,"S/D",INDEX(Movimientos!$M$2:$M$1994,MATCH(A547&amp;"ENTRADA",Movimientos!$R$2:$R$1994,0))),"S/D")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2823</v>
      </c>
      <c r="B548" s="2" t="str">
        <f>IFERROR(INDEX(Movimientos!$C$2:$C$1994,MATCH(A548&amp;"ENTRADA",Movimientos!$R$2:$R$1994,0)),"-")</f>
        <v>-</v>
      </c>
      <c r="C548" s="2" t="str">
        <f>IFERROR(INDEX(Movimientos!$D$2:$D$1994,MATCH(A548&amp;"ENTRADA",Movimientos!$R$2:$R$1994,0)),"-")</f>
        <v>-</v>
      </c>
      <c r="D548" s="2" t="str">
        <f>IFERROR(INDEX(Movimientos!$E$2:$E$1994,MATCH(A548&amp;"ENTRADA",Movimientos!$R$2:$R$1994,0)),"-")</f>
        <v>-</v>
      </c>
      <c r="E548" s="2" t="str">
        <f>IFERROR(INDEX(Movimientos!$F$2:$F$1994,MATCH(A548&amp;"ENTRADA",Movimientos!$R$2:$R$1994,0)),"-")</f>
        <v>-</v>
      </c>
      <c r="F548" s="2" t="str">
        <f>IFERROR(INDEX(Movimientos!$G$2:$G$1994,MATCH(A548&amp;"ENTRADA",Movimientos!$R$2:$R$1994,0)),"-")</f>
        <v>-</v>
      </c>
      <c r="G548" s="2" t="str">
        <f>IFERROR(INDEX(Movimientos!$L$2:$L$1994,MATCH(A548&amp;"ENTRADA",Movimientos!$R$2:$R$1994,0)),"-")</f>
        <v>-</v>
      </c>
      <c r="H548" s="17" t="str">
        <f>IFERROR(IF(INDEX(Movimientos!$M$2:$M$1994,MATCH(A548&amp;"ENTRADA",Movimientos!$R$2:$R$1994,0))=0,"S/D",INDEX(Movimientos!$M$2:$M$1994,MATCH(A548&amp;"ENTRADA",Movimientos!$R$2:$R$1994,0))),"S/D")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2824</v>
      </c>
      <c r="B549" s="2" t="str">
        <f>IFERROR(INDEX(Movimientos!$C$2:$C$1994,MATCH(A549&amp;"ENTRADA",Movimientos!$R$2:$R$1994,0)),"-")</f>
        <v>-</v>
      </c>
      <c r="C549" s="2" t="str">
        <f>IFERROR(INDEX(Movimientos!$D$2:$D$1994,MATCH(A549&amp;"ENTRADA",Movimientos!$R$2:$R$1994,0)),"-")</f>
        <v>-</v>
      </c>
      <c r="D549" s="2" t="str">
        <f>IFERROR(INDEX(Movimientos!$E$2:$E$1994,MATCH(A549&amp;"ENTRADA",Movimientos!$R$2:$R$1994,0)),"-")</f>
        <v>-</v>
      </c>
      <c r="E549" s="2" t="str">
        <f>IFERROR(INDEX(Movimientos!$F$2:$F$1994,MATCH(A549&amp;"ENTRADA",Movimientos!$R$2:$R$1994,0)),"-")</f>
        <v>-</v>
      </c>
      <c r="F549" s="2" t="str">
        <f>IFERROR(INDEX(Movimientos!$G$2:$G$1994,MATCH(A549&amp;"ENTRADA",Movimientos!$R$2:$R$1994,0)),"-")</f>
        <v>-</v>
      </c>
      <c r="G549" s="2" t="str">
        <f>IFERROR(INDEX(Movimientos!$L$2:$L$1994,MATCH(A549&amp;"ENTRADA",Movimientos!$R$2:$R$1994,0)),"-")</f>
        <v>-</v>
      </c>
      <c r="H549" s="17" t="str">
        <f>IFERROR(IF(INDEX(Movimientos!$M$2:$M$1994,MATCH(A549&amp;"ENTRADA",Movimientos!$R$2:$R$1994,0))=0,"S/D",INDEX(Movimientos!$M$2:$M$1994,MATCH(A549&amp;"ENTRADA",Movimientos!$R$2:$R$1994,0))),"S/D")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2825</v>
      </c>
      <c r="B550" s="2" t="str">
        <f>IFERROR(INDEX(Movimientos!$C$2:$C$1994,MATCH(A550&amp;"ENTRADA",Movimientos!$R$2:$R$1994,0)),"-")</f>
        <v>-</v>
      </c>
      <c r="C550" s="2" t="str">
        <f>IFERROR(INDEX(Movimientos!$D$2:$D$1994,MATCH(A550&amp;"ENTRADA",Movimientos!$R$2:$R$1994,0)),"-")</f>
        <v>-</v>
      </c>
      <c r="D550" s="2" t="str">
        <f>IFERROR(INDEX(Movimientos!$E$2:$E$1994,MATCH(A550&amp;"ENTRADA",Movimientos!$R$2:$R$1994,0)),"-")</f>
        <v>-</v>
      </c>
      <c r="E550" s="2" t="str">
        <f>IFERROR(INDEX(Movimientos!$F$2:$F$1994,MATCH(A550&amp;"ENTRADA",Movimientos!$R$2:$R$1994,0)),"-")</f>
        <v>-</v>
      </c>
      <c r="F550" s="2" t="str">
        <f>IFERROR(INDEX(Movimientos!$G$2:$G$1994,MATCH(A550&amp;"ENTRADA",Movimientos!$R$2:$R$1994,0)),"-")</f>
        <v>-</v>
      </c>
      <c r="G550" s="2" t="str">
        <f>IFERROR(INDEX(Movimientos!$L$2:$L$1994,MATCH(A550&amp;"ENTRADA",Movimientos!$R$2:$R$1994,0)),"-")</f>
        <v>-</v>
      </c>
      <c r="H550" s="17" t="str">
        <f>IFERROR(IF(INDEX(Movimientos!$M$2:$M$1994,MATCH(A550&amp;"ENTRADA",Movimientos!$R$2:$R$1994,0))=0,"S/D",INDEX(Movimientos!$M$2:$M$1994,MATCH(A550&amp;"ENTRADA",Movimientos!$R$2:$R$1994,0))),"S/D")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2826</v>
      </c>
      <c r="B551" s="2" t="str">
        <f>IFERROR(INDEX(Movimientos!$C$2:$C$1994,MATCH(A551&amp;"ENTRADA",Movimientos!$R$2:$R$1994,0)),"-")</f>
        <v>-</v>
      </c>
      <c r="C551" s="2" t="str">
        <f>IFERROR(INDEX(Movimientos!$D$2:$D$1994,MATCH(A551&amp;"ENTRADA",Movimientos!$R$2:$R$1994,0)),"-")</f>
        <v>-</v>
      </c>
      <c r="D551" s="2" t="str">
        <f>IFERROR(INDEX(Movimientos!$E$2:$E$1994,MATCH(A551&amp;"ENTRADA",Movimientos!$R$2:$R$1994,0)),"-")</f>
        <v>-</v>
      </c>
      <c r="E551" s="2" t="str">
        <f>IFERROR(INDEX(Movimientos!$F$2:$F$1994,MATCH(A551&amp;"ENTRADA",Movimientos!$R$2:$R$1994,0)),"-")</f>
        <v>-</v>
      </c>
      <c r="F551" s="2" t="str">
        <f>IFERROR(INDEX(Movimientos!$G$2:$G$1994,MATCH(A551&amp;"ENTRADA",Movimientos!$R$2:$R$1994,0)),"-")</f>
        <v>-</v>
      </c>
      <c r="G551" s="2" t="str">
        <f>IFERROR(INDEX(Movimientos!$L$2:$L$1994,MATCH(A551&amp;"ENTRADA",Movimientos!$R$2:$R$1994,0)),"-")</f>
        <v>-</v>
      </c>
      <c r="H551" s="17" t="str">
        <f>IFERROR(IF(INDEX(Movimientos!$M$2:$M$1994,MATCH(A551&amp;"ENTRADA",Movimientos!$R$2:$R$1994,0))=0,"S/D",INDEX(Movimientos!$M$2:$M$1994,MATCH(A551&amp;"ENTRADA",Movimientos!$R$2:$R$1994,0))),"S/D")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2827</v>
      </c>
      <c r="B552" s="2" t="str">
        <f>IFERROR(INDEX(Movimientos!$C$2:$C$1994,MATCH(A552&amp;"ENTRADA",Movimientos!$R$2:$R$1994,0)),"-")</f>
        <v>-</v>
      </c>
      <c r="C552" s="2" t="str">
        <f>IFERROR(INDEX(Movimientos!$D$2:$D$1994,MATCH(A552&amp;"ENTRADA",Movimientos!$R$2:$R$1994,0)),"-")</f>
        <v>-</v>
      </c>
      <c r="D552" s="2" t="str">
        <f>IFERROR(INDEX(Movimientos!$E$2:$E$1994,MATCH(A552&amp;"ENTRADA",Movimientos!$R$2:$R$1994,0)),"-")</f>
        <v>-</v>
      </c>
      <c r="E552" s="2" t="str">
        <f>IFERROR(INDEX(Movimientos!$F$2:$F$1994,MATCH(A552&amp;"ENTRADA",Movimientos!$R$2:$R$1994,0)),"-")</f>
        <v>-</v>
      </c>
      <c r="F552" s="2" t="str">
        <f>IFERROR(INDEX(Movimientos!$G$2:$G$1994,MATCH(A552&amp;"ENTRADA",Movimientos!$R$2:$R$1994,0)),"-")</f>
        <v>-</v>
      </c>
      <c r="G552" s="2" t="str">
        <f>IFERROR(INDEX(Movimientos!$L$2:$L$1994,MATCH(A552&amp;"ENTRADA",Movimientos!$R$2:$R$1994,0)),"-")</f>
        <v>-</v>
      </c>
      <c r="H552" s="17" t="str">
        <f>IFERROR(IF(INDEX(Movimientos!$M$2:$M$1994,MATCH(A552&amp;"ENTRADA",Movimientos!$R$2:$R$1994,0))=0,"S/D",INDEX(Movimientos!$M$2:$M$1994,MATCH(A552&amp;"ENTRADA",Movimientos!$R$2:$R$1994,0))),"S/D")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2828</v>
      </c>
      <c r="B553" s="2" t="str">
        <f>IFERROR(INDEX(Movimientos!$C$2:$C$1994,MATCH(A553&amp;"ENTRADA",Movimientos!$R$2:$R$1994,0)),"-")</f>
        <v>-</v>
      </c>
      <c r="C553" s="2" t="str">
        <f>IFERROR(INDEX(Movimientos!$D$2:$D$1994,MATCH(A553&amp;"ENTRADA",Movimientos!$R$2:$R$1994,0)),"-")</f>
        <v>-</v>
      </c>
      <c r="D553" s="2" t="str">
        <f>IFERROR(INDEX(Movimientos!$E$2:$E$1994,MATCH(A553&amp;"ENTRADA",Movimientos!$R$2:$R$1994,0)),"-")</f>
        <v>-</v>
      </c>
      <c r="E553" s="2" t="str">
        <f>IFERROR(INDEX(Movimientos!$F$2:$F$1994,MATCH(A553&amp;"ENTRADA",Movimientos!$R$2:$R$1994,0)),"-")</f>
        <v>-</v>
      </c>
      <c r="F553" s="2" t="str">
        <f>IFERROR(INDEX(Movimientos!$G$2:$G$1994,MATCH(A553&amp;"ENTRADA",Movimientos!$R$2:$R$1994,0)),"-")</f>
        <v>-</v>
      </c>
      <c r="G553" s="2" t="str">
        <f>IFERROR(INDEX(Movimientos!$L$2:$L$1994,MATCH(A553&amp;"ENTRADA",Movimientos!$R$2:$R$1994,0)),"-")</f>
        <v>-</v>
      </c>
      <c r="H553" s="17" t="str">
        <f>IFERROR(IF(INDEX(Movimientos!$M$2:$M$1994,MATCH(A553&amp;"ENTRADA",Movimientos!$R$2:$R$1994,0))=0,"S/D",INDEX(Movimientos!$M$2:$M$1994,MATCH(A553&amp;"ENTRADA",Movimientos!$R$2:$R$1994,0))),"S/D")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2829</v>
      </c>
      <c r="B554" s="2" t="str">
        <f>IFERROR(INDEX(Movimientos!$C$2:$C$1994,MATCH(A554&amp;"ENTRADA",Movimientos!$R$2:$R$1994,0)),"-")</f>
        <v>-</v>
      </c>
      <c r="C554" s="2" t="str">
        <f>IFERROR(INDEX(Movimientos!$D$2:$D$1994,MATCH(A554&amp;"ENTRADA",Movimientos!$R$2:$R$1994,0)),"-")</f>
        <v>-</v>
      </c>
      <c r="D554" s="2" t="str">
        <f>IFERROR(INDEX(Movimientos!$E$2:$E$1994,MATCH(A554&amp;"ENTRADA",Movimientos!$R$2:$R$1994,0)),"-")</f>
        <v>-</v>
      </c>
      <c r="E554" s="2" t="str">
        <f>IFERROR(INDEX(Movimientos!$F$2:$F$1994,MATCH(A554&amp;"ENTRADA",Movimientos!$R$2:$R$1994,0)),"-")</f>
        <v>-</v>
      </c>
      <c r="F554" s="2" t="str">
        <f>IFERROR(INDEX(Movimientos!$G$2:$G$1994,MATCH(A554&amp;"ENTRADA",Movimientos!$R$2:$R$1994,0)),"-")</f>
        <v>-</v>
      </c>
      <c r="G554" s="2" t="str">
        <f>IFERROR(INDEX(Movimientos!$L$2:$L$1994,MATCH(A554&amp;"ENTRADA",Movimientos!$R$2:$R$1994,0)),"-")</f>
        <v>-</v>
      </c>
      <c r="H554" s="17" t="str">
        <f>IFERROR(IF(INDEX(Movimientos!$M$2:$M$1994,MATCH(A554&amp;"ENTRADA",Movimientos!$R$2:$R$1994,0))=0,"S/D",INDEX(Movimientos!$M$2:$M$1994,MATCH(A554&amp;"ENTRADA",Movimientos!$R$2:$R$1994,0))),"S/D")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2830</v>
      </c>
      <c r="B555" s="2" t="str">
        <f>IFERROR(INDEX(Movimientos!$C$2:$C$1994,MATCH(A555&amp;"ENTRADA",Movimientos!$R$2:$R$1994,0)),"-")</f>
        <v>-</v>
      </c>
      <c r="C555" s="2" t="str">
        <f>IFERROR(INDEX(Movimientos!$D$2:$D$1994,MATCH(A555&amp;"ENTRADA",Movimientos!$R$2:$R$1994,0)),"-")</f>
        <v>-</v>
      </c>
      <c r="D555" s="2" t="str">
        <f>IFERROR(INDEX(Movimientos!$E$2:$E$1994,MATCH(A555&amp;"ENTRADA",Movimientos!$R$2:$R$1994,0)),"-")</f>
        <v>-</v>
      </c>
      <c r="E555" s="2" t="str">
        <f>IFERROR(INDEX(Movimientos!$F$2:$F$1994,MATCH(A555&amp;"ENTRADA",Movimientos!$R$2:$R$1994,0)),"-")</f>
        <v>-</v>
      </c>
      <c r="F555" s="2" t="str">
        <f>IFERROR(INDEX(Movimientos!$G$2:$G$1994,MATCH(A555&amp;"ENTRADA",Movimientos!$R$2:$R$1994,0)),"-")</f>
        <v>-</v>
      </c>
      <c r="G555" s="2" t="str">
        <f>IFERROR(INDEX(Movimientos!$L$2:$L$1994,MATCH(A555&amp;"ENTRADA",Movimientos!$R$2:$R$1994,0)),"-")</f>
        <v>-</v>
      </c>
      <c r="H555" s="17" t="str">
        <f>IFERROR(IF(INDEX(Movimientos!$M$2:$M$1994,MATCH(A555&amp;"ENTRADA",Movimientos!$R$2:$R$1994,0))=0,"S/D",INDEX(Movimientos!$M$2:$M$1994,MATCH(A555&amp;"ENTRADA",Movimientos!$R$2:$R$1994,0))),"S/D")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2831</v>
      </c>
      <c r="B556" s="2" t="str">
        <f>IFERROR(INDEX(Movimientos!$C$2:$C$1994,MATCH(A556&amp;"ENTRADA",Movimientos!$R$2:$R$1994,0)),"-")</f>
        <v>-</v>
      </c>
      <c r="C556" s="2" t="str">
        <f>IFERROR(INDEX(Movimientos!$D$2:$D$1994,MATCH(A556&amp;"ENTRADA",Movimientos!$R$2:$R$1994,0)),"-")</f>
        <v>-</v>
      </c>
      <c r="D556" s="2" t="str">
        <f>IFERROR(INDEX(Movimientos!$E$2:$E$1994,MATCH(A556&amp;"ENTRADA",Movimientos!$R$2:$R$1994,0)),"-")</f>
        <v>-</v>
      </c>
      <c r="E556" s="2" t="str">
        <f>IFERROR(INDEX(Movimientos!$F$2:$F$1994,MATCH(A556&amp;"ENTRADA",Movimientos!$R$2:$R$1994,0)),"-")</f>
        <v>-</v>
      </c>
      <c r="F556" s="2" t="str">
        <f>IFERROR(INDEX(Movimientos!$G$2:$G$1994,MATCH(A556&amp;"ENTRADA",Movimientos!$R$2:$R$1994,0)),"-")</f>
        <v>-</v>
      </c>
      <c r="G556" s="2" t="str">
        <f>IFERROR(INDEX(Movimientos!$L$2:$L$1994,MATCH(A556&amp;"ENTRADA",Movimientos!$R$2:$R$1994,0)),"-")</f>
        <v>-</v>
      </c>
      <c r="H556" s="17" t="str">
        <f>IFERROR(IF(INDEX(Movimientos!$M$2:$M$1994,MATCH(A556&amp;"ENTRADA",Movimientos!$R$2:$R$1994,0))=0,"S/D",INDEX(Movimientos!$M$2:$M$1994,MATCH(A556&amp;"ENTRADA",Movimientos!$R$2:$R$1994,0))),"S/D")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2832</v>
      </c>
      <c r="B557" s="2" t="str">
        <f>IFERROR(INDEX(Movimientos!$C$2:$C$1994,MATCH(A557&amp;"ENTRADA",Movimientos!$R$2:$R$1994,0)),"-")</f>
        <v>-</v>
      </c>
      <c r="C557" s="2" t="str">
        <f>IFERROR(INDEX(Movimientos!$D$2:$D$1994,MATCH(A557&amp;"ENTRADA",Movimientos!$R$2:$R$1994,0)),"-")</f>
        <v>-</v>
      </c>
      <c r="D557" s="2" t="str">
        <f>IFERROR(INDEX(Movimientos!$E$2:$E$1994,MATCH(A557&amp;"ENTRADA",Movimientos!$R$2:$R$1994,0)),"-")</f>
        <v>-</v>
      </c>
      <c r="E557" s="2" t="str">
        <f>IFERROR(INDEX(Movimientos!$F$2:$F$1994,MATCH(A557&amp;"ENTRADA",Movimientos!$R$2:$R$1994,0)),"-")</f>
        <v>-</v>
      </c>
      <c r="F557" s="2" t="str">
        <f>IFERROR(INDEX(Movimientos!$G$2:$G$1994,MATCH(A557&amp;"ENTRADA",Movimientos!$R$2:$R$1994,0)),"-")</f>
        <v>-</v>
      </c>
      <c r="G557" s="2" t="str">
        <f>IFERROR(INDEX(Movimientos!$L$2:$L$1994,MATCH(A557&amp;"ENTRADA",Movimientos!$R$2:$R$1994,0)),"-")</f>
        <v>-</v>
      </c>
      <c r="H557" s="17" t="str">
        <f>IFERROR(IF(INDEX(Movimientos!$M$2:$M$1994,MATCH(A557&amp;"ENTRADA",Movimientos!$R$2:$R$1994,0))=0,"S/D",INDEX(Movimientos!$M$2:$M$1994,MATCH(A557&amp;"ENTRADA",Movimientos!$R$2:$R$1994,0))),"S/D")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2833</v>
      </c>
      <c r="B558" s="2" t="str">
        <f>IFERROR(INDEX(Movimientos!$C$2:$C$1994,MATCH(A558&amp;"ENTRADA",Movimientos!$R$2:$R$1994,0)),"-")</f>
        <v>-</v>
      </c>
      <c r="C558" s="2" t="str">
        <f>IFERROR(INDEX(Movimientos!$D$2:$D$1994,MATCH(A558&amp;"ENTRADA",Movimientos!$R$2:$R$1994,0)),"-")</f>
        <v>-</v>
      </c>
      <c r="D558" s="2" t="str">
        <f>IFERROR(INDEX(Movimientos!$E$2:$E$1994,MATCH(A558&amp;"ENTRADA",Movimientos!$R$2:$R$1994,0)),"-")</f>
        <v>-</v>
      </c>
      <c r="E558" s="2" t="str">
        <f>IFERROR(INDEX(Movimientos!$F$2:$F$1994,MATCH(A558&amp;"ENTRADA",Movimientos!$R$2:$R$1994,0)),"-")</f>
        <v>-</v>
      </c>
      <c r="F558" s="2" t="str">
        <f>IFERROR(INDEX(Movimientos!$G$2:$G$1994,MATCH(A558&amp;"ENTRADA",Movimientos!$R$2:$R$1994,0)),"-")</f>
        <v>-</v>
      </c>
      <c r="G558" s="2" t="str">
        <f>IFERROR(INDEX(Movimientos!$L$2:$L$1994,MATCH(A558&amp;"ENTRADA",Movimientos!$R$2:$R$1994,0)),"-")</f>
        <v>-</v>
      </c>
      <c r="H558" s="17" t="str">
        <f>IFERROR(IF(INDEX(Movimientos!$M$2:$M$1994,MATCH(A558&amp;"ENTRADA",Movimientos!$R$2:$R$1994,0))=0,"S/D",INDEX(Movimientos!$M$2:$M$1994,MATCH(A558&amp;"ENTRADA",Movimientos!$R$2:$R$1994,0))),"S/D")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2834</v>
      </c>
      <c r="B559" s="2" t="str">
        <f>IFERROR(INDEX(Movimientos!$C$2:$C$1994,MATCH(A559&amp;"ENTRADA",Movimientos!$R$2:$R$1994,0)),"-")</f>
        <v>-</v>
      </c>
      <c r="C559" s="2" t="str">
        <f>IFERROR(INDEX(Movimientos!$D$2:$D$1994,MATCH(A559&amp;"ENTRADA",Movimientos!$R$2:$R$1994,0)),"-")</f>
        <v>-</v>
      </c>
      <c r="D559" s="2" t="str">
        <f>IFERROR(INDEX(Movimientos!$E$2:$E$1994,MATCH(A559&amp;"ENTRADA",Movimientos!$R$2:$R$1994,0)),"-")</f>
        <v>-</v>
      </c>
      <c r="E559" s="2" t="str">
        <f>IFERROR(INDEX(Movimientos!$F$2:$F$1994,MATCH(A559&amp;"ENTRADA",Movimientos!$R$2:$R$1994,0)),"-")</f>
        <v>-</v>
      </c>
      <c r="F559" s="2" t="str">
        <f>IFERROR(INDEX(Movimientos!$G$2:$G$1994,MATCH(A559&amp;"ENTRADA",Movimientos!$R$2:$R$1994,0)),"-")</f>
        <v>-</v>
      </c>
      <c r="G559" s="2" t="str">
        <f>IFERROR(INDEX(Movimientos!$L$2:$L$1994,MATCH(A559&amp;"ENTRADA",Movimientos!$R$2:$R$1994,0)),"-")</f>
        <v>-</v>
      </c>
      <c r="H559" s="17" t="str">
        <f>IFERROR(IF(INDEX(Movimientos!$M$2:$M$1994,MATCH(A559&amp;"ENTRADA",Movimientos!$R$2:$R$1994,0))=0,"S/D",INDEX(Movimientos!$M$2:$M$1994,MATCH(A559&amp;"ENTRADA",Movimientos!$R$2:$R$1994,0))),"S/D")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2835</v>
      </c>
      <c r="B560" s="2" t="str">
        <f>IFERROR(INDEX(Movimientos!$C$2:$C$1994,MATCH(A560&amp;"ENTRADA",Movimientos!$R$2:$R$1994,0)),"-")</f>
        <v>-</v>
      </c>
      <c r="C560" s="2" t="str">
        <f>IFERROR(INDEX(Movimientos!$D$2:$D$1994,MATCH(A560&amp;"ENTRADA",Movimientos!$R$2:$R$1994,0)),"-")</f>
        <v>-</v>
      </c>
      <c r="D560" s="2" t="str">
        <f>IFERROR(INDEX(Movimientos!$E$2:$E$1994,MATCH(A560&amp;"ENTRADA",Movimientos!$R$2:$R$1994,0)),"-")</f>
        <v>-</v>
      </c>
      <c r="E560" s="2" t="str">
        <f>IFERROR(INDEX(Movimientos!$F$2:$F$1994,MATCH(A560&amp;"ENTRADA",Movimientos!$R$2:$R$1994,0)),"-")</f>
        <v>-</v>
      </c>
      <c r="F560" s="2" t="str">
        <f>IFERROR(INDEX(Movimientos!$G$2:$G$1994,MATCH(A560&amp;"ENTRADA",Movimientos!$R$2:$R$1994,0)),"-")</f>
        <v>-</v>
      </c>
      <c r="G560" s="2" t="str">
        <f>IFERROR(INDEX(Movimientos!$L$2:$L$1994,MATCH(A560&amp;"ENTRADA",Movimientos!$R$2:$R$1994,0)),"-")</f>
        <v>-</v>
      </c>
      <c r="H560" s="17" t="str">
        <f>IFERROR(IF(INDEX(Movimientos!$M$2:$M$1994,MATCH(A560&amp;"ENTRADA",Movimientos!$R$2:$R$1994,0))=0,"S/D",INDEX(Movimientos!$M$2:$M$1994,MATCH(A560&amp;"ENTRADA",Movimientos!$R$2:$R$1994,0))),"S/D")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2836</v>
      </c>
      <c r="B561" s="2" t="str">
        <f>IFERROR(INDEX(Movimientos!$C$2:$C$1994,MATCH(A561&amp;"ENTRADA",Movimientos!$R$2:$R$1994,0)),"-")</f>
        <v>-</v>
      </c>
      <c r="C561" s="2" t="str">
        <f>IFERROR(INDEX(Movimientos!$D$2:$D$1994,MATCH(A561&amp;"ENTRADA",Movimientos!$R$2:$R$1994,0)),"-")</f>
        <v>-</v>
      </c>
      <c r="D561" s="2" t="str">
        <f>IFERROR(INDEX(Movimientos!$E$2:$E$1994,MATCH(A561&amp;"ENTRADA",Movimientos!$R$2:$R$1994,0)),"-")</f>
        <v>-</v>
      </c>
      <c r="E561" s="2" t="str">
        <f>IFERROR(INDEX(Movimientos!$F$2:$F$1994,MATCH(A561&amp;"ENTRADA",Movimientos!$R$2:$R$1994,0)),"-")</f>
        <v>-</v>
      </c>
      <c r="F561" s="2" t="str">
        <f>IFERROR(INDEX(Movimientos!$G$2:$G$1994,MATCH(A561&amp;"ENTRADA",Movimientos!$R$2:$R$1994,0)),"-")</f>
        <v>-</v>
      </c>
      <c r="G561" s="2" t="str">
        <f>IFERROR(INDEX(Movimientos!$L$2:$L$1994,MATCH(A561&amp;"ENTRADA",Movimientos!$R$2:$R$1994,0)),"-")</f>
        <v>-</v>
      </c>
      <c r="H561" s="17" t="str">
        <f>IFERROR(IF(INDEX(Movimientos!$M$2:$M$1994,MATCH(A561&amp;"ENTRADA",Movimientos!$R$2:$R$1994,0))=0,"S/D",INDEX(Movimientos!$M$2:$M$1994,MATCH(A561&amp;"ENTRADA",Movimientos!$R$2:$R$1994,0))),"S/D")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2837</v>
      </c>
      <c r="B562" s="2" t="str">
        <f>IFERROR(INDEX(Movimientos!$C$2:$C$1994,MATCH(A562&amp;"ENTRADA",Movimientos!$R$2:$R$1994,0)),"-")</f>
        <v>-</v>
      </c>
      <c r="C562" s="2" t="str">
        <f>IFERROR(INDEX(Movimientos!$D$2:$D$1994,MATCH(A562&amp;"ENTRADA",Movimientos!$R$2:$R$1994,0)),"-")</f>
        <v>-</v>
      </c>
      <c r="D562" s="2" t="str">
        <f>IFERROR(INDEX(Movimientos!$E$2:$E$1994,MATCH(A562&amp;"ENTRADA",Movimientos!$R$2:$R$1994,0)),"-")</f>
        <v>-</v>
      </c>
      <c r="E562" s="2" t="str">
        <f>IFERROR(INDEX(Movimientos!$F$2:$F$1994,MATCH(A562&amp;"ENTRADA",Movimientos!$R$2:$R$1994,0)),"-")</f>
        <v>-</v>
      </c>
      <c r="F562" s="2" t="str">
        <f>IFERROR(INDEX(Movimientos!$G$2:$G$1994,MATCH(A562&amp;"ENTRADA",Movimientos!$R$2:$R$1994,0)),"-")</f>
        <v>-</v>
      </c>
      <c r="G562" s="2" t="str">
        <f>IFERROR(INDEX(Movimientos!$L$2:$L$1994,MATCH(A562&amp;"ENTRADA",Movimientos!$R$2:$R$1994,0)),"-")</f>
        <v>-</v>
      </c>
      <c r="H562" s="17" t="str">
        <f>IFERROR(IF(INDEX(Movimientos!$M$2:$M$1994,MATCH(A562&amp;"ENTRADA",Movimientos!$R$2:$R$1994,0))=0,"S/D",INDEX(Movimientos!$M$2:$M$1994,MATCH(A562&amp;"ENTRADA",Movimientos!$R$2:$R$1994,0))),"S/D")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2838</v>
      </c>
      <c r="B563" s="2" t="str">
        <f>IFERROR(INDEX(Movimientos!$C$2:$C$1994,MATCH(A563&amp;"ENTRADA",Movimientos!$R$2:$R$1994,0)),"-")</f>
        <v>-</v>
      </c>
      <c r="C563" s="2" t="str">
        <f>IFERROR(INDEX(Movimientos!$D$2:$D$1994,MATCH(A563&amp;"ENTRADA",Movimientos!$R$2:$R$1994,0)),"-")</f>
        <v>-</v>
      </c>
      <c r="D563" s="2" t="str">
        <f>IFERROR(INDEX(Movimientos!$E$2:$E$1994,MATCH(A563&amp;"ENTRADA",Movimientos!$R$2:$R$1994,0)),"-")</f>
        <v>-</v>
      </c>
      <c r="E563" s="2" t="str">
        <f>IFERROR(INDEX(Movimientos!$F$2:$F$1994,MATCH(A563&amp;"ENTRADA",Movimientos!$R$2:$R$1994,0)),"-")</f>
        <v>-</v>
      </c>
      <c r="F563" s="2" t="str">
        <f>IFERROR(INDEX(Movimientos!$G$2:$G$1994,MATCH(A563&amp;"ENTRADA",Movimientos!$R$2:$R$1994,0)),"-")</f>
        <v>-</v>
      </c>
      <c r="G563" s="2" t="str">
        <f>IFERROR(INDEX(Movimientos!$L$2:$L$1994,MATCH(A563&amp;"ENTRADA",Movimientos!$R$2:$R$1994,0)),"-")</f>
        <v>-</v>
      </c>
      <c r="H563" s="17" t="str">
        <f>IFERROR(IF(INDEX(Movimientos!$M$2:$M$1994,MATCH(A563&amp;"ENTRADA",Movimientos!$R$2:$R$1994,0))=0,"S/D",INDEX(Movimientos!$M$2:$M$1994,MATCH(A563&amp;"ENTRADA",Movimientos!$R$2:$R$1994,0))),"S/D")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2839</v>
      </c>
      <c r="B564" s="2" t="str">
        <f>IFERROR(INDEX(Movimientos!$C$2:$C$1994,MATCH(A564&amp;"ENTRADA",Movimientos!$R$2:$R$1994,0)),"-")</f>
        <v>-</v>
      </c>
      <c r="C564" s="2" t="str">
        <f>IFERROR(INDEX(Movimientos!$D$2:$D$1994,MATCH(A564&amp;"ENTRADA",Movimientos!$R$2:$R$1994,0)),"-")</f>
        <v>-</v>
      </c>
      <c r="D564" s="2" t="str">
        <f>IFERROR(INDEX(Movimientos!$E$2:$E$1994,MATCH(A564&amp;"ENTRADA",Movimientos!$R$2:$R$1994,0)),"-")</f>
        <v>-</v>
      </c>
      <c r="E564" s="2" t="str">
        <f>IFERROR(INDEX(Movimientos!$F$2:$F$1994,MATCH(A564&amp;"ENTRADA",Movimientos!$R$2:$R$1994,0)),"-")</f>
        <v>-</v>
      </c>
      <c r="F564" s="2" t="str">
        <f>IFERROR(INDEX(Movimientos!$G$2:$G$1994,MATCH(A564&amp;"ENTRADA",Movimientos!$R$2:$R$1994,0)),"-")</f>
        <v>-</v>
      </c>
      <c r="G564" s="2" t="str">
        <f>IFERROR(INDEX(Movimientos!$L$2:$L$1994,MATCH(A564&amp;"ENTRADA",Movimientos!$R$2:$R$1994,0)),"-")</f>
        <v>-</v>
      </c>
      <c r="H564" s="17" t="str">
        <f>IFERROR(IF(INDEX(Movimientos!$M$2:$M$1994,MATCH(A564&amp;"ENTRADA",Movimientos!$R$2:$R$1994,0))=0,"S/D",INDEX(Movimientos!$M$2:$M$1994,MATCH(A564&amp;"ENTRADA",Movimientos!$R$2:$R$1994,0))),"S/D")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2840</v>
      </c>
      <c r="B565" s="2" t="str">
        <f>IFERROR(INDEX(Movimientos!$C$2:$C$1994,MATCH(A565&amp;"ENTRADA",Movimientos!$R$2:$R$1994,0)),"-")</f>
        <v>-</v>
      </c>
      <c r="C565" s="2" t="str">
        <f>IFERROR(INDEX(Movimientos!$D$2:$D$1994,MATCH(A565&amp;"ENTRADA",Movimientos!$R$2:$R$1994,0)),"-")</f>
        <v>-</v>
      </c>
      <c r="D565" s="2" t="str">
        <f>IFERROR(INDEX(Movimientos!$E$2:$E$1994,MATCH(A565&amp;"ENTRADA",Movimientos!$R$2:$R$1994,0)),"-")</f>
        <v>-</v>
      </c>
      <c r="E565" s="2" t="str">
        <f>IFERROR(INDEX(Movimientos!$F$2:$F$1994,MATCH(A565&amp;"ENTRADA",Movimientos!$R$2:$R$1994,0)),"-")</f>
        <v>-</v>
      </c>
      <c r="F565" s="2" t="str">
        <f>IFERROR(INDEX(Movimientos!$G$2:$G$1994,MATCH(A565&amp;"ENTRADA",Movimientos!$R$2:$R$1994,0)),"-")</f>
        <v>-</v>
      </c>
      <c r="G565" s="2" t="str">
        <f>IFERROR(INDEX(Movimientos!$L$2:$L$1994,MATCH(A565&amp;"ENTRADA",Movimientos!$R$2:$R$1994,0)),"-")</f>
        <v>-</v>
      </c>
      <c r="H565" s="17" t="str">
        <f>IFERROR(IF(INDEX(Movimientos!$M$2:$M$1994,MATCH(A565&amp;"ENTRADA",Movimientos!$R$2:$R$1994,0))=0,"S/D",INDEX(Movimientos!$M$2:$M$1994,MATCH(A565&amp;"ENTRADA",Movimientos!$R$2:$R$1994,0))),"S/D")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2841</v>
      </c>
      <c r="B566" s="2" t="str">
        <f>IFERROR(INDEX(Movimientos!$C$2:$C$1994,MATCH(A566&amp;"ENTRADA",Movimientos!$R$2:$R$1994,0)),"-")</f>
        <v>-</v>
      </c>
      <c r="C566" s="2" t="str">
        <f>IFERROR(INDEX(Movimientos!$D$2:$D$1994,MATCH(A566&amp;"ENTRADA",Movimientos!$R$2:$R$1994,0)),"-")</f>
        <v>-</v>
      </c>
      <c r="D566" s="2" t="str">
        <f>IFERROR(INDEX(Movimientos!$E$2:$E$1994,MATCH(A566&amp;"ENTRADA",Movimientos!$R$2:$R$1994,0)),"-")</f>
        <v>-</v>
      </c>
      <c r="E566" s="2" t="str">
        <f>IFERROR(INDEX(Movimientos!$F$2:$F$1994,MATCH(A566&amp;"ENTRADA",Movimientos!$R$2:$R$1994,0)),"-")</f>
        <v>-</v>
      </c>
      <c r="F566" s="2" t="str">
        <f>IFERROR(INDEX(Movimientos!$G$2:$G$1994,MATCH(A566&amp;"ENTRADA",Movimientos!$R$2:$R$1994,0)),"-")</f>
        <v>-</v>
      </c>
      <c r="G566" s="2" t="str">
        <f>IFERROR(INDEX(Movimientos!$L$2:$L$1994,MATCH(A566&amp;"ENTRADA",Movimientos!$R$2:$R$1994,0)),"-")</f>
        <v>-</v>
      </c>
      <c r="H566" s="17" t="str">
        <f>IFERROR(IF(INDEX(Movimientos!$M$2:$M$1994,MATCH(A566&amp;"ENTRADA",Movimientos!$R$2:$R$1994,0))=0,"S/D",INDEX(Movimientos!$M$2:$M$1994,MATCH(A566&amp;"ENTRADA",Movimientos!$R$2:$R$1994,0))),"S/D")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2842</v>
      </c>
      <c r="B567" s="2" t="str">
        <f>IFERROR(INDEX(Movimientos!$C$2:$C$1994,MATCH(A567&amp;"ENTRADA",Movimientos!$R$2:$R$1994,0)),"-")</f>
        <v>-</v>
      </c>
      <c r="C567" s="2" t="str">
        <f>IFERROR(INDEX(Movimientos!$D$2:$D$1994,MATCH(A567&amp;"ENTRADA",Movimientos!$R$2:$R$1994,0)),"-")</f>
        <v>-</v>
      </c>
      <c r="D567" s="2" t="str">
        <f>IFERROR(INDEX(Movimientos!$E$2:$E$1994,MATCH(A567&amp;"ENTRADA",Movimientos!$R$2:$R$1994,0)),"-")</f>
        <v>-</v>
      </c>
      <c r="E567" s="2" t="str">
        <f>IFERROR(INDEX(Movimientos!$F$2:$F$1994,MATCH(A567&amp;"ENTRADA",Movimientos!$R$2:$R$1994,0)),"-")</f>
        <v>-</v>
      </c>
      <c r="F567" s="2" t="str">
        <f>IFERROR(INDEX(Movimientos!$G$2:$G$1994,MATCH(A567&amp;"ENTRADA",Movimientos!$R$2:$R$1994,0)),"-")</f>
        <v>-</v>
      </c>
      <c r="G567" s="2" t="str">
        <f>IFERROR(INDEX(Movimientos!$L$2:$L$1994,MATCH(A567&amp;"ENTRADA",Movimientos!$R$2:$R$1994,0)),"-")</f>
        <v>-</v>
      </c>
      <c r="H567" s="17" t="str">
        <f>IFERROR(IF(INDEX(Movimientos!$M$2:$M$1994,MATCH(A567&amp;"ENTRADA",Movimientos!$R$2:$R$1994,0))=0,"S/D",INDEX(Movimientos!$M$2:$M$1994,MATCH(A567&amp;"ENTRADA",Movimientos!$R$2:$R$1994,0))),"S/D")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2843</v>
      </c>
      <c r="B568" s="2" t="str">
        <f>IFERROR(INDEX(Movimientos!$C$2:$C$1994,MATCH(A568&amp;"ENTRADA",Movimientos!$R$2:$R$1994,0)),"-")</f>
        <v>-</v>
      </c>
      <c r="C568" s="2" t="str">
        <f>IFERROR(INDEX(Movimientos!$D$2:$D$1994,MATCH(A568&amp;"ENTRADA",Movimientos!$R$2:$R$1994,0)),"-")</f>
        <v>-</v>
      </c>
      <c r="D568" s="2" t="str">
        <f>IFERROR(INDEX(Movimientos!$E$2:$E$1994,MATCH(A568&amp;"ENTRADA",Movimientos!$R$2:$R$1994,0)),"-")</f>
        <v>-</v>
      </c>
      <c r="E568" s="2" t="str">
        <f>IFERROR(INDEX(Movimientos!$F$2:$F$1994,MATCH(A568&amp;"ENTRADA",Movimientos!$R$2:$R$1994,0)),"-")</f>
        <v>-</v>
      </c>
      <c r="F568" s="2" t="str">
        <f>IFERROR(INDEX(Movimientos!$G$2:$G$1994,MATCH(A568&amp;"ENTRADA",Movimientos!$R$2:$R$1994,0)),"-")</f>
        <v>-</v>
      </c>
      <c r="G568" s="2" t="str">
        <f>IFERROR(INDEX(Movimientos!$L$2:$L$1994,MATCH(A568&amp;"ENTRADA",Movimientos!$R$2:$R$1994,0)),"-")</f>
        <v>-</v>
      </c>
      <c r="H568" s="17" t="str">
        <f>IFERROR(IF(INDEX(Movimientos!$M$2:$M$1994,MATCH(A568&amp;"ENTRADA",Movimientos!$R$2:$R$1994,0))=0,"S/D",INDEX(Movimientos!$M$2:$M$1994,MATCH(A568&amp;"ENTRADA",Movimientos!$R$2:$R$1994,0))),"S/D")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2844</v>
      </c>
      <c r="B569" s="2" t="str">
        <f>IFERROR(INDEX(Movimientos!$C$2:$C$1994,MATCH(A569&amp;"ENTRADA",Movimientos!$R$2:$R$1994,0)),"-")</f>
        <v>-</v>
      </c>
      <c r="C569" s="2" t="str">
        <f>IFERROR(INDEX(Movimientos!$D$2:$D$1994,MATCH(A569&amp;"ENTRADA",Movimientos!$R$2:$R$1994,0)),"-")</f>
        <v>-</v>
      </c>
      <c r="D569" s="2" t="str">
        <f>IFERROR(INDEX(Movimientos!$E$2:$E$1994,MATCH(A569&amp;"ENTRADA",Movimientos!$R$2:$R$1994,0)),"-")</f>
        <v>-</v>
      </c>
      <c r="E569" s="2" t="str">
        <f>IFERROR(INDEX(Movimientos!$F$2:$F$1994,MATCH(A569&amp;"ENTRADA",Movimientos!$R$2:$R$1994,0)),"-")</f>
        <v>-</v>
      </c>
      <c r="F569" s="2" t="str">
        <f>IFERROR(INDEX(Movimientos!$G$2:$G$1994,MATCH(A569&amp;"ENTRADA",Movimientos!$R$2:$R$1994,0)),"-")</f>
        <v>-</v>
      </c>
      <c r="G569" s="2" t="str">
        <f>IFERROR(INDEX(Movimientos!$L$2:$L$1994,MATCH(A569&amp;"ENTRADA",Movimientos!$R$2:$R$1994,0)),"-")</f>
        <v>-</v>
      </c>
      <c r="H569" s="17" t="str">
        <f>IFERROR(IF(INDEX(Movimientos!$M$2:$M$1994,MATCH(A569&amp;"ENTRADA",Movimientos!$R$2:$R$1994,0))=0,"S/D",INDEX(Movimientos!$M$2:$M$1994,MATCH(A569&amp;"ENTRADA",Movimientos!$R$2:$R$1994,0))),"S/D")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2845</v>
      </c>
      <c r="B570" s="2" t="str">
        <f>IFERROR(INDEX(Movimientos!$C$2:$C$1994,MATCH(A570&amp;"ENTRADA",Movimientos!$R$2:$R$1994,0)),"-")</f>
        <v>-</v>
      </c>
      <c r="C570" s="2" t="str">
        <f>IFERROR(INDEX(Movimientos!$D$2:$D$1994,MATCH(A570&amp;"ENTRADA",Movimientos!$R$2:$R$1994,0)),"-")</f>
        <v>-</v>
      </c>
      <c r="D570" s="2" t="str">
        <f>IFERROR(INDEX(Movimientos!$E$2:$E$1994,MATCH(A570&amp;"ENTRADA",Movimientos!$R$2:$R$1994,0)),"-")</f>
        <v>-</v>
      </c>
      <c r="E570" s="2" t="str">
        <f>IFERROR(INDEX(Movimientos!$F$2:$F$1994,MATCH(A570&amp;"ENTRADA",Movimientos!$R$2:$R$1994,0)),"-")</f>
        <v>-</v>
      </c>
      <c r="F570" s="2" t="str">
        <f>IFERROR(INDEX(Movimientos!$G$2:$G$1994,MATCH(A570&amp;"ENTRADA",Movimientos!$R$2:$R$1994,0)),"-")</f>
        <v>-</v>
      </c>
      <c r="G570" s="2" t="str">
        <f>IFERROR(INDEX(Movimientos!$L$2:$L$1994,MATCH(A570&amp;"ENTRADA",Movimientos!$R$2:$R$1994,0)),"-")</f>
        <v>-</v>
      </c>
      <c r="H570" s="17" t="str">
        <f>IFERROR(IF(INDEX(Movimientos!$M$2:$M$1994,MATCH(A570&amp;"ENTRADA",Movimientos!$R$2:$R$1994,0))=0,"S/D",INDEX(Movimientos!$M$2:$M$1994,MATCH(A570&amp;"ENTRADA",Movimientos!$R$2:$R$1994,0))),"S/D")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2846</v>
      </c>
      <c r="B571" s="2" t="str">
        <f>IFERROR(INDEX(Movimientos!$C$2:$C$1994,MATCH(A571&amp;"ENTRADA",Movimientos!$R$2:$R$1994,0)),"-")</f>
        <v>-</v>
      </c>
      <c r="C571" s="2" t="str">
        <f>IFERROR(INDEX(Movimientos!$D$2:$D$1994,MATCH(A571&amp;"ENTRADA",Movimientos!$R$2:$R$1994,0)),"-")</f>
        <v>-</v>
      </c>
      <c r="D571" s="2" t="str">
        <f>IFERROR(INDEX(Movimientos!$E$2:$E$1994,MATCH(A571&amp;"ENTRADA",Movimientos!$R$2:$R$1994,0)),"-")</f>
        <v>-</v>
      </c>
      <c r="E571" s="2" t="str">
        <f>IFERROR(INDEX(Movimientos!$F$2:$F$1994,MATCH(A571&amp;"ENTRADA",Movimientos!$R$2:$R$1994,0)),"-")</f>
        <v>-</v>
      </c>
      <c r="F571" s="2" t="str">
        <f>IFERROR(INDEX(Movimientos!$G$2:$G$1994,MATCH(A571&amp;"ENTRADA",Movimientos!$R$2:$R$1994,0)),"-")</f>
        <v>-</v>
      </c>
      <c r="G571" s="2" t="str">
        <f>IFERROR(INDEX(Movimientos!$L$2:$L$1994,MATCH(A571&amp;"ENTRADA",Movimientos!$R$2:$R$1994,0)),"-")</f>
        <v>-</v>
      </c>
      <c r="H571" s="17" t="str">
        <f>IFERROR(IF(INDEX(Movimientos!$M$2:$M$1994,MATCH(A571&amp;"ENTRADA",Movimientos!$R$2:$R$1994,0))=0,"S/D",INDEX(Movimientos!$M$2:$M$1994,MATCH(A571&amp;"ENTRADA",Movimientos!$R$2:$R$1994,0))),"S/D")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2847</v>
      </c>
      <c r="B572" s="2" t="str">
        <f>IFERROR(INDEX(Movimientos!$C$2:$C$1994,MATCH(A572&amp;"ENTRADA",Movimientos!$R$2:$R$1994,0)),"-")</f>
        <v>-</v>
      </c>
      <c r="C572" s="2" t="str">
        <f>IFERROR(INDEX(Movimientos!$D$2:$D$1994,MATCH(A572&amp;"ENTRADA",Movimientos!$R$2:$R$1994,0)),"-")</f>
        <v>-</v>
      </c>
      <c r="D572" s="2" t="str">
        <f>IFERROR(INDEX(Movimientos!$E$2:$E$1994,MATCH(A572&amp;"ENTRADA",Movimientos!$R$2:$R$1994,0)),"-")</f>
        <v>-</v>
      </c>
      <c r="E572" s="2" t="str">
        <f>IFERROR(INDEX(Movimientos!$F$2:$F$1994,MATCH(A572&amp;"ENTRADA",Movimientos!$R$2:$R$1994,0)),"-")</f>
        <v>-</v>
      </c>
      <c r="F572" s="2" t="str">
        <f>IFERROR(INDEX(Movimientos!$G$2:$G$1994,MATCH(A572&amp;"ENTRADA",Movimientos!$R$2:$R$1994,0)),"-")</f>
        <v>-</v>
      </c>
      <c r="G572" s="2" t="str">
        <f>IFERROR(INDEX(Movimientos!$L$2:$L$1994,MATCH(A572&amp;"ENTRADA",Movimientos!$R$2:$R$1994,0)),"-")</f>
        <v>-</v>
      </c>
      <c r="H572" s="17" t="str">
        <f>IFERROR(IF(INDEX(Movimientos!$M$2:$M$1994,MATCH(A572&amp;"ENTRADA",Movimientos!$R$2:$R$1994,0))=0,"S/D",INDEX(Movimientos!$M$2:$M$1994,MATCH(A572&amp;"ENTRADA",Movimientos!$R$2:$R$1994,0))),"S/D")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2848</v>
      </c>
      <c r="B573" s="2" t="str">
        <f>IFERROR(INDEX(Movimientos!$C$2:$C$1994,MATCH(A573&amp;"ENTRADA",Movimientos!$R$2:$R$1994,0)),"-")</f>
        <v>-</v>
      </c>
      <c r="C573" s="2" t="str">
        <f>IFERROR(INDEX(Movimientos!$D$2:$D$1994,MATCH(A573&amp;"ENTRADA",Movimientos!$R$2:$R$1994,0)),"-")</f>
        <v>-</v>
      </c>
      <c r="D573" s="2" t="str">
        <f>IFERROR(INDEX(Movimientos!$E$2:$E$1994,MATCH(A573&amp;"ENTRADA",Movimientos!$R$2:$R$1994,0)),"-")</f>
        <v>-</v>
      </c>
      <c r="E573" s="2" t="str">
        <f>IFERROR(INDEX(Movimientos!$F$2:$F$1994,MATCH(A573&amp;"ENTRADA",Movimientos!$R$2:$R$1994,0)),"-")</f>
        <v>-</v>
      </c>
      <c r="F573" s="2" t="str">
        <f>IFERROR(INDEX(Movimientos!$G$2:$G$1994,MATCH(A573&amp;"ENTRADA",Movimientos!$R$2:$R$1994,0)),"-")</f>
        <v>-</v>
      </c>
      <c r="G573" s="2" t="str">
        <f>IFERROR(INDEX(Movimientos!$L$2:$L$1994,MATCH(A573&amp;"ENTRADA",Movimientos!$R$2:$R$1994,0)),"-")</f>
        <v>-</v>
      </c>
      <c r="H573" s="17" t="str">
        <f>IFERROR(IF(INDEX(Movimientos!$M$2:$M$1994,MATCH(A573&amp;"ENTRADA",Movimientos!$R$2:$R$1994,0))=0,"S/D",INDEX(Movimientos!$M$2:$M$1994,MATCH(A573&amp;"ENTRADA",Movimientos!$R$2:$R$1994,0))),"S/D")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2849</v>
      </c>
      <c r="B574" s="2" t="str">
        <f>IFERROR(INDEX(Movimientos!$C$2:$C$1994,MATCH(A574&amp;"ENTRADA",Movimientos!$R$2:$R$1994,0)),"-")</f>
        <v>-</v>
      </c>
      <c r="C574" s="2" t="str">
        <f>IFERROR(INDEX(Movimientos!$D$2:$D$1994,MATCH(A574&amp;"ENTRADA",Movimientos!$R$2:$R$1994,0)),"-")</f>
        <v>-</v>
      </c>
      <c r="D574" s="2" t="str">
        <f>IFERROR(INDEX(Movimientos!$E$2:$E$1994,MATCH(A574&amp;"ENTRADA",Movimientos!$R$2:$R$1994,0)),"-")</f>
        <v>-</v>
      </c>
      <c r="E574" s="2" t="str">
        <f>IFERROR(INDEX(Movimientos!$F$2:$F$1994,MATCH(A574&amp;"ENTRADA",Movimientos!$R$2:$R$1994,0)),"-")</f>
        <v>-</v>
      </c>
      <c r="F574" s="2" t="str">
        <f>IFERROR(INDEX(Movimientos!$G$2:$G$1994,MATCH(A574&amp;"ENTRADA",Movimientos!$R$2:$R$1994,0)),"-")</f>
        <v>-</v>
      </c>
      <c r="G574" s="2" t="str">
        <f>IFERROR(INDEX(Movimientos!$L$2:$L$1994,MATCH(A574&amp;"ENTRADA",Movimientos!$R$2:$R$1994,0)),"-")</f>
        <v>-</v>
      </c>
      <c r="H574" s="17" t="str">
        <f>IFERROR(IF(INDEX(Movimientos!$M$2:$M$1994,MATCH(A574&amp;"ENTRADA",Movimientos!$R$2:$R$1994,0))=0,"S/D",INDEX(Movimientos!$M$2:$M$1994,MATCH(A574&amp;"ENTRADA",Movimientos!$R$2:$R$1994,0))),"S/D")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2850</v>
      </c>
      <c r="B575" s="2" t="str">
        <f>IFERROR(INDEX(Movimientos!$C$2:$C$1994,MATCH(A575&amp;"ENTRADA",Movimientos!$R$2:$R$1994,0)),"-")</f>
        <v>-</v>
      </c>
      <c r="C575" s="2" t="str">
        <f>IFERROR(INDEX(Movimientos!$D$2:$D$1994,MATCH(A575&amp;"ENTRADA",Movimientos!$R$2:$R$1994,0)),"-")</f>
        <v>-</v>
      </c>
      <c r="D575" s="2" t="str">
        <f>IFERROR(INDEX(Movimientos!$E$2:$E$1994,MATCH(A575&amp;"ENTRADA",Movimientos!$R$2:$R$1994,0)),"-")</f>
        <v>-</v>
      </c>
      <c r="E575" s="2" t="str">
        <f>IFERROR(INDEX(Movimientos!$F$2:$F$1994,MATCH(A575&amp;"ENTRADA",Movimientos!$R$2:$R$1994,0)),"-")</f>
        <v>-</v>
      </c>
      <c r="F575" s="2" t="str">
        <f>IFERROR(INDEX(Movimientos!$G$2:$G$1994,MATCH(A575&amp;"ENTRADA",Movimientos!$R$2:$R$1994,0)),"-")</f>
        <v>-</v>
      </c>
      <c r="G575" s="2" t="str">
        <f>IFERROR(INDEX(Movimientos!$L$2:$L$1994,MATCH(A575&amp;"ENTRADA",Movimientos!$R$2:$R$1994,0)),"-")</f>
        <v>-</v>
      </c>
      <c r="H575" s="17" t="str">
        <f>IFERROR(IF(INDEX(Movimientos!$M$2:$M$1994,MATCH(A575&amp;"ENTRADA",Movimientos!$R$2:$R$1994,0))=0,"S/D",INDEX(Movimientos!$M$2:$M$1994,MATCH(A575&amp;"ENTRADA",Movimientos!$R$2:$R$1994,0))),"S/D")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2851</v>
      </c>
      <c r="B576" s="2" t="str">
        <f>IFERROR(INDEX(Movimientos!$C$2:$C$1994,MATCH(A576&amp;"ENTRADA",Movimientos!$R$2:$R$1994,0)),"-")</f>
        <v>-</v>
      </c>
      <c r="C576" s="2" t="str">
        <f>IFERROR(INDEX(Movimientos!$D$2:$D$1994,MATCH(A576&amp;"ENTRADA",Movimientos!$R$2:$R$1994,0)),"-")</f>
        <v>-</v>
      </c>
      <c r="D576" s="2" t="str">
        <f>IFERROR(INDEX(Movimientos!$E$2:$E$1994,MATCH(A576&amp;"ENTRADA",Movimientos!$R$2:$R$1994,0)),"-")</f>
        <v>-</v>
      </c>
      <c r="E576" s="2" t="str">
        <f>IFERROR(INDEX(Movimientos!$F$2:$F$1994,MATCH(A576&amp;"ENTRADA",Movimientos!$R$2:$R$1994,0)),"-")</f>
        <v>-</v>
      </c>
      <c r="F576" s="2" t="str">
        <f>IFERROR(INDEX(Movimientos!$G$2:$G$1994,MATCH(A576&amp;"ENTRADA",Movimientos!$R$2:$R$1994,0)),"-")</f>
        <v>-</v>
      </c>
      <c r="G576" s="2" t="str">
        <f>IFERROR(INDEX(Movimientos!$L$2:$L$1994,MATCH(A576&amp;"ENTRADA",Movimientos!$R$2:$R$1994,0)),"-")</f>
        <v>-</v>
      </c>
      <c r="H576" s="17" t="str">
        <f>IFERROR(IF(INDEX(Movimientos!$M$2:$M$1994,MATCH(A576&amp;"ENTRADA",Movimientos!$R$2:$R$1994,0))=0,"S/D",INDEX(Movimientos!$M$2:$M$1994,MATCH(A576&amp;"ENTRADA",Movimientos!$R$2:$R$1994,0))),"S/D")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2852</v>
      </c>
      <c r="B577" s="2" t="str">
        <f>IFERROR(INDEX(Movimientos!$C$2:$C$1994,MATCH(A577&amp;"ENTRADA",Movimientos!$R$2:$R$1994,0)),"-")</f>
        <v>-</v>
      </c>
      <c r="C577" s="2" t="str">
        <f>IFERROR(INDEX(Movimientos!$D$2:$D$1994,MATCH(A577&amp;"ENTRADA",Movimientos!$R$2:$R$1994,0)),"-")</f>
        <v>-</v>
      </c>
      <c r="D577" s="2" t="str">
        <f>IFERROR(INDEX(Movimientos!$E$2:$E$1994,MATCH(A577&amp;"ENTRADA",Movimientos!$R$2:$R$1994,0)),"-")</f>
        <v>-</v>
      </c>
      <c r="E577" s="2" t="str">
        <f>IFERROR(INDEX(Movimientos!$F$2:$F$1994,MATCH(A577&amp;"ENTRADA",Movimientos!$R$2:$R$1994,0)),"-")</f>
        <v>-</v>
      </c>
      <c r="F577" s="2" t="str">
        <f>IFERROR(INDEX(Movimientos!$G$2:$G$1994,MATCH(A577&amp;"ENTRADA",Movimientos!$R$2:$R$1994,0)),"-")</f>
        <v>-</v>
      </c>
      <c r="G577" s="2" t="str">
        <f>IFERROR(INDEX(Movimientos!$L$2:$L$1994,MATCH(A577&amp;"ENTRADA",Movimientos!$R$2:$R$1994,0)),"-")</f>
        <v>-</v>
      </c>
      <c r="H577" s="17" t="str">
        <f>IFERROR(IF(INDEX(Movimientos!$M$2:$M$1994,MATCH(A577&amp;"ENTRADA",Movimientos!$R$2:$R$1994,0))=0,"S/D",INDEX(Movimientos!$M$2:$M$1994,MATCH(A577&amp;"ENTRADA",Movimientos!$R$2:$R$1994,0))),"S/D")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2853</v>
      </c>
      <c r="B578" s="2" t="str">
        <f>IFERROR(INDEX(Movimientos!$C$2:$C$1994,MATCH(A578&amp;"ENTRADA",Movimientos!$R$2:$R$1994,0)),"-")</f>
        <v>-</v>
      </c>
      <c r="C578" s="2" t="str">
        <f>IFERROR(INDEX(Movimientos!$D$2:$D$1994,MATCH(A578&amp;"ENTRADA",Movimientos!$R$2:$R$1994,0)),"-")</f>
        <v>-</v>
      </c>
      <c r="D578" s="2" t="str">
        <f>IFERROR(INDEX(Movimientos!$E$2:$E$1994,MATCH(A578&amp;"ENTRADA",Movimientos!$R$2:$R$1994,0)),"-")</f>
        <v>-</v>
      </c>
      <c r="E578" s="2" t="str">
        <f>IFERROR(INDEX(Movimientos!$F$2:$F$1994,MATCH(A578&amp;"ENTRADA",Movimientos!$R$2:$R$1994,0)),"-")</f>
        <v>-</v>
      </c>
      <c r="F578" s="2" t="str">
        <f>IFERROR(INDEX(Movimientos!$G$2:$G$1994,MATCH(A578&amp;"ENTRADA",Movimientos!$R$2:$R$1994,0)),"-")</f>
        <v>-</v>
      </c>
      <c r="G578" s="2" t="str">
        <f>IFERROR(INDEX(Movimientos!$L$2:$L$1994,MATCH(A578&amp;"ENTRADA",Movimientos!$R$2:$R$1994,0)),"-")</f>
        <v>-</v>
      </c>
      <c r="H578" s="17" t="str">
        <f>IFERROR(IF(INDEX(Movimientos!$M$2:$M$1994,MATCH(A578&amp;"ENTRADA",Movimientos!$R$2:$R$1994,0))=0,"S/D",INDEX(Movimientos!$M$2:$M$1994,MATCH(A578&amp;"ENTRADA",Movimientos!$R$2:$R$1994,0))),"S/D")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2854</v>
      </c>
      <c r="B579" s="2" t="str">
        <f>IFERROR(INDEX(Movimientos!$C$2:$C$1994,MATCH(A579&amp;"ENTRADA",Movimientos!$R$2:$R$1994,0)),"-")</f>
        <v>-</v>
      </c>
      <c r="C579" s="2" t="str">
        <f>IFERROR(INDEX(Movimientos!$D$2:$D$1994,MATCH(A579&amp;"ENTRADA",Movimientos!$R$2:$R$1994,0)),"-")</f>
        <v>-</v>
      </c>
      <c r="D579" s="2" t="str">
        <f>IFERROR(INDEX(Movimientos!$E$2:$E$1994,MATCH(A579&amp;"ENTRADA",Movimientos!$R$2:$R$1994,0)),"-")</f>
        <v>-</v>
      </c>
      <c r="E579" s="2" t="str">
        <f>IFERROR(INDEX(Movimientos!$F$2:$F$1994,MATCH(A579&amp;"ENTRADA",Movimientos!$R$2:$R$1994,0)),"-")</f>
        <v>-</v>
      </c>
      <c r="F579" s="2" t="str">
        <f>IFERROR(INDEX(Movimientos!$G$2:$G$1994,MATCH(A579&amp;"ENTRADA",Movimientos!$R$2:$R$1994,0)),"-")</f>
        <v>-</v>
      </c>
      <c r="G579" s="2" t="str">
        <f>IFERROR(INDEX(Movimientos!$L$2:$L$1994,MATCH(A579&amp;"ENTRADA",Movimientos!$R$2:$R$1994,0)),"-")</f>
        <v>-</v>
      </c>
      <c r="H579" s="17" t="str">
        <f>IFERROR(IF(INDEX(Movimientos!$M$2:$M$1994,MATCH(A579&amp;"ENTRADA",Movimientos!$R$2:$R$1994,0))=0,"S/D",INDEX(Movimientos!$M$2:$M$1994,MATCH(A579&amp;"ENTRADA",Movimientos!$R$2:$R$1994,0))),"S/D")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2855</v>
      </c>
      <c r="B580" s="2" t="str">
        <f>IFERROR(INDEX(Movimientos!$C$2:$C$1994,MATCH(A580&amp;"ENTRADA",Movimientos!$R$2:$R$1994,0)),"-")</f>
        <v>-</v>
      </c>
      <c r="C580" s="2" t="str">
        <f>IFERROR(INDEX(Movimientos!$D$2:$D$1994,MATCH(A580&amp;"ENTRADA",Movimientos!$R$2:$R$1994,0)),"-")</f>
        <v>-</v>
      </c>
      <c r="D580" s="2" t="str">
        <f>IFERROR(INDEX(Movimientos!$E$2:$E$1994,MATCH(A580&amp;"ENTRADA",Movimientos!$R$2:$R$1994,0)),"-")</f>
        <v>-</v>
      </c>
      <c r="E580" s="2" t="str">
        <f>IFERROR(INDEX(Movimientos!$F$2:$F$1994,MATCH(A580&amp;"ENTRADA",Movimientos!$R$2:$R$1994,0)),"-")</f>
        <v>-</v>
      </c>
      <c r="F580" s="2" t="str">
        <f>IFERROR(INDEX(Movimientos!$G$2:$G$1994,MATCH(A580&amp;"ENTRADA",Movimientos!$R$2:$R$1994,0)),"-")</f>
        <v>-</v>
      </c>
      <c r="G580" s="2" t="str">
        <f>IFERROR(INDEX(Movimientos!$L$2:$L$1994,MATCH(A580&amp;"ENTRADA",Movimientos!$R$2:$R$1994,0)),"-")</f>
        <v>-</v>
      </c>
      <c r="H580" s="17" t="str">
        <f>IFERROR(IF(INDEX(Movimientos!$M$2:$M$1994,MATCH(A580&amp;"ENTRADA",Movimientos!$R$2:$R$1994,0))=0,"S/D",INDEX(Movimientos!$M$2:$M$1994,MATCH(A580&amp;"ENTRADA",Movimientos!$R$2:$R$1994,0))),"S/D")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2856</v>
      </c>
      <c r="B581" s="2" t="str">
        <f>IFERROR(INDEX(Movimientos!$C$2:$C$1994,MATCH(A581&amp;"ENTRADA",Movimientos!$R$2:$R$1994,0)),"-")</f>
        <v>-</v>
      </c>
      <c r="C581" s="2" t="str">
        <f>IFERROR(INDEX(Movimientos!$D$2:$D$1994,MATCH(A581&amp;"ENTRADA",Movimientos!$R$2:$R$1994,0)),"-")</f>
        <v>-</v>
      </c>
      <c r="D581" s="2" t="str">
        <f>IFERROR(INDEX(Movimientos!$E$2:$E$1994,MATCH(A581&amp;"ENTRADA",Movimientos!$R$2:$R$1994,0)),"-")</f>
        <v>-</v>
      </c>
      <c r="E581" s="2" t="str">
        <f>IFERROR(INDEX(Movimientos!$F$2:$F$1994,MATCH(A581&amp;"ENTRADA",Movimientos!$R$2:$R$1994,0)),"-")</f>
        <v>-</v>
      </c>
      <c r="F581" s="2" t="str">
        <f>IFERROR(INDEX(Movimientos!$G$2:$G$1994,MATCH(A581&amp;"ENTRADA",Movimientos!$R$2:$R$1994,0)),"-")</f>
        <v>-</v>
      </c>
      <c r="G581" s="2" t="str">
        <f>IFERROR(INDEX(Movimientos!$L$2:$L$1994,MATCH(A581&amp;"ENTRADA",Movimientos!$R$2:$R$1994,0)),"-")</f>
        <v>-</v>
      </c>
      <c r="H581" s="17" t="str">
        <f>IFERROR(IF(INDEX(Movimientos!$M$2:$M$1994,MATCH(A581&amp;"ENTRADA",Movimientos!$R$2:$R$1994,0))=0,"S/D",INDEX(Movimientos!$M$2:$M$1994,MATCH(A581&amp;"ENTRADA",Movimientos!$R$2:$R$1994,0))),"S/D")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2857</v>
      </c>
      <c r="B582" s="2" t="str">
        <f>IFERROR(INDEX(Movimientos!$C$2:$C$1994,MATCH(A582&amp;"ENTRADA",Movimientos!$R$2:$R$1994,0)),"-")</f>
        <v>-</v>
      </c>
      <c r="C582" s="2" t="str">
        <f>IFERROR(INDEX(Movimientos!$D$2:$D$1994,MATCH(A582&amp;"ENTRADA",Movimientos!$R$2:$R$1994,0)),"-")</f>
        <v>-</v>
      </c>
      <c r="D582" s="2" t="str">
        <f>IFERROR(INDEX(Movimientos!$E$2:$E$1994,MATCH(A582&amp;"ENTRADA",Movimientos!$R$2:$R$1994,0)),"-")</f>
        <v>-</v>
      </c>
      <c r="E582" s="2" t="str">
        <f>IFERROR(INDEX(Movimientos!$F$2:$F$1994,MATCH(A582&amp;"ENTRADA",Movimientos!$R$2:$R$1994,0)),"-")</f>
        <v>-</v>
      </c>
      <c r="F582" s="2" t="str">
        <f>IFERROR(INDEX(Movimientos!$G$2:$G$1994,MATCH(A582&amp;"ENTRADA",Movimientos!$R$2:$R$1994,0)),"-")</f>
        <v>-</v>
      </c>
      <c r="G582" s="2" t="str">
        <f>IFERROR(INDEX(Movimientos!$L$2:$L$1994,MATCH(A582&amp;"ENTRADA",Movimientos!$R$2:$R$1994,0)),"-")</f>
        <v>-</v>
      </c>
      <c r="H582" s="17" t="str">
        <f>IFERROR(IF(INDEX(Movimientos!$M$2:$M$1994,MATCH(A582&amp;"ENTRADA",Movimientos!$R$2:$R$1994,0))=0,"S/D",INDEX(Movimientos!$M$2:$M$1994,MATCH(A582&amp;"ENTRADA",Movimientos!$R$2:$R$1994,0))),"S/D")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2858</v>
      </c>
      <c r="B583" s="2" t="str">
        <f>IFERROR(INDEX(Movimientos!$C$2:$C$1994,MATCH(A583&amp;"ENTRADA",Movimientos!$R$2:$R$1994,0)),"-")</f>
        <v>-</v>
      </c>
      <c r="C583" s="2" t="str">
        <f>IFERROR(INDEX(Movimientos!$D$2:$D$1994,MATCH(A583&amp;"ENTRADA",Movimientos!$R$2:$R$1994,0)),"-")</f>
        <v>-</v>
      </c>
      <c r="D583" s="2" t="str">
        <f>IFERROR(INDEX(Movimientos!$E$2:$E$1994,MATCH(A583&amp;"ENTRADA",Movimientos!$R$2:$R$1994,0)),"-")</f>
        <v>-</v>
      </c>
      <c r="E583" s="2" t="str">
        <f>IFERROR(INDEX(Movimientos!$F$2:$F$1994,MATCH(A583&amp;"ENTRADA",Movimientos!$R$2:$R$1994,0)),"-")</f>
        <v>-</v>
      </c>
      <c r="F583" s="2" t="str">
        <f>IFERROR(INDEX(Movimientos!$G$2:$G$1994,MATCH(A583&amp;"ENTRADA",Movimientos!$R$2:$R$1994,0)),"-")</f>
        <v>-</v>
      </c>
      <c r="G583" s="2" t="str">
        <f>IFERROR(INDEX(Movimientos!$L$2:$L$1994,MATCH(A583&amp;"ENTRADA",Movimientos!$R$2:$R$1994,0)),"-")</f>
        <v>-</v>
      </c>
      <c r="H583" s="17" t="str">
        <f>IFERROR(IF(INDEX(Movimientos!$M$2:$M$1994,MATCH(A583&amp;"ENTRADA",Movimientos!$R$2:$R$1994,0))=0,"S/D",INDEX(Movimientos!$M$2:$M$1994,MATCH(A583&amp;"ENTRADA",Movimientos!$R$2:$R$1994,0))),"S/D")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2859</v>
      </c>
      <c r="B584" s="2" t="str">
        <f>IFERROR(INDEX(Movimientos!$C$2:$C$1994,MATCH(A584&amp;"ENTRADA",Movimientos!$R$2:$R$1994,0)),"-")</f>
        <v>-</v>
      </c>
      <c r="C584" s="2" t="str">
        <f>IFERROR(INDEX(Movimientos!$D$2:$D$1994,MATCH(A584&amp;"ENTRADA",Movimientos!$R$2:$R$1994,0)),"-")</f>
        <v>-</v>
      </c>
      <c r="D584" s="2" t="str">
        <f>IFERROR(INDEX(Movimientos!$E$2:$E$1994,MATCH(A584&amp;"ENTRADA",Movimientos!$R$2:$R$1994,0)),"-")</f>
        <v>-</v>
      </c>
      <c r="E584" s="2" t="str">
        <f>IFERROR(INDEX(Movimientos!$F$2:$F$1994,MATCH(A584&amp;"ENTRADA",Movimientos!$R$2:$R$1994,0)),"-")</f>
        <v>-</v>
      </c>
      <c r="F584" s="2" t="str">
        <f>IFERROR(INDEX(Movimientos!$G$2:$G$1994,MATCH(A584&amp;"ENTRADA",Movimientos!$R$2:$R$1994,0)),"-")</f>
        <v>-</v>
      </c>
      <c r="G584" s="2" t="str">
        <f>IFERROR(INDEX(Movimientos!$L$2:$L$1994,MATCH(A584&amp;"ENTRADA",Movimientos!$R$2:$R$1994,0)),"-")</f>
        <v>-</v>
      </c>
      <c r="H584" s="17" t="str">
        <f>IFERROR(IF(INDEX(Movimientos!$M$2:$M$1994,MATCH(A584&amp;"ENTRADA",Movimientos!$R$2:$R$1994,0))=0,"S/D",INDEX(Movimientos!$M$2:$M$1994,MATCH(A584&amp;"ENTRADA",Movimientos!$R$2:$R$1994,0))),"S/D")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2860</v>
      </c>
      <c r="B585" s="2" t="str">
        <f>IFERROR(INDEX(Movimientos!$C$2:$C$1994,MATCH(A585&amp;"ENTRADA",Movimientos!$R$2:$R$1994,0)),"-")</f>
        <v>-</v>
      </c>
      <c r="C585" s="2" t="str">
        <f>IFERROR(INDEX(Movimientos!$D$2:$D$1994,MATCH(A585&amp;"ENTRADA",Movimientos!$R$2:$R$1994,0)),"-")</f>
        <v>-</v>
      </c>
      <c r="D585" s="2" t="str">
        <f>IFERROR(INDEX(Movimientos!$E$2:$E$1994,MATCH(A585&amp;"ENTRADA",Movimientos!$R$2:$R$1994,0)),"-")</f>
        <v>-</v>
      </c>
      <c r="E585" s="2" t="str">
        <f>IFERROR(INDEX(Movimientos!$F$2:$F$1994,MATCH(A585&amp;"ENTRADA",Movimientos!$R$2:$R$1994,0)),"-")</f>
        <v>-</v>
      </c>
      <c r="F585" s="2" t="str">
        <f>IFERROR(INDEX(Movimientos!$G$2:$G$1994,MATCH(A585&amp;"ENTRADA",Movimientos!$R$2:$R$1994,0)),"-")</f>
        <v>-</v>
      </c>
      <c r="G585" s="2" t="str">
        <f>IFERROR(INDEX(Movimientos!$L$2:$L$1994,MATCH(A585&amp;"ENTRADA",Movimientos!$R$2:$R$1994,0)),"-")</f>
        <v>-</v>
      </c>
      <c r="H585" s="17" t="str">
        <f>IFERROR(IF(INDEX(Movimientos!$M$2:$M$1994,MATCH(A585&amp;"ENTRADA",Movimientos!$R$2:$R$1994,0))=0,"S/D",INDEX(Movimientos!$M$2:$M$1994,MATCH(A585&amp;"ENTRADA",Movimientos!$R$2:$R$1994,0))),"S/D")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2861</v>
      </c>
      <c r="B586" s="2" t="str">
        <f>IFERROR(INDEX(Movimientos!$C$2:$C$1994,MATCH(A586&amp;"ENTRADA",Movimientos!$R$2:$R$1994,0)),"-")</f>
        <v>-</v>
      </c>
      <c r="C586" s="2" t="str">
        <f>IFERROR(INDEX(Movimientos!$D$2:$D$1994,MATCH(A586&amp;"ENTRADA",Movimientos!$R$2:$R$1994,0)),"-")</f>
        <v>-</v>
      </c>
      <c r="D586" s="2" t="str">
        <f>IFERROR(INDEX(Movimientos!$E$2:$E$1994,MATCH(A586&amp;"ENTRADA",Movimientos!$R$2:$R$1994,0)),"-")</f>
        <v>-</v>
      </c>
      <c r="E586" s="2" t="str">
        <f>IFERROR(INDEX(Movimientos!$F$2:$F$1994,MATCH(A586&amp;"ENTRADA",Movimientos!$R$2:$R$1994,0)),"-")</f>
        <v>-</v>
      </c>
      <c r="F586" s="2" t="str">
        <f>IFERROR(INDEX(Movimientos!$G$2:$G$1994,MATCH(A586&amp;"ENTRADA",Movimientos!$R$2:$R$1994,0)),"-")</f>
        <v>-</v>
      </c>
      <c r="G586" s="2" t="str">
        <f>IFERROR(INDEX(Movimientos!$L$2:$L$1994,MATCH(A586&amp;"ENTRADA",Movimientos!$R$2:$R$1994,0)),"-")</f>
        <v>-</v>
      </c>
      <c r="H586" s="17" t="str">
        <f>IFERROR(IF(INDEX(Movimientos!$M$2:$M$1994,MATCH(A586&amp;"ENTRADA",Movimientos!$R$2:$R$1994,0))=0,"S/D",INDEX(Movimientos!$M$2:$M$1994,MATCH(A586&amp;"ENTRADA",Movimientos!$R$2:$R$1994,0))),"S/D")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2862</v>
      </c>
      <c r="B587" s="2" t="str">
        <f>IFERROR(INDEX(Movimientos!$C$2:$C$1994,MATCH(A587&amp;"ENTRADA",Movimientos!$R$2:$R$1994,0)),"-")</f>
        <v>-</v>
      </c>
      <c r="C587" s="2" t="str">
        <f>IFERROR(INDEX(Movimientos!$D$2:$D$1994,MATCH(A587&amp;"ENTRADA",Movimientos!$R$2:$R$1994,0)),"-")</f>
        <v>-</v>
      </c>
      <c r="D587" s="2" t="str">
        <f>IFERROR(INDEX(Movimientos!$E$2:$E$1994,MATCH(A587&amp;"ENTRADA",Movimientos!$R$2:$R$1994,0)),"-")</f>
        <v>-</v>
      </c>
      <c r="E587" s="2" t="str">
        <f>IFERROR(INDEX(Movimientos!$F$2:$F$1994,MATCH(A587&amp;"ENTRADA",Movimientos!$R$2:$R$1994,0)),"-")</f>
        <v>-</v>
      </c>
      <c r="F587" s="2" t="str">
        <f>IFERROR(INDEX(Movimientos!$G$2:$G$1994,MATCH(A587&amp;"ENTRADA",Movimientos!$R$2:$R$1994,0)),"-")</f>
        <v>-</v>
      </c>
      <c r="G587" s="2" t="str">
        <f>IFERROR(INDEX(Movimientos!$L$2:$L$1994,MATCH(A587&amp;"ENTRADA",Movimientos!$R$2:$R$1994,0)),"-")</f>
        <v>-</v>
      </c>
      <c r="H587" s="17" t="str">
        <f>IFERROR(IF(INDEX(Movimientos!$M$2:$M$1994,MATCH(A587&amp;"ENTRADA",Movimientos!$R$2:$R$1994,0))=0,"S/D",INDEX(Movimientos!$M$2:$M$1994,MATCH(A587&amp;"ENTRADA",Movimientos!$R$2:$R$1994,0))),"S/D")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2863</v>
      </c>
      <c r="B588" s="2" t="str">
        <f>IFERROR(INDEX(Movimientos!$C$2:$C$1994,MATCH(A588&amp;"ENTRADA",Movimientos!$R$2:$R$1994,0)),"-")</f>
        <v>-</v>
      </c>
      <c r="C588" s="2" t="str">
        <f>IFERROR(INDEX(Movimientos!$D$2:$D$1994,MATCH(A588&amp;"ENTRADA",Movimientos!$R$2:$R$1994,0)),"-")</f>
        <v>-</v>
      </c>
      <c r="D588" s="2" t="str">
        <f>IFERROR(INDEX(Movimientos!$E$2:$E$1994,MATCH(A588&amp;"ENTRADA",Movimientos!$R$2:$R$1994,0)),"-")</f>
        <v>-</v>
      </c>
      <c r="E588" s="2" t="str">
        <f>IFERROR(INDEX(Movimientos!$F$2:$F$1994,MATCH(A588&amp;"ENTRADA",Movimientos!$R$2:$R$1994,0)),"-")</f>
        <v>-</v>
      </c>
      <c r="F588" s="2" t="str">
        <f>IFERROR(INDEX(Movimientos!$G$2:$G$1994,MATCH(A588&amp;"ENTRADA",Movimientos!$R$2:$R$1994,0)),"-")</f>
        <v>-</v>
      </c>
      <c r="G588" s="2" t="str">
        <f>IFERROR(INDEX(Movimientos!$L$2:$L$1994,MATCH(A588&amp;"ENTRADA",Movimientos!$R$2:$R$1994,0)),"-")</f>
        <v>-</v>
      </c>
      <c r="H588" s="17" t="str">
        <f>IFERROR(IF(INDEX(Movimientos!$M$2:$M$1994,MATCH(A588&amp;"ENTRADA",Movimientos!$R$2:$R$1994,0))=0,"S/D",INDEX(Movimientos!$M$2:$M$1994,MATCH(A588&amp;"ENTRADA",Movimientos!$R$2:$R$1994,0))),"S/D")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2864</v>
      </c>
      <c r="B589" s="2" t="str">
        <f>IFERROR(INDEX(Movimientos!$C$2:$C$1994,MATCH(A589&amp;"ENTRADA",Movimientos!$R$2:$R$1994,0)),"-")</f>
        <v>-</v>
      </c>
      <c r="C589" s="2" t="str">
        <f>IFERROR(INDEX(Movimientos!$D$2:$D$1994,MATCH(A589&amp;"ENTRADA",Movimientos!$R$2:$R$1994,0)),"-")</f>
        <v>-</v>
      </c>
      <c r="D589" s="2" t="str">
        <f>IFERROR(INDEX(Movimientos!$E$2:$E$1994,MATCH(A589&amp;"ENTRADA",Movimientos!$R$2:$R$1994,0)),"-")</f>
        <v>-</v>
      </c>
      <c r="E589" s="2" t="str">
        <f>IFERROR(INDEX(Movimientos!$F$2:$F$1994,MATCH(A589&amp;"ENTRADA",Movimientos!$R$2:$R$1994,0)),"-")</f>
        <v>-</v>
      </c>
      <c r="F589" s="2" t="str">
        <f>IFERROR(INDEX(Movimientos!$G$2:$G$1994,MATCH(A589&amp;"ENTRADA",Movimientos!$R$2:$R$1994,0)),"-")</f>
        <v>-</v>
      </c>
      <c r="G589" s="2" t="str">
        <f>IFERROR(INDEX(Movimientos!$L$2:$L$1994,MATCH(A589&amp;"ENTRADA",Movimientos!$R$2:$R$1994,0)),"-")</f>
        <v>-</v>
      </c>
      <c r="H589" s="17" t="str">
        <f>IFERROR(IF(INDEX(Movimientos!$M$2:$M$1994,MATCH(A589&amp;"ENTRADA",Movimientos!$R$2:$R$1994,0))=0,"S/D",INDEX(Movimientos!$M$2:$M$1994,MATCH(A589&amp;"ENTRADA",Movimientos!$R$2:$R$1994,0))),"S/D")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2865</v>
      </c>
      <c r="B590" s="2" t="str">
        <f>IFERROR(INDEX(Movimientos!$C$2:$C$1994,MATCH(A590&amp;"ENTRADA",Movimientos!$R$2:$R$1994,0)),"-")</f>
        <v>-</v>
      </c>
      <c r="C590" s="2" t="str">
        <f>IFERROR(INDEX(Movimientos!$D$2:$D$1994,MATCH(A590&amp;"ENTRADA",Movimientos!$R$2:$R$1994,0)),"-")</f>
        <v>-</v>
      </c>
      <c r="D590" s="2" t="str">
        <f>IFERROR(INDEX(Movimientos!$E$2:$E$1994,MATCH(A590&amp;"ENTRADA",Movimientos!$R$2:$R$1994,0)),"-")</f>
        <v>-</v>
      </c>
      <c r="E590" s="2" t="str">
        <f>IFERROR(INDEX(Movimientos!$F$2:$F$1994,MATCH(A590&amp;"ENTRADA",Movimientos!$R$2:$R$1994,0)),"-")</f>
        <v>-</v>
      </c>
      <c r="F590" s="2" t="str">
        <f>IFERROR(INDEX(Movimientos!$G$2:$G$1994,MATCH(A590&amp;"ENTRADA",Movimientos!$R$2:$R$1994,0)),"-")</f>
        <v>-</v>
      </c>
      <c r="G590" s="2" t="str">
        <f>IFERROR(INDEX(Movimientos!$L$2:$L$1994,MATCH(A590&amp;"ENTRADA",Movimientos!$R$2:$R$1994,0)),"-")</f>
        <v>-</v>
      </c>
      <c r="H590" s="17" t="str">
        <f>IFERROR(IF(INDEX(Movimientos!$M$2:$M$1994,MATCH(A590&amp;"ENTRADA",Movimientos!$R$2:$R$1994,0))=0,"S/D",INDEX(Movimientos!$M$2:$M$1994,MATCH(A590&amp;"ENTRADA",Movimientos!$R$2:$R$1994,0))),"S/D")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2866</v>
      </c>
      <c r="B591" s="2" t="str">
        <f>IFERROR(INDEX(Movimientos!$C$2:$C$1994,MATCH(A591&amp;"ENTRADA",Movimientos!$R$2:$R$1994,0)),"-")</f>
        <v>-</v>
      </c>
      <c r="C591" s="2" t="str">
        <f>IFERROR(INDEX(Movimientos!$D$2:$D$1994,MATCH(A591&amp;"ENTRADA",Movimientos!$R$2:$R$1994,0)),"-")</f>
        <v>-</v>
      </c>
      <c r="D591" s="2" t="str">
        <f>IFERROR(INDEX(Movimientos!$E$2:$E$1994,MATCH(A591&amp;"ENTRADA",Movimientos!$R$2:$R$1994,0)),"-")</f>
        <v>-</v>
      </c>
      <c r="E591" s="2" t="str">
        <f>IFERROR(INDEX(Movimientos!$F$2:$F$1994,MATCH(A591&amp;"ENTRADA",Movimientos!$R$2:$R$1994,0)),"-")</f>
        <v>-</v>
      </c>
      <c r="F591" s="2" t="str">
        <f>IFERROR(INDEX(Movimientos!$G$2:$G$1994,MATCH(A591&amp;"ENTRADA",Movimientos!$R$2:$R$1994,0)),"-")</f>
        <v>-</v>
      </c>
      <c r="G591" s="2" t="str">
        <f>IFERROR(INDEX(Movimientos!$L$2:$L$1994,MATCH(A591&amp;"ENTRADA",Movimientos!$R$2:$R$1994,0)),"-")</f>
        <v>-</v>
      </c>
      <c r="H591" s="17" t="str">
        <f>IFERROR(IF(INDEX(Movimientos!$M$2:$M$1994,MATCH(A591&amp;"ENTRADA",Movimientos!$R$2:$R$1994,0))=0,"S/D",INDEX(Movimientos!$M$2:$M$1994,MATCH(A591&amp;"ENTRADA",Movimientos!$R$2:$R$1994,0))),"S/D")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2867</v>
      </c>
      <c r="B592" s="2" t="str">
        <f>IFERROR(INDEX(Movimientos!$C$2:$C$1994,MATCH(A592&amp;"ENTRADA",Movimientos!$R$2:$R$1994,0)),"-")</f>
        <v>-</v>
      </c>
      <c r="C592" s="2" t="str">
        <f>IFERROR(INDEX(Movimientos!$D$2:$D$1994,MATCH(A592&amp;"ENTRADA",Movimientos!$R$2:$R$1994,0)),"-")</f>
        <v>-</v>
      </c>
      <c r="D592" s="2" t="str">
        <f>IFERROR(INDEX(Movimientos!$E$2:$E$1994,MATCH(A592&amp;"ENTRADA",Movimientos!$R$2:$R$1994,0)),"-")</f>
        <v>-</v>
      </c>
      <c r="E592" s="2" t="str">
        <f>IFERROR(INDEX(Movimientos!$F$2:$F$1994,MATCH(A592&amp;"ENTRADA",Movimientos!$R$2:$R$1994,0)),"-")</f>
        <v>-</v>
      </c>
      <c r="F592" s="2" t="str">
        <f>IFERROR(INDEX(Movimientos!$G$2:$G$1994,MATCH(A592&amp;"ENTRADA",Movimientos!$R$2:$R$1994,0)),"-")</f>
        <v>-</v>
      </c>
      <c r="G592" s="2" t="str">
        <f>IFERROR(INDEX(Movimientos!$L$2:$L$1994,MATCH(A592&amp;"ENTRADA",Movimientos!$R$2:$R$1994,0)),"-")</f>
        <v>-</v>
      </c>
      <c r="H592" s="17" t="str">
        <f>IFERROR(IF(INDEX(Movimientos!$M$2:$M$1994,MATCH(A592&amp;"ENTRADA",Movimientos!$R$2:$R$1994,0))=0,"S/D",INDEX(Movimientos!$M$2:$M$1994,MATCH(A592&amp;"ENTRADA",Movimientos!$R$2:$R$1994,0))),"S/D")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2868</v>
      </c>
      <c r="B593" s="2" t="str">
        <f>IFERROR(INDEX(Movimientos!$C$2:$C$1994,MATCH(A593&amp;"ENTRADA",Movimientos!$R$2:$R$1994,0)),"-")</f>
        <v>-</v>
      </c>
      <c r="C593" s="2" t="str">
        <f>IFERROR(INDEX(Movimientos!$D$2:$D$1994,MATCH(A593&amp;"ENTRADA",Movimientos!$R$2:$R$1994,0)),"-")</f>
        <v>-</v>
      </c>
      <c r="D593" s="2" t="str">
        <f>IFERROR(INDEX(Movimientos!$E$2:$E$1994,MATCH(A593&amp;"ENTRADA",Movimientos!$R$2:$R$1994,0)),"-")</f>
        <v>-</v>
      </c>
      <c r="E593" s="2" t="str">
        <f>IFERROR(INDEX(Movimientos!$F$2:$F$1994,MATCH(A593&amp;"ENTRADA",Movimientos!$R$2:$R$1994,0)),"-")</f>
        <v>-</v>
      </c>
      <c r="F593" s="2" t="str">
        <f>IFERROR(INDEX(Movimientos!$G$2:$G$1994,MATCH(A593&amp;"ENTRADA",Movimientos!$R$2:$R$1994,0)),"-")</f>
        <v>-</v>
      </c>
      <c r="G593" s="2" t="str">
        <f>IFERROR(INDEX(Movimientos!$L$2:$L$1994,MATCH(A593&amp;"ENTRADA",Movimientos!$R$2:$R$1994,0)),"-")</f>
        <v>-</v>
      </c>
      <c r="H593" s="17" t="str">
        <f>IFERROR(IF(INDEX(Movimientos!$M$2:$M$1994,MATCH(A593&amp;"ENTRADA",Movimientos!$R$2:$R$1994,0))=0,"S/D",INDEX(Movimientos!$M$2:$M$1994,MATCH(A593&amp;"ENTRADA",Movimientos!$R$2:$R$1994,0))),"S/D")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2869</v>
      </c>
      <c r="B594" s="2" t="str">
        <f>IFERROR(INDEX(Movimientos!$C$2:$C$1994,MATCH(A594&amp;"ENTRADA",Movimientos!$R$2:$R$1994,0)),"-")</f>
        <v>-</v>
      </c>
      <c r="C594" s="2" t="str">
        <f>IFERROR(INDEX(Movimientos!$D$2:$D$1994,MATCH(A594&amp;"ENTRADA",Movimientos!$R$2:$R$1994,0)),"-")</f>
        <v>-</v>
      </c>
      <c r="D594" s="2" t="str">
        <f>IFERROR(INDEX(Movimientos!$E$2:$E$1994,MATCH(A594&amp;"ENTRADA",Movimientos!$R$2:$R$1994,0)),"-")</f>
        <v>-</v>
      </c>
      <c r="E594" s="2" t="str">
        <f>IFERROR(INDEX(Movimientos!$F$2:$F$1994,MATCH(A594&amp;"ENTRADA",Movimientos!$R$2:$R$1994,0)),"-")</f>
        <v>-</v>
      </c>
      <c r="F594" s="2" t="str">
        <f>IFERROR(INDEX(Movimientos!$G$2:$G$1994,MATCH(A594&amp;"ENTRADA",Movimientos!$R$2:$R$1994,0)),"-")</f>
        <v>-</v>
      </c>
      <c r="G594" s="2" t="str">
        <f>IFERROR(INDEX(Movimientos!$L$2:$L$1994,MATCH(A594&amp;"ENTRADA",Movimientos!$R$2:$R$1994,0)),"-")</f>
        <v>-</v>
      </c>
      <c r="H594" s="17" t="str">
        <f>IFERROR(IF(INDEX(Movimientos!$M$2:$M$1994,MATCH(A594&amp;"ENTRADA",Movimientos!$R$2:$R$1994,0))=0,"S/D",INDEX(Movimientos!$M$2:$M$1994,MATCH(A594&amp;"ENTRADA",Movimientos!$R$2:$R$1994,0))),"S/D")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2870</v>
      </c>
      <c r="B595" s="2" t="str">
        <f>IFERROR(INDEX(Movimientos!$C$2:$C$1994,MATCH(A595&amp;"ENTRADA",Movimientos!$R$2:$R$1994,0)),"-")</f>
        <v>-</v>
      </c>
      <c r="C595" s="2" t="str">
        <f>IFERROR(INDEX(Movimientos!$D$2:$D$1994,MATCH(A595&amp;"ENTRADA",Movimientos!$R$2:$R$1994,0)),"-")</f>
        <v>-</v>
      </c>
      <c r="D595" s="2" t="str">
        <f>IFERROR(INDEX(Movimientos!$E$2:$E$1994,MATCH(A595&amp;"ENTRADA",Movimientos!$R$2:$R$1994,0)),"-")</f>
        <v>-</v>
      </c>
      <c r="E595" s="2" t="str">
        <f>IFERROR(INDEX(Movimientos!$F$2:$F$1994,MATCH(A595&amp;"ENTRADA",Movimientos!$R$2:$R$1994,0)),"-")</f>
        <v>-</v>
      </c>
      <c r="F595" s="2" t="str">
        <f>IFERROR(INDEX(Movimientos!$G$2:$G$1994,MATCH(A595&amp;"ENTRADA",Movimientos!$R$2:$R$1994,0)),"-")</f>
        <v>-</v>
      </c>
      <c r="G595" s="2" t="str">
        <f>IFERROR(INDEX(Movimientos!$L$2:$L$1994,MATCH(A595&amp;"ENTRADA",Movimientos!$R$2:$R$1994,0)),"-")</f>
        <v>-</v>
      </c>
      <c r="H595" s="17" t="str">
        <f>IFERROR(IF(INDEX(Movimientos!$M$2:$M$1994,MATCH(A595&amp;"ENTRADA",Movimientos!$R$2:$R$1994,0))=0,"S/D",INDEX(Movimientos!$M$2:$M$1994,MATCH(A595&amp;"ENTRADA",Movimientos!$R$2:$R$1994,0))),"S/D")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2871</v>
      </c>
      <c r="B596" s="2" t="str">
        <f>IFERROR(INDEX(Movimientos!$C$2:$C$1994,MATCH(A596&amp;"ENTRADA",Movimientos!$R$2:$R$1994,0)),"-")</f>
        <v>-</v>
      </c>
      <c r="C596" s="2" t="str">
        <f>IFERROR(INDEX(Movimientos!$D$2:$D$1994,MATCH(A596&amp;"ENTRADA",Movimientos!$R$2:$R$1994,0)),"-")</f>
        <v>-</v>
      </c>
      <c r="D596" s="2" t="str">
        <f>IFERROR(INDEX(Movimientos!$E$2:$E$1994,MATCH(A596&amp;"ENTRADA",Movimientos!$R$2:$R$1994,0)),"-")</f>
        <v>-</v>
      </c>
      <c r="E596" s="2" t="str">
        <f>IFERROR(INDEX(Movimientos!$F$2:$F$1994,MATCH(A596&amp;"ENTRADA",Movimientos!$R$2:$R$1994,0)),"-")</f>
        <v>-</v>
      </c>
      <c r="F596" s="2" t="str">
        <f>IFERROR(INDEX(Movimientos!$G$2:$G$1994,MATCH(A596&amp;"ENTRADA",Movimientos!$R$2:$R$1994,0)),"-")</f>
        <v>-</v>
      </c>
      <c r="G596" s="2" t="str">
        <f>IFERROR(INDEX(Movimientos!$L$2:$L$1994,MATCH(A596&amp;"ENTRADA",Movimientos!$R$2:$R$1994,0)),"-")</f>
        <v>-</v>
      </c>
      <c r="H596" s="17" t="str">
        <f>IFERROR(IF(INDEX(Movimientos!$M$2:$M$1994,MATCH(A596&amp;"ENTRADA",Movimientos!$R$2:$R$1994,0))=0,"S/D",INDEX(Movimientos!$M$2:$M$1994,MATCH(A596&amp;"ENTRADA",Movimientos!$R$2:$R$1994,0))),"S/D")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2872</v>
      </c>
      <c r="B597" s="2" t="str">
        <f>IFERROR(INDEX(Movimientos!$C$2:$C$1994,MATCH(A597&amp;"ENTRADA",Movimientos!$R$2:$R$1994,0)),"-")</f>
        <v>-</v>
      </c>
      <c r="C597" s="2" t="str">
        <f>IFERROR(INDEX(Movimientos!$D$2:$D$1994,MATCH(A597&amp;"ENTRADA",Movimientos!$R$2:$R$1994,0)),"-")</f>
        <v>-</v>
      </c>
      <c r="D597" s="2" t="str">
        <f>IFERROR(INDEX(Movimientos!$E$2:$E$1994,MATCH(A597&amp;"ENTRADA",Movimientos!$R$2:$R$1994,0)),"-")</f>
        <v>-</v>
      </c>
      <c r="E597" s="2" t="str">
        <f>IFERROR(INDEX(Movimientos!$F$2:$F$1994,MATCH(A597&amp;"ENTRADA",Movimientos!$R$2:$R$1994,0)),"-")</f>
        <v>-</v>
      </c>
      <c r="F597" s="2" t="str">
        <f>IFERROR(INDEX(Movimientos!$G$2:$G$1994,MATCH(A597&amp;"ENTRADA",Movimientos!$R$2:$R$1994,0)),"-")</f>
        <v>-</v>
      </c>
      <c r="G597" s="2" t="str">
        <f>IFERROR(INDEX(Movimientos!$L$2:$L$1994,MATCH(A597&amp;"ENTRADA",Movimientos!$R$2:$R$1994,0)),"-")</f>
        <v>-</v>
      </c>
      <c r="H597" s="17" t="str">
        <f>IFERROR(IF(INDEX(Movimientos!$M$2:$M$1994,MATCH(A597&amp;"ENTRADA",Movimientos!$R$2:$R$1994,0))=0,"S/D",INDEX(Movimientos!$M$2:$M$1994,MATCH(A597&amp;"ENTRADA",Movimientos!$R$2:$R$1994,0))),"S/D")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2873</v>
      </c>
      <c r="B598" s="2" t="str">
        <f>IFERROR(INDEX(Movimientos!$C$2:$C$1994,MATCH(A598&amp;"ENTRADA",Movimientos!$R$2:$R$1994,0)),"-")</f>
        <v>-</v>
      </c>
      <c r="C598" s="2" t="str">
        <f>IFERROR(INDEX(Movimientos!$D$2:$D$1994,MATCH(A598&amp;"ENTRADA",Movimientos!$R$2:$R$1994,0)),"-")</f>
        <v>-</v>
      </c>
      <c r="D598" s="2" t="str">
        <f>IFERROR(INDEX(Movimientos!$E$2:$E$1994,MATCH(A598&amp;"ENTRADA",Movimientos!$R$2:$R$1994,0)),"-")</f>
        <v>-</v>
      </c>
      <c r="E598" s="2" t="str">
        <f>IFERROR(INDEX(Movimientos!$F$2:$F$1994,MATCH(A598&amp;"ENTRADA",Movimientos!$R$2:$R$1994,0)),"-")</f>
        <v>-</v>
      </c>
      <c r="F598" s="2" t="str">
        <f>IFERROR(INDEX(Movimientos!$G$2:$G$1994,MATCH(A598&amp;"ENTRADA",Movimientos!$R$2:$R$1994,0)),"-")</f>
        <v>-</v>
      </c>
      <c r="G598" s="2" t="str">
        <f>IFERROR(INDEX(Movimientos!$L$2:$L$1994,MATCH(A598&amp;"ENTRADA",Movimientos!$R$2:$R$1994,0)),"-")</f>
        <v>-</v>
      </c>
      <c r="H598" s="17" t="str">
        <f>IFERROR(IF(INDEX(Movimientos!$M$2:$M$1994,MATCH(A598&amp;"ENTRADA",Movimientos!$R$2:$R$1994,0))=0,"S/D",INDEX(Movimientos!$M$2:$M$1994,MATCH(A598&amp;"ENTRADA",Movimientos!$R$2:$R$1994,0))),"S/D")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2874</v>
      </c>
      <c r="B599" s="2" t="str">
        <f>IFERROR(INDEX(Movimientos!$C$2:$C$1994,MATCH(A599&amp;"ENTRADA",Movimientos!$R$2:$R$1994,0)),"-")</f>
        <v>-</v>
      </c>
      <c r="C599" s="2" t="str">
        <f>IFERROR(INDEX(Movimientos!$D$2:$D$1994,MATCH(A599&amp;"ENTRADA",Movimientos!$R$2:$R$1994,0)),"-")</f>
        <v>-</v>
      </c>
      <c r="D599" s="2" t="str">
        <f>IFERROR(INDEX(Movimientos!$E$2:$E$1994,MATCH(A599&amp;"ENTRADA",Movimientos!$R$2:$R$1994,0)),"-")</f>
        <v>-</v>
      </c>
      <c r="E599" s="2" t="str">
        <f>IFERROR(INDEX(Movimientos!$F$2:$F$1994,MATCH(A599&amp;"ENTRADA",Movimientos!$R$2:$R$1994,0)),"-")</f>
        <v>-</v>
      </c>
      <c r="F599" s="2" t="str">
        <f>IFERROR(INDEX(Movimientos!$G$2:$G$1994,MATCH(A599&amp;"ENTRADA",Movimientos!$R$2:$R$1994,0)),"-")</f>
        <v>-</v>
      </c>
      <c r="G599" s="2" t="str">
        <f>IFERROR(INDEX(Movimientos!$L$2:$L$1994,MATCH(A599&amp;"ENTRADA",Movimientos!$R$2:$R$1994,0)),"-")</f>
        <v>-</v>
      </c>
      <c r="H599" s="17" t="str">
        <f>IFERROR(IF(INDEX(Movimientos!$M$2:$M$1994,MATCH(A599&amp;"ENTRADA",Movimientos!$R$2:$R$1994,0))=0,"S/D",INDEX(Movimientos!$M$2:$M$1994,MATCH(A599&amp;"ENTRADA",Movimientos!$R$2:$R$1994,0))),"S/D")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2875</v>
      </c>
      <c r="B600" s="2" t="str">
        <f>IFERROR(INDEX(Movimientos!$C$2:$C$1994,MATCH(A600&amp;"ENTRADA",Movimientos!$R$2:$R$1994,0)),"-")</f>
        <v>-</v>
      </c>
      <c r="C600" s="2" t="str">
        <f>IFERROR(INDEX(Movimientos!$D$2:$D$1994,MATCH(A600&amp;"ENTRADA",Movimientos!$R$2:$R$1994,0)),"-")</f>
        <v>-</v>
      </c>
      <c r="D600" s="2" t="str">
        <f>IFERROR(INDEX(Movimientos!$E$2:$E$1994,MATCH(A600&amp;"ENTRADA",Movimientos!$R$2:$R$1994,0)),"-")</f>
        <v>-</v>
      </c>
      <c r="E600" s="2" t="str">
        <f>IFERROR(INDEX(Movimientos!$F$2:$F$1994,MATCH(A600&amp;"ENTRADA",Movimientos!$R$2:$R$1994,0)),"-")</f>
        <v>-</v>
      </c>
      <c r="F600" s="2" t="str">
        <f>IFERROR(INDEX(Movimientos!$G$2:$G$1994,MATCH(A600&amp;"ENTRADA",Movimientos!$R$2:$R$1994,0)),"-")</f>
        <v>-</v>
      </c>
      <c r="G600" s="2" t="str">
        <f>IFERROR(INDEX(Movimientos!$L$2:$L$1994,MATCH(A600&amp;"ENTRADA",Movimientos!$R$2:$R$1994,0)),"-")</f>
        <v>-</v>
      </c>
      <c r="H600" s="17" t="str">
        <f>IFERROR(IF(INDEX(Movimientos!$M$2:$M$1994,MATCH(A600&amp;"ENTRADA",Movimientos!$R$2:$R$1994,0))=0,"S/D",INDEX(Movimientos!$M$2:$M$1994,MATCH(A600&amp;"ENTRADA",Movimientos!$R$2:$R$1994,0))),"S/D")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2876</v>
      </c>
      <c r="B601" s="2" t="str">
        <f>IFERROR(INDEX(Movimientos!$C$2:$C$1994,MATCH(A601&amp;"ENTRADA",Movimientos!$R$2:$R$1994,0)),"-")</f>
        <v>-</v>
      </c>
      <c r="C601" s="2" t="str">
        <f>IFERROR(INDEX(Movimientos!$D$2:$D$1994,MATCH(A601&amp;"ENTRADA",Movimientos!$R$2:$R$1994,0)),"-")</f>
        <v>-</v>
      </c>
      <c r="D601" s="2" t="str">
        <f>IFERROR(INDEX(Movimientos!$E$2:$E$1994,MATCH(A601&amp;"ENTRADA",Movimientos!$R$2:$R$1994,0)),"-")</f>
        <v>-</v>
      </c>
      <c r="E601" s="2" t="str">
        <f>IFERROR(INDEX(Movimientos!$F$2:$F$1994,MATCH(A601&amp;"ENTRADA",Movimientos!$R$2:$R$1994,0)),"-")</f>
        <v>-</v>
      </c>
      <c r="F601" s="2" t="str">
        <f>IFERROR(INDEX(Movimientos!$G$2:$G$1994,MATCH(A601&amp;"ENTRADA",Movimientos!$R$2:$R$1994,0)),"-")</f>
        <v>-</v>
      </c>
      <c r="G601" s="2" t="str">
        <f>IFERROR(INDEX(Movimientos!$L$2:$L$1994,MATCH(A601&amp;"ENTRADA",Movimientos!$R$2:$R$1994,0)),"-")</f>
        <v>-</v>
      </c>
      <c r="H601" s="17" t="str">
        <f>IFERROR(IF(INDEX(Movimientos!$M$2:$M$1994,MATCH(A601&amp;"ENTRADA",Movimientos!$R$2:$R$1994,0))=0,"S/D",INDEX(Movimientos!$M$2:$M$1994,MATCH(A601&amp;"ENTRADA",Movimientos!$R$2:$R$1994,0))),"S/D")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2877</v>
      </c>
      <c r="B602" s="2" t="str">
        <f>IFERROR(INDEX(Movimientos!$C$2:$C$1994,MATCH(A602&amp;"ENTRADA",Movimientos!$R$2:$R$1994,0)),"-")</f>
        <v>-</v>
      </c>
      <c r="C602" s="2" t="str">
        <f>IFERROR(INDEX(Movimientos!$D$2:$D$1994,MATCH(A602&amp;"ENTRADA",Movimientos!$R$2:$R$1994,0)),"-")</f>
        <v>-</v>
      </c>
      <c r="D602" s="2" t="str">
        <f>IFERROR(INDEX(Movimientos!$E$2:$E$1994,MATCH(A602&amp;"ENTRADA",Movimientos!$R$2:$R$1994,0)),"-")</f>
        <v>-</v>
      </c>
      <c r="E602" s="2" t="str">
        <f>IFERROR(INDEX(Movimientos!$F$2:$F$1994,MATCH(A602&amp;"ENTRADA",Movimientos!$R$2:$R$1994,0)),"-")</f>
        <v>-</v>
      </c>
      <c r="F602" s="2" t="str">
        <f>IFERROR(INDEX(Movimientos!$G$2:$G$1994,MATCH(A602&amp;"ENTRADA",Movimientos!$R$2:$R$1994,0)),"-")</f>
        <v>-</v>
      </c>
      <c r="G602" s="2" t="str">
        <f>IFERROR(INDEX(Movimientos!$L$2:$L$1994,MATCH(A602&amp;"ENTRADA",Movimientos!$R$2:$R$1994,0)),"-")</f>
        <v>-</v>
      </c>
      <c r="H602" s="17" t="str">
        <f>IFERROR(IF(INDEX(Movimientos!$M$2:$M$1994,MATCH(A602&amp;"ENTRADA",Movimientos!$R$2:$R$1994,0))=0,"S/D",INDEX(Movimientos!$M$2:$M$1994,MATCH(A602&amp;"ENTRADA",Movimientos!$R$2:$R$1994,0))),"S/D")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2878</v>
      </c>
      <c r="B603" s="2" t="str">
        <f>IFERROR(INDEX(Movimientos!$C$2:$C$1994,MATCH(A603&amp;"ENTRADA",Movimientos!$R$2:$R$1994,0)),"-")</f>
        <v>-</v>
      </c>
      <c r="C603" s="2" t="str">
        <f>IFERROR(INDEX(Movimientos!$D$2:$D$1994,MATCH(A603&amp;"ENTRADA",Movimientos!$R$2:$R$1994,0)),"-")</f>
        <v>-</v>
      </c>
      <c r="D603" s="2" t="str">
        <f>IFERROR(INDEX(Movimientos!$E$2:$E$1994,MATCH(A603&amp;"ENTRADA",Movimientos!$R$2:$R$1994,0)),"-")</f>
        <v>-</v>
      </c>
      <c r="E603" s="2" t="str">
        <f>IFERROR(INDEX(Movimientos!$F$2:$F$1994,MATCH(A603&amp;"ENTRADA",Movimientos!$R$2:$R$1994,0)),"-")</f>
        <v>-</v>
      </c>
      <c r="F603" s="2" t="str">
        <f>IFERROR(INDEX(Movimientos!$G$2:$G$1994,MATCH(A603&amp;"ENTRADA",Movimientos!$R$2:$R$1994,0)),"-")</f>
        <v>-</v>
      </c>
      <c r="G603" s="2" t="str">
        <f>IFERROR(INDEX(Movimientos!$L$2:$L$1994,MATCH(A603&amp;"ENTRADA",Movimientos!$R$2:$R$1994,0)),"-")</f>
        <v>-</v>
      </c>
      <c r="H603" s="17" t="str">
        <f>IFERROR(IF(INDEX(Movimientos!$M$2:$M$1994,MATCH(A603&amp;"ENTRADA",Movimientos!$R$2:$R$1994,0))=0,"S/D",INDEX(Movimientos!$M$2:$M$1994,MATCH(A603&amp;"ENTRADA",Movimientos!$R$2:$R$1994,0))),"S/D")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2879</v>
      </c>
      <c r="B604" s="2" t="str">
        <f>IFERROR(INDEX(Movimientos!$C$2:$C$1994,MATCH(A604&amp;"ENTRADA",Movimientos!$R$2:$R$1994,0)),"-")</f>
        <v>-</v>
      </c>
      <c r="C604" s="2" t="str">
        <f>IFERROR(INDEX(Movimientos!$D$2:$D$1994,MATCH(A604&amp;"ENTRADA",Movimientos!$R$2:$R$1994,0)),"-")</f>
        <v>-</v>
      </c>
      <c r="D604" s="2" t="str">
        <f>IFERROR(INDEX(Movimientos!$E$2:$E$1994,MATCH(A604&amp;"ENTRADA",Movimientos!$R$2:$R$1994,0)),"-")</f>
        <v>-</v>
      </c>
      <c r="E604" s="2" t="str">
        <f>IFERROR(INDEX(Movimientos!$F$2:$F$1994,MATCH(A604&amp;"ENTRADA",Movimientos!$R$2:$R$1994,0)),"-")</f>
        <v>-</v>
      </c>
      <c r="F604" s="2" t="str">
        <f>IFERROR(INDEX(Movimientos!$G$2:$G$1994,MATCH(A604&amp;"ENTRADA",Movimientos!$R$2:$R$1994,0)),"-")</f>
        <v>-</v>
      </c>
      <c r="G604" s="2" t="str">
        <f>IFERROR(INDEX(Movimientos!$L$2:$L$1994,MATCH(A604&amp;"ENTRADA",Movimientos!$R$2:$R$1994,0)),"-")</f>
        <v>-</v>
      </c>
      <c r="H604" s="17" t="str">
        <f>IFERROR(IF(INDEX(Movimientos!$M$2:$M$1994,MATCH(A604&amp;"ENTRADA",Movimientos!$R$2:$R$1994,0))=0,"S/D",INDEX(Movimientos!$M$2:$M$1994,MATCH(A604&amp;"ENTRADA",Movimientos!$R$2:$R$1994,0))),"S/D")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2880</v>
      </c>
      <c r="B605" s="2" t="str">
        <f>IFERROR(INDEX(Movimientos!$C$2:$C$1994,MATCH(A605&amp;"ENTRADA",Movimientos!$R$2:$R$1994,0)),"-")</f>
        <v>-</v>
      </c>
      <c r="C605" s="2" t="str">
        <f>IFERROR(INDEX(Movimientos!$D$2:$D$1994,MATCH(A605&amp;"ENTRADA",Movimientos!$R$2:$R$1994,0)),"-")</f>
        <v>-</v>
      </c>
      <c r="D605" s="2" t="str">
        <f>IFERROR(INDEX(Movimientos!$E$2:$E$1994,MATCH(A605&amp;"ENTRADA",Movimientos!$R$2:$R$1994,0)),"-")</f>
        <v>-</v>
      </c>
      <c r="E605" s="2" t="str">
        <f>IFERROR(INDEX(Movimientos!$F$2:$F$1994,MATCH(A605&amp;"ENTRADA",Movimientos!$R$2:$R$1994,0)),"-")</f>
        <v>-</v>
      </c>
      <c r="F605" s="2" t="str">
        <f>IFERROR(INDEX(Movimientos!$G$2:$G$1994,MATCH(A605&amp;"ENTRADA",Movimientos!$R$2:$R$1994,0)),"-")</f>
        <v>-</v>
      </c>
      <c r="G605" s="2" t="str">
        <f>IFERROR(INDEX(Movimientos!$L$2:$L$1994,MATCH(A605&amp;"ENTRADA",Movimientos!$R$2:$R$1994,0)),"-")</f>
        <v>-</v>
      </c>
      <c r="H605" s="17" t="str">
        <f>IFERROR(IF(INDEX(Movimientos!$M$2:$M$1994,MATCH(A605&amp;"ENTRADA",Movimientos!$R$2:$R$1994,0))=0,"S/D",INDEX(Movimientos!$M$2:$M$1994,MATCH(A605&amp;"ENTRADA",Movimientos!$R$2:$R$1994,0))),"S/D")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2881</v>
      </c>
      <c r="B606" s="2" t="str">
        <f>IFERROR(INDEX(Movimientos!$C$2:$C$1994,MATCH(A606&amp;"ENTRADA",Movimientos!$R$2:$R$1994,0)),"-")</f>
        <v>-</v>
      </c>
      <c r="C606" s="2" t="str">
        <f>IFERROR(INDEX(Movimientos!$D$2:$D$1994,MATCH(A606&amp;"ENTRADA",Movimientos!$R$2:$R$1994,0)),"-")</f>
        <v>-</v>
      </c>
      <c r="D606" s="2" t="str">
        <f>IFERROR(INDEX(Movimientos!$E$2:$E$1994,MATCH(A606&amp;"ENTRADA",Movimientos!$R$2:$R$1994,0)),"-")</f>
        <v>-</v>
      </c>
      <c r="E606" s="2" t="str">
        <f>IFERROR(INDEX(Movimientos!$F$2:$F$1994,MATCH(A606&amp;"ENTRADA",Movimientos!$R$2:$R$1994,0)),"-")</f>
        <v>-</v>
      </c>
      <c r="F606" s="2" t="str">
        <f>IFERROR(INDEX(Movimientos!$G$2:$G$1994,MATCH(A606&amp;"ENTRADA",Movimientos!$R$2:$R$1994,0)),"-")</f>
        <v>-</v>
      </c>
      <c r="G606" s="2" t="str">
        <f>IFERROR(INDEX(Movimientos!$L$2:$L$1994,MATCH(A606&amp;"ENTRADA",Movimientos!$R$2:$R$1994,0)),"-")</f>
        <v>-</v>
      </c>
      <c r="H606" s="17" t="str">
        <f>IFERROR(IF(INDEX(Movimientos!$M$2:$M$1994,MATCH(A606&amp;"ENTRADA",Movimientos!$R$2:$R$1994,0))=0,"S/D",INDEX(Movimientos!$M$2:$M$1994,MATCH(A606&amp;"ENTRADA",Movimientos!$R$2:$R$1994,0))),"S/D")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2882</v>
      </c>
      <c r="B607" s="2" t="str">
        <f>IFERROR(INDEX(Movimientos!$C$2:$C$1994,MATCH(A607&amp;"ENTRADA",Movimientos!$R$2:$R$1994,0)),"-")</f>
        <v>-</v>
      </c>
      <c r="C607" s="2" t="str">
        <f>IFERROR(INDEX(Movimientos!$D$2:$D$1994,MATCH(A607&amp;"ENTRADA",Movimientos!$R$2:$R$1994,0)),"-")</f>
        <v>-</v>
      </c>
      <c r="D607" s="2" t="str">
        <f>IFERROR(INDEX(Movimientos!$E$2:$E$1994,MATCH(A607&amp;"ENTRADA",Movimientos!$R$2:$R$1994,0)),"-")</f>
        <v>-</v>
      </c>
      <c r="E607" s="2" t="str">
        <f>IFERROR(INDEX(Movimientos!$F$2:$F$1994,MATCH(A607&amp;"ENTRADA",Movimientos!$R$2:$R$1994,0)),"-")</f>
        <v>-</v>
      </c>
      <c r="F607" s="2" t="str">
        <f>IFERROR(INDEX(Movimientos!$G$2:$G$1994,MATCH(A607&amp;"ENTRADA",Movimientos!$R$2:$R$1994,0)),"-")</f>
        <v>-</v>
      </c>
      <c r="G607" s="2" t="str">
        <f>IFERROR(INDEX(Movimientos!$L$2:$L$1994,MATCH(A607&amp;"ENTRADA",Movimientos!$R$2:$R$1994,0)),"-")</f>
        <v>-</v>
      </c>
      <c r="H607" s="17" t="str">
        <f>IFERROR(IF(INDEX(Movimientos!$M$2:$M$1994,MATCH(A607&amp;"ENTRADA",Movimientos!$R$2:$R$1994,0))=0,"S/D",INDEX(Movimientos!$M$2:$M$1994,MATCH(A607&amp;"ENTRADA",Movimientos!$R$2:$R$1994,0))),"S/D")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2883</v>
      </c>
      <c r="B608" s="2" t="str">
        <f>IFERROR(INDEX(Movimientos!$C$2:$C$1994,MATCH(A608&amp;"ENTRADA",Movimientos!$R$2:$R$1994,0)),"-")</f>
        <v>-</v>
      </c>
      <c r="C608" s="2" t="str">
        <f>IFERROR(INDEX(Movimientos!$D$2:$D$1994,MATCH(A608&amp;"ENTRADA",Movimientos!$R$2:$R$1994,0)),"-")</f>
        <v>-</v>
      </c>
      <c r="D608" s="2" t="str">
        <f>IFERROR(INDEX(Movimientos!$E$2:$E$1994,MATCH(A608&amp;"ENTRADA",Movimientos!$R$2:$R$1994,0)),"-")</f>
        <v>-</v>
      </c>
      <c r="E608" s="2" t="str">
        <f>IFERROR(INDEX(Movimientos!$F$2:$F$1994,MATCH(A608&amp;"ENTRADA",Movimientos!$R$2:$R$1994,0)),"-")</f>
        <v>-</v>
      </c>
      <c r="F608" s="2" t="str">
        <f>IFERROR(INDEX(Movimientos!$G$2:$G$1994,MATCH(A608&amp;"ENTRADA",Movimientos!$R$2:$R$1994,0)),"-")</f>
        <v>-</v>
      </c>
      <c r="G608" s="2" t="str">
        <f>IFERROR(INDEX(Movimientos!$L$2:$L$1994,MATCH(A608&amp;"ENTRADA",Movimientos!$R$2:$R$1994,0)),"-")</f>
        <v>-</v>
      </c>
      <c r="H608" s="17" t="str">
        <f>IFERROR(IF(INDEX(Movimientos!$M$2:$M$1994,MATCH(A608&amp;"ENTRADA",Movimientos!$R$2:$R$1994,0))=0,"S/D",INDEX(Movimientos!$M$2:$M$1994,MATCH(A608&amp;"ENTRADA",Movimientos!$R$2:$R$1994,0))),"S/D")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2884</v>
      </c>
      <c r="B609" s="2" t="str">
        <f>IFERROR(INDEX(Movimientos!$C$2:$C$1994,MATCH(A609&amp;"ENTRADA",Movimientos!$R$2:$R$1994,0)),"-")</f>
        <v>-</v>
      </c>
      <c r="C609" s="2" t="str">
        <f>IFERROR(INDEX(Movimientos!$D$2:$D$1994,MATCH(A609&amp;"ENTRADA",Movimientos!$R$2:$R$1994,0)),"-")</f>
        <v>-</v>
      </c>
      <c r="D609" s="2" t="str">
        <f>IFERROR(INDEX(Movimientos!$E$2:$E$1994,MATCH(A609&amp;"ENTRADA",Movimientos!$R$2:$R$1994,0)),"-")</f>
        <v>-</v>
      </c>
      <c r="E609" s="2" t="str">
        <f>IFERROR(INDEX(Movimientos!$F$2:$F$1994,MATCH(A609&amp;"ENTRADA",Movimientos!$R$2:$R$1994,0)),"-")</f>
        <v>-</v>
      </c>
      <c r="F609" s="2" t="str">
        <f>IFERROR(INDEX(Movimientos!$G$2:$G$1994,MATCH(A609&amp;"ENTRADA",Movimientos!$R$2:$R$1994,0)),"-")</f>
        <v>-</v>
      </c>
      <c r="G609" s="2" t="str">
        <f>IFERROR(INDEX(Movimientos!$L$2:$L$1994,MATCH(A609&amp;"ENTRADA",Movimientos!$R$2:$R$1994,0)),"-")</f>
        <v>-</v>
      </c>
      <c r="H609" s="17" t="str">
        <f>IFERROR(IF(INDEX(Movimientos!$M$2:$M$1994,MATCH(A609&amp;"ENTRADA",Movimientos!$R$2:$R$1994,0))=0,"S/D",INDEX(Movimientos!$M$2:$M$1994,MATCH(A609&amp;"ENTRADA",Movimientos!$R$2:$R$1994,0))),"S/D")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2885</v>
      </c>
      <c r="B610" s="2" t="str">
        <f>IFERROR(INDEX(Movimientos!$C$2:$C$1994,MATCH(A610&amp;"ENTRADA",Movimientos!$R$2:$R$1994,0)),"-")</f>
        <v>-</v>
      </c>
      <c r="C610" s="2" t="str">
        <f>IFERROR(INDEX(Movimientos!$D$2:$D$1994,MATCH(A610&amp;"ENTRADA",Movimientos!$R$2:$R$1994,0)),"-")</f>
        <v>-</v>
      </c>
      <c r="D610" s="2" t="str">
        <f>IFERROR(INDEX(Movimientos!$E$2:$E$1994,MATCH(A610&amp;"ENTRADA",Movimientos!$R$2:$R$1994,0)),"-")</f>
        <v>-</v>
      </c>
      <c r="E610" s="2" t="str">
        <f>IFERROR(INDEX(Movimientos!$F$2:$F$1994,MATCH(A610&amp;"ENTRADA",Movimientos!$R$2:$R$1994,0)),"-")</f>
        <v>-</v>
      </c>
      <c r="F610" s="2" t="str">
        <f>IFERROR(INDEX(Movimientos!$G$2:$G$1994,MATCH(A610&amp;"ENTRADA",Movimientos!$R$2:$R$1994,0)),"-")</f>
        <v>-</v>
      </c>
      <c r="G610" s="2" t="str">
        <f>IFERROR(INDEX(Movimientos!$L$2:$L$1994,MATCH(A610&amp;"ENTRADA",Movimientos!$R$2:$R$1994,0)),"-")</f>
        <v>-</v>
      </c>
      <c r="H610" s="17" t="str">
        <f>IFERROR(IF(INDEX(Movimientos!$M$2:$M$1994,MATCH(A610&amp;"ENTRADA",Movimientos!$R$2:$R$1994,0))=0,"S/D",INDEX(Movimientos!$M$2:$M$1994,MATCH(A610&amp;"ENTRADA",Movimientos!$R$2:$R$1994,0))),"S/D")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2886</v>
      </c>
      <c r="B611" s="2" t="str">
        <f>IFERROR(INDEX(Movimientos!$C$2:$C$1994,MATCH(A611&amp;"ENTRADA",Movimientos!$R$2:$R$1994,0)),"-")</f>
        <v>-</v>
      </c>
      <c r="C611" s="2" t="str">
        <f>IFERROR(INDEX(Movimientos!$D$2:$D$1994,MATCH(A611&amp;"ENTRADA",Movimientos!$R$2:$R$1994,0)),"-")</f>
        <v>-</v>
      </c>
      <c r="D611" s="2" t="str">
        <f>IFERROR(INDEX(Movimientos!$E$2:$E$1994,MATCH(A611&amp;"ENTRADA",Movimientos!$R$2:$R$1994,0)),"-")</f>
        <v>-</v>
      </c>
      <c r="E611" s="2" t="str">
        <f>IFERROR(INDEX(Movimientos!$F$2:$F$1994,MATCH(A611&amp;"ENTRADA",Movimientos!$R$2:$R$1994,0)),"-")</f>
        <v>-</v>
      </c>
      <c r="F611" s="2" t="str">
        <f>IFERROR(INDEX(Movimientos!$G$2:$G$1994,MATCH(A611&amp;"ENTRADA",Movimientos!$R$2:$R$1994,0)),"-")</f>
        <v>-</v>
      </c>
      <c r="G611" s="2" t="str">
        <f>IFERROR(INDEX(Movimientos!$L$2:$L$1994,MATCH(A611&amp;"ENTRADA",Movimientos!$R$2:$R$1994,0)),"-")</f>
        <v>-</v>
      </c>
      <c r="H611" s="17" t="str">
        <f>IFERROR(IF(INDEX(Movimientos!$M$2:$M$1994,MATCH(A611&amp;"ENTRADA",Movimientos!$R$2:$R$1994,0))=0,"S/D",INDEX(Movimientos!$M$2:$M$1994,MATCH(A611&amp;"ENTRADA",Movimientos!$R$2:$R$1994,0))),"S/D")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2887</v>
      </c>
      <c r="B612" s="2" t="str">
        <f>IFERROR(INDEX(Movimientos!$C$2:$C$1994,MATCH(A612&amp;"ENTRADA",Movimientos!$R$2:$R$1994,0)),"-")</f>
        <v>-</v>
      </c>
      <c r="C612" s="2" t="str">
        <f>IFERROR(INDEX(Movimientos!$D$2:$D$1994,MATCH(A612&amp;"ENTRADA",Movimientos!$R$2:$R$1994,0)),"-")</f>
        <v>-</v>
      </c>
      <c r="D612" s="2" t="str">
        <f>IFERROR(INDEX(Movimientos!$E$2:$E$1994,MATCH(A612&amp;"ENTRADA",Movimientos!$R$2:$R$1994,0)),"-")</f>
        <v>-</v>
      </c>
      <c r="E612" s="2" t="str">
        <f>IFERROR(INDEX(Movimientos!$F$2:$F$1994,MATCH(A612&amp;"ENTRADA",Movimientos!$R$2:$R$1994,0)),"-")</f>
        <v>-</v>
      </c>
      <c r="F612" s="2" t="str">
        <f>IFERROR(INDEX(Movimientos!$G$2:$G$1994,MATCH(A612&amp;"ENTRADA",Movimientos!$R$2:$R$1994,0)),"-")</f>
        <v>-</v>
      </c>
      <c r="G612" s="2" t="str">
        <f>IFERROR(INDEX(Movimientos!$L$2:$L$1994,MATCH(A612&amp;"ENTRADA",Movimientos!$R$2:$R$1994,0)),"-")</f>
        <v>-</v>
      </c>
      <c r="H612" s="17" t="str">
        <f>IFERROR(IF(INDEX(Movimientos!$M$2:$M$1994,MATCH(A612&amp;"ENTRADA",Movimientos!$R$2:$R$1994,0))=0,"S/D",INDEX(Movimientos!$M$2:$M$1994,MATCH(A612&amp;"ENTRADA",Movimientos!$R$2:$R$1994,0))),"S/D")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2888</v>
      </c>
      <c r="B613" s="2" t="str">
        <f>IFERROR(INDEX(Movimientos!$C$2:$C$1994,MATCH(A613&amp;"ENTRADA",Movimientos!$R$2:$R$1994,0)),"-")</f>
        <v>-</v>
      </c>
      <c r="C613" s="2" t="str">
        <f>IFERROR(INDEX(Movimientos!$D$2:$D$1994,MATCH(A613&amp;"ENTRADA",Movimientos!$R$2:$R$1994,0)),"-")</f>
        <v>-</v>
      </c>
      <c r="D613" s="2" t="str">
        <f>IFERROR(INDEX(Movimientos!$E$2:$E$1994,MATCH(A613&amp;"ENTRADA",Movimientos!$R$2:$R$1994,0)),"-")</f>
        <v>-</v>
      </c>
      <c r="E613" s="2" t="str">
        <f>IFERROR(INDEX(Movimientos!$F$2:$F$1994,MATCH(A613&amp;"ENTRADA",Movimientos!$R$2:$R$1994,0)),"-")</f>
        <v>-</v>
      </c>
      <c r="F613" s="2" t="str">
        <f>IFERROR(INDEX(Movimientos!$G$2:$G$1994,MATCH(A613&amp;"ENTRADA",Movimientos!$R$2:$R$1994,0)),"-")</f>
        <v>-</v>
      </c>
      <c r="G613" s="2" t="str">
        <f>IFERROR(INDEX(Movimientos!$L$2:$L$1994,MATCH(A613&amp;"ENTRADA",Movimientos!$R$2:$R$1994,0)),"-")</f>
        <v>-</v>
      </c>
      <c r="H613" s="17" t="str">
        <f>IFERROR(IF(INDEX(Movimientos!$M$2:$M$1994,MATCH(A613&amp;"ENTRADA",Movimientos!$R$2:$R$1994,0))=0,"S/D",INDEX(Movimientos!$M$2:$M$1994,MATCH(A613&amp;"ENTRADA",Movimientos!$R$2:$R$1994,0))),"S/D")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2889</v>
      </c>
      <c r="B614" s="2" t="str">
        <f>IFERROR(INDEX(Movimientos!$C$2:$C$1994,MATCH(A614&amp;"ENTRADA",Movimientos!$R$2:$R$1994,0)),"-")</f>
        <v>-</v>
      </c>
      <c r="C614" s="2" t="str">
        <f>IFERROR(INDEX(Movimientos!$D$2:$D$1994,MATCH(A614&amp;"ENTRADA",Movimientos!$R$2:$R$1994,0)),"-")</f>
        <v>-</v>
      </c>
      <c r="D614" s="2" t="str">
        <f>IFERROR(INDEX(Movimientos!$E$2:$E$1994,MATCH(A614&amp;"ENTRADA",Movimientos!$R$2:$R$1994,0)),"-")</f>
        <v>-</v>
      </c>
      <c r="E614" s="2" t="str">
        <f>IFERROR(INDEX(Movimientos!$F$2:$F$1994,MATCH(A614&amp;"ENTRADA",Movimientos!$R$2:$R$1994,0)),"-")</f>
        <v>-</v>
      </c>
      <c r="F614" s="2" t="str">
        <f>IFERROR(INDEX(Movimientos!$G$2:$G$1994,MATCH(A614&amp;"ENTRADA",Movimientos!$R$2:$R$1994,0)),"-")</f>
        <v>-</v>
      </c>
      <c r="G614" s="2" t="str">
        <f>IFERROR(INDEX(Movimientos!$L$2:$L$1994,MATCH(A614&amp;"ENTRADA",Movimientos!$R$2:$R$1994,0)),"-")</f>
        <v>-</v>
      </c>
      <c r="H614" s="17" t="str">
        <f>IFERROR(IF(INDEX(Movimientos!$M$2:$M$1994,MATCH(A614&amp;"ENTRADA",Movimientos!$R$2:$R$1994,0))=0,"S/D",INDEX(Movimientos!$M$2:$M$1994,MATCH(A614&amp;"ENTRADA",Movimientos!$R$2:$R$1994,0))),"S/D")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2890</v>
      </c>
      <c r="B615" s="2" t="str">
        <f>IFERROR(INDEX(Movimientos!$C$2:$C$1994,MATCH(A615&amp;"ENTRADA",Movimientos!$R$2:$R$1994,0)),"-")</f>
        <v>-</v>
      </c>
      <c r="C615" s="2" t="str">
        <f>IFERROR(INDEX(Movimientos!$D$2:$D$1994,MATCH(A615&amp;"ENTRADA",Movimientos!$R$2:$R$1994,0)),"-")</f>
        <v>-</v>
      </c>
      <c r="D615" s="2" t="str">
        <f>IFERROR(INDEX(Movimientos!$E$2:$E$1994,MATCH(A615&amp;"ENTRADA",Movimientos!$R$2:$R$1994,0)),"-")</f>
        <v>-</v>
      </c>
      <c r="E615" s="2" t="str">
        <f>IFERROR(INDEX(Movimientos!$F$2:$F$1994,MATCH(A615&amp;"ENTRADA",Movimientos!$R$2:$R$1994,0)),"-")</f>
        <v>-</v>
      </c>
      <c r="F615" s="2" t="str">
        <f>IFERROR(INDEX(Movimientos!$G$2:$G$1994,MATCH(A615&amp;"ENTRADA",Movimientos!$R$2:$R$1994,0)),"-")</f>
        <v>-</v>
      </c>
      <c r="G615" s="2" t="str">
        <f>IFERROR(INDEX(Movimientos!$L$2:$L$1994,MATCH(A615&amp;"ENTRADA",Movimientos!$R$2:$R$1994,0)),"-")</f>
        <v>-</v>
      </c>
      <c r="H615" s="17" t="str">
        <f>IFERROR(IF(INDEX(Movimientos!$M$2:$M$1994,MATCH(A615&amp;"ENTRADA",Movimientos!$R$2:$R$1994,0))=0,"S/D",INDEX(Movimientos!$M$2:$M$1994,MATCH(A615&amp;"ENTRADA",Movimientos!$R$2:$R$1994,0))),"S/D")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2891</v>
      </c>
      <c r="B616" s="2" t="str">
        <f>IFERROR(INDEX(Movimientos!$C$2:$C$1994,MATCH(A616&amp;"ENTRADA",Movimientos!$R$2:$R$1994,0)),"-")</f>
        <v>-</v>
      </c>
      <c r="C616" s="2" t="str">
        <f>IFERROR(INDEX(Movimientos!$D$2:$D$1994,MATCH(A616&amp;"ENTRADA",Movimientos!$R$2:$R$1994,0)),"-")</f>
        <v>-</v>
      </c>
      <c r="D616" s="2" t="str">
        <f>IFERROR(INDEX(Movimientos!$E$2:$E$1994,MATCH(A616&amp;"ENTRADA",Movimientos!$R$2:$R$1994,0)),"-")</f>
        <v>-</v>
      </c>
      <c r="E616" s="2" t="str">
        <f>IFERROR(INDEX(Movimientos!$F$2:$F$1994,MATCH(A616&amp;"ENTRADA",Movimientos!$R$2:$R$1994,0)),"-")</f>
        <v>-</v>
      </c>
      <c r="F616" s="2" t="str">
        <f>IFERROR(INDEX(Movimientos!$G$2:$G$1994,MATCH(A616&amp;"ENTRADA",Movimientos!$R$2:$R$1994,0)),"-")</f>
        <v>-</v>
      </c>
      <c r="G616" s="2" t="str">
        <f>IFERROR(INDEX(Movimientos!$L$2:$L$1994,MATCH(A616&amp;"ENTRADA",Movimientos!$R$2:$R$1994,0)),"-")</f>
        <v>-</v>
      </c>
      <c r="H616" s="17" t="str">
        <f>IFERROR(IF(INDEX(Movimientos!$M$2:$M$1994,MATCH(A616&amp;"ENTRADA",Movimientos!$R$2:$R$1994,0))=0,"S/D",INDEX(Movimientos!$M$2:$M$1994,MATCH(A616&amp;"ENTRADA",Movimientos!$R$2:$R$1994,0))),"S/D")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2892</v>
      </c>
      <c r="B617" s="2" t="str">
        <f>IFERROR(INDEX(Movimientos!$C$2:$C$1994,MATCH(A617&amp;"ENTRADA",Movimientos!$R$2:$R$1994,0)),"-")</f>
        <v>-</v>
      </c>
      <c r="C617" s="2" t="str">
        <f>IFERROR(INDEX(Movimientos!$D$2:$D$1994,MATCH(A617&amp;"ENTRADA",Movimientos!$R$2:$R$1994,0)),"-")</f>
        <v>-</v>
      </c>
      <c r="D617" s="2" t="str">
        <f>IFERROR(INDEX(Movimientos!$E$2:$E$1994,MATCH(A617&amp;"ENTRADA",Movimientos!$R$2:$R$1994,0)),"-")</f>
        <v>-</v>
      </c>
      <c r="E617" s="2" t="str">
        <f>IFERROR(INDEX(Movimientos!$F$2:$F$1994,MATCH(A617&amp;"ENTRADA",Movimientos!$R$2:$R$1994,0)),"-")</f>
        <v>-</v>
      </c>
      <c r="F617" s="2" t="str">
        <f>IFERROR(INDEX(Movimientos!$G$2:$G$1994,MATCH(A617&amp;"ENTRADA",Movimientos!$R$2:$R$1994,0)),"-")</f>
        <v>-</v>
      </c>
      <c r="G617" s="2" t="str">
        <f>IFERROR(INDEX(Movimientos!$L$2:$L$1994,MATCH(A617&amp;"ENTRADA",Movimientos!$R$2:$R$1994,0)),"-")</f>
        <v>-</v>
      </c>
      <c r="H617" s="17" t="str">
        <f>IFERROR(IF(INDEX(Movimientos!$M$2:$M$1994,MATCH(A617&amp;"ENTRADA",Movimientos!$R$2:$R$1994,0))=0,"S/D",INDEX(Movimientos!$M$2:$M$1994,MATCH(A617&amp;"ENTRADA",Movimientos!$R$2:$R$1994,0))),"S/D")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2893</v>
      </c>
      <c r="B618" s="2" t="str">
        <f>IFERROR(INDEX(Movimientos!$C$2:$C$1994,MATCH(A618&amp;"ENTRADA",Movimientos!$R$2:$R$1994,0)),"-")</f>
        <v>-</v>
      </c>
      <c r="C618" s="2" t="str">
        <f>IFERROR(INDEX(Movimientos!$D$2:$D$1994,MATCH(A618&amp;"ENTRADA",Movimientos!$R$2:$R$1994,0)),"-")</f>
        <v>-</v>
      </c>
      <c r="D618" s="2" t="str">
        <f>IFERROR(INDEX(Movimientos!$E$2:$E$1994,MATCH(A618&amp;"ENTRADA",Movimientos!$R$2:$R$1994,0)),"-")</f>
        <v>-</v>
      </c>
      <c r="E618" s="2" t="str">
        <f>IFERROR(INDEX(Movimientos!$F$2:$F$1994,MATCH(A618&amp;"ENTRADA",Movimientos!$R$2:$R$1994,0)),"-")</f>
        <v>-</v>
      </c>
      <c r="F618" s="2" t="str">
        <f>IFERROR(INDEX(Movimientos!$G$2:$G$1994,MATCH(A618&amp;"ENTRADA",Movimientos!$R$2:$R$1994,0)),"-")</f>
        <v>-</v>
      </c>
      <c r="G618" s="2" t="str">
        <f>IFERROR(INDEX(Movimientos!$L$2:$L$1994,MATCH(A618&amp;"ENTRADA",Movimientos!$R$2:$R$1994,0)),"-")</f>
        <v>-</v>
      </c>
      <c r="H618" s="17" t="str">
        <f>IFERROR(IF(INDEX(Movimientos!$M$2:$M$1994,MATCH(A618&amp;"ENTRADA",Movimientos!$R$2:$R$1994,0))=0,"S/D",INDEX(Movimientos!$M$2:$M$1994,MATCH(A618&amp;"ENTRADA",Movimientos!$R$2:$R$1994,0))),"S/D")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2894</v>
      </c>
      <c r="B619" s="2" t="str">
        <f>IFERROR(INDEX(Movimientos!$C$2:$C$1994,MATCH(A619&amp;"ENTRADA",Movimientos!$R$2:$R$1994,0)),"-")</f>
        <v>-</v>
      </c>
      <c r="C619" s="2" t="str">
        <f>IFERROR(INDEX(Movimientos!$D$2:$D$1994,MATCH(A619&amp;"ENTRADA",Movimientos!$R$2:$R$1994,0)),"-")</f>
        <v>-</v>
      </c>
      <c r="D619" s="2" t="str">
        <f>IFERROR(INDEX(Movimientos!$E$2:$E$1994,MATCH(A619&amp;"ENTRADA",Movimientos!$R$2:$R$1994,0)),"-")</f>
        <v>-</v>
      </c>
      <c r="E619" s="2" t="str">
        <f>IFERROR(INDEX(Movimientos!$F$2:$F$1994,MATCH(A619&amp;"ENTRADA",Movimientos!$R$2:$R$1994,0)),"-")</f>
        <v>-</v>
      </c>
      <c r="F619" s="2" t="str">
        <f>IFERROR(INDEX(Movimientos!$G$2:$G$1994,MATCH(A619&amp;"ENTRADA",Movimientos!$R$2:$R$1994,0)),"-")</f>
        <v>-</v>
      </c>
      <c r="G619" s="2" t="str">
        <f>IFERROR(INDEX(Movimientos!$L$2:$L$1994,MATCH(A619&amp;"ENTRADA",Movimientos!$R$2:$R$1994,0)),"-")</f>
        <v>-</v>
      </c>
      <c r="H619" s="17" t="str">
        <f>IFERROR(IF(INDEX(Movimientos!$M$2:$M$1994,MATCH(A619&amp;"ENTRADA",Movimientos!$R$2:$R$1994,0))=0,"S/D",INDEX(Movimientos!$M$2:$M$1994,MATCH(A619&amp;"ENTRADA",Movimientos!$R$2:$R$1994,0))),"S/D")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2895</v>
      </c>
      <c r="B620" s="2" t="str">
        <f>IFERROR(INDEX(Movimientos!$C$2:$C$1994,MATCH(A620&amp;"ENTRADA",Movimientos!$R$2:$R$1994,0)),"-")</f>
        <v>-</v>
      </c>
      <c r="C620" s="2" t="str">
        <f>IFERROR(INDEX(Movimientos!$D$2:$D$1994,MATCH(A620&amp;"ENTRADA",Movimientos!$R$2:$R$1994,0)),"-")</f>
        <v>-</v>
      </c>
      <c r="D620" s="2" t="str">
        <f>IFERROR(INDEX(Movimientos!$E$2:$E$1994,MATCH(A620&amp;"ENTRADA",Movimientos!$R$2:$R$1994,0)),"-")</f>
        <v>-</v>
      </c>
      <c r="E620" s="2" t="str">
        <f>IFERROR(INDEX(Movimientos!$F$2:$F$1994,MATCH(A620&amp;"ENTRADA",Movimientos!$R$2:$R$1994,0)),"-")</f>
        <v>-</v>
      </c>
      <c r="F620" s="2" t="str">
        <f>IFERROR(INDEX(Movimientos!$G$2:$G$1994,MATCH(A620&amp;"ENTRADA",Movimientos!$R$2:$R$1994,0)),"-")</f>
        <v>-</v>
      </c>
      <c r="G620" s="2" t="str">
        <f>IFERROR(INDEX(Movimientos!$L$2:$L$1994,MATCH(A620&amp;"ENTRADA",Movimientos!$R$2:$R$1994,0)),"-")</f>
        <v>-</v>
      </c>
      <c r="H620" s="17" t="str">
        <f>IFERROR(IF(INDEX(Movimientos!$M$2:$M$1994,MATCH(A620&amp;"ENTRADA",Movimientos!$R$2:$R$1994,0))=0,"S/D",INDEX(Movimientos!$M$2:$M$1994,MATCH(A620&amp;"ENTRADA",Movimientos!$R$2:$R$1994,0))),"S/D")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2896</v>
      </c>
      <c r="B621" s="2" t="str">
        <f>IFERROR(INDEX(Movimientos!$C$2:$C$1994,MATCH(A621&amp;"ENTRADA",Movimientos!$R$2:$R$1994,0)),"-")</f>
        <v>-</v>
      </c>
      <c r="C621" s="2" t="str">
        <f>IFERROR(INDEX(Movimientos!$D$2:$D$1994,MATCH(A621&amp;"ENTRADA",Movimientos!$R$2:$R$1994,0)),"-")</f>
        <v>-</v>
      </c>
      <c r="D621" s="2" t="str">
        <f>IFERROR(INDEX(Movimientos!$E$2:$E$1994,MATCH(A621&amp;"ENTRADA",Movimientos!$R$2:$R$1994,0)),"-")</f>
        <v>-</v>
      </c>
      <c r="E621" s="2" t="str">
        <f>IFERROR(INDEX(Movimientos!$F$2:$F$1994,MATCH(A621&amp;"ENTRADA",Movimientos!$R$2:$R$1994,0)),"-")</f>
        <v>-</v>
      </c>
      <c r="F621" s="2" t="str">
        <f>IFERROR(INDEX(Movimientos!$G$2:$G$1994,MATCH(A621&amp;"ENTRADA",Movimientos!$R$2:$R$1994,0)),"-")</f>
        <v>-</v>
      </c>
      <c r="G621" s="2" t="str">
        <f>IFERROR(INDEX(Movimientos!$L$2:$L$1994,MATCH(A621&amp;"ENTRADA",Movimientos!$R$2:$R$1994,0)),"-")</f>
        <v>-</v>
      </c>
      <c r="H621" s="17" t="str">
        <f>IFERROR(IF(INDEX(Movimientos!$M$2:$M$1994,MATCH(A621&amp;"ENTRADA",Movimientos!$R$2:$R$1994,0))=0,"S/D",INDEX(Movimientos!$M$2:$M$1994,MATCH(A621&amp;"ENTRADA",Movimientos!$R$2:$R$1994,0))),"S/D")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2897</v>
      </c>
      <c r="B622" s="2" t="str">
        <f>IFERROR(INDEX(Movimientos!$C$2:$C$1994,MATCH(A622&amp;"ENTRADA",Movimientos!$R$2:$R$1994,0)),"-")</f>
        <v>-</v>
      </c>
      <c r="C622" s="2" t="str">
        <f>IFERROR(INDEX(Movimientos!$D$2:$D$1994,MATCH(A622&amp;"ENTRADA",Movimientos!$R$2:$R$1994,0)),"-")</f>
        <v>-</v>
      </c>
      <c r="D622" s="2" t="str">
        <f>IFERROR(INDEX(Movimientos!$E$2:$E$1994,MATCH(A622&amp;"ENTRADA",Movimientos!$R$2:$R$1994,0)),"-")</f>
        <v>-</v>
      </c>
      <c r="E622" s="2" t="str">
        <f>IFERROR(INDEX(Movimientos!$F$2:$F$1994,MATCH(A622&amp;"ENTRADA",Movimientos!$R$2:$R$1994,0)),"-")</f>
        <v>-</v>
      </c>
      <c r="F622" s="2" t="str">
        <f>IFERROR(INDEX(Movimientos!$G$2:$G$1994,MATCH(A622&amp;"ENTRADA",Movimientos!$R$2:$R$1994,0)),"-")</f>
        <v>-</v>
      </c>
      <c r="G622" s="2" t="str">
        <f>IFERROR(INDEX(Movimientos!$L$2:$L$1994,MATCH(A622&amp;"ENTRADA",Movimientos!$R$2:$R$1994,0)),"-")</f>
        <v>-</v>
      </c>
      <c r="H622" s="17" t="str">
        <f>IFERROR(IF(INDEX(Movimientos!$M$2:$M$1994,MATCH(A622&amp;"ENTRADA",Movimientos!$R$2:$R$1994,0))=0,"S/D",INDEX(Movimientos!$M$2:$M$1994,MATCH(A622&amp;"ENTRADA",Movimientos!$R$2:$R$1994,0))),"S/D")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2898</v>
      </c>
      <c r="B623" s="2" t="str">
        <f>IFERROR(INDEX(Movimientos!$C$2:$C$1994,MATCH(A623&amp;"ENTRADA",Movimientos!$R$2:$R$1994,0)),"-")</f>
        <v>-</v>
      </c>
      <c r="C623" s="2" t="str">
        <f>IFERROR(INDEX(Movimientos!$D$2:$D$1994,MATCH(A623&amp;"ENTRADA",Movimientos!$R$2:$R$1994,0)),"-")</f>
        <v>-</v>
      </c>
      <c r="D623" s="2" t="str">
        <f>IFERROR(INDEX(Movimientos!$E$2:$E$1994,MATCH(A623&amp;"ENTRADA",Movimientos!$R$2:$R$1994,0)),"-")</f>
        <v>-</v>
      </c>
      <c r="E623" s="2" t="str">
        <f>IFERROR(INDEX(Movimientos!$F$2:$F$1994,MATCH(A623&amp;"ENTRADA",Movimientos!$R$2:$R$1994,0)),"-")</f>
        <v>-</v>
      </c>
      <c r="F623" s="2" t="str">
        <f>IFERROR(INDEX(Movimientos!$G$2:$G$1994,MATCH(A623&amp;"ENTRADA",Movimientos!$R$2:$R$1994,0)),"-")</f>
        <v>-</v>
      </c>
      <c r="G623" s="2" t="str">
        <f>IFERROR(INDEX(Movimientos!$L$2:$L$1994,MATCH(A623&amp;"ENTRADA",Movimientos!$R$2:$R$1994,0)),"-")</f>
        <v>-</v>
      </c>
      <c r="H623" s="17" t="str">
        <f>IFERROR(IF(INDEX(Movimientos!$M$2:$M$1994,MATCH(A623&amp;"ENTRADA",Movimientos!$R$2:$R$1994,0))=0,"S/D",INDEX(Movimientos!$M$2:$M$1994,MATCH(A623&amp;"ENTRADA",Movimientos!$R$2:$R$1994,0))),"S/D")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2899</v>
      </c>
      <c r="B624" s="2" t="str">
        <f>IFERROR(INDEX(Movimientos!$C$2:$C$1994,MATCH(A624&amp;"ENTRADA",Movimientos!$R$2:$R$1994,0)),"-")</f>
        <v>-</v>
      </c>
      <c r="C624" s="2" t="str">
        <f>IFERROR(INDEX(Movimientos!$D$2:$D$1994,MATCH(A624&amp;"ENTRADA",Movimientos!$R$2:$R$1994,0)),"-")</f>
        <v>-</v>
      </c>
      <c r="D624" s="2" t="str">
        <f>IFERROR(INDEX(Movimientos!$E$2:$E$1994,MATCH(A624&amp;"ENTRADA",Movimientos!$R$2:$R$1994,0)),"-")</f>
        <v>-</v>
      </c>
      <c r="E624" s="2" t="str">
        <f>IFERROR(INDEX(Movimientos!$F$2:$F$1994,MATCH(A624&amp;"ENTRADA",Movimientos!$R$2:$R$1994,0)),"-")</f>
        <v>-</v>
      </c>
      <c r="F624" s="2" t="str">
        <f>IFERROR(INDEX(Movimientos!$G$2:$G$1994,MATCH(A624&amp;"ENTRADA",Movimientos!$R$2:$R$1994,0)),"-")</f>
        <v>-</v>
      </c>
      <c r="G624" s="2" t="str">
        <f>IFERROR(INDEX(Movimientos!$L$2:$L$1994,MATCH(A624&amp;"ENTRADA",Movimientos!$R$2:$R$1994,0)),"-")</f>
        <v>-</v>
      </c>
      <c r="H624" s="17" t="str">
        <f>IFERROR(IF(INDEX(Movimientos!$M$2:$M$1994,MATCH(A624&amp;"ENTRADA",Movimientos!$R$2:$R$1994,0))=0,"S/D",INDEX(Movimientos!$M$2:$M$1994,MATCH(A624&amp;"ENTRADA",Movimientos!$R$2:$R$1994,0))),"S/D")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2900</v>
      </c>
      <c r="B625" s="2" t="str">
        <f>IFERROR(INDEX(Movimientos!$C$2:$C$1994,MATCH(A625&amp;"ENTRADA",Movimientos!$R$2:$R$1994,0)),"-")</f>
        <v>-</v>
      </c>
      <c r="C625" s="2" t="str">
        <f>IFERROR(INDEX(Movimientos!$D$2:$D$1994,MATCH(A625&amp;"ENTRADA",Movimientos!$R$2:$R$1994,0)),"-")</f>
        <v>-</v>
      </c>
      <c r="D625" s="2" t="str">
        <f>IFERROR(INDEX(Movimientos!$E$2:$E$1994,MATCH(A625&amp;"ENTRADA",Movimientos!$R$2:$R$1994,0)),"-")</f>
        <v>-</v>
      </c>
      <c r="E625" s="2" t="str">
        <f>IFERROR(INDEX(Movimientos!$F$2:$F$1994,MATCH(A625&amp;"ENTRADA",Movimientos!$R$2:$R$1994,0)),"-")</f>
        <v>-</v>
      </c>
      <c r="F625" s="2" t="str">
        <f>IFERROR(INDEX(Movimientos!$G$2:$G$1994,MATCH(A625&amp;"ENTRADA",Movimientos!$R$2:$R$1994,0)),"-")</f>
        <v>-</v>
      </c>
      <c r="G625" s="2" t="str">
        <f>IFERROR(INDEX(Movimientos!$L$2:$L$1994,MATCH(A625&amp;"ENTRADA",Movimientos!$R$2:$R$1994,0)),"-")</f>
        <v>-</v>
      </c>
      <c r="H625" s="17" t="str">
        <f>IFERROR(IF(INDEX(Movimientos!$M$2:$M$1994,MATCH(A625&amp;"ENTRADA",Movimientos!$R$2:$R$1994,0))=0,"S/D",INDEX(Movimientos!$M$2:$M$1994,MATCH(A625&amp;"ENTRADA",Movimientos!$R$2:$R$1994,0))),"S/D")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2901</v>
      </c>
      <c r="B626" s="2" t="str">
        <f>IFERROR(INDEX(Movimientos!$C$2:$C$1994,MATCH(A626&amp;"ENTRADA",Movimientos!$R$2:$R$1994,0)),"-")</f>
        <v>-</v>
      </c>
      <c r="C626" s="2" t="str">
        <f>IFERROR(INDEX(Movimientos!$D$2:$D$1994,MATCH(A626&amp;"ENTRADA",Movimientos!$R$2:$R$1994,0)),"-")</f>
        <v>-</v>
      </c>
      <c r="D626" s="2" t="str">
        <f>IFERROR(INDEX(Movimientos!$E$2:$E$1994,MATCH(A626&amp;"ENTRADA",Movimientos!$R$2:$R$1994,0)),"-")</f>
        <v>-</v>
      </c>
      <c r="E626" s="2" t="str">
        <f>IFERROR(INDEX(Movimientos!$F$2:$F$1994,MATCH(A626&amp;"ENTRADA",Movimientos!$R$2:$R$1994,0)),"-")</f>
        <v>-</v>
      </c>
      <c r="F626" s="2" t="str">
        <f>IFERROR(INDEX(Movimientos!$G$2:$G$1994,MATCH(A626&amp;"ENTRADA",Movimientos!$R$2:$R$1994,0)),"-")</f>
        <v>-</v>
      </c>
      <c r="G626" s="2" t="str">
        <f>IFERROR(INDEX(Movimientos!$L$2:$L$1994,MATCH(A626&amp;"ENTRADA",Movimientos!$R$2:$R$1994,0)),"-")</f>
        <v>-</v>
      </c>
      <c r="H626" s="17" t="str">
        <f>IFERROR(IF(INDEX(Movimientos!$M$2:$M$1994,MATCH(A626&amp;"ENTRADA",Movimientos!$R$2:$R$1994,0))=0,"S/D",INDEX(Movimientos!$M$2:$M$1994,MATCH(A626&amp;"ENTRADA",Movimientos!$R$2:$R$1994,0))),"S/D")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2902</v>
      </c>
      <c r="B627" s="2" t="str">
        <f>IFERROR(INDEX(Movimientos!$C$2:$C$1994,MATCH(A627&amp;"ENTRADA",Movimientos!$R$2:$R$1994,0)),"-")</f>
        <v>-</v>
      </c>
      <c r="C627" s="2" t="str">
        <f>IFERROR(INDEX(Movimientos!$D$2:$D$1994,MATCH(A627&amp;"ENTRADA",Movimientos!$R$2:$R$1994,0)),"-")</f>
        <v>-</v>
      </c>
      <c r="D627" s="2" t="str">
        <f>IFERROR(INDEX(Movimientos!$E$2:$E$1994,MATCH(A627&amp;"ENTRADA",Movimientos!$R$2:$R$1994,0)),"-")</f>
        <v>-</v>
      </c>
      <c r="E627" s="2" t="str">
        <f>IFERROR(INDEX(Movimientos!$F$2:$F$1994,MATCH(A627&amp;"ENTRADA",Movimientos!$R$2:$R$1994,0)),"-")</f>
        <v>-</v>
      </c>
      <c r="F627" s="2" t="str">
        <f>IFERROR(INDEX(Movimientos!$G$2:$G$1994,MATCH(A627&amp;"ENTRADA",Movimientos!$R$2:$R$1994,0)),"-")</f>
        <v>-</v>
      </c>
      <c r="G627" s="2" t="str">
        <f>IFERROR(INDEX(Movimientos!$L$2:$L$1994,MATCH(A627&amp;"ENTRADA",Movimientos!$R$2:$R$1994,0)),"-")</f>
        <v>-</v>
      </c>
      <c r="H627" s="17" t="str">
        <f>IFERROR(IF(INDEX(Movimientos!$M$2:$M$1994,MATCH(A627&amp;"ENTRADA",Movimientos!$R$2:$R$1994,0))=0,"S/D",INDEX(Movimientos!$M$2:$M$1994,MATCH(A627&amp;"ENTRADA",Movimientos!$R$2:$R$1994,0))),"S/D")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2903</v>
      </c>
      <c r="B628" s="2" t="str">
        <f>IFERROR(INDEX(Movimientos!$C$2:$C$1994,MATCH(A628&amp;"ENTRADA",Movimientos!$R$2:$R$1994,0)),"-")</f>
        <v>-</v>
      </c>
      <c r="C628" s="2" t="str">
        <f>IFERROR(INDEX(Movimientos!$D$2:$D$1994,MATCH(A628&amp;"ENTRADA",Movimientos!$R$2:$R$1994,0)),"-")</f>
        <v>-</v>
      </c>
      <c r="D628" s="2" t="str">
        <f>IFERROR(INDEX(Movimientos!$E$2:$E$1994,MATCH(A628&amp;"ENTRADA",Movimientos!$R$2:$R$1994,0)),"-")</f>
        <v>-</v>
      </c>
      <c r="E628" s="2" t="str">
        <f>IFERROR(INDEX(Movimientos!$F$2:$F$1994,MATCH(A628&amp;"ENTRADA",Movimientos!$R$2:$R$1994,0)),"-")</f>
        <v>-</v>
      </c>
      <c r="F628" s="2" t="str">
        <f>IFERROR(INDEX(Movimientos!$G$2:$G$1994,MATCH(A628&amp;"ENTRADA",Movimientos!$R$2:$R$1994,0)),"-")</f>
        <v>-</v>
      </c>
      <c r="G628" s="2" t="str">
        <f>IFERROR(INDEX(Movimientos!$L$2:$L$1994,MATCH(A628&amp;"ENTRADA",Movimientos!$R$2:$R$1994,0)),"-")</f>
        <v>-</v>
      </c>
      <c r="H628" s="17" t="str">
        <f>IFERROR(IF(INDEX(Movimientos!$M$2:$M$1994,MATCH(A628&amp;"ENTRADA",Movimientos!$R$2:$R$1994,0))=0,"S/D",INDEX(Movimientos!$M$2:$M$1994,MATCH(A628&amp;"ENTRADA",Movimientos!$R$2:$R$1994,0))),"S/D")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2904</v>
      </c>
      <c r="B629" s="2" t="str">
        <f>IFERROR(INDEX(Movimientos!$C$2:$C$1994,MATCH(A629&amp;"ENTRADA",Movimientos!$R$2:$R$1994,0)),"-")</f>
        <v>-</v>
      </c>
      <c r="C629" s="2" t="str">
        <f>IFERROR(INDEX(Movimientos!$D$2:$D$1994,MATCH(A629&amp;"ENTRADA",Movimientos!$R$2:$R$1994,0)),"-")</f>
        <v>-</v>
      </c>
      <c r="D629" s="2" t="str">
        <f>IFERROR(INDEX(Movimientos!$E$2:$E$1994,MATCH(A629&amp;"ENTRADA",Movimientos!$R$2:$R$1994,0)),"-")</f>
        <v>-</v>
      </c>
      <c r="E629" s="2" t="str">
        <f>IFERROR(INDEX(Movimientos!$F$2:$F$1994,MATCH(A629&amp;"ENTRADA",Movimientos!$R$2:$R$1994,0)),"-")</f>
        <v>-</v>
      </c>
      <c r="F629" s="2" t="str">
        <f>IFERROR(INDEX(Movimientos!$G$2:$G$1994,MATCH(A629&amp;"ENTRADA",Movimientos!$R$2:$R$1994,0)),"-")</f>
        <v>-</v>
      </c>
      <c r="G629" s="2" t="str">
        <f>IFERROR(INDEX(Movimientos!$L$2:$L$1994,MATCH(A629&amp;"ENTRADA",Movimientos!$R$2:$R$1994,0)),"-")</f>
        <v>-</v>
      </c>
      <c r="H629" s="17" t="str">
        <f>IFERROR(IF(INDEX(Movimientos!$M$2:$M$1994,MATCH(A629&amp;"ENTRADA",Movimientos!$R$2:$R$1994,0))=0,"S/D",INDEX(Movimientos!$M$2:$M$1994,MATCH(A629&amp;"ENTRADA",Movimientos!$R$2:$R$1994,0))),"S/D")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2905</v>
      </c>
      <c r="B630" s="2" t="str">
        <f>IFERROR(INDEX(Movimientos!$C$2:$C$1994,MATCH(A630&amp;"ENTRADA",Movimientos!$R$2:$R$1994,0)),"-")</f>
        <v>-</v>
      </c>
      <c r="C630" s="2" t="str">
        <f>IFERROR(INDEX(Movimientos!$D$2:$D$1994,MATCH(A630&amp;"ENTRADA",Movimientos!$R$2:$R$1994,0)),"-")</f>
        <v>-</v>
      </c>
      <c r="D630" s="2" t="str">
        <f>IFERROR(INDEX(Movimientos!$E$2:$E$1994,MATCH(A630&amp;"ENTRADA",Movimientos!$R$2:$R$1994,0)),"-")</f>
        <v>-</v>
      </c>
      <c r="E630" s="2" t="str">
        <f>IFERROR(INDEX(Movimientos!$F$2:$F$1994,MATCH(A630&amp;"ENTRADA",Movimientos!$R$2:$R$1994,0)),"-")</f>
        <v>-</v>
      </c>
      <c r="F630" s="2" t="str">
        <f>IFERROR(INDEX(Movimientos!$G$2:$G$1994,MATCH(A630&amp;"ENTRADA",Movimientos!$R$2:$R$1994,0)),"-")</f>
        <v>-</v>
      </c>
      <c r="G630" s="2" t="str">
        <f>IFERROR(INDEX(Movimientos!$L$2:$L$1994,MATCH(A630&amp;"ENTRADA",Movimientos!$R$2:$R$1994,0)),"-")</f>
        <v>-</v>
      </c>
      <c r="H630" s="17" t="str">
        <f>IFERROR(IF(INDEX(Movimientos!$M$2:$M$1994,MATCH(A630&amp;"ENTRADA",Movimientos!$R$2:$R$1994,0))=0,"S/D",INDEX(Movimientos!$M$2:$M$1994,MATCH(A630&amp;"ENTRADA",Movimientos!$R$2:$R$1994,0))),"S/D")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2906</v>
      </c>
      <c r="B631" s="2" t="str">
        <f>IFERROR(INDEX(Movimientos!$C$2:$C$1994,MATCH(A631&amp;"ENTRADA",Movimientos!$R$2:$R$1994,0)),"-")</f>
        <v>-</v>
      </c>
      <c r="C631" s="2" t="str">
        <f>IFERROR(INDEX(Movimientos!$D$2:$D$1994,MATCH(A631&amp;"ENTRADA",Movimientos!$R$2:$R$1994,0)),"-")</f>
        <v>-</v>
      </c>
      <c r="D631" s="2" t="str">
        <f>IFERROR(INDEX(Movimientos!$E$2:$E$1994,MATCH(A631&amp;"ENTRADA",Movimientos!$R$2:$R$1994,0)),"-")</f>
        <v>-</v>
      </c>
      <c r="E631" s="2" t="str">
        <f>IFERROR(INDEX(Movimientos!$F$2:$F$1994,MATCH(A631&amp;"ENTRADA",Movimientos!$R$2:$R$1994,0)),"-")</f>
        <v>-</v>
      </c>
      <c r="F631" s="2" t="str">
        <f>IFERROR(INDEX(Movimientos!$G$2:$G$1994,MATCH(A631&amp;"ENTRADA",Movimientos!$R$2:$R$1994,0)),"-")</f>
        <v>-</v>
      </c>
      <c r="G631" s="2" t="str">
        <f>IFERROR(INDEX(Movimientos!$L$2:$L$1994,MATCH(A631&amp;"ENTRADA",Movimientos!$R$2:$R$1994,0)),"-")</f>
        <v>-</v>
      </c>
      <c r="H631" s="17" t="str">
        <f>IFERROR(IF(INDEX(Movimientos!$M$2:$M$1994,MATCH(A631&amp;"ENTRADA",Movimientos!$R$2:$R$1994,0))=0,"S/D",INDEX(Movimientos!$M$2:$M$1994,MATCH(A631&amp;"ENTRADA",Movimientos!$R$2:$R$1994,0))),"S/D")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2907</v>
      </c>
      <c r="B632" s="2" t="str">
        <f>IFERROR(INDEX(Movimientos!$C$2:$C$1994,MATCH(A632&amp;"ENTRADA",Movimientos!$R$2:$R$1994,0)),"-")</f>
        <v>-</v>
      </c>
      <c r="C632" s="2" t="str">
        <f>IFERROR(INDEX(Movimientos!$D$2:$D$1994,MATCH(A632&amp;"ENTRADA",Movimientos!$R$2:$R$1994,0)),"-")</f>
        <v>-</v>
      </c>
      <c r="D632" s="2" t="str">
        <f>IFERROR(INDEX(Movimientos!$E$2:$E$1994,MATCH(A632&amp;"ENTRADA",Movimientos!$R$2:$R$1994,0)),"-")</f>
        <v>-</v>
      </c>
      <c r="E632" s="2" t="str">
        <f>IFERROR(INDEX(Movimientos!$F$2:$F$1994,MATCH(A632&amp;"ENTRADA",Movimientos!$R$2:$R$1994,0)),"-")</f>
        <v>-</v>
      </c>
      <c r="F632" s="2" t="str">
        <f>IFERROR(INDEX(Movimientos!$G$2:$G$1994,MATCH(A632&amp;"ENTRADA",Movimientos!$R$2:$R$1994,0)),"-")</f>
        <v>-</v>
      </c>
      <c r="G632" s="2" t="str">
        <f>IFERROR(INDEX(Movimientos!$L$2:$L$1994,MATCH(A632&amp;"ENTRADA",Movimientos!$R$2:$R$1994,0)),"-")</f>
        <v>-</v>
      </c>
      <c r="H632" s="17" t="str">
        <f>IFERROR(IF(INDEX(Movimientos!$M$2:$M$1994,MATCH(A632&amp;"ENTRADA",Movimientos!$R$2:$R$1994,0))=0,"S/D",INDEX(Movimientos!$M$2:$M$1994,MATCH(A632&amp;"ENTRADA",Movimientos!$R$2:$R$1994,0))),"S/D")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2908</v>
      </c>
      <c r="B633" s="2" t="str">
        <f>IFERROR(INDEX(Movimientos!$C$2:$C$1994,MATCH(A633&amp;"ENTRADA",Movimientos!$R$2:$R$1994,0)),"-")</f>
        <v>-</v>
      </c>
      <c r="C633" s="2" t="str">
        <f>IFERROR(INDEX(Movimientos!$D$2:$D$1994,MATCH(A633&amp;"ENTRADA",Movimientos!$R$2:$R$1994,0)),"-")</f>
        <v>-</v>
      </c>
      <c r="D633" s="2" t="str">
        <f>IFERROR(INDEX(Movimientos!$E$2:$E$1994,MATCH(A633&amp;"ENTRADA",Movimientos!$R$2:$R$1994,0)),"-")</f>
        <v>-</v>
      </c>
      <c r="E633" s="2" t="str">
        <f>IFERROR(INDEX(Movimientos!$F$2:$F$1994,MATCH(A633&amp;"ENTRADA",Movimientos!$R$2:$R$1994,0)),"-")</f>
        <v>-</v>
      </c>
      <c r="F633" s="2" t="str">
        <f>IFERROR(INDEX(Movimientos!$G$2:$G$1994,MATCH(A633&amp;"ENTRADA",Movimientos!$R$2:$R$1994,0)),"-")</f>
        <v>-</v>
      </c>
      <c r="G633" s="2" t="str">
        <f>IFERROR(INDEX(Movimientos!$L$2:$L$1994,MATCH(A633&amp;"ENTRADA",Movimientos!$R$2:$R$1994,0)),"-")</f>
        <v>-</v>
      </c>
      <c r="H633" s="17" t="str">
        <f>IFERROR(IF(INDEX(Movimientos!$M$2:$M$1994,MATCH(A633&amp;"ENTRADA",Movimientos!$R$2:$R$1994,0))=0,"S/D",INDEX(Movimientos!$M$2:$M$1994,MATCH(A633&amp;"ENTRADA",Movimientos!$R$2:$R$1994,0))),"S/D")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2909</v>
      </c>
      <c r="B634" s="2" t="str">
        <f>IFERROR(INDEX(Movimientos!$C$2:$C$1994,MATCH(A634&amp;"ENTRADA",Movimientos!$R$2:$R$1994,0)),"-")</f>
        <v>-</v>
      </c>
      <c r="C634" s="2" t="str">
        <f>IFERROR(INDEX(Movimientos!$D$2:$D$1994,MATCH(A634&amp;"ENTRADA",Movimientos!$R$2:$R$1994,0)),"-")</f>
        <v>-</v>
      </c>
      <c r="D634" s="2" t="str">
        <f>IFERROR(INDEX(Movimientos!$E$2:$E$1994,MATCH(A634&amp;"ENTRADA",Movimientos!$R$2:$R$1994,0)),"-")</f>
        <v>-</v>
      </c>
      <c r="E634" s="2" t="str">
        <f>IFERROR(INDEX(Movimientos!$F$2:$F$1994,MATCH(A634&amp;"ENTRADA",Movimientos!$R$2:$R$1994,0)),"-")</f>
        <v>-</v>
      </c>
      <c r="F634" s="2" t="str">
        <f>IFERROR(INDEX(Movimientos!$G$2:$G$1994,MATCH(A634&amp;"ENTRADA",Movimientos!$R$2:$R$1994,0)),"-")</f>
        <v>-</v>
      </c>
      <c r="G634" s="2" t="str">
        <f>IFERROR(INDEX(Movimientos!$L$2:$L$1994,MATCH(A634&amp;"ENTRADA",Movimientos!$R$2:$R$1994,0)),"-")</f>
        <v>-</v>
      </c>
      <c r="H634" s="17" t="str">
        <f>IFERROR(IF(INDEX(Movimientos!$M$2:$M$1994,MATCH(A634&amp;"ENTRADA",Movimientos!$R$2:$R$1994,0))=0,"S/D",INDEX(Movimientos!$M$2:$M$1994,MATCH(A634&amp;"ENTRADA",Movimientos!$R$2:$R$1994,0))),"S/D")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2910</v>
      </c>
      <c r="B635" s="2" t="str">
        <f>IFERROR(INDEX(Movimientos!$C$2:$C$1994,MATCH(A635&amp;"ENTRADA",Movimientos!$R$2:$R$1994,0)),"-")</f>
        <v>-</v>
      </c>
      <c r="C635" s="2" t="str">
        <f>IFERROR(INDEX(Movimientos!$D$2:$D$1994,MATCH(A635&amp;"ENTRADA",Movimientos!$R$2:$R$1994,0)),"-")</f>
        <v>-</v>
      </c>
      <c r="D635" s="2" t="str">
        <f>IFERROR(INDEX(Movimientos!$E$2:$E$1994,MATCH(A635&amp;"ENTRADA",Movimientos!$R$2:$R$1994,0)),"-")</f>
        <v>-</v>
      </c>
      <c r="E635" s="2" t="str">
        <f>IFERROR(INDEX(Movimientos!$F$2:$F$1994,MATCH(A635&amp;"ENTRADA",Movimientos!$R$2:$R$1994,0)),"-")</f>
        <v>-</v>
      </c>
      <c r="F635" s="2" t="str">
        <f>IFERROR(INDEX(Movimientos!$G$2:$G$1994,MATCH(A635&amp;"ENTRADA",Movimientos!$R$2:$R$1994,0)),"-")</f>
        <v>-</v>
      </c>
      <c r="G635" s="2" t="str">
        <f>IFERROR(INDEX(Movimientos!$L$2:$L$1994,MATCH(A635&amp;"ENTRADA",Movimientos!$R$2:$R$1994,0)),"-")</f>
        <v>-</v>
      </c>
      <c r="H635" s="17" t="str">
        <f>IFERROR(IF(INDEX(Movimientos!$M$2:$M$1994,MATCH(A635&amp;"ENTRADA",Movimientos!$R$2:$R$1994,0))=0,"S/D",INDEX(Movimientos!$M$2:$M$1994,MATCH(A635&amp;"ENTRADA",Movimientos!$R$2:$R$1994,0))),"S/D")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2911</v>
      </c>
      <c r="B636" s="2" t="str">
        <f>IFERROR(INDEX(Movimientos!$C$2:$C$1994,MATCH(A636&amp;"ENTRADA",Movimientos!$R$2:$R$1994,0)),"-")</f>
        <v>-</v>
      </c>
      <c r="C636" s="2" t="str">
        <f>IFERROR(INDEX(Movimientos!$D$2:$D$1994,MATCH(A636&amp;"ENTRADA",Movimientos!$R$2:$R$1994,0)),"-")</f>
        <v>-</v>
      </c>
      <c r="D636" s="2" t="str">
        <f>IFERROR(INDEX(Movimientos!$E$2:$E$1994,MATCH(A636&amp;"ENTRADA",Movimientos!$R$2:$R$1994,0)),"-")</f>
        <v>-</v>
      </c>
      <c r="E636" s="2" t="str">
        <f>IFERROR(INDEX(Movimientos!$F$2:$F$1994,MATCH(A636&amp;"ENTRADA",Movimientos!$R$2:$R$1994,0)),"-")</f>
        <v>-</v>
      </c>
      <c r="F636" s="2" t="str">
        <f>IFERROR(INDEX(Movimientos!$G$2:$G$1994,MATCH(A636&amp;"ENTRADA",Movimientos!$R$2:$R$1994,0)),"-")</f>
        <v>-</v>
      </c>
      <c r="G636" s="2" t="str">
        <f>IFERROR(INDEX(Movimientos!$L$2:$L$1994,MATCH(A636&amp;"ENTRADA",Movimientos!$R$2:$R$1994,0)),"-")</f>
        <v>-</v>
      </c>
      <c r="H636" s="17" t="str">
        <f>IFERROR(IF(INDEX(Movimientos!$M$2:$M$1994,MATCH(A636&amp;"ENTRADA",Movimientos!$R$2:$R$1994,0))=0,"S/D",INDEX(Movimientos!$M$2:$M$1994,MATCH(A636&amp;"ENTRADA",Movimientos!$R$2:$R$1994,0))),"S/D")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2912</v>
      </c>
      <c r="B637" s="2" t="str">
        <f>IFERROR(INDEX(Movimientos!$C$2:$C$1994,MATCH(A637&amp;"ENTRADA",Movimientos!$R$2:$R$1994,0)),"-")</f>
        <v>-</v>
      </c>
      <c r="C637" s="2" t="str">
        <f>IFERROR(INDEX(Movimientos!$D$2:$D$1994,MATCH(A637&amp;"ENTRADA",Movimientos!$R$2:$R$1994,0)),"-")</f>
        <v>-</v>
      </c>
      <c r="D637" s="2" t="str">
        <f>IFERROR(INDEX(Movimientos!$E$2:$E$1994,MATCH(A637&amp;"ENTRADA",Movimientos!$R$2:$R$1994,0)),"-")</f>
        <v>-</v>
      </c>
      <c r="E637" s="2" t="str">
        <f>IFERROR(INDEX(Movimientos!$F$2:$F$1994,MATCH(A637&amp;"ENTRADA",Movimientos!$R$2:$R$1994,0)),"-")</f>
        <v>-</v>
      </c>
      <c r="F637" s="2" t="str">
        <f>IFERROR(INDEX(Movimientos!$G$2:$G$1994,MATCH(A637&amp;"ENTRADA",Movimientos!$R$2:$R$1994,0)),"-")</f>
        <v>-</v>
      </c>
      <c r="G637" s="2" t="str">
        <f>IFERROR(INDEX(Movimientos!$L$2:$L$1994,MATCH(A637&amp;"ENTRADA",Movimientos!$R$2:$R$1994,0)),"-")</f>
        <v>-</v>
      </c>
      <c r="H637" s="17" t="str">
        <f>IFERROR(IF(INDEX(Movimientos!$M$2:$M$1994,MATCH(A637&amp;"ENTRADA",Movimientos!$R$2:$R$1994,0))=0,"S/D",INDEX(Movimientos!$M$2:$M$1994,MATCH(A637&amp;"ENTRADA",Movimientos!$R$2:$R$1994,0))),"S/D")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2913</v>
      </c>
      <c r="B638" s="2" t="str">
        <f>IFERROR(INDEX(Movimientos!$C$2:$C$1994,MATCH(A638&amp;"ENTRADA",Movimientos!$R$2:$R$1994,0)),"-")</f>
        <v>-</v>
      </c>
      <c r="C638" s="2" t="str">
        <f>IFERROR(INDEX(Movimientos!$D$2:$D$1994,MATCH(A638&amp;"ENTRADA",Movimientos!$R$2:$R$1994,0)),"-")</f>
        <v>-</v>
      </c>
      <c r="D638" s="2" t="str">
        <f>IFERROR(INDEX(Movimientos!$E$2:$E$1994,MATCH(A638&amp;"ENTRADA",Movimientos!$R$2:$R$1994,0)),"-")</f>
        <v>-</v>
      </c>
      <c r="E638" s="2" t="str">
        <f>IFERROR(INDEX(Movimientos!$F$2:$F$1994,MATCH(A638&amp;"ENTRADA",Movimientos!$R$2:$R$1994,0)),"-")</f>
        <v>-</v>
      </c>
      <c r="F638" s="2" t="str">
        <f>IFERROR(INDEX(Movimientos!$G$2:$G$1994,MATCH(A638&amp;"ENTRADA",Movimientos!$R$2:$R$1994,0)),"-")</f>
        <v>-</v>
      </c>
      <c r="G638" s="2" t="str">
        <f>IFERROR(INDEX(Movimientos!$L$2:$L$1994,MATCH(A638&amp;"ENTRADA",Movimientos!$R$2:$R$1994,0)),"-")</f>
        <v>-</v>
      </c>
      <c r="H638" s="17" t="str">
        <f>IFERROR(IF(INDEX(Movimientos!$M$2:$M$1994,MATCH(A638&amp;"ENTRADA",Movimientos!$R$2:$R$1994,0))=0,"S/D",INDEX(Movimientos!$M$2:$M$1994,MATCH(A638&amp;"ENTRADA",Movimientos!$R$2:$R$1994,0))),"S/D")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2914</v>
      </c>
      <c r="B639" s="2" t="str">
        <f>IFERROR(INDEX(Movimientos!$C$2:$C$1994,MATCH(A639&amp;"ENTRADA",Movimientos!$R$2:$R$1994,0)),"-")</f>
        <v>-</v>
      </c>
      <c r="C639" s="2" t="str">
        <f>IFERROR(INDEX(Movimientos!$D$2:$D$1994,MATCH(A639&amp;"ENTRADA",Movimientos!$R$2:$R$1994,0)),"-")</f>
        <v>-</v>
      </c>
      <c r="D639" s="2" t="str">
        <f>IFERROR(INDEX(Movimientos!$E$2:$E$1994,MATCH(A639&amp;"ENTRADA",Movimientos!$R$2:$R$1994,0)),"-")</f>
        <v>-</v>
      </c>
      <c r="E639" s="2" t="str">
        <f>IFERROR(INDEX(Movimientos!$F$2:$F$1994,MATCH(A639&amp;"ENTRADA",Movimientos!$R$2:$R$1994,0)),"-")</f>
        <v>-</v>
      </c>
      <c r="F639" s="2" t="str">
        <f>IFERROR(INDEX(Movimientos!$G$2:$G$1994,MATCH(A639&amp;"ENTRADA",Movimientos!$R$2:$R$1994,0)),"-")</f>
        <v>-</v>
      </c>
      <c r="G639" s="2" t="str">
        <f>IFERROR(INDEX(Movimientos!$L$2:$L$1994,MATCH(A639&amp;"ENTRADA",Movimientos!$R$2:$R$1994,0)),"-")</f>
        <v>-</v>
      </c>
      <c r="H639" s="17" t="str">
        <f>IFERROR(IF(INDEX(Movimientos!$M$2:$M$1994,MATCH(A639&amp;"ENTRADA",Movimientos!$R$2:$R$1994,0))=0,"S/D",INDEX(Movimientos!$M$2:$M$1994,MATCH(A639&amp;"ENTRADA",Movimientos!$R$2:$R$1994,0))),"S/D")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2915</v>
      </c>
      <c r="B640" s="2" t="str">
        <f>IFERROR(INDEX(Movimientos!$C$2:$C$1994,MATCH(A640&amp;"ENTRADA",Movimientos!$R$2:$R$1994,0)),"-")</f>
        <v>-</v>
      </c>
      <c r="C640" s="2" t="str">
        <f>IFERROR(INDEX(Movimientos!$D$2:$D$1994,MATCH(A640&amp;"ENTRADA",Movimientos!$R$2:$R$1994,0)),"-")</f>
        <v>-</v>
      </c>
      <c r="D640" s="2" t="str">
        <f>IFERROR(INDEX(Movimientos!$E$2:$E$1994,MATCH(A640&amp;"ENTRADA",Movimientos!$R$2:$R$1994,0)),"-")</f>
        <v>-</v>
      </c>
      <c r="E640" s="2" t="str">
        <f>IFERROR(INDEX(Movimientos!$F$2:$F$1994,MATCH(A640&amp;"ENTRADA",Movimientos!$R$2:$R$1994,0)),"-")</f>
        <v>-</v>
      </c>
      <c r="F640" s="2" t="str">
        <f>IFERROR(INDEX(Movimientos!$G$2:$G$1994,MATCH(A640&amp;"ENTRADA",Movimientos!$R$2:$R$1994,0)),"-")</f>
        <v>-</v>
      </c>
      <c r="G640" s="2" t="str">
        <f>IFERROR(INDEX(Movimientos!$L$2:$L$1994,MATCH(A640&amp;"ENTRADA",Movimientos!$R$2:$R$1994,0)),"-")</f>
        <v>-</v>
      </c>
      <c r="H640" s="17" t="str">
        <f>IFERROR(IF(INDEX(Movimientos!$M$2:$M$1994,MATCH(A640&amp;"ENTRADA",Movimientos!$R$2:$R$1994,0))=0,"S/D",INDEX(Movimientos!$M$2:$M$1994,MATCH(A640&amp;"ENTRADA",Movimientos!$R$2:$R$1994,0))),"S/D")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2916</v>
      </c>
      <c r="B641" s="2" t="str">
        <f>IFERROR(INDEX(Movimientos!$C$2:$C$1994,MATCH(A641&amp;"ENTRADA",Movimientos!$R$2:$R$1994,0)),"-")</f>
        <v>-</v>
      </c>
      <c r="C641" s="2" t="str">
        <f>IFERROR(INDEX(Movimientos!$D$2:$D$1994,MATCH(A641&amp;"ENTRADA",Movimientos!$R$2:$R$1994,0)),"-")</f>
        <v>-</v>
      </c>
      <c r="D641" s="2" t="str">
        <f>IFERROR(INDEX(Movimientos!$E$2:$E$1994,MATCH(A641&amp;"ENTRADA",Movimientos!$R$2:$R$1994,0)),"-")</f>
        <v>-</v>
      </c>
      <c r="E641" s="2" t="str">
        <f>IFERROR(INDEX(Movimientos!$F$2:$F$1994,MATCH(A641&amp;"ENTRADA",Movimientos!$R$2:$R$1994,0)),"-")</f>
        <v>-</v>
      </c>
      <c r="F641" s="2" t="str">
        <f>IFERROR(INDEX(Movimientos!$G$2:$G$1994,MATCH(A641&amp;"ENTRADA",Movimientos!$R$2:$R$1994,0)),"-")</f>
        <v>-</v>
      </c>
      <c r="G641" s="2" t="str">
        <f>IFERROR(INDEX(Movimientos!$L$2:$L$1994,MATCH(A641&amp;"ENTRADA",Movimientos!$R$2:$R$1994,0)),"-")</f>
        <v>-</v>
      </c>
      <c r="H641" s="17" t="str">
        <f>IFERROR(IF(INDEX(Movimientos!$M$2:$M$1994,MATCH(A641&amp;"ENTRADA",Movimientos!$R$2:$R$1994,0))=0,"S/D",INDEX(Movimientos!$M$2:$M$1994,MATCH(A641&amp;"ENTRADA",Movimientos!$R$2:$R$1994,0))),"S/D")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2917</v>
      </c>
      <c r="B642" s="2" t="str">
        <f>IFERROR(INDEX(Movimientos!$C$2:$C$1994,MATCH(A642&amp;"ENTRADA",Movimientos!$R$2:$R$1994,0)),"-")</f>
        <v>-</v>
      </c>
      <c r="C642" s="2" t="str">
        <f>IFERROR(INDEX(Movimientos!$D$2:$D$1994,MATCH(A642&amp;"ENTRADA",Movimientos!$R$2:$R$1994,0)),"-")</f>
        <v>-</v>
      </c>
      <c r="D642" s="2" t="str">
        <f>IFERROR(INDEX(Movimientos!$E$2:$E$1994,MATCH(A642&amp;"ENTRADA",Movimientos!$R$2:$R$1994,0)),"-")</f>
        <v>-</v>
      </c>
      <c r="E642" s="2" t="str">
        <f>IFERROR(INDEX(Movimientos!$F$2:$F$1994,MATCH(A642&amp;"ENTRADA",Movimientos!$R$2:$R$1994,0)),"-")</f>
        <v>-</v>
      </c>
      <c r="F642" s="2" t="str">
        <f>IFERROR(INDEX(Movimientos!$G$2:$G$1994,MATCH(A642&amp;"ENTRADA",Movimientos!$R$2:$R$1994,0)),"-")</f>
        <v>-</v>
      </c>
      <c r="G642" s="2" t="str">
        <f>IFERROR(INDEX(Movimientos!$L$2:$L$1994,MATCH(A642&amp;"ENTRADA",Movimientos!$R$2:$R$1994,0)),"-")</f>
        <v>-</v>
      </c>
      <c r="H642" s="17" t="str">
        <f>IFERROR(IF(INDEX(Movimientos!$M$2:$M$1994,MATCH(A642&amp;"ENTRADA",Movimientos!$R$2:$R$1994,0))=0,"S/D",INDEX(Movimientos!$M$2:$M$1994,MATCH(A642&amp;"ENTRADA",Movimientos!$R$2:$R$1994,0))),"S/D")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2918</v>
      </c>
      <c r="B643" s="2" t="str">
        <f>IFERROR(INDEX(Movimientos!$C$2:$C$1994,MATCH(A643&amp;"ENTRADA",Movimientos!$R$2:$R$1994,0)),"-")</f>
        <v>-</v>
      </c>
      <c r="C643" s="2" t="str">
        <f>IFERROR(INDEX(Movimientos!$D$2:$D$1994,MATCH(A643&amp;"ENTRADA",Movimientos!$R$2:$R$1994,0)),"-")</f>
        <v>-</v>
      </c>
      <c r="D643" s="2" t="str">
        <f>IFERROR(INDEX(Movimientos!$E$2:$E$1994,MATCH(A643&amp;"ENTRADA",Movimientos!$R$2:$R$1994,0)),"-")</f>
        <v>-</v>
      </c>
      <c r="E643" s="2" t="str">
        <f>IFERROR(INDEX(Movimientos!$F$2:$F$1994,MATCH(A643&amp;"ENTRADA",Movimientos!$R$2:$R$1994,0)),"-")</f>
        <v>-</v>
      </c>
      <c r="F643" s="2" t="str">
        <f>IFERROR(INDEX(Movimientos!$G$2:$G$1994,MATCH(A643&amp;"ENTRADA",Movimientos!$R$2:$R$1994,0)),"-")</f>
        <v>-</v>
      </c>
      <c r="G643" s="2" t="str">
        <f>IFERROR(INDEX(Movimientos!$L$2:$L$1994,MATCH(A643&amp;"ENTRADA",Movimientos!$R$2:$R$1994,0)),"-")</f>
        <v>-</v>
      </c>
      <c r="H643" s="17" t="str">
        <f>IFERROR(IF(INDEX(Movimientos!$M$2:$M$1994,MATCH(A643&amp;"ENTRADA",Movimientos!$R$2:$R$1994,0))=0,"S/D",INDEX(Movimientos!$M$2:$M$1994,MATCH(A643&amp;"ENTRADA",Movimientos!$R$2:$R$1994,0))),"S/D")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2919</v>
      </c>
      <c r="B644" s="2" t="str">
        <f>IFERROR(INDEX(Movimientos!$C$2:$C$1994,MATCH(A644&amp;"ENTRADA",Movimientos!$R$2:$R$1994,0)),"-")</f>
        <v>-</v>
      </c>
      <c r="C644" s="2" t="str">
        <f>IFERROR(INDEX(Movimientos!$D$2:$D$1994,MATCH(A644&amp;"ENTRADA",Movimientos!$R$2:$R$1994,0)),"-")</f>
        <v>-</v>
      </c>
      <c r="D644" s="2" t="str">
        <f>IFERROR(INDEX(Movimientos!$E$2:$E$1994,MATCH(A644&amp;"ENTRADA",Movimientos!$R$2:$R$1994,0)),"-")</f>
        <v>-</v>
      </c>
      <c r="E644" s="2" t="str">
        <f>IFERROR(INDEX(Movimientos!$F$2:$F$1994,MATCH(A644&amp;"ENTRADA",Movimientos!$R$2:$R$1994,0)),"-")</f>
        <v>-</v>
      </c>
      <c r="F644" s="2" t="str">
        <f>IFERROR(INDEX(Movimientos!$G$2:$G$1994,MATCH(A644&amp;"ENTRADA",Movimientos!$R$2:$R$1994,0)),"-")</f>
        <v>-</v>
      </c>
      <c r="G644" s="2" t="str">
        <f>IFERROR(INDEX(Movimientos!$L$2:$L$1994,MATCH(A644&amp;"ENTRADA",Movimientos!$R$2:$R$1994,0)),"-")</f>
        <v>-</v>
      </c>
      <c r="H644" s="17" t="str">
        <f>IFERROR(IF(INDEX(Movimientos!$M$2:$M$1994,MATCH(A644&amp;"ENTRADA",Movimientos!$R$2:$R$1994,0))=0,"S/D",INDEX(Movimientos!$M$2:$M$1994,MATCH(A644&amp;"ENTRADA",Movimientos!$R$2:$R$1994,0))),"S/D")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2920</v>
      </c>
      <c r="B645" s="2" t="str">
        <f>IFERROR(INDEX(Movimientos!$C$2:$C$1994,MATCH(A645&amp;"ENTRADA",Movimientos!$R$2:$R$1994,0)),"-")</f>
        <v>-</v>
      </c>
      <c r="C645" s="2" t="str">
        <f>IFERROR(INDEX(Movimientos!$D$2:$D$1994,MATCH(A645&amp;"ENTRADA",Movimientos!$R$2:$R$1994,0)),"-")</f>
        <v>-</v>
      </c>
      <c r="D645" s="2" t="str">
        <f>IFERROR(INDEX(Movimientos!$E$2:$E$1994,MATCH(A645&amp;"ENTRADA",Movimientos!$R$2:$R$1994,0)),"-")</f>
        <v>-</v>
      </c>
      <c r="E645" s="2" t="str">
        <f>IFERROR(INDEX(Movimientos!$F$2:$F$1994,MATCH(A645&amp;"ENTRADA",Movimientos!$R$2:$R$1994,0)),"-")</f>
        <v>-</v>
      </c>
      <c r="F645" s="2" t="str">
        <f>IFERROR(INDEX(Movimientos!$G$2:$G$1994,MATCH(A645&amp;"ENTRADA",Movimientos!$R$2:$R$1994,0)),"-")</f>
        <v>-</v>
      </c>
      <c r="G645" s="2" t="str">
        <f>IFERROR(INDEX(Movimientos!$L$2:$L$1994,MATCH(A645&amp;"ENTRADA",Movimientos!$R$2:$R$1994,0)),"-")</f>
        <v>-</v>
      </c>
      <c r="H645" s="17" t="str">
        <f>IFERROR(IF(INDEX(Movimientos!$M$2:$M$1994,MATCH(A645&amp;"ENTRADA",Movimientos!$R$2:$R$1994,0))=0,"S/D",INDEX(Movimientos!$M$2:$M$1994,MATCH(A645&amp;"ENTRADA",Movimientos!$R$2:$R$1994,0))),"S/D")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2921</v>
      </c>
      <c r="B646" s="2" t="str">
        <f>IFERROR(INDEX(Movimientos!$C$2:$C$1994,MATCH(A646&amp;"ENTRADA",Movimientos!$R$2:$R$1994,0)),"-")</f>
        <v>-</v>
      </c>
      <c r="C646" s="2" t="str">
        <f>IFERROR(INDEX(Movimientos!$D$2:$D$1994,MATCH(A646&amp;"ENTRADA",Movimientos!$R$2:$R$1994,0)),"-")</f>
        <v>-</v>
      </c>
      <c r="D646" s="2" t="str">
        <f>IFERROR(INDEX(Movimientos!$E$2:$E$1994,MATCH(A646&amp;"ENTRADA",Movimientos!$R$2:$R$1994,0)),"-")</f>
        <v>-</v>
      </c>
      <c r="E646" s="2" t="str">
        <f>IFERROR(INDEX(Movimientos!$F$2:$F$1994,MATCH(A646&amp;"ENTRADA",Movimientos!$R$2:$R$1994,0)),"-")</f>
        <v>-</v>
      </c>
      <c r="F646" s="2" t="str">
        <f>IFERROR(INDEX(Movimientos!$G$2:$G$1994,MATCH(A646&amp;"ENTRADA",Movimientos!$R$2:$R$1994,0)),"-")</f>
        <v>-</v>
      </c>
      <c r="G646" s="2" t="str">
        <f>IFERROR(INDEX(Movimientos!$L$2:$L$1994,MATCH(A646&amp;"ENTRADA",Movimientos!$R$2:$R$1994,0)),"-")</f>
        <v>-</v>
      </c>
      <c r="H646" s="17" t="str">
        <f>IFERROR(IF(INDEX(Movimientos!$M$2:$M$1994,MATCH(A646&amp;"ENTRADA",Movimientos!$R$2:$R$1994,0))=0,"S/D",INDEX(Movimientos!$M$2:$M$1994,MATCH(A646&amp;"ENTRADA",Movimientos!$R$2:$R$1994,0))),"S/D")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2922</v>
      </c>
      <c r="B647" s="2" t="str">
        <f>IFERROR(INDEX(Movimientos!$C$2:$C$1994,MATCH(A647&amp;"ENTRADA",Movimientos!$R$2:$R$1994,0)),"-")</f>
        <v>-</v>
      </c>
      <c r="C647" s="2" t="str">
        <f>IFERROR(INDEX(Movimientos!$D$2:$D$1994,MATCH(A647&amp;"ENTRADA",Movimientos!$R$2:$R$1994,0)),"-")</f>
        <v>-</v>
      </c>
      <c r="D647" s="2" t="str">
        <f>IFERROR(INDEX(Movimientos!$E$2:$E$1994,MATCH(A647&amp;"ENTRADA",Movimientos!$R$2:$R$1994,0)),"-")</f>
        <v>-</v>
      </c>
      <c r="E647" s="2" t="str">
        <f>IFERROR(INDEX(Movimientos!$F$2:$F$1994,MATCH(A647&amp;"ENTRADA",Movimientos!$R$2:$R$1994,0)),"-")</f>
        <v>-</v>
      </c>
      <c r="F647" s="2" t="str">
        <f>IFERROR(INDEX(Movimientos!$G$2:$G$1994,MATCH(A647&amp;"ENTRADA",Movimientos!$R$2:$R$1994,0)),"-")</f>
        <v>-</v>
      </c>
      <c r="G647" s="2" t="str">
        <f>IFERROR(INDEX(Movimientos!$L$2:$L$1994,MATCH(A647&amp;"ENTRADA",Movimientos!$R$2:$R$1994,0)),"-")</f>
        <v>-</v>
      </c>
      <c r="H647" s="17" t="str">
        <f>IFERROR(IF(INDEX(Movimientos!$M$2:$M$1994,MATCH(A647&amp;"ENTRADA",Movimientos!$R$2:$R$1994,0))=0,"S/D",INDEX(Movimientos!$M$2:$M$1994,MATCH(A647&amp;"ENTRADA",Movimientos!$R$2:$R$1994,0))),"S/D")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2923</v>
      </c>
      <c r="B648" s="2" t="str">
        <f>IFERROR(INDEX(Movimientos!$C$2:$C$1994,MATCH(A648&amp;"ENTRADA",Movimientos!$R$2:$R$1994,0)),"-")</f>
        <v>-</v>
      </c>
      <c r="C648" s="2" t="str">
        <f>IFERROR(INDEX(Movimientos!$D$2:$D$1994,MATCH(A648&amp;"ENTRADA",Movimientos!$R$2:$R$1994,0)),"-")</f>
        <v>-</v>
      </c>
      <c r="D648" s="2" t="str">
        <f>IFERROR(INDEX(Movimientos!$E$2:$E$1994,MATCH(A648&amp;"ENTRADA",Movimientos!$R$2:$R$1994,0)),"-")</f>
        <v>-</v>
      </c>
      <c r="E648" s="2" t="str">
        <f>IFERROR(INDEX(Movimientos!$F$2:$F$1994,MATCH(A648&amp;"ENTRADA",Movimientos!$R$2:$R$1994,0)),"-")</f>
        <v>-</v>
      </c>
      <c r="F648" s="2" t="str">
        <f>IFERROR(INDEX(Movimientos!$G$2:$G$1994,MATCH(A648&amp;"ENTRADA",Movimientos!$R$2:$R$1994,0)),"-")</f>
        <v>-</v>
      </c>
      <c r="G648" s="2" t="str">
        <f>IFERROR(INDEX(Movimientos!$L$2:$L$1994,MATCH(A648&amp;"ENTRADA",Movimientos!$R$2:$R$1994,0)),"-")</f>
        <v>-</v>
      </c>
      <c r="H648" s="17" t="str">
        <f>IFERROR(IF(INDEX(Movimientos!$M$2:$M$1994,MATCH(A648&amp;"ENTRADA",Movimientos!$R$2:$R$1994,0))=0,"S/D",INDEX(Movimientos!$M$2:$M$1994,MATCH(A648&amp;"ENTRADA",Movimientos!$R$2:$R$1994,0))),"S/D")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2924</v>
      </c>
      <c r="B649" s="2" t="str">
        <f>IFERROR(INDEX(Movimientos!$C$2:$C$1994,MATCH(A649&amp;"ENTRADA",Movimientos!$R$2:$R$1994,0)),"-")</f>
        <v>-</v>
      </c>
      <c r="C649" s="2" t="str">
        <f>IFERROR(INDEX(Movimientos!$D$2:$D$1994,MATCH(A649&amp;"ENTRADA",Movimientos!$R$2:$R$1994,0)),"-")</f>
        <v>-</v>
      </c>
      <c r="D649" s="2" t="str">
        <f>IFERROR(INDEX(Movimientos!$E$2:$E$1994,MATCH(A649&amp;"ENTRADA",Movimientos!$R$2:$R$1994,0)),"-")</f>
        <v>-</v>
      </c>
      <c r="E649" s="2" t="str">
        <f>IFERROR(INDEX(Movimientos!$F$2:$F$1994,MATCH(A649&amp;"ENTRADA",Movimientos!$R$2:$R$1994,0)),"-")</f>
        <v>-</v>
      </c>
      <c r="F649" s="2" t="str">
        <f>IFERROR(INDEX(Movimientos!$G$2:$G$1994,MATCH(A649&amp;"ENTRADA",Movimientos!$R$2:$R$1994,0)),"-")</f>
        <v>-</v>
      </c>
      <c r="G649" s="2" t="str">
        <f>IFERROR(INDEX(Movimientos!$L$2:$L$1994,MATCH(A649&amp;"ENTRADA",Movimientos!$R$2:$R$1994,0)),"-")</f>
        <v>-</v>
      </c>
      <c r="H649" s="17" t="str">
        <f>IFERROR(IF(INDEX(Movimientos!$M$2:$M$1994,MATCH(A649&amp;"ENTRADA",Movimientos!$R$2:$R$1994,0))=0,"S/D",INDEX(Movimientos!$M$2:$M$1994,MATCH(A649&amp;"ENTRADA",Movimientos!$R$2:$R$1994,0))),"S/D")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2925</v>
      </c>
      <c r="B650" s="2" t="str">
        <f>IFERROR(INDEX(Movimientos!$C$2:$C$1994,MATCH(A650&amp;"ENTRADA",Movimientos!$R$2:$R$1994,0)),"-")</f>
        <v>-</v>
      </c>
      <c r="C650" s="2" t="str">
        <f>IFERROR(INDEX(Movimientos!$D$2:$D$1994,MATCH(A650&amp;"ENTRADA",Movimientos!$R$2:$R$1994,0)),"-")</f>
        <v>-</v>
      </c>
      <c r="D650" s="2" t="str">
        <f>IFERROR(INDEX(Movimientos!$E$2:$E$1994,MATCH(A650&amp;"ENTRADA",Movimientos!$R$2:$R$1994,0)),"-")</f>
        <v>-</v>
      </c>
      <c r="E650" s="2" t="str">
        <f>IFERROR(INDEX(Movimientos!$F$2:$F$1994,MATCH(A650&amp;"ENTRADA",Movimientos!$R$2:$R$1994,0)),"-")</f>
        <v>-</v>
      </c>
      <c r="F650" s="2" t="str">
        <f>IFERROR(INDEX(Movimientos!$G$2:$G$1994,MATCH(A650&amp;"ENTRADA",Movimientos!$R$2:$R$1994,0)),"-")</f>
        <v>-</v>
      </c>
      <c r="G650" s="2" t="str">
        <f>IFERROR(INDEX(Movimientos!$L$2:$L$1994,MATCH(A650&amp;"ENTRADA",Movimientos!$R$2:$R$1994,0)),"-")</f>
        <v>-</v>
      </c>
      <c r="H650" s="17" t="str">
        <f>IFERROR(IF(INDEX(Movimientos!$M$2:$M$1994,MATCH(A650&amp;"ENTRADA",Movimientos!$R$2:$R$1994,0))=0,"S/D",INDEX(Movimientos!$M$2:$M$1994,MATCH(A650&amp;"ENTRADA",Movimientos!$R$2:$R$1994,0))),"S/D")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2926</v>
      </c>
      <c r="B651" s="2" t="str">
        <f>IFERROR(INDEX(Movimientos!$C$2:$C$1994,MATCH(A651&amp;"ENTRADA",Movimientos!$R$2:$R$1994,0)),"-")</f>
        <v>-</v>
      </c>
      <c r="C651" s="2" t="str">
        <f>IFERROR(INDEX(Movimientos!$D$2:$D$1994,MATCH(A651&amp;"ENTRADA",Movimientos!$R$2:$R$1994,0)),"-")</f>
        <v>-</v>
      </c>
      <c r="D651" s="2" t="str">
        <f>IFERROR(INDEX(Movimientos!$E$2:$E$1994,MATCH(A651&amp;"ENTRADA",Movimientos!$R$2:$R$1994,0)),"-")</f>
        <v>-</v>
      </c>
      <c r="E651" s="2" t="str">
        <f>IFERROR(INDEX(Movimientos!$F$2:$F$1994,MATCH(A651&amp;"ENTRADA",Movimientos!$R$2:$R$1994,0)),"-")</f>
        <v>-</v>
      </c>
      <c r="F651" s="2" t="str">
        <f>IFERROR(INDEX(Movimientos!$G$2:$G$1994,MATCH(A651&amp;"ENTRADA",Movimientos!$R$2:$R$1994,0)),"-")</f>
        <v>-</v>
      </c>
      <c r="G651" s="2" t="str">
        <f>IFERROR(INDEX(Movimientos!$L$2:$L$1994,MATCH(A651&amp;"ENTRADA",Movimientos!$R$2:$R$1994,0)),"-")</f>
        <v>-</v>
      </c>
      <c r="H651" s="17" t="str">
        <f>IFERROR(IF(INDEX(Movimientos!$M$2:$M$1994,MATCH(A651&amp;"ENTRADA",Movimientos!$R$2:$R$1994,0))=0,"S/D",INDEX(Movimientos!$M$2:$M$1994,MATCH(A651&amp;"ENTRADA",Movimientos!$R$2:$R$1994,0))),"S/D")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2927</v>
      </c>
      <c r="B652" s="2" t="str">
        <f>IFERROR(INDEX(Movimientos!$C$2:$C$1994,MATCH(A652&amp;"ENTRADA",Movimientos!$R$2:$R$1994,0)),"-")</f>
        <v>-</v>
      </c>
      <c r="C652" s="2" t="str">
        <f>IFERROR(INDEX(Movimientos!$D$2:$D$1994,MATCH(A652&amp;"ENTRADA",Movimientos!$R$2:$R$1994,0)),"-")</f>
        <v>-</v>
      </c>
      <c r="D652" s="2" t="str">
        <f>IFERROR(INDEX(Movimientos!$E$2:$E$1994,MATCH(A652&amp;"ENTRADA",Movimientos!$R$2:$R$1994,0)),"-")</f>
        <v>-</v>
      </c>
      <c r="E652" s="2" t="str">
        <f>IFERROR(INDEX(Movimientos!$F$2:$F$1994,MATCH(A652&amp;"ENTRADA",Movimientos!$R$2:$R$1994,0)),"-")</f>
        <v>-</v>
      </c>
      <c r="F652" s="2" t="str">
        <f>IFERROR(INDEX(Movimientos!$G$2:$G$1994,MATCH(A652&amp;"ENTRADA",Movimientos!$R$2:$R$1994,0)),"-")</f>
        <v>-</v>
      </c>
      <c r="G652" s="2" t="str">
        <f>IFERROR(INDEX(Movimientos!$L$2:$L$1994,MATCH(A652&amp;"ENTRADA",Movimientos!$R$2:$R$1994,0)),"-")</f>
        <v>-</v>
      </c>
      <c r="H652" s="17" t="str">
        <f>IFERROR(IF(INDEX(Movimientos!$M$2:$M$1994,MATCH(A652&amp;"ENTRADA",Movimientos!$R$2:$R$1994,0))=0,"S/D",INDEX(Movimientos!$M$2:$M$1994,MATCH(A652&amp;"ENTRADA",Movimientos!$R$2:$R$1994,0))),"S/D")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2928</v>
      </c>
      <c r="B653" s="2" t="str">
        <f>IFERROR(INDEX(Movimientos!$C$2:$C$1994,MATCH(A653&amp;"ENTRADA",Movimientos!$R$2:$R$1994,0)),"-")</f>
        <v>-</v>
      </c>
      <c r="C653" s="2" t="str">
        <f>IFERROR(INDEX(Movimientos!$D$2:$D$1994,MATCH(A653&amp;"ENTRADA",Movimientos!$R$2:$R$1994,0)),"-")</f>
        <v>-</v>
      </c>
      <c r="D653" s="2" t="str">
        <f>IFERROR(INDEX(Movimientos!$E$2:$E$1994,MATCH(A653&amp;"ENTRADA",Movimientos!$R$2:$R$1994,0)),"-")</f>
        <v>-</v>
      </c>
      <c r="E653" s="2" t="str">
        <f>IFERROR(INDEX(Movimientos!$F$2:$F$1994,MATCH(A653&amp;"ENTRADA",Movimientos!$R$2:$R$1994,0)),"-")</f>
        <v>-</v>
      </c>
      <c r="F653" s="2" t="str">
        <f>IFERROR(INDEX(Movimientos!$G$2:$G$1994,MATCH(A653&amp;"ENTRADA",Movimientos!$R$2:$R$1994,0)),"-")</f>
        <v>-</v>
      </c>
      <c r="G653" s="2" t="str">
        <f>IFERROR(INDEX(Movimientos!$L$2:$L$1994,MATCH(A653&amp;"ENTRADA",Movimientos!$R$2:$R$1994,0)),"-")</f>
        <v>-</v>
      </c>
      <c r="H653" s="17" t="str">
        <f>IFERROR(IF(INDEX(Movimientos!$M$2:$M$1994,MATCH(A653&amp;"ENTRADA",Movimientos!$R$2:$R$1994,0))=0,"S/D",INDEX(Movimientos!$M$2:$M$1994,MATCH(A653&amp;"ENTRADA",Movimientos!$R$2:$R$1994,0))),"S/D")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2929</v>
      </c>
      <c r="B654" s="2" t="str">
        <f>IFERROR(INDEX(Movimientos!$C$2:$C$1994,MATCH(A654&amp;"ENTRADA",Movimientos!$R$2:$R$1994,0)),"-")</f>
        <v>-</v>
      </c>
      <c r="C654" s="2" t="str">
        <f>IFERROR(INDEX(Movimientos!$D$2:$D$1994,MATCH(A654&amp;"ENTRADA",Movimientos!$R$2:$R$1994,0)),"-")</f>
        <v>-</v>
      </c>
      <c r="D654" s="2" t="str">
        <f>IFERROR(INDEX(Movimientos!$E$2:$E$1994,MATCH(A654&amp;"ENTRADA",Movimientos!$R$2:$R$1994,0)),"-")</f>
        <v>-</v>
      </c>
      <c r="E654" s="2" t="str">
        <f>IFERROR(INDEX(Movimientos!$F$2:$F$1994,MATCH(A654&amp;"ENTRADA",Movimientos!$R$2:$R$1994,0)),"-")</f>
        <v>-</v>
      </c>
      <c r="F654" s="2" t="str">
        <f>IFERROR(INDEX(Movimientos!$G$2:$G$1994,MATCH(A654&amp;"ENTRADA",Movimientos!$R$2:$R$1994,0)),"-")</f>
        <v>-</v>
      </c>
      <c r="G654" s="2" t="str">
        <f>IFERROR(INDEX(Movimientos!$L$2:$L$1994,MATCH(A654&amp;"ENTRADA",Movimientos!$R$2:$R$1994,0)),"-")</f>
        <v>-</v>
      </c>
      <c r="H654" s="17" t="str">
        <f>IFERROR(IF(INDEX(Movimientos!$M$2:$M$1994,MATCH(A654&amp;"ENTRADA",Movimientos!$R$2:$R$1994,0))=0,"S/D",INDEX(Movimientos!$M$2:$M$1994,MATCH(A654&amp;"ENTRADA",Movimientos!$R$2:$R$1994,0))),"S/D")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2930</v>
      </c>
      <c r="B655" s="2" t="str">
        <f>IFERROR(INDEX(Movimientos!$C$2:$C$1994,MATCH(A655&amp;"ENTRADA",Movimientos!$R$2:$R$1994,0)),"-")</f>
        <v>-</v>
      </c>
      <c r="C655" s="2" t="str">
        <f>IFERROR(INDEX(Movimientos!$D$2:$D$1994,MATCH(A655&amp;"ENTRADA",Movimientos!$R$2:$R$1994,0)),"-")</f>
        <v>-</v>
      </c>
      <c r="D655" s="2" t="str">
        <f>IFERROR(INDEX(Movimientos!$E$2:$E$1994,MATCH(A655&amp;"ENTRADA",Movimientos!$R$2:$R$1994,0)),"-")</f>
        <v>-</v>
      </c>
      <c r="E655" s="2" t="str">
        <f>IFERROR(INDEX(Movimientos!$F$2:$F$1994,MATCH(A655&amp;"ENTRADA",Movimientos!$R$2:$R$1994,0)),"-")</f>
        <v>-</v>
      </c>
      <c r="F655" s="2" t="str">
        <f>IFERROR(INDEX(Movimientos!$G$2:$G$1994,MATCH(A655&amp;"ENTRADA",Movimientos!$R$2:$R$1994,0)),"-")</f>
        <v>-</v>
      </c>
      <c r="G655" s="2" t="str">
        <f>IFERROR(INDEX(Movimientos!$L$2:$L$1994,MATCH(A655&amp;"ENTRADA",Movimientos!$R$2:$R$1994,0)),"-")</f>
        <v>-</v>
      </c>
      <c r="H655" s="17" t="str">
        <f>IFERROR(IF(INDEX(Movimientos!$M$2:$M$1994,MATCH(A655&amp;"ENTRADA",Movimientos!$R$2:$R$1994,0))=0,"S/D",INDEX(Movimientos!$M$2:$M$1994,MATCH(A655&amp;"ENTRADA",Movimientos!$R$2:$R$1994,0))),"S/D")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2931</v>
      </c>
      <c r="B656" s="2" t="str">
        <f>IFERROR(INDEX(Movimientos!$C$2:$C$1994,MATCH(A656&amp;"ENTRADA",Movimientos!$R$2:$R$1994,0)),"-")</f>
        <v>-</v>
      </c>
      <c r="C656" s="2" t="str">
        <f>IFERROR(INDEX(Movimientos!$D$2:$D$1994,MATCH(A656&amp;"ENTRADA",Movimientos!$R$2:$R$1994,0)),"-")</f>
        <v>-</v>
      </c>
      <c r="D656" s="2" t="str">
        <f>IFERROR(INDEX(Movimientos!$E$2:$E$1994,MATCH(A656&amp;"ENTRADA",Movimientos!$R$2:$R$1994,0)),"-")</f>
        <v>-</v>
      </c>
      <c r="E656" s="2" t="str">
        <f>IFERROR(INDEX(Movimientos!$F$2:$F$1994,MATCH(A656&amp;"ENTRADA",Movimientos!$R$2:$R$1994,0)),"-")</f>
        <v>-</v>
      </c>
      <c r="F656" s="2" t="str">
        <f>IFERROR(INDEX(Movimientos!$G$2:$G$1994,MATCH(A656&amp;"ENTRADA",Movimientos!$R$2:$R$1994,0)),"-")</f>
        <v>-</v>
      </c>
      <c r="G656" s="2" t="str">
        <f>IFERROR(INDEX(Movimientos!$L$2:$L$1994,MATCH(A656&amp;"ENTRADA",Movimientos!$R$2:$R$1994,0)),"-")</f>
        <v>-</v>
      </c>
      <c r="H656" s="17" t="str">
        <f>IFERROR(IF(INDEX(Movimientos!$M$2:$M$1994,MATCH(A656&amp;"ENTRADA",Movimientos!$R$2:$R$1994,0))=0,"S/D",INDEX(Movimientos!$M$2:$M$1994,MATCH(A656&amp;"ENTRADA",Movimientos!$R$2:$R$1994,0))),"S/D")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2932</v>
      </c>
      <c r="B657" s="2" t="str">
        <f>IFERROR(INDEX(Movimientos!$C$2:$C$1994,MATCH(A657&amp;"ENTRADA",Movimientos!$R$2:$R$1994,0)),"-")</f>
        <v>-</v>
      </c>
      <c r="C657" s="2" t="str">
        <f>IFERROR(INDEX(Movimientos!$D$2:$D$1994,MATCH(A657&amp;"ENTRADA",Movimientos!$R$2:$R$1994,0)),"-")</f>
        <v>-</v>
      </c>
      <c r="D657" s="2" t="str">
        <f>IFERROR(INDEX(Movimientos!$E$2:$E$1994,MATCH(A657&amp;"ENTRADA",Movimientos!$R$2:$R$1994,0)),"-")</f>
        <v>-</v>
      </c>
      <c r="E657" s="2" t="str">
        <f>IFERROR(INDEX(Movimientos!$F$2:$F$1994,MATCH(A657&amp;"ENTRADA",Movimientos!$R$2:$R$1994,0)),"-")</f>
        <v>-</v>
      </c>
      <c r="F657" s="2" t="str">
        <f>IFERROR(INDEX(Movimientos!$G$2:$G$1994,MATCH(A657&amp;"ENTRADA",Movimientos!$R$2:$R$1994,0)),"-")</f>
        <v>-</v>
      </c>
      <c r="G657" s="2" t="str">
        <f>IFERROR(INDEX(Movimientos!$L$2:$L$1994,MATCH(A657&amp;"ENTRADA",Movimientos!$R$2:$R$1994,0)),"-")</f>
        <v>-</v>
      </c>
      <c r="H657" s="17" t="str">
        <f>IFERROR(IF(INDEX(Movimientos!$M$2:$M$1994,MATCH(A657&amp;"ENTRADA",Movimientos!$R$2:$R$1994,0))=0,"S/D",INDEX(Movimientos!$M$2:$M$1994,MATCH(A657&amp;"ENTRADA",Movimientos!$R$2:$R$1994,0))),"S/D")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2933</v>
      </c>
      <c r="B658" s="2" t="str">
        <f>IFERROR(INDEX(Movimientos!$C$2:$C$1994,MATCH(A658&amp;"ENTRADA",Movimientos!$R$2:$R$1994,0)),"-")</f>
        <v>-</v>
      </c>
      <c r="C658" s="2" t="str">
        <f>IFERROR(INDEX(Movimientos!$D$2:$D$1994,MATCH(A658&amp;"ENTRADA",Movimientos!$R$2:$R$1994,0)),"-")</f>
        <v>-</v>
      </c>
      <c r="D658" s="2" t="str">
        <f>IFERROR(INDEX(Movimientos!$E$2:$E$1994,MATCH(A658&amp;"ENTRADA",Movimientos!$R$2:$R$1994,0)),"-")</f>
        <v>-</v>
      </c>
      <c r="E658" s="2" t="str">
        <f>IFERROR(INDEX(Movimientos!$F$2:$F$1994,MATCH(A658&amp;"ENTRADA",Movimientos!$R$2:$R$1994,0)),"-")</f>
        <v>-</v>
      </c>
      <c r="F658" s="2" t="str">
        <f>IFERROR(INDEX(Movimientos!$G$2:$G$1994,MATCH(A658&amp;"ENTRADA",Movimientos!$R$2:$R$1994,0)),"-")</f>
        <v>-</v>
      </c>
      <c r="G658" s="2" t="str">
        <f>IFERROR(INDEX(Movimientos!$L$2:$L$1994,MATCH(A658&amp;"ENTRADA",Movimientos!$R$2:$R$1994,0)),"-")</f>
        <v>-</v>
      </c>
      <c r="H658" s="17" t="str">
        <f>IFERROR(IF(INDEX(Movimientos!$M$2:$M$1994,MATCH(A658&amp;"ENTRADA",Movimientos!$R$2:$R$1994,0))=0,"S/D",INDEX(Movimientos!$M$2:$M$1994,MATCH(A658&amp;"ENTRADA",Movimientos!$R$2:$R$1994,0))),"S/D")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2934</v>
      </c>
      <c r="B659" s="2" t="str">
        <f>IFERROR(INDEX(Movimientos!$C$2:$C$1994,MATCH(A659&amp;"ENTRADA",Movimientos!$R$2:$R$1994,0)),"-")</f>
        <v>-</v>
      </c>
      <c r="C659" s="2" t="str">
        <f>IFERROR(INDEX(Movimientos!$D$2:$D$1994,MATCH(A659&amp;"ENTRADA",Movimientos!$R$2:$R$1994,0)),"-")</f>
        <v>-</v>
      </c>
      <c r="D659" s="2" t="str">
        <f>IFERROR(INDEX(Movimientos!$E$2:$E$1994,MATCH(A659&amp;"ENTRADA",Movimientos!$R$2:$R$1994,0)),"-")</f>
        <v>-</v>
      </c>
      <c r="E659" s="2" t="str">
        <f>IFERROR(INDEX(Movimientos!$F$2:$F$1994,MATCH(A659&amp;"ENTRADA",Movimientos!$R$2:$R$1994,0)),"-")</f>
        <v>-</v>
      </c>
      <c r="F659" s="2" t="str">
        <f>IFERROR(INDEX(Movimientos!$G$2:$G$1994,MATCH(A659&amp;"ENTRADA",Movimientos!$R$2:$R$1994,0)),"-")</f>
        <v>-</v>
      </c>
      <c r="G659" s="2" t="str">
        <f>IFERROR(INDEX(Movimientos!$L$2:$L$1994,MATCH(A659&amp;"ENTRADA",Movimientos!$R$2:$R$1994,0)),"-")</f>
        <v>-</v>
      </c>
      <c r="H659" s="17" t="str">
        <f>IFERROR(IF(INDEX(Movimientos!$M$2:$M$1994,MATCH(A659&amp;"ENTRADA",Movimientos!$R$2:$R$1994,0))=0,"S/D",INDEX(Movimientos!$M$2:$M$1994,MATCH(A659&amp;"ENTRADA",Movimientos!$R$2:$R$1994,0))),"S/D")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2935</v>
      </c>
      <c r="B660" s="2" t="str">
        <f>IFERROR(INDEX(Movimientos!$C$2:$C$1994,MATCH(A660&amp;"ENTRADA",Movimientos!$R$2:$R$1994,0)),"-")</f>
        <v>-</v>
      </c>
      <c r="C660" s="2" t="str">
        <f>IFERROR(INDEX(Movimientos!$D$2:$D$1994,MATCH(A660&amp;"ENTRADA",Movimientos!$R$2:$R$1994,0)),"-")</f>
        <v>-</v>
      </c>
      <c r="D660" s="2" t="str">
        <f>IFERROR(INDEX(Movimientos!$E$2:$E$1994,MATCH(A660&amp;"ENTRADA",Movimientos!$R$2:$R$1994,0)),"-")</f>
        <v>-</v>
      </c>
      <c r="E660" s="2" t="str">
        <f>IFERROR(INDEX(Movimientos!$F$2:$F$1994,MATCH(A660&amp;"ENTRADA",Movimientos!$R$2:$R$1994,0)),"-")</f>
        <v>-</v>
      </c>
      <c r="F660" s="2" t="str">
        <f>IFERROR(INDEX(Movimientos!$G$2:$G$1994,MATCH(A660&amp;"ENTRADA",Movimientos!$R$2:$R$1994,0)),"-")</f>
        <v>-</v>
      </c>
      <c r="G660" s="2" t="str">
        <f>IFERROR(INDEX(Movimientos!$L$2:$L$1994,MATCH(A660&amp;"ENTRADA",Movimientos!$R$2:$R$1994,0)),"-")</f>
        <v>-</v>
      </c>
      <c r="H660" s="17" t="str">
        <f>IFERROR(IF(INDEX(Movimientos!$M$2:$M$1994,MATCH(A660&amp;"ENTRADA",Movimientos!$R$2:$R$1994,0))=0,"S/D",INDEX(Movimientos!$M$2:$M$1994,MATCH(A660&amp;"ENTRADA",Movimientos!$R$2:$R$1994,0))),"S/D")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2936</v>
      </c>
      <c r="B661" s="2" t="str">
        <f>IFERROR(INDEX(Movimientos!$C$2:$C$1994,MATCH(A661&amp;"ENTRADA",Movimientos!$R$2:$R$1994,0)),"-")</f>
        <v>-</v>
      </c>
      <c r="C661" s="2" t="str">
        <f>IFERROR(INDEX(Movimientos!$D$2:$D$1994,MATCH(A661&amp;"ENTRADA",Movimientos!$R$2:$R$1994,0)),"-")</f>
        <v>-</v>
      </c>
      <c r="D661" s="2" t="str">
        <f>IFERROR(INDEX(Movimientos!$E$2:$E$1994,MATCH(A661&amp;"ENTRADA",Movimientos!$R$2:$R$1994,0)),"-")</f>
        <v>-</v>
      </c>
      <c r="E661" s="2" t="str">
        <f>IFERROR(INDEX(Movimientos!$F$2:$F$1994,MATCH(A661&amp;"ENTRADA",Movimientos!$R$2:$R$1994,0)),"-")</f>
        <v>-</v>
      </c>
      <c r="F661" s="2" t="str">
        <f>IFERROR(INDEX(Movimientos!$G$2:$G$1994,MATCH(A661&amp;"ENTRADA",Movimientos!$R$2:$R$1994,0)),"-")</f>
        <v>-</v>
      </c>
      <c r="G661" s="2" t="str">
        <f>IFERROR(INDEX(Movimientos!$L$2:$L$1994,MATCH(A661&amp;"ENTRADA",Movimientos!$R$2:$R$1994,0)),"-")</f>
        <v>-</v>
      </c>
      <c r="H661" s="17" t="str">
        <f>IFERROR(IF(INDEX(Movimientos!$M$2:$M$1994,MATCH(A661&amp;"ENTRADA",Movimientos!$R$2:$R$1994,0))=0,"S/D",INDEX(Movimientos!$M$2:$M$1994,MATCH(A661&amp;"ENTRADA",Movimientos!$R$2:$R$1994,0))),"S/D")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2937</v>
      </c>
      <c r="B662" s="2" t="str">
        <f>IFERROR(INDEX(Movimientos!$C$2:$C$1994,MATCH(A662&amp;"ENTRADA",Movimientos!$R$2:$R$1994,0)),"-")</f>
        <v>-</v>
      </c>
      <c r="C662" s="2" t="str">
        <f>IFERROR(INDEX(Movimientos!$D$2:$D$1994,MATCH(A662&amp;"ENTRADA",Movimientos!$R$2:$R$1994,0)),"-")</f>
        <v>-</v>
      </c>
      <c r="D662" s="2" t="str">
        <f>IFERROR(INDEX(Movimientos!$E$2:$E$1994,MATCH(A662&amp;"ENTRADA",Movimientos!$R$2:$R$1994,0)),"-")</f>
        <v>-</v>
      </c>
      <c r="E662" s="2" t="str">
        <f>IFERROR(INDEX(Movimientos!$F$2:$F$1994,MATCH(A662&amp;"ENTRADA",Movimientos!$R$2:$R$1994,0)),"-")</f>
        <v>-</v>
      </c>
      <c r="F662" s="2" t="str">
        <f>IFERROR(INDEX(Movimientos!$G$2:$G$1994,MATCH(A662&amp;"ENTRADA",Movimientos!$R$2:$R$1994,0)),"-")</f>
        <v>-</v>
      </c>
      <c r="G662" s="2" t="str">
        <f>IFERROR(INDEX(Movimientos!$L$2:$L$1994,MATCH(A662&amp;"ENTRADA",Movimientos!$R$2:$R$1994,0)),"-")</f>
        <v>-</v>
      </c>
      <c r="H662" s="17" t="str">
        <f>IFERROR(IF(INDEX(Movimientos!$M$2:$M$1994,MATCH(A662&amp;"ENTRADA",Movimientos!$R$2:$R$1994,0))=0,"S/D",INDEX(Movimientos!$M$2:$M$1994,MATCH(A662&amp;"ENTRADA",Movimientos!$R$2:$R$1994,0))),"S/D")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2938</v>
      </c>
      <c r="B663" s="2" t="str">
        <f>IFERROR(INDEX(Movimientos!$C$2:$C$1994,MATCH(A663&amp;"ENTRADA",Movimientos!$R$2:$R$1994,0)),"-")</f>
        <v>-</v>
      </c>
      <c r="C663" s="2" t="str">
        <f>IFERROR(INDEX(Movimientos!$D$2:$D$1994,MATCH(A663&amp;"ENTRADA",Movimientos!$R$2:$R$1994,0)),"-")</f>
        <v>-</v>
      </c>
      <c r="D663" s="2" t="str">
        <f>IFERROR(INDEX(Movimientos!$E$2:$E$1994,MATCH(A663&amp;"ENTRADA",Movimientos!$R$2:$R$1994,0)),"-")</f>
        <v>-</v>
      </c>
      <c r="E663" s="2" t="str">
        <f>IFERROR(INDEX(Movimientos!$F$2:$F$1994,MATCH(A663&amp;"ENTRADA",Movimientos!$R$2:$R$1994,0)),"-")</f>
        <v>-</v>
      </c>
      <c r="F663" s="2" t="str">
        <f>IFERROR(INDEX(Movimientos!$G$2:$G$1994,MATCH(A663&amp;"ENTRADA",Movimientos!$R$2:$R$1994,0)),"-")</f>
        <v>-</v>
      </c>
      <c r="G663" s="2" t="str">
        <f>IFERROR(INDEX(Movimientos!$L$2:$L$1994,MATCH(A663&amp;"ENTRADA",Movimientos!$R$2:$R$1994,0)),"-")</f>
        <v>-</v>
      </c>
      <c r="H663" s="17" t="str">
        <f>IFERROR(IF(INDEX(Movimientos!$M$2:$M$1994,MATCH(A663&amp;"ENTRADA",Movimientos!$R$2:$R$1994,0))=0,"S/D",INDEX(Movimientos!$M$2:$M$1994,MATCH(A663&amp;"ENTRADA",Movimientos!$R$2:$R$1994,0))),"S/D")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2939</v>
      </c>
      <c r="B664" s="2" t="str">
        <f>IFERROR(INDEX(Movimientos!$C$2:$C$1994,MATCH(A664&amp;"ENTRADA",Movimientos!$R$2:$R$1994,0)),"-")</f>
        <v>-</v>
      </c>
      <c r="C664" s="2" t="str">
        <f>IFERROR(INDEX(Movimientos!$D$2:$D$1994,MATCH(A664&amp;"ENTRADA",Movimientos!$R$2:$R$1994,0)),"-")</f>
        <v>-</v>
      </c>
      <c r="D664" s="2" t="str">
        <f>IFERROR(INDEX(Movimientos!$E$2:$E$1994,MATCH(A664&amp;"ENTRADA",Movimientos!$R$2:$R$1994,0)),"-")</f>
        <v>-</v>
      </c>
      <c r="E664" s="2" t="str">
        <f>IFERROR(INDEX(Movimientos!$F$2:$F$1994,MATCH(A664&amp;"ENTRADA",Movimientos!$R$2:$R$1994,0)),"-")</f>
        <v>-</v>
      </c>
      <c r="F664" s="2" t="str">
        <f>IFERROR(INDEX(Movimientos!$G$2:$G$1994,MATCH(A664&amp;"ENTRADA",Movimientos!$R$2:$R$1994,0)),"-")</f>
        <v>-</v>
      </c>
      <c r="G664" s="2" t="str">
        <f>IFERROR(INDEX(Movimientos!$L$2:$L$1994,MATCH(A664&amp;"ENTRADA",Movimientos!$R$2:$R$1994,0)),"-")</f>
        <v>-</v>
      </c>
      <c r="H664" s="17" t="str">
        <f>IFERROR(IF(INDEX(Movimientos!$M$2:$M$1994,MATCH(A664&amp;"ENTRADA",Movimientos!$R$2:$R$1994,0))=0,"S/D",INDEX(Movimientos!$M$2:$M$1994,MATCH(A664&amp;"ENTRADA",Movimientos!$R$2:$R$1994,0))),"S/D")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2940</v>
      </c>
      <c r="B665" s="2" t="str">
        <f>IFERROR(INDEX(Movimientos!$C$2:$C$1994,MATCH(A665&amp;"ENTRADA",Movimientos!$R$2:$R$1994,0)),"-")</f>
        <v>-</v>
      </c>
      <c r="C665" s="2" t="str">
        <f>IFERROR(INDEX(Movimientos!$D$2:$D$1994,MATCH(A665&amp;"ENTRADA",Movimientos!$R$2:$R$1994,0)),"-")</f>
        <v>-</v>
      </c>
      <c r="D665" s="2" t="str">
        <f>IFERROR(INDEX(Movimientos!$E$2:$E$1994,MATCH(A665&amp;"ENTRADA",Movimientos!$R$2:$R$1994,0)),"-")</f>
        <v>-</v>
      </c>
      <c r="E665" s="2" t="str">
        <f>IFERROR(INDEX(Movimientos!$F$2:$F$1994,MATCH(A665&amp;"ENTRADA",Movimientos!$R$2:$R$1994,0)),"-")</f>
        <v>-</v>
      </c>
      <c r="F665" s="2" t="str">
        <f>IFERROR(INDEX(Movimientos!$G$2:$G$1994,MATCH(A665&amp;"ENTRADA",Movimientos!$R$2:$R$1994,0)),"-")</f>
        <v>-</v>
      </c>
      <c r="G665" s="2" t="str">
        <f>IFERROR(INDEX(Movimientos!$L$2:$L$1994,MATCH(A665&amp;"ENTRADA",Movimientos!$R$2:$R$1994,0)),"-")</f>
        <v>-</v>
      </c>
      <c r="H665" s="17" t="str">
        <f>IFERROR(IF(INDEX(Movimientos!$M$2:$M$1994,MATCH(A665&amp;"ENTRADA",Movimientos!$R$2:$R$1994,0))=0,"S/D",INDEX(Movimientos!$M$2:$M$1994,MATCH(A665&amp;"ENTRADA",Movimientos!$R$2:$R$1994,0))),"S/D")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2941</v>
      </c>
      <c r="B666" s="2" t="str">
        <f>IFERROR(INDEX(Movimientos!$C$2:$C$1994,MATCH(A666&amp;"ENTRADA",Movimientos!$R$2:$R$1994,0)),"-")</f>
        <v>-</v>
      </c>
      <c r="C666" s="2" t="str">
        <f>IFERROR(INDEX(Movimientos!$D$2:$D$1994,MATCH(A666&amp;"ENTRADA",Movimientos!$R$2:$R$1994,0)),"-")</f>
        <v>-</v>
      </c>
      <c r="D666" s="2" t="str">
        <f>IFERROR(INDEX(Movimientos!$E$2:$E$1994,MATCH(A666&amp;"ENTRADA",Movimientos!$R$2:$R$1994,0)),"-")</f>
        <v>-</v>
      </c>
      <c r="E666" s="2" t="str">
        <f>IFERROR(INDEX(Movimientos!$F$2:$F$1994,MATCH(A666&amp;"ENTRADA",Movimientos!$R$2:$R$1994,0)),"-")</f>
        <v>-</v>
      </c>
      <c r="F666" s="2" t="str">
        <f>IFERROR(INDEX(Movimientos!$G$2:$G$1994,MATCH(A666&amp;"ENTRADA",Movimientos!$R$2:$R$1994,0)),"-")</f>
        <v>-</v>
      </c>
      <c r="G666" s="2" t="str">
        <f>IFERROR(INDEX(Movimientos!$L$2:$L$1994,MATCH(A666&amp;"ENTRADA",Movimientos!$R$2:$R$1994,0)),"-")</f>
        <v>-</v>
      </c>
      <c r="H666" s="17" t="str">
        <f>IFERROR(IF(INDEX(Movimientos!$M$2:$M$1994,MATCH(A666&amp;"ENTRADA",Movimientos!$R$2:$R$1994,0))=0,"S/D",INDEX(Movimientos!$M$2:$M$1994,MATCH(A666&amp;"ENTRADA",Movimientos!$R$2:$R$1994,0))),"S/D")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2942</v>
      </c>
      <c r="B667" s="2" t="str">
        <f>IFERROR(INDEX(Movimientos!$C$2:$C$1994,MATCH(A667&amp;"ENTRADA",Movimientos!$R$2:$R$1994,0)),"-")</f>
        <v>-</v>
      </c>
      <c r="C667" s="2" t="str">
        <f>IFERROR(INDEX(Movimientos!$D$2:$D$1994,MATCH(A667&amp;"ENTRADA",Movimientos!$R$2:$R$1994,0)),"-")</f>
        <v>-</v>
      </c>
      <c r="D667" s="2" t="str">
        <f>IFERROR(INDEX(Movimientos!$E$2:$E$1994,MATCH(A667&amp;"ENTRADA",Movimientos!$R$2:$R$1994,0)),"-")</f>
        <v>-</v>
      </c>
      <c r="E667" s="2" t="str">
        <f>IFERROR(INDEX(Movimientos!$F$2:$F$1994,MATCH(A667&amp;"ENTRADA",Movimientos!$R$2:$R$1994,0)),"-")</f>
        <v>-</v>
      </c>
      <c r="F667" s="2" t="str">
        <f>IFERROR(INDEX(Movimientos!$G$2:$G$1994,MATCH(A667&amp;"ENTRADA",Movimientos!$R$2:$R$1994,0)),"-")</f>
        <v>-</v>
      </c>
      <c r="G667" s="2" t="str">
        <f>IFERROR(INDEX(Movimientos!$L$2:$L$1994,MATCH(A667&amp;"ENTRADA",Movimientos!$R$2:$R$1994,0)),"-")</f>
        <v>-</v>
      </c>
      <c r="H667" s="17" t="str">
        <f>IFERROR(IF(INDEX(Movimientos!$M$2:$M$1994,MATCH(A667&amp;"ENTRADA",Movimientos!$R$2:$R$1994,0))=0,"S/D",INDEX(Movimientos!$M$2:$M$1994,MATCH(A667&amp;"ENTRADA",Movimientos!$R$2:$R$1994,0))),"S/D")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2943</v>
      </c>
      <c r="B668" s="2" t="str">
        <f>IFERROR(INDEX(Movimientos!$C$2:$C$1994,MATCH(A668&amp;"ENTRADA",Movimientos!$R$2:$R$1994,0)),"-")</f>
        <v>-</v>
      </c>
      <c r="C668" s="2" t="str">
        <f>IFERROR(INDEX(Movimientos!$D$2:$D$1994,MATCH(A668&amp;"ENTRADA",Movimientos!$R$2:$R$1994,0)),"-")</f>
        <v>-</v>
      </c>
      <c r="D668" s="2" t="str">
        <f>IFERROR(INDEX(Movimientos!$E$2:$E$1994,MATCH(A668&amp;"ENTRADA",Movimientos!$R$2:$R$1994,0)),"-")</f>
        <v>-</v>
      </c>
      <c r="E668" s="2" t="str">
        <f>IFERROR(INDEX(Movimientos!$F$2:$F$1994,MATCH(A668&amp;"ENTRADA",Movimientos!$R$2:$R$1994,0)),"-")</f>
        <v>-</v>
      </c>
      <c r="F668" s="2" t="str">
        <f>IFERROR(INDEX(Movimientos!$G$2:$G$1994,MATCH(A668&amp;"ENTRADA",Movimientos!$R$2:$R$1994,0)),"-")</f>
        <v>-</v>
      </c>
      <c r="G668" s="2" t="str">
        <f>IFERROR(INDEX(Movimientos!$L$2:$L$1994,MATCH(A668&amp;"ENTRADA",Movimientos!$R$2:$R$1994,0)),"-")</f>
        <v>-</v>
      </c>
      <c r="H668" s="17" t="str">
        <f>IFERROR(IF(INDEX(Movimientos!$M$2:$M$1994,MATCH(A668&amp;"ENTRADA",Movimientos!$R$2:$R$1994,0))=0,"S/D",INDEX(Movimientos!$M$2:$M$1994,MATCH(A668&amp;"ENTRADA",Movimientos!$R$2:$R$1994,0))),"S/D")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2944</v>
      </c>
      <c r="B669" s="2" t="str">
        <f>IFERROR(INDEX(Movimientos!$C$2:$C$1994,MATCH(A669&amp;"ENTRADA",Movimientos!$R$2:$R$1994,0)),"-")</f>
        <v>-</v>
      </c>
      <c r="C669" s="2" t="str">
        <f>IFERROR(INDEX(Movimientos!$D$2:$D$1994,MATCH(A669&amp;"ENTRADA",Movimientos!$R$2:$R$1994,0)),"-")</f>
        <v>-</v>
      </c>
      <c r="D669" s="2" t="str">
        <f>IFERROR(INDEX(Movimientos!$E$2:$E$1994,MATCH(A669&amp;"ENTRADA",Movimientos!$R$2:$R$1994,0)),"-")</f>
        <v>-</v>
      </c>
      <c r="E669" s="2" t="str">
        <f>IFERROR(INDEX(Movimientos!$F$2:$F$1994,MATCH(A669&amp;"ENTRADA",Movimientos!$R$2:$R$1994,0)),"-")</f>
        <v>-</v>
      </c>
      <c r="F669" s="2" t="str">
        <f>IFERROR(INDEX(Movimientos!$G$2:$G$1994,MATCH(A669&amp;"ENTRADA",Movimientos!$R$2:$R$1994,0)),"-")</f>
        <v>-</v>
      </c>
      <c r="G669" s="2" t="str">
        <f>IFERROR(INDEX(Movimientos!$L$2:$L$1994,MATCH(A669&amp;"ENTRADA",Movimientos!$R$2:$R$1994,0)),"-")</f>
        <v>-</v>
      </c>
      <c r="H669" s="17" t="str">
        <f>IFERROR(IF(INDEX(Movimientos!$M$2:$M$1994,MATCH(A669&amp;"ENTRADA",Movimientos!$R$2:$R$1994,0))=0,"S/D",INDEX(Movimientos!$M$2:$M$1994,MATCH(A669&amp;"ENTRADA",Movimientos!$R$2:$R$1994,0))),"S/D")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2945</v>
      </c>
      <c r="B670" s="2" t="str">
        <f>IFERROR(INDEX(Movimientos!$C$2:$C$1994,MATCH(A670&amp;"ENTRADA",Movimientos!$R$2:$R$1994,0)),"-")</f>
        <v>-</v>
      </c>
      <c r="C670" s="2" t="str">
        <f>IFERROR(INDEX(Movimientos!$D$2:$D$1994,MATCH(A670&amp;"ENTRADA",Movimientos!$R$2:$R$1994,0)),"-")</f>
        <v>-</v>
      </c>
      <c r="D670" s="2" t="str">
        <f>IFERROR(INDEX(Movimientos!$E$2:$E$1994,MATCH(A670&amp;"ENTRADA",Movimientos!$R$2:$R$1994,0)),"-")</f>
        <v>-</v>
      </c>
      <c r="E670" s="2" t="str">
        <f>IFERROR(INDEX(Movimientos!$F$2:$F$1994,MATCH(A670&amp;"ENTRADA",Movimientos!$R$2:$R$1994,0)),"-")</f>
        <v>-</v>
      </c>
      <c r="F670" s="2" t="str">
        <f>IFERROR(INDEX(Movimientos!$G$2:$G$1994,MATCH(A670&amp;"ENTRADA",Movimientos!$R$2:$R$1994,0)),"-")</f>
        <v>-</v>
      </c>
      <c r="G670" s="2" t="str">
        <f>IFERROR(INDEX(Movimientos!$L$2:$L$1994,MATCH(A670&amp;"ENTRADA",Movimientos!$R$2:$R$1994,0)),"-")</f>
        <v>-</v>
      </c>
      <c r="H670" s="17" t="str">
        <f>IFERROR(IF(INDEX(Movimientos!$M$2:$M$1994,MATCH(A670&amp;"ENTRADA",Movimientos!$R$2:$R$1994,0))=0,"S/D",INDEX(Movimientos!$M$2:$M$1994,MATCH(A670&amp;"ENTRADA",Movimientos!$R$2:$R$1994,0))),"S/D")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2946</v>
      </c>
      <c r="B671" s="2" t="str">
        <f>IFERROR(INDEX(Movimientos!$C$2:$C$1994,MATCH(A671&amp;"ENTRADA",Movimientos!$R$2:$R$1994,0)),"-")</f>
        <v>-</v>
      </c>
      <c r="C671" s="2" t="str">
        <f>IFERROR(INDEX(Movimientos!$D$2:$D$1994,MATCH(A671&amp;"ENTRADA",Movimientos!$R$2:$R$1994,0)),"-")</f>
        <v>-</v>
      </c>
      <c r="D671" s="2" t="str">
        <f>IFERROR(INDEX(Movimientos!$E$2:$E$1994,MATCH(A671&amp;"ENTRADA",Movimientos!$R$2:$R$1994,0)),"-")</f>
        <v>-</v>
      </c>
      <c r="E671" s="2" t="str">
        <f>IFERROR(INDEX(Movimientos!$F$2:$F$1994,MATCH(A671&amp;"ENTRADA",Movimientos!$R$2:$R$1994,0)),"-")</f>
        <v>-</v>
      </c>
      <c r="F671" s="2" t="str">
        <f>IFERROR(INDEX(Movimientos!$G$2:$G$1994,MATCH(A671&amp;"ENTRADA",Movimientos!$R$2:$R$1994,0)),"-")</f>
        <v>-</v>
      </c>
      <c r="G671" s="2" t="str">
        <f>IFERROR(INDEX(Movimientos!$L$2:$L$1994,MATCH(A671&amp;"ENTRADA",Movimientos!$R$2:$R$1994,0)),"-")</f>
        <v>-</v>
      </c>
      <c r="H671" s="17" t="str">
        <f>IFERROR(IF(INDEX(Movimientos!$M$2:$M$1994,MATCH(A671&amp;"ENTRADA",Movimientos!$R$2:$R$1994,0))=0,"S/D",INDEX(Movimientos!$M$2:$M$1994,MATCH(A671&amp;"ENTRADA",Movimientos!$R$2:$R$1994,0))),"S/D")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2947</v>
      </c>
      <c r="B672" s="2" t="str">
        <f>IFERROR(INDEX(Movimientos!$C$2:$C$1994,MATCH(A672&amp;"ENTRADA",Movimientos!$R$2:$R$1994,0)),"-")</f>
        <v>-</v>
      </c>
      <c r="C672" s="2" t="str">
        <f>IFERROR(INDEX(Movimientos!$D$2:$D$1994,MATCH(A672&amp;"ENTRADA",Movimientos!$R$2:$R$1994,0)),"-")</f>
        <v>-</v>
      </c>
      <c r="D672" s="2" t="str">
        <f>IFERROR(INDEX(Movimientos!$E$2:$E$1994,MATCH(A672&amp;"ENTRADA",Movimientos!$R$2:$R$1994,0)),"-")</f>
        <v>-</v>
      </c>
      <c r="E672" s="2" t="str">
        <f>IFERROR(INDEX(Movimientos!$F$2:$F$1994,MATCH(A672&amp;"ENTRADA",Movimientos!$R$2:$R$1994,0)),"-")</f>
        <v>-</v>
      </c>
      <c r="F672" s="2" t="str">
        <f>IFERROR(INDEX(Movimientos!$G$2:$G$1994,MATCH(A672&amp;"ENTRADA",Movimientos!$R$2:$R$1994,0)),"-")</f>
        <v>-</v>
      </c>
      <c r="G672" s="2" t="str">
        <f>IFERROR(INDEX(Movimientos!$L$2:$L$1994,MATCH(A672&amp;"ENTRADA",Movimientos!$R$2:$R$1994,0)),"-")</f>
        <v>-</v>
      </c>
      <c r="H672" s="17" t="str">
        <f>IFERROR(IF(INDEX(Movimientos!$M$2:$M$1994,MATCH(A672&amp;"ENTRADA",Movimientos!$R$2:$R$1994,0))=0,"S/D",INDEX(Movimientos!$M$2:$M$1994,MATCH(A672&amp;"ENTRADA",Movimientos!$R$2:$R$1994,0))),"S/D")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2948</v>
      </c>
      <c r="B673" s="2" t="str">
        <f>IFERROR(INDEX(Movimientos!$C$2:$C$1994,MATCH(A673&amp;"ENTRADA",Movimientos!$R$2:$R$1994,0)),"-")</f>
        <v>-</v>
      </c>
      <c r="C673" s="2" t="str">
        <f>IFERROR(INDEX(Movimientos!$D$2:$D$1994,MATCH(A673&amp;"ENTRADA",Movimientos!$R$2:$R$1994,0)),"-")</f>
        <v>-</v>
      </c>
      <c r="D673" s="2" t="str">
        <f>IFERROR(INDEX(Movimientos!$E$2:$E$1994,MATCH(A673&amp;"ENTRADA",Movimientos!$R$2:$R$1994,0)),"-")</f>
        <v>-</v>
      </c>
      <c r="E673" s="2" t="str">
        <f>IFERROR(INDEX(Movimientos!$F$2:$F$1994,MATCH(A673&amp;"ENTRADA",Movimientos!$R$2:$R$1994,0)),"-")</f>
        <v>-</v>
      </c>
      <c r="F673" s="2" t="str">
        <f>IFERROR(INDEX(Movimientos!$G$2:$G$1994,MATCH(A673&amp;"ENTRADA",Movimientos!$R$2:$R$1994,0)),"-")</f>
        <v>-</v>
      </c>
      <c r="G673" s="2" t="str">
        <f>IFERROR(INDEX(Movimientos!$L$2:$L$1994,MATCH(A673&amp;"ENTRADA",Movimientos!$R$2:$R$1994,0)),"-")</f>
        <v>-</v>
      </c>
      <c r="H673" s="17" t="str">
        <f>IFERROR(IF(INDEX(Movimientos!$M$2:$M$1994,MATCH(A673&amp;"ENTRADA",Movimientos!$R$2:$R$1994,0))=0,"S/D",INDEX(Movimientos!$M$2:$M$1994,MATCH(A673&amp;"ENTRADA",Movimientos!$R$2:$R$1994,0))),"S/D")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2949</v>
      </c>
      <c r="B674" s="2" t="str">
        <f>IFERROR(INDEX(Movimientos!$C$2:$C$1994,MATCH(A674&amp;"ENTRADA",Movimientos!$R$2:$R$1994,0)),"-")</f>
        <v>-</v>
      </c>
      <c r="C674" s="2" t="str">
        <f>IFERROR(INDEX(Movimientos!$D$2:$D$1994,MATCH(A674&amp;"ENTRADA",Movimientos!$R$2:$R$1994,0)),"-")</f>
        <v>-</v>
      </c>
      <c r="D674" s="2" t="str">
        <f>IFERROR(INDEX(Movimientos!$E$2:$E$1994,MATCH(A674&amp;"ENTRADA",Movimientos!$R$2:$R$1994,0)),"-")</f>
        <v>-</v>
      </c>
      <c r="E674" s="2" t="str">
        <f>IFERROR(INDEX(Movimientos!$F$2:$F$1994,MATCH(A674&amp;"ENTRADA",Movimientos!$R$2:$R$1994,0)),"-")</f>
        <v>-</v>
      </c>
      <c r="F674" s="2" t="str">
        <f>IFERROR(INDEX(Movimientos!$G$2:$G$1994,MATCH(A674&amp;"ENTRADA",Movimientos!$R$2:$R$1994,0)),"-")</f>
        <v>-</v>
      </c>
      <c r="G674" s="2" t="str">
        <f>IFERROR(INDEX(Movimientos!$L$2:$L$1994,MATCH(A674&amp;"ENTRADA",Movimientos!$R$2:$R$1994,0)),"-")</f>
        <v>-</v>
      </c>
      <c r="H674" s="17" t="str">
        <f>IFERROR(IF(INDEX(Movimientos!$M$2:$M$1994,MATCH(A674&amp;"ENTRADA",Movimientos!$R$2:$R$1994,0))=0,"S/D",INDEX(Movimientos!$M$2:$M$1994,MATCH(A674&amp;"ENTRADA",Movimientos!$R$2:$R$1994,0))),"S/D")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2950</v>
      </c>
      <c r="B675" s="2" t="str">
        <f>IFERROR(INDEX(Movimientos!$C$2:$C$1994,MATCH(A675&amp;"ENTRADA",Movimientos!$R$2:$R$1994,0)),"-")</f>
        <v>-</v>
      </c>
      <c r="C675" s="2" t="str">
        <f>IFERROR(INDEX(Movimientos!$D$2:$D$1994,MATCH(A675&amp;"ENTRADA",Movimientos!$R$2:$R$1994,0)),"-")</f>
        <v>-</v>
      </c>
      <c r="D675" s="2" t="str">
        <f>IFERROR(INDEX(Movimientos!$E$2:$E$1994,MATCH(A675&amp;"ENTRADA",Movimientos!$R$2:$R$1994,0)),"-")</f>
        <v>-</v>
      </c>
      <c r="E675" s="2" t="str">
        <f>IFERROR(INDEX(Movimientos!$F$2:$F$1994,MATCH(A675&amp;"ENTRADA",Movimientos!$R$2:$R$1994,0)),"-")</f>
        <v>-</v>
      </c>
      <c r="F675" s="2" t="str">
        <f>IFERROR(INDEX(Movimientos!$G$2:$G$1994,MATCH(A675&amp;"ENTRADA",Movimientos!$R$2:$R$1994,0)),"-")</f>
        <v>-</v>
      </c>
      <c r="G675" s="2" t="str">
        <f>IFERROR(INDEX(Movimientos!$L$2:$L$1994,MATCH(A675&amp;"ENTRADA",Movimientos!$R$2:$R$1994,0)),"-")</f>
        <v>-</v>
      </c>
      <c r="H675" s="17" t="str">
        <f>IFERROR(IF(INDEX(Movimientos!$M$2:$M$1994,MATCH(A675&amp;"ENTRADA",Movimientos!$R$2:$R$1994,0))=0,"S/D",INDEX(Movimientos!$M$2:$M$1994,MATCH(A675&amp;"ENTRADA",Movimientos!$R$2:$R$1994,0))),"S/D")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2951</v>
      </c>
      <c r="B676" s="2" t="str">
        <f>IFERROR(INDEX(Movimientos!$C$2:$C$1994,MATCH(A676&amp;"ENTRADA",Movimientos!$R$2:$R$1994,0)),"-")</f>
        <v>-</v>
      </c>
      <c r="C676" s="2" t="str">
        <f>IFERROR(INDEX(Movimientos!$D$2:$D$1994,MATCH(A676&amp;"ENTRADA",Movimientos!$R$2:$R$1994,0)),"-")</f>
        <v>-</v>
      </c>
      <c r="D676" s="2" t="str">
        <f>IFERROR(INDEX(Movimientos!$E$2:$E$1994,MATCH(A676&amp;"ENTRADA",Movimientos!$R$2:$R$1994,0)),"-")</f>
        <v>-</v>
      </c>
      <c r="E676" s="2" t="str">
        <f>IFERROR(INDEX(Movimientos!$F$2:$F$1994,MATCH(A676&amp;"ENTRADA",Movimientos!$R$2:$R$1994,0)),"-")</f>
        <v>-</v>
      </c>
      <c r="F676" s="2" t="str">
        <f>IFERROR(INDEX(Movimientos!$G$2:$G$1994,MATCH(A676&amp;"ENTRADA",Movimientos!$R$2:$R$1994,0)),"-")</f>
        <v>-</v>
      </c>
      <c r="G676" s="2" t="str">
        <f>IFERROR(INDEX(Movimientos!$L$2:$L$1994,MATCH(A676&amp;"ENTRADA",Movimientos!$R$2:$R$1994,0)),"-")</f>
        <v>-</v>
      </c>
      <c r="H676" s="17" t="str">
        <f>IFERROR(IF(INDEX(Movimientos!$M$2:$M$1994,MATCH(A676&amp;"ENTRADA",Movimientos!$R$2:$R$1994,0))=0,"S/D",INDEX(Movimientos!$M$2:$M$1994,MATCH(A676&amp;"ENTRADA",Movimientos!$R$2:$R$1994,0))),"S/D")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2952</v>
      </c>
      <c r="B677" s="2" t="str">
        <f>IFERROR(INDEX(Movimientos!$C$2:$C$1994,MATCH(A677&amp;"ENTRADA",Movimientos!$R$2:$R$1994,0)),"-")</f>
        <v>-</v>
      </c>
      <c r="C677" s="2" t="str">
        <f>IFERROR(INDEX(Movimientos!$D$2:$D$1994,MATCH(A677&amp;"ENTRADA",Movimientos!$R$2:$R$1994,0)),"-")</f>
        <v>-</v>
      </c>
      <c r="D677" s="2" t="str">
        <f>IFERROR(INDEX(Movimientos!$E$2:$E$1994,MATCH(A677&amp;"ENTRADA",Movimientos!$R$2:$R$1994,0)),"-")</f>
        <v>-</v>
      </c>
      <c r="E677" s="2" t="str">
        <f>IFERROR(INDEX(Movimientos!$F$2:$F$1994,MATCH(A677&amp;"ENTRADA",Movimientos!$R$2:$R$1994,0)),"-")</f>
        <v>-</v>
      </c>
      <c r="F677" s="2" t="str">
        <f>IFERROR(INDEX(Movimientos!$G$2:$G$1994,MATCH(A677&amp;"ENTRADA",Movimientos!$R$2:$R$1994,0)),"-")</f>
        <v>-</v>
      </c>
      <c r="G677" s="2" t="str">
        <f>IFERROR(INDEX(Movimientos!$L$2:$L$1994,MATCH(A677&amp;"ENTRADA",Movimientos!$R$2:$R$1994,0)),"-")</f>
        <v>-</v>
      </c>
      <c r="H677" s="17" t="str">
        <f>IFERROR(IF(INDEX(Movimientos!$M$2:$M$1994,MATCH(A677&amp;"ENTRADA",Movimientos!$R$2:$R$1994,0))=0,"S/D",INDEX(Movimientos!$M$2:$M$1994,MATCH(A677&amp;"ENTRADA",Movimientos!$R$2:$R$1994,0))),"S/D")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2953</v>
      </c>
      <c r="B678" s="2" t="str">
        <f>IFERROR(INDEX(Movimientos!$C$2:$C$1994,MATCH(A678&amp;"ENTRADA",Movimientos!$R$2:$R$1994,0)),"-")</f>
        <v>-</v>
      </c>
      <c r="C678" s="2" t="str">
        <f>IFERROR(INDEX(Movimientos!$D$2:$D$1994,MATCH(A678&amp;"ENTRADA",Movimientos!$R$2:$R$1994,0)),"-")</f>
        <v>-</v>
      </c>
      <c r="D678" s="2" t="str">
        <f>IFERROR(INDEX(Movimientos!$E$2:$E$1994,MATCH(A678&amp;"ENTRADA",Movimientos!$R$2:$R$1994,0)),"-")</f>
        <v>-</v>
      </c>
      <c r="E678" s="2" t="str">
        <f>IFERROR(INDEX(Movimientos!$F$2:$F$1994,MATCH(A678&amp;"ENTRADA",Movimientos!$R$2:$R$1994,0)),"-")</f>
        <v>-</v>
      </c>
      <c r="F678" s="2" t="str">
        <f>IFERROR(INDEX(Movimientos!$G$2:$G$1994,MATCH(A678&amp;"ENTRADA",Movimientos!$R$2:$R$1994,0)),"-")</f>
        <v>-</v>
      </c>
      <c r="G678" s="2" t="str">
        <f>IFERROR(INDEX(Movimientos!$L$2:$L$1994,MATCH(A678&amp;"ENTRADA",Movimientos!$R$2:$R$1994,0)),"-")</f>
        <v>-</v>
      </c>
      <c r="H678" s="17" t="str">
        <f>IFERROR(IF(INDEX(Movimientos!$M$2:$M$1994,MATCH(A678&amp;"ENTRADA",Movimientos!$R$2:$R$1994,0))=0,"S/D",INDEX(Movimientos!$M$2:$M$1994,MATCH(A678&amp;"ENTRADA",Movimientos!$R$2:$R$1994,0))),"S/D")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2954</v>
      </c>
      <c r="B679" s="2" t="str">
        <f>IFERROR(INDEX(Movimientos!$C$2:$C$1994,MATCH(A679&amp;"ENTRADA",Movimientos!$R$2:$R$1994,0)),"-")</f>
        <v>-</v>
      </c>
      <c r="C679" s="2" t="str">
        <f>IFERROR(INDEX(Movimientos!$D$2:$D$1994,MATCH(A679&amp;"ENTRADA",Movimientos!$R$2:$R$1994,0)),"-")</f>
        <v>-</v>
      </c>
      <c r="D679" s="2" t="str">
        <f>IFERROR(INDEX(Movimientos!$E$2:$E$1994,MATCH(A679&amp;"ENTRADA",Movimientos!$R$2:$R$1994,0)),"-")</f>
        <v>-</v>
      </c>
      <c r="E679" s="2" t="str">
        <f>IFERROR(INDEX(Movimientos!$F$2:$F$1994,MATCH(A679&amp;"ENTRADA",Movimientos!$R$2:$R$1994,0)),"-")</f>
        <v>-</v>
      </c>
      <c r="F679" s="2" t="str">
        <f>IFERROR(INDEX(Movimientos!$G$2:$G$1994,MATCH(A679&amp;"ENTRADA",Movimientos!$R$2:$R$1994,0)),"-")</f>
        <v>-</v>
      </c>
      <c r="G679" s="2" t="str">
        <f>IFERROR(INDEX(Movimientos!$L$2:$L$1994,MATCH(A679&amp;"ENTRADA",Movimientos!$R$2:$R$1994,0)),"-")</f>
        <v>-</v>
      </c>
      <c r="H679" s="17" t="str">
        <f>IFERROR(IF(INDEX(Movimientos!$M$2:$M$1994,MATCH(A679&amp;"ENTRADA",Movimientos!$R$2:$R$1994,0))=0,"S/D",INDEX(Movimientos!$M$2:$M$1994,MATCH(A679&amp;"ENTRADA",Movimientos!$R$2:$R$1994,0))),"S/D")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2955</v>
      </c>
      <c r="B680" s="2" t="str">
        <f>IFERROR(INDEX(Movimientos!$C$2:$C$1994,MATCH(A680&amp;"ENTRADA",Movimientos!$R$2:$R$1994,0)),"-")</f>
        <v>-</v>
      </c>
      <c r="C680" s="2" t="str">
        <f>IFERROR(INDEX(Movimientos!$D$2:$D$1994,MATCH(A680&amp;"ENTRADA",Movimientos!$R$2:$R$1994,0)),"-")</f>
        <v>-</v>
      </c>
      <c r="D680" s="2" t="str">
        <f>IFERROR(INDEX(Movimientos!$E$2:$E$1994,MATCH(A680&amp;"ENTRADA",Movimientos!$R$2:$R$1994,0)),"-")</f>
        <v>-</v>
      </c>
      <c r="E680" s="2" t="str">
        <f>IFERROR(INDEX(Movimientos!$F$2:$F$1994,MATCH(A680&amp;"ENTRADA",Movimientos!$R$2:$R$1994,0)),"-")</f>
        <v>-</v>
      </c>
      <c r="F680" s="2" t="str">
        <f>IFERROR(INDEX(Movimientos!$G$2:$G$1994,MATCH(A680&amp;"ENTRADA",Movimientos!$R$2:$R$1994,0)),"-")</f>
        <v>-</v>
      </c>
      <c r="G680" s="2" t="str">
        <f>IFERROR(INDEX(Movimientos!$L$2:$L$1994,MATCH(A680&amp;"ENTRADA",Movimientos!$R$2:$R$1994,0)),"-")</f>
        <v>-</v>
      </c>
      <c r="H680" s="17" t="str">
        <f>IFERROR(IF(INDEX(Movimientos!$M$2:$M$1994,MATCH(A680&amp;"ENTRADA",Movimientos!$R$2:$R$1994,0))=0,"S/D",INDEX(Movimientos!$M$2:$M$1994,MATCH(A680&amp;"ENTRADA",Movimientos!$R$2:$R$1994,0))),"S/D")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2956</v>
      </c>
      <c r="B681" s="2" t="str">
        <f>IFERROR(INDEX(Movimientos!$C$2:$C$1994,MATCH(A681&amp;"ENTRADA",Movimientos!$R$2:$R$1994,0)),"-")</f>
        <v>-</v>
      </c>
      <c r="C681" s="2" t="str">
        <f>IFERROR(INDEX(Movimientos!$D$2:$D$1994,MATCH(A681&amp;"ENTRADA",Movimientos!$R$2:$R$1994,0)),"-")</f>
        <v>-</v>
      </c>
      <c r="D681" s="2" t="str">
        <f>IFERROR(INDEX(Movimientos!$E$2:$E$1994,MATCH(A681&amp;"ENTRADA",Movimientos!$R$2:$R$1994,0)),"-")</f>
        <v>-</v>
      </c>
      <c r="E681" s="2" t="str">
        <f>IFERROR(INDEX(Movimientos!$F$2:$F$1994,MATCH(A681&amp;"ENTRADA",Movimientos!$R$2:$R$1994,0)),"-")</f>
        <v>-</v>
      </c>
      <c r="F681" s="2" t="str">
        <f>IFERROR(INDEX(Movimientos!$G$2:$G$1994,MATCH(A681&amp;"ENTRADA",Movimientos!$R$2:$R$1994,0)),"-")</f>
        <v>-</v>
      </c>
      <c r="G681" s="2" t="str">
        <f>IFERROR(INDEX(Movimientos!$L$2:$L$1994,MATCH(A681&amp;"ENTRADA",Movimientos!$R$2:$R$1994,0)),"-")</f>
        <v>-</v>
      </c>
      <c r="H681" s="17" t="str">
        <f>IFERROR(IF(INDEX(Movimientos!$M$2:$M$1994,MATCH(A681&amp;"ENTRADA",Movimientos!$R$2:$R$1994,0))=0,"S/D",INDEX(Movimientos!$M$2:$M$1994,MATCH(A681&amp;"ENTRADA",Movimientos!$R$2:$R$1994,0))),"S/D")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2957</v>
      </c>
      <c r="B682" s="2" t="str">
        <f>IFERROR(INDEX(Movimientos!$C$2:$C$1994,MATCH(A682&amp;"ENTRADA",Movimientos!$R$2:$R$1994,0)),"-")</f>
        <v>-</v>
      </c>
      <c r="C682" s="2" t="str">
        <f>IFERROR(INDEX(Movimientos!$D$2:$D$1994,MATCH(A682&amp;"ENTRADA",Movimientos!$R$2:$R$1994,0)),"-")</f>
        <v>-</v>
      </c>
      <c r="D682" s="2" t="str">
        <f>IFERROR(INDEX(Movimientos!$E$2:$E$1994,MATCH(A682&amp;"ENTRADA",Movimientos!$R$2:$R$1994,0)),"-")</f>
        <v>-</v>
      </c>
      <c r="E682" s="2" t="str">
        <f>IFERROR(INDEX(Movimientos!$F$2:$F$1994,MATCH(A682&amp;"ENTRADA",Movimientos!$R$2:$R$1994,0)),"-")</f>
        <v>-</v>
      </c>
      <c r="F682" s="2" t="str">
        <f>IFERROR(INDEX(Movimientos!$G$2:$G$1994,MATCH(A682&amp;"ENTRADA",Movimientos!$R$2:$R$1994,0)),"-")</f>
        <v>-</v>
      </c>
      <c r="G682" s="2" t="str">
        <f>IFERROR(INDEX(Movimientos!$L$2:$L$1994,MATCH(A682&amp;"ENTRADA",Movimientos!$R$2:$R$1994,0)),"-")</f>
        <v>-</v>
      </c>
      <c r="H682" s="17" t="str">
        <f>IFERROR(IF(INDEX(Movimientos!$M$2:$M$1994,MATCH(A682&amp;"ENTRADA",Movimientos!$R$2:$R$1994,0))=0,"S/D",INDEX(Movimientos!$M$2:$M$1994,MATCH(A682&amp;"ENTRADA",Movimientos!$R$2:$R$1994,0))),"S/D")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2958</v>
      </c>
      <c r="B683" s="2" t="str">
        <f>IFERROR(INDEX(Movimientos!$C$2:$C$1994,MATCH(A683&amp;"ENTRADA",Movimientos!$R$2:$R$1994,0)),"-")</f>
        <v>-</v>
      </c>
      <c r="C683" s="2" t="str">
        <f>IFERROR(INDEX(Movimientos!$D$2:$D$1994,MATCH(A683&amp;"ENTRADA",Movimientos!$R$2:$R$1994,0)),"-")</f>
        <v>-</v>
      </c>
      <c r="D683" s="2" t="str">
        <f>IFERROR(INDEX(Movimientos!$E$2:$E$1994,MATCH(A683&amp;"ENTRADA",Movimientos!$R$2:$R$1994,0)),"-")</f>
        <v>-</v>
      </c>
      <c r="E683" s="2" t="str">
        <f>IFERROR(INDEX(Movimientos!$F$2:$F$1994,MATCH(A683&amp;"ENTRADA",Movimientos!$R$2:$R$1994,0)),"-")</f>
        <v>-</v>
      </c>
      <c r="F683" s="2" t="str">
        <f>IFERROR(INDEX(Movimientos!$G$2:$G$1994,MATCH(A683&amp;"ENTRADA",Movimientos!$R$2:$R$1994,0)),"-")</f>
        <v>-</v>
      </c>
      <c r="G683" s="2" t="str">
        <f>IFERROR(INDEX(Movimientos!$L$2:$L$1994,MATCH(A683&amp;"ENTRADA",Movimientos!$R$2:$R$1994,0)),"-")</f>
        <v>-</v>
      </c>
      <c r="H683" s="17" t="str">
        <f>IFERROR(IF(INDEX(Movimientos!$M$2:$M$1994,MATCH(A683&amp;"ENTRADA",Movimientos!$R$2:$R$1994,0))=0,"S/D",INDEX(Movimientos!$M$2:$M$1994,MATCH(A683&amp;"ENTRADA",Movimientos!$R$2:$R$1994,0))),"S/D")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2959</v>
      </c>
      <c r="B684" s="2" t="str">
        <f>IFERROR(INDEX(Movimientos!$C$2:$C$1994,MATCH(A684&amp;"ENTRADA",Movimientos!$R$2:$R$1994,0)),"-")</f>
        <v>-</v>
      </c>
      <c r="C684" s="2" t="str">
        <f>IFERROR(INDEX(Movimientos!$D$2:$D$1994,MATCH(A684&amp;"ENTRADA",Movimientos!$R$2:$R$1994,0)),"-")</f>
        <v>-</v>
      </c>
      <c r="D684" s="2" t="str">
        <f>IFERROR(INDEX(Movimientos!$E$2:$E$1994,MATCH(A684&amp;"ENTRADA",Movimientos!$R$2:$R$1994,0)),"-")</f>
        <v>-</v>
      </c>
      <c r="E684" s="2" t="str">
        <f>IFERROR(INDEX(Movimientos!$F$2:$F$1994,MATCH(A684&amp;"ENTRADA",Movimientos!$R$2:$R$1994,0)),"-")</f>
        <v>-</v>
      </c>
      <c r="F684" s="2" t="str">
        <f>IFERROR(INDEX(Movimientos!$G$2:$G$1994,MATCH(A684&amp;"ENTRADA",Movimientos!$R$2:$R$1994,0)),"-")</f>
        <v>-</v>
      </c>
      <c r="G684" s="2" t="str">
        <f>IFERROR(INDEX(Movimientos!$L$2:$L$1994,MATCH(A684&amp;"ENTRADA",Movimientos!$R$2:$R$1994,0)),"-")</f>
        <v>-</v>
      </c>
      <c r="H684" s="17" t="str">
        <f>IFERROR(IF(INDEX(Movimientos!$M$2:$M$1994,MATCH(A684&amp;"ENTRADA",Movimientos!$R$2:$R$1994,0))=0,"S/D",INDEX(Movimientos!$M$2:$M$1994,MATCH(A684&amp;"ENTRADA",Movimientos!$R$2:$R$1994,0))),"S/D")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2960</v>
      </c>
      <c r="B685" s="2" t="str">
        <f>IFERROR(INDEX(Movimientos!$C$2:$C$1994,MATCH(A685&amp;"ENTRADA",Movimientos!$R$2:$R$1994,0)),"-")</f>
        <v>-</v>
      </c>
      <c r="C685" s="2" t="str">
        <f>IFERROR(INDEX(Movimientos!$D$2:$D$1994,MATCH(A685&amp;"ENTRADA",Movimientos!$R$2:$R$1994,0)),"-")</f>
        <v>-</v>
      </c>
      <c r="D685" s="2" t="str">
        <f>IFERROR(INDEX(Movimientos!$E$2:$E$1994,MATCH(A685&amp;"ENTRADA",Movimientos!$R$2:$R$1994,0)),"-")</f>
        <v>-</v>
      </c>
      <c r="E685" s="2" t="str">
        <f>IFERROR(INDEX(Movimientos!$F$2:$F$1994,MATCH(A685&amp;"ENTRADA",Movimientos!$R$2:$R$1994,0)),"-")</f>
        <v>-</v>
      </c>
      <c r="F685" s="2" t="str">
        <f>IFERROR(INDEX(Movimientos!$G$2:$G$1994,MATCH(A685&amp;"ENTRADA",Movimientos!$R$2:$R$1994,0)),"-")</f>
        <v>-</v>
      </c>
      <c r="G685" s="2" t="str">
        <f>IFERROR(INDEX(Movimientos!$L$2:$L$1994,MATCH(A685&amp;"ENTRADA",Movimientos!$R$2:$R$1994,0)),"-")</f>
        <v>-</v>
      </c>
      <c r="H685" s="17" t="str">
        <f>IFERROR(IF(INDEX(Movimientos!$M$2:$M$1994,MATCH(A685&amp;"ENTRADA",Movimientos!$R$2:$R$1994,0))=0,"S/D",INDEX(Movimientos!$M$2:$M$1994,MATCH(A685&amp;"ENTRADA",Movimientos!$R$2:$R$1994,0))),"S/D")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2961</v>
      </c>
      <c r="B686" s="2" t="str">
        <f>IFERROR(INDEX(Movimientos!$C$2:$C$1994,MATCH(A686&amp;"ENTRADA",Movimientos!$R$2:$R$1994,0)),"-")</f>
        <v>-</v>
      </c>
      <c r="C686" s="2" t="str">
        <f>IFERROR(INDEX(Movimientos!$D$2:$D$1994,MATCH(A686&amp;"ENTRADA",Movimientos!$R$2:$R$1994,0)),"-")</f>
        <v>-</v>
      </c>
      <c r="D686" s="2" t="str">
        <f>IFERROR(INDEX(Movimientos!$E$2:$E$1994,MATCH(A686&amp;"ENTRADA",Movimientos!$R$2:$R$1994,0)),"-")</f>
        <v>-</v>
      </c>
      <c r="E686" s="2" t="str">
        <f>IFERROR(INDEX(Movimientos!$F$2:$F$1994,MATCH(A686&amp;"ENTRADA",Movimientos!$R$2:$R$1994,0)),"-")</f>
        <v>-</v>
      </c>
      <c r="F686" s="2" t="str">
        <f>IFERROR(INDEX(Movimientos!$G$2:$G$1994,MATCH(A686&amp;"ENTRADA",Movimientos!$R$2:$R$1994,0)),"-")</f>
        <v>-</v>
      </c>
      <c r="G686" s="2" t="str">
        <f>IFERROR(INDEX(Movimientos!$L$2:$L$1994,MATCH(A686&amp;"ENTRADA",Movimientos!$R$2:$R$1994,0)),"-")</f>
        <v>-</v>
      </c>
      <c r="H686" s="17" t="str">
        <f>IFERROR(IF(INDEX(Movimientos!$M$2:$M$1994,MATCH(A686&amp;"ENTRADA",Movimientos!$R$2:$R$1994,0))=0,"S/D",INDEX(Movimientos!$M$2:$M$1994,MATCH(A686&amp;"ENTRADA",Movimientos!$R$2:$R$1994,0))),"S/D")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2962</v>
      </c>
      <c r="B687" s="2" t="str">
        <f>IFERROR(INDEX(Movimientos!$C$2:$C$1994,MATCH(A687&amp;"ENTRADA",Movimientos!$R$2:$R$1994,0)),"-")</f>
        <v>-</v>
      </c>
      <c r="C687" s="2" t="str">
        <f>IFERROR(INDEX(Movimientos!$D$2:$D$1994,MATCH(A687&amp;"ENTRADA",Movimientos!$R$2:$R$1994,0)),"-")</f>
        <v>-</v>
      </c>
      <c r="D687" s="2" t="str">
        <f>IFERROR(INDEX(Movimientos!$E$2:$E$1994,MATCH(A687&amp;"ENTRADA",Movimientos!$R$2:$R$1994,0)),"-")</f>
        <v>-</v>
      </c>
      <c r="E687" s="2" t="str">
        <f>IFERROR(INDEX(Movimientos!$F$2:$F$1994,MATCH(A687&amp;"ENTRADA",Movimientos!$R$2:$R$1994,0)),"-")</f>
        <v>-</v>
      </c>
      <c r="F687" s="2" t="str">
        <f>IFERROR(INDEX(Movimientos!$G$2:$G$1994,MATCH(A687&amp;"ENTRADA",Movimientos!$R$2:$R$1994,0)),"-")</f>
        <v>-</v>
      </c>
      <c r="G687" s="2" t="str">
        <f>IFERROR(INDEX(Movimientos!$L$2:$L$1994,MATCH(A687&amp;"ENTRADA",Movimientos!$R$2:$R$1994,0)),"-")</f>
        <v>-</v>
      </c>
      <c r="H687" s="17" t="str">
        <f>IFERROR(IF(INDEX(Movimientos!$M$2:$M$1994,MATCH(A687&amp;"ENTRADA",Movimientos!$R$2:$R$1994,0))=0,"S/D",INDEX(Movimientos!$M$2:$M$1994,MATCH(A687&amp;"ENTRADA",Movimientos!$R$2:$R$1994,0))),"S/D")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2963</v>
      </c>
      <c r="B688" s="2" t="str">
        <f>IFERROR(INDEX(Movimientos!$C$2:$C$1994,MATCH(A688&amp;"ENTRADA",Movimientos!$R$2:$R$1994,0)),"-")</f>
        <v>-</v>
      </c>
      <c r="C688" s="2" t="str">
        <f>IFERROR(INDEX(Movimientos!$D$2:$D$1994,MATCH(A688&amp;"ENTRADA",Movimientos!$R$2:$R$1994,0)),"-")</f>
        <v>-</v>
      </c>
      <c r="D688" s="2" t="str">
        <f>IFERROR(INDEX(Movimientos!$E$2:$E$1994,MATCH(A688&amp;"ENTRADA",Movimientos!$R$2:$R$1994,0)),"-")</f>
        <v>-</v>
      </c>
      <c r="E688" s="2" t="str">
        <f>IFERROR(INDEX(Movimientos!$F$2:$F$1994,MATCH(A688&amp;"ENTRADA",Movimientos!$R$2:$R$1994,0)),"-")</f>
        <v>-</v>
      </c>
      <c r="F688" s="2" t="str">
        <f>IFERROR(INDEX(Movimientos!$G$2:$G$1994,MATCH(A688&amp;"ENTRADA",Movimientos!$R$2:$R$1994,0)),"-")</f>
        <v>-</v>
      </c>
      <c r="G688" s="2" t="str">
        <f>IFERROR(INDEX(Movimientos!$L$2:$L$1994,MATCH(A688&amp;"ENTRADA",Movimientos!$R$2:$R$1994,0)),"-")</f>
        <v>-</v>
      </c>
      <c r="H688" s="17" t="str">
        <f>IFERROR(IF(INDEX(Movimientos!$M$2:$M$1994,MATCH(A688&amp;"ENTRADA",Movimientos!$R$2:$R$1994,0))=0,"S/D",INDEX(Movimientos!$M$2:$M$1994,MATCH(A688&amp;"ENTRADA",Movimientos!$R$2:$R$1994,0))),"S/D")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2964</v>
      </c>
      <c r="B689" s="2" t="str">
        <f>IFERROR(INDEX(Movimientos!$C$2:$C$1994,MATCH(A689&amp;"ENTRADA",Movimientos!$R$2:$R$1994,0)),"-")</f>
        <v>-</v>
      </c>
      <c r="C689" s="2" t="str">
        <f>IFERROR(INDEX(Movimientos!$D$2:$D$1994,MATCH(A689&amp;"ENTRADA",Movimientos!$R$2:$R$1994,0)),"-")</f>
        <v>-</v>
      </c>
      <c r="D689" s="2" t="str">
        <f>IFERROR(INDEX(Movimientos!$E$2:$E$1994,MATCH(A689&amp;"ENTRADA",Movimientos!$R$2:$R$1994,0)),"-")</f>
        <v>-</v>
      </c>
      <c r="E689" s="2" t="str">
        <f>IFERROR(INDEX(Movimientos!$F$2:$F$1994,MATCH(A689&amp;"ENTRADA",Movimientos!$R$2:$R$1994,0)),"-")</f>
        <v>-</v>
      </c>
      <c r="F689" s="2" t="str">
        <f>IFERROR(INDEX(Movimientos!$G$2:$G$1994,MATCH(A689&amp;"ENTRADA",Movimientos!$R$2:$R$1994,0)),"-")</f>
        <v>-</v>
      </c>
      <c r="G689" s="2" t="str">
        <f>IFERROR(INDEX(Movimientos!$L$2:$L$1994,MATCH(A689&amp;"ENTRADA",Movimientos!$R$2:$R$1994,0)),"-")</f>
        <v>-</v>
      </c>
      <c r="H689" s="17" t="str">
        <f>IFERROR(IF(INDEX(Movimientos!$M$2:$M$1994,MATCH(A689&amp;"ENTRADA",Movimientos!$R$2:$R$1994,0))=0,"S/D",INDEX(Movimientos!$M$2:$M$1994,MATCH(A689&amp;"ENTRADA",Movimientos!$R$2:$R$1994,0))),"S/D")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2965</v>
      </c>
      <c r="B690" s="2" t="str">
        <f>IFERROR(INDEX(Movimientos!$C$2:$C$1994,MATCH(A690&amp;"ENTRADA",Movimientos!$R$2:$R$1994,0)),"-")</f>
        <v>-</v>
      </c>
      <c r="C690" s="2" t="str">
        <f>IFERROR(INDEX(Movimientos!$D$2:$D$1994,MATCH(A690&amp;"ENTRADA",Movimientos!$R$2:$R$1994,0)),"-")</f>
        <v>-</v>
      </c>
      <c r="D690" s="2" t="str">
        <f>IFERROR(INDEX(Movimientos!$E$2:$E$1994,MATCH(A690&amp;"ENTRADA",Movimientos!$R$2:$R$1994,0)),"-")</f>
        <v>-</v>
      </c>
      <c r="E690" s="2" t="str">
        <f>IFERROR(INDEX(Movimientos!$F$2:$F$1994,MATCH(A690&amp;"ENTRADA",Movimientos!$R$2:$R$1994,0)),"-")</f>
        <v>-</v>
      </c>
      <c r="F690" s="2" t="str">
        <f>IFERROR(INDEX(Movimientos!$G$2:$G$1994,MATCH(A690&amp;"ENTRADA",Movimientos!$R$2:$R$1994,0)),"-")</f>
        <v>-</v>
      </c>
      <c r="G690" s="2" t="str">
        <f>IFERROR(INDEX(Movimientos!$L$2:$L$1994,MATCH(A690&amp;"ENTRADA",Movimientos!$R$2:$R$1994,0)),"-")</f>
        <v>-</v>
      </c>
      <c r="H690" s="17" t="str">
        <f>IFERROR(IF(INDEX(Movimientos!$M$2:$M$1994,MATCH(A690&amp;"ENTRADA",Movimientos!$R$2:$R$1994,0))=0,"S/D",INDEX(Movimientos!$M$2:$M$1994,MATCH(A690&amp;"ENTRADA",Movimientos!$R$2:$R$1994,0))),"S/D")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2966</v>
      </c>
      <c r="B691" s="2" t="str">
        <f>IFERROR(INDEX(Movimientos!$C$2:$C$1994,MATCH(A691&amp;"ENTRADA",Movimientos!$R$2:$R$1994,0)),"-")</f>
        <v>-</v>
      </c>
      <c r="C691" s="2" t="str">
        <f>IFERROR(INDEX(Movimientos!$D$2:$D$1994,MATCH(A691&amp;"ENTRADA",Movimientos!$R$2:$R$1994,0)),"-")</f>
        <v>-</v>
      </c>
      <c r="D691" s="2" t="str">
        <f>IFERROR(INDEX(Movimientos!$E$2:$E$1994,MATCH(A691&amp;"ENTRADA",Movimientos!$R$2:$R$1994,0)),"-")</f>
        <v>-</v>
      </c>
      <c r="E691" s="2" t="str">
        <f>IFERROR(INDEX(Movimientos!$F$2:$F$1994,MATCH(A691&amp;"ENTRADA",Movimientos!$R$2:$R$1994,0)),"-")</f>
        <v>-</v>
      </c>
      <c r="F691" s="2" t="str">
        <f>IFERROR(INDEX(Movimientos!$G$2:$G$1994,MATCH(A691&amp;"ENTRADA",Movimientos!$R$2:$R$1994,0)),"-")</f>
        <v>-</v>
      </c>
      <c r="G691" s="2" t="str">
        <f>IFERROR(INDEX(Movimientos!$L$2:$L$1994,MATCH(A691&amp;"ENTRADA",Movimientos!$R$2:$R$1994,0)),"-")</f>
        <v>-</v>
      </c>
      <c r="H691" s="17" t="str">
        <f>IFERROR(IF(INDEX(Movimientos!$M$2:$M$1994,MATCH(A691&amp;"ENTRADA",Movimientos!$R$2:$R$1994,0))=0,"S/D",INDEX(Movimientos!$M$2:$M$1994,MATCH(A691&amp;"ENTRADA",Movimientos!$R$2:$R$1994,0))),"S/D")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2967</v>
      </c>
      <c r="B692" s="2" t="str">
        <f>IFERROR(INDEX(Movimientos!$C$2:$C$1994,MATCH(A692&amp;"ENTRADA",Movimientos!$R$2:$R$1994,0)),"-")</f>
        <v>-</v>
      </c>
      <c r="C692" s="2" t="str">
        <f>IFERROR(INDEX(Movimientos!$D$2:$D$1994,MATCH(A692&amp;"ENTRADA",Movimientos!$R$2:$R$1994,0)),"-")</f>
        <v>-</v>
      </c>
      <c r="D692" s="2" t="str">
        <f>IFERROR(INDEX(Movimientos!$E$2:$E$1994,MATCH(A692&amp;"ENTRADA",Movimientos!$R$2:$R$1994,0)),"-")</f>
        <v>-</v>
      </c>
      <c r="E692" s="2" t="str">
        <f>IFERROR(INDEX(Movimientos!$F$2:$F$1994,MATCH(A692&amp;"ENTRADA",Movimientos!$R$2:$R$1994,0)),"-")</f>
        <v>-</v>
      </c>
      <c r="F692" s="2" t="str">
        <f>IFERROR(INDEX(Movimientos!$G$2:$G$1994,MATCH(A692&amp;"ENTRADA",Movimientos!$R$2:$R$1994,0)),"-")</f>
        <v>-</v>
      </c>
      <c r="G692" s="2" t="str">
        <f>IFERROR(INDEX(Movimientos!$L$2:$L$1994,MATCH(A692&amp;"ENTRADA",Movimientos!$R$2:$R$1994,0)),"-")</f>
        <v>-</v>
      </c>
      <c r="H692" s="17" t="str">
        <f>IFERROR(IF(INDEX(Movimientos!$M$2:$M$1994,MATCH(A692&amp;"ENTRADA",Movimientos!$R$2:$R$1994,0))=0,"S/D",INDEX(Movimientos!$M$2:$M$1994,MATCH(A692&amp;"ENTRADA",Movimientos!$R$2:$R$1994,0))),"S/D")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2968</v>
      </c>
      <c r="B693" s="2" t="str">
        <f>IFERROR(INDEX(Movimientos!$C$2:$C$1994,MATCH(A693&amp;"ENTRADA",Movimientos!$R$2:$R$1994,0)),"-")</f>
        <v>-</v>
      </c>
      <c r="C693" s="2" t="str">
        <f>IFERROR(INDEX(Movimientos!$D$2:$D$1994,MATCH(A693&amp;"ENTRADA",Movimientos!$R$2:$R$1994,0)),"-")</f>
        <v>-</v>
      </c>
      <c r="D693" s="2" t="str">
        <f>IFERROR(INDEX(Movimientos!$E$2:$E$1994,MATCH(A693&amp;"ENTRADA",Movimientos!$R$2:$R$1994,0)),"-")</f>
        <v>-</v>
      </c>
      <c r="E693" s="2" t="str">
        <f>IFERROR(INDEX(Movimientos!$F$2:$F$1994,MATCH(A693&amp;"ENTRADA",Movimientos!$R$2:$R$1994,0)),"-")</f>
        <v>-</v>
      </c>
      <c r="F693" s="2" t="str">
        <f>IFERROR(INDEX(Movimientos!$G$2:$G$1994,MATCH(A693&amp;"ENTRADA",Movimientos!$R$2:$R$1994,0)),"-")</f>
        <v>-</v>
      </c>
      <c r="G693" s="2" t="str">
        <f>IFERROR(INDEX(Movimientos!$L$2:$L$1994,MATCH(A693&amp;"ENTRADA",Movimientos!$R$2:$R$1994,0)),"-")</f>
        <v>-</v>
      </c>
      <c r="H693" s="17" t="str">
        <f>IFERROR(IF(INDEX(Movimientos!$M$2:$M$1994,MATCH(A693&amp;"ENTRADA",Movimientos!$R$2:$R$1994,0))=0,"S/D",INDEX(Movimientos!$M$2:$M$1994,MATCH(A693&amp;"ENTRADA",Movimientos!$R$2:$R$1994,0))),"S/D")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2969</v>
      </c>
      <c r="B694" s="2" t="str">
        <f>IFERROR(INDEX(Movimientos!$C$2:$C$1994,MATCH(A694&amp;"ENTRADA",Movimientos!$R$2:$R$1994,0)),"-")</f>
        <v>-</v>
      </c>
      <c r="C694" s="2" t="str">
        <f>IFERROR(INDEX(Movimientos!$D$2:$D$1994,MATCH(A694&amp;"ENTRADA",Movimientos!$R$2:$R$1994,0)),"-")</f>
        <v>-</v>
      </c>
      <c r="D694" s="2" t="str">
        <f>IFERROR(INDEX(Movimientos!$E$2:$E$1994,MATCH(A694&amp;"ENTRADA",Movimientos!$R$2:$R$1994,0)),"-")</f>
        <v>-</v>
      </c>
      <c r="E694" s="2" t="str">
        <f>IFERROR(INDEX(Movimientos!$F$2:$F$1994,MATCH(A694&amp;"ENTRADA",Movimientos!$R$2:$R$1994,0)),"-")</f>
        <v>-</v>
      </c>
      <c r="F694" s="2" t="str">
        <f>IFERROR(INDEX(Movimientos!$G$2:$G$1994,MATCH(A694&amp;"ENTRADA",Movimientos!$R$2:$R$1994,0)),"-")</f>
        <v>-</v>
      </c>
      <c r="G694" s="2" t="str">
        <f>IFERROR(INDEX(Movimientos!$L$2:$L$1994,MATCH(A694&amp;"ENTRADA",Movimientos!$R$2:$R$1994,0)),"-")</f>
        <v>-</v>
      </c>
      <c r="H694" s="17" t="str">
        <f>IFERROR(IF(INDEX(Movimientos!$M$2:$M$1994,MATCH(A694&amp;"ENTRADA",Movimientos!$R$2:$R$1994,0))=0,"S/D",INDEX(Movimientos!$M$2:$M$1994,MATCH(A694&amp;"ENTRADA",Movimientos!$R$2:$R$1994,0))),"S/D")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2970</v>
      </c>
      <c r="B695" s="2" t="str">
        <f>IFERROR(INDEX(Movimientos!$C$2:$C$1994,MATCH(A695&amp;"ENTRADA",Movimientos!$R$2:$R$1994,0)),"-")</f>
        <v>-</v>
      </c>
      <c r="C695" s="2" t="str">
        <f>IFERROR(INDEX(Movimientos!$D$2:$D$1994,MATCH(A695&amp;"ENTRADA",Movimientos!$R$2:$R$1994,0)),"-")</f>
        <v>-</v>
      </c>
      <c r="D695" s="2" t="str">
        <f>IFERROR(INDEX(Movimientos!$E$2:$E$1994,MATCH(A695&amp;"ENTRADA",Movimientos!$R$2:$R$1994,0)),"-")</f>
        <v>-</v>
      </c>
      <c r="E695" s="2" t="str">
        <f>IFERROR(INDEX(Movimientos!$F$2:$F$1994,MATCH(A695&amp;"ENTRADA",Movimientos!$R$2:$R$1994,0)),"-")</f>
        <v>-</v>
      </c>
      <c r="F695" s="2" t="str">
        <f>IFERROR(INDEX(Movimientos!$G$2:$G$1994,MATCH(A695&amp;"ENTRADA",Movimientos!$R$2:$R$1994,0)),"-")</f>
        <v>-</v>
      </c>
      <c r="G695" s="2" t="str">
        <f>IFERROR(INDEX(Movimientos!$L$2:$L$1994,MATCH(A695&amp;"ENTRADA",Movimientos!$R$2:$R$1994,0)),"-")</f>
        <v>-</v>
      </c>
      <c r="H695" s="17" t="str">
        <f>IFERROR(IF(INDEX(Movimientos!$M$2:$M$1994,MATCH(A695&amp;"ENTRADA",Movimientos!$R$2:$R$1994,0))=0,"S/D",INDEX(Movimientos!$M$2:$M$1994,MATCH(A695&amp;"ENTRADA",Movimientos!$R$2:$R$1994,0))),"S/D")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2971</v>
      </c>
      <c r="B696" s="2" t="str">
        <f>IFERROR(INDEX(Movimientos!$C$2:$C$1994,MATCH(A696&amp;"ENTRADA",Movimientos!$R$2:$R$1994,0)),"-")</f>
        <v>-</v>
      </c>
      <c r="C696" s="2" t="str">
        <f>IFERROR(INDEX(Movimientos!$D$2:$D$1994,MATCH(A696&amp;"ENTRADA",Movimientos!$R$2:$R$1994,0)),"-")</f>
        <v>-</v>
      </c>
      <c r="D696" s="2" t="str">
        <f>IFERROR(INDEX(Movimientos!$E$2:$E$1994,MATCH(A696&amp;"ENTRADA",Movimientos!$R$2:$R$1994,0)),"-")</f>
        <v>-</v>
      </c>
      <c r="E696" s="2" t="str">
        <f>IFERROR(INDEX(Movimientos!$F$2:$F$1994,MATCH(A696&amp;"ENTRADA",Movimientos!$R$2:$R$1994,0)),"-")</f>
        <v>-</v>
      </c>
      <c r="F696" s="2" t="str">
        <f>IFERROR(INDEX(Movimientos!$G$2:$G$1994,MATCH(A696&amp;"ENTRADA",Movimientos!$R$2:$R$1994,0)),"-")</f>
        <v>-</v>
      </c>
      <c r="G696" s="2" t="str">
        <f>IFERROR(INDEX(Movimientos!$L$2:$L$1994,MATCH(A696&amp;"ENTRADA",Movimientos!$R$2:$R$1994,0)),"-")</f>
        <v>-</v>
      </c>
      <c r="H696" s="17" t="str">
        <f>IFERROR(IF(INDEX(Movimientos!$M$2:$M$1994,MATCH(A696&amp;"ENTRADA",Movimientos!$R$2:$R$1994,0))=0,"S/D",INDEX(Movimientos!$M$2:$M$1994,MATCH(A696&amp;"ENTRADA",Movimientos!$R$2:$R$1994,0))),"S/D")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2972</v>
      </c>
      <c r="B697" s="2" t="str">
        <f>IFERROR(INDEX(Movimientos!$C$2:$C$1994,MATCH(A697&amp;"ENTRADA",Movimientos!$R$2:$R$1994,0)),"-")</f>
        <v>-</v>
      </c>
      <c r="C697" s="2" t="str">
        <f>IFERROR(INDEX(Movimientos!$D$2:$D$1994,MATCH(A697&amp;"ENTRADA",Movimientos!$R$2:$R$1994,0)),"-")</f>
        <v>-</v>
      </c>
      <c r="D697" s="2" t="str">
        <f>IFERROR(INDEX(Movimientos!$E$2:$E$1994,MATCH(A697&amp;"ENTRADA",Movimientos!$R$2:$R$1994,0)),"-")</f>
        <v>-</v>
      </c>
      <c r="E697" s="2" t="str">
        <f>IFERROR(INDEX(Movimientos!$F$2:$F$1994,MATCH(A697&amp;"ENTRADA",Movimientos!$R$2:$R$1994,0)),"-")</f>
        <v>-</v>
      </c>
      <c r="F697" s="2" t="str">
        <f>IFERROR(INDEX(Movimientos!$G$2:$G$1994,MATCH(A697&amp;"ENTRADA",Movimientos!$R$2:$R$1994,0)),"-")</f>
        <v>-</v>
      </c>
      <c r="G697" s="2" t="str">
        <f>IFERROR(INDEX(Movimientos!$L$2:$L$1994,MATCH(A697&amp;"ENTRADA",Movimientos!$R$2:$R$1994,0)),"-")</f>
        <v>-</v>
      </c>
      <c r="H697" s="17" t="str">
        <f>IFERROR(IF(INDEX(Movimientos!$M$2:$M$1994,MATCH(A697&amp;"ENTRADA",Movimientos!$R$2:$R$1994,0))=0,"S/D",INDEX(Movimientos!$M$2:$M$1994,MATCH(A697&amp;"ENTRADA",Movimientos!$R$2:$R$1994,0))),"S/D")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2973</v>
      </c>
      <c r="B698" s="2" t="str">
        <f>IFERROR(INDEX(Movimientos!$C$2:$C$1994,MATCH(A698&amp;"ENTRADA",Movimientos!$R$2:$R$1994,0)),"-")</f>
        <v>-</v>
      </c>
      <c r="C698" s="2" t="str">
        <f>IFERROR(INDEX(Movimientos!$D$2:$D$1994,MATCH(A698&amp;"ENTRADA",Movimientos!$R$2:$R$1994,0)),"-")</f>
        <v>-</v>
      </c>
      <c r="D698" s="2" t="str">
        <f>IFERROR(INDEX(Movimientos!$E$2:$E$1994,MATCH(A698&amp;"ENTRADA",Movimientos!$R$2:$R$1994,0)),"-")</f>
        <v>-</v>
      </c>
      <c r="E698" s="2" t="str">
        <f>IFERROR(INDEX(Movimientos!$F$2:$F$1994,MATCH(A698&amp;"ENTRADA",Movimientos!$R$2:$R$1994,0)),"-")</f>
        <v>-</v>
      </c>
      <c r="F698" s="2" t="str">
        <f>IFERROR(INDEX(Movimientos!$G$2:$G$1994,MATCH(A698&amp;"ENTRADA",Movimientos!$R$2:$R$1994,0)),"-")</f>
        <v>-</v>
      </c>
      <c r="G698" s="2" t="str">
        <f>IFERROR(INDEX(Movimientos!$L$2:$L$1994,MATCH(A698&amp;"ENTRADA",Movimientos!$R$2:$R$1994,0)),"-")</f>
        <v>-</v>
      </c>
      <c r="H698" s="17" t="str">
        <f>IFERROR(IF(INDEX(Movimientos!$M$2:$M$1994,MATCH(A698&amp;"ENTRADA",Movimientos!$R$2:$R$1994,0))=0,"S/D",INDEX(Movimientos!$M$2:$M$1994,MATCH(A698&amp;"ENTRADA",Movimientos!$R$2:$R$1994,0))),"S/D")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2974</v>
      </c>
      <c r="B699" s="2" t="str">
        <f>IFERROR(INDEX(Movimientos!$C$2:$C$1994,MATCH(A699&amp;"ENTRADA",Movimientos!$R$2:$R$1994,0)),"-")</f>
        <v>-</v>
      </c>
      <c r="C699" s="2" t="str">
        <f>IFERROR(INDEX(Movimientos!$D$2:$D$1994,MATCH(A699&amp;"ENTRADA",Movimientos!$R$2:$R$1994,0)),"-")</f>
        <v>-</v>
      </c>
      <c r="D699" s="2" t="str">
        <f>IFERROR(INDEX(Movimientos!$E$2:$E$1994,MATCH(A699&amp;"ENTRADA",Movimientos!$R$2:$R$1994,0)),"-")</f>
        <v>-</v>
      </c>
      <c r="E699" s="2" t="str">
        <f>IFERROR(INDEX(Movimientos!$F$2:$F$1994,MATCH(A699&amp;"ENTRADA",Movimientos!$R$2:$R$1994,0)),"-")</f>
        <v>-</v>
      </c>
      <c r="F699" s="2" t="str">
        <f>IFERROR(INDEX(Movimientos!$G$2:$G$1994,MATCH(A699&amp;"ENTRADA",Movimientos!$R$2:$R$1994,0)),"-")</f>
        <v>-</v>
      </c>
      <c r="G699" s="2" t="str">
        <f>IFERROR(INDEX(Movimientos!$L$2:$L$1994,MATCH(A699&amp;"ENTRADA",Movimientos!$R$2:$R$1994,0)),"-")</f>
        <v>-</v>
      </c>
      <c r="H699" s="17" t="str">
        <f>IFERROR(IF(INDEX(Movimientos!$M$2:$M$1994,MATCH(A699&amp;"ENTRADA",Movimientos!$R$2:$R$1994,0))=0,"S/D",INDEX(Movimientos!$M$2:$M$1994,MATCH(A699&amp;"ENTRADA",Movimientos!$R$2:$R$1994,0))),"S/D")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2975</v>
      </c>
      <c r="B700" s="2" t="str">
        <f>IFERROR(INDEX(Movimientos!$C$2:$C$1994,MATCH(A700&amp;"ENTRADA",Movimientos!$R$2:$R$1994,0)),"-")</f>
        <v>-</v>
      </c>
      <c r="C700" s="2" t="str">
        <f>IFERROR(INDEX(Movimientos!$D$2:$D$1994,MATCH(A700&amp;"ENTRADA",Movimientos!$R$2:$R$1994,0)),"-")</f>
        <v>-</v>
      </c>
      <c r="D700" s="2" t="str">
        <f>IFERROR(INDEX(Movimientos!$E$2:$E$1994,MATCH(A700&amp;"ENTRADA",Movimientos!$R$2:$R$1994,0)),"-")</f>
        <v>-</v>
      </c>
      <c r="E700" s="2" t="str">
        <f>IFERROR(INDEX(Movimientos!$F$2:$F$1994,MATCH(A700&amp;"ENTRADA",Movimientos!$R$2:$R$1994,0)),"-")</f>
        <v>-</v>
      </c>
      <c r="F700" s="2" t="str">
        <f>IFERROR(INDEX(Movimientos!$G$2:$G$1994,MATCH(A700&amp;"ENTRADA",Movimientos!$R$2:$R$1994,0)),"-")</f>
        <v>-</v>
      </c>
      <c r="G700" s="2" t="str">
        <f>IFERROR(INDEX(Movimientos!$L$2:$L$1994,MATCH(A700&amp;"ENTRADA",Movimientos!$R$2:$R$1994,0)),"-")</f>
        <v>-</v>
      </c>
      <c r="H700" s="17" t="str">
        <f>IFERROR(IF(INDEX(Movimientos!$M$2:$M$1994,MATCH(A700&amp;"ENTRADA",Movimientos!$R$2:$R$1994,0))=0,"S/D",INDEX(Movimientos!$M$2:$M$1994,MATCH(A700&amp;"ENTRADA",Movimientos!$R$2:$R$1994,0))),"S/D")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2976</v>
      </c>
      <c r="B701" s="2" t="str">
        <f>IFERROR(INDEX(Movimientos!$C$2:$C$1994,MATCH(A701&amp;"ENTRADA",Movimientos!$R$2:$R$1994,0)),"-")</f>
        <v>-</v>
      </c>
      <c r="C701" s="2" t="str">
        <f>IFERROR(INDEX(Movimientos!$D$2:$D$1994,MATCH(A701&amp;"ENTRADA",Movimientos!$R$2:$R$1994,0)),"-")</f>
        <v>-</v>
      </c>
      <c r="D701" s="2" t="str">
        <f>IFERROR(INDEX(Movimientos!$E$2:$E$1994,MATCH(A701&amp;"ENTRADA",Movimientos!$R$2:$R$1994,0)),"-")</f>
        <v>-</v>
      </c>
      <c r="E701" s="2" t="str">
        <f>IFERROR(INDEX(Movimientos!$F$2:$F$1994,MATCH(A701&amp;"ENTRADA",Movimientos!$R$2:$R$1994,0)),"-")</f>
        <v>-</v>
      </c>
      <c r="F701" s="2" t="str">
        <f>IFERROR(INDEX(Movimientos!$G$2:$G$1994,MATCH(A701&amp;"ENTRADA",Movimientos!$R$2:$R$1994,0)),"-")</f>
        <v>-</v>
      </c>
      <c r="G701" s="2" t="str">
        <f>IFERROR(INDEX(Movimientos!$L$2:$L$1994,MATCH(A701&amp;"ENTRADA",Movimientos!$R$2:$R$1994,0)),"-")</f>
        <v>-</v>
      </c>
      <c r="H701" s="17" t="str">
        <f>IFERROR(IF(INDEX(Movimientos!$M$2:$M$1994,MATCH(A701&amp;"ENTRADA",Movimientos!$R$2:$R$1994,0))=0,"S/D",INDEX(Movimientos!$M$2:$M$1994,MATCH(A701&amp;"ENTRADA",Movimientos!$R$2:$R$1994,0))),"S/D")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2977</v>
      </c>
      <c r="B702" s="2" t="str">
        <f>IFERROR(INDEX(Movimientos!$C$2:$C$1994,MATCH(A702&amp;"ENTRADA",Movimientos!$R$2:$R$1994,0)),"-")</f>
        <v>-</v>
      </c>
      <c r="C702" s="2" t="str">
        <f>IFERROR(INDEX(Movimientos!$D$2:$D$1994,MATCH(A702&amp;"ENTRADA",Movimientos!$R$2:$R$1994,0)),"-")</f>
        <v>-</v>
      </c>
      <c r="D702" s="2" t="str">
        <f>IFERROR(INDEX(Movimientos!$E$2:$E$1994,MATCH(A702&amp;"ENTRADA",Movimientos!$R$2:$R$1994,0)),"-")</f>
        <v>-</v>
      </c>
      <c r="E702" s="2" t="str">
        <f>IFERROR(INDEX(Movimientos!$F$2:$F$1994,MATCH(A702&amp;"ENTRADA",Movimientos!$R$2:$R$1994,0)),"-")</f>
        <v>-</v>
      </c>
      <c r="F702" s="2" t="str">
        <f>IFERROR(INDEX(Movimientos!$G$2:$G$1994,MATCH(A702&amp;"ENTRADA",Movimientos!$R$2:$R$1994,0)),"-")</f>
        <v>-</v>
      </c>
      <c r="G702" s="2" t="str">
        <f>IFERROR(INDEX(Movimientos!$L$2:$L$1994,MATCH(A702&amp;"ENTRADA",Movimientos!$R$2:$R$1994,0)),"-")</f>
        <v>-</v>
      </c>
      <c r="H702" s="17" t="str">
        <f>IFERROR(IF(INDEX(Movimientos!$M$2:$M$1994,MATCH(A702&amp;"ENTRADA",Movimientos!$R$2:$R$1994,0))=0,"S/D",INDEX(Movimientos!$M$2:$M$1994,MATCH(A702&amp;"ENTRADA",Movimientos!$R$2:$R$1994,0))),"S/D")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2978</v>
      </c>
      <c r="B703" s="2" t="str">
        <f>IFERROR(INDEX(Movimientos!$C$2:$C$1994,MATCH(A703&amp;"ENTRADA",Movimientos!$R$2:$R$1994,0)),"-")</f>
        <v>-</v>
      </c>
      <c r="C703" s="2" t="str">
        <f>IFERROR(INDEX(Movimientos!$D$2:$D$1994,MATCH(A703&amp;"ENTRADA",Movimientos!$R$2:$R$1994,0)),"-")</f>
        <v>-</v>
      </c>
      <c r="D703" s="2" t="str">
        <f>IFERROR(INDEX(Movimientos!$E$2:$E$1994,MATCH(A703&amp;"ENTRADA",Movimientos!$R$2:$R$1994,0)),"-")</f>
        <v>-</v>
      </c>
      <c r="E703" s="2" t="str">
        <f>IFERROR(INDEX(Movimientos!$F$2:$F$1994,MATCH(A703&amp;"ENTRADA",Movimientos!$R$2:$R$1994,0)),"-")</f>
        <v>-</v>
      </c>
      <c r="F703" s="2" t="str">
        <f>IFERROR(INDEX(Movimientos!$G$2:$G$1994,MATCH(A703&amp;"ENTRADA",Movimientos!$R$2:$R$1994,0)),"-")</f>
        <v>-</v>
      </c>
      <c r="G703" s="2" t="str">
        <f>IFERROR(INDEX(Movimientos!$L$2:$L$1994,MATCH(A703&amp;"ENTRADA",Movimientos!$R$2:$R$1994,0)),"-")</f>
        <v>-</v>
      </c>
      <c r="H703" s="17" t="str">
        <f>IFERROR(IF(INDEX(Movimientos!$M$2:$M$1994,MATCH(A703&amp;"ENTRADA",Movimientos!$R$2:$R$1994,0))=0,"S/D",INDEX(Movimientos!$M$2:$M$1994,MATCH(A703&amp;"ENTRADA",Movimientos!$R$2:$R$1994,0))),"S/D")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2979</v>
      </c>
      <c r="B704" s="2" t="str">
        <f>IFERROR(INDEX(Movimientos!$C$2:$C$1994,MATCH(A704&amp;"ENTRADA",Movimientos!$R$2:$R$1994,0)),"-")</f>
        <v>-</v>
      </c>
      <c r="C704" s="2" t="str">
        <f>IFERROR(INDEX(Movimientos!$D$2:$D$1994,MATCH(A704&amp;"ENTRADA",Movimientos!$R$2:$R$1994,0)),"-")</f>
        <v>-</v>
      </c>
      <c r="D704" s="2" t="str">
        <f>IFERROR(INDEX(Movimientos!$E$2:$E$1994,MATCH(A704&amp;"ENTRADA",Movimientos!$R$2:$R$1994,0)),"-")</f>
        <v>-</v>
      </c>
      <c r="E704" s="2" t="str">
        <f>IFERROR(INDEX(Movimientos!$F$2:$F$1994,MATCH(A704&amp;"ENTRADA",Movimientos!$R$2:$R$1994,0)),"-")</f>
        <v>-</v>
      </c>
      <c r="F704" s="2" t="str">
        <f>IFERROR(INDEX(Movimientos!$G$2:$G$1994,MATCH(A704&amp;"ENTRADA",Movimientos!$R$2:$R$1994,0)),"-")</f>
        <v>-</v>
      </c>
      <c r="G704" s="2" t="str">
        <f>IFERROR(INDEX(Movimientos!$L$2:$L$1994,MATCH(A704&amp;"ENTRADA",Movimientos!$R$2:$R$1994,0)),"-")</f>
        <v>-</v>
      </c>
      <c r="H704" s="17" t="str">
        <f>IFERROR(IF(INDEX(Movimientos!$M$2:$M$1994,MATCH(A704&amp;"ENTRADA",Movimientos!$R$2:$R$1994,0))=0,"S/D",INDEX(Movimientos!$M$2:$M$1994,MATCH(A704&amp;"ENTRADA",Movimientos!$R$2:$R$1994,0))),"S/D")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2980</v>
      </c>
      <c r="B705" s="2" t="str">
        <f>IFERROR(INDEX(Movimientos!$C$2:$C$1994,MATCH(A705&amp;"ENTRADA",Movimientos!$R$2:$R$1994,0)),"-")</f>
        <v>-</v>
      </c>
      <c r="C705" s="2" t="str">
        <f>IFERROR(INDEX(Movimientos!$D$2:$D$1994,MATCH(A705&amp;"ENTRADA",Movimientos!$R$2:$R$1994,0)),"-")</f>
        <v>-</v>
      </c>
      <c r="D705" s="2" t="str">
        <f>IFERROR(INDEX(Movimientos!$E$2:$E$1994,MATCH(A705&amp;"ENTRADA",Movimientos!$R$2:$R$1994,0)),"-")</f>
        <v>-</v>
      </c>
      <c r="E705" s="2" t="str">
        <f>IFERROR(INDEX(Movimientos!$F$2:$F$1994,MATCH(A705&amp;"ENTRADA",Movimientos!$R$2:$R$1994,0)),"-")</f>
        <v>-</v>
      </c>
      <c r="F705" s="2" t="str">
        <f>IFERROR(INDEX(Movimientos!$G$2:$G$1994,MATCH(A705&amp;"ENTRADA",Movimientos!$R$2:$R$1994,0)),"-")</f>
        <v>-</v>
      </c>
      <c r="G705" s="2" t="str">
        <f>IFERROR(INDEX(Movimientos!$L$2:$L$1994,MATCH(A705&amp;"ENTRADA",Movimientos!$R$2:$R$1994,0)),"-")</f>
        <v>-</v>
      </c>
      <c r="H705" s="17" t="str">
        <f>IFERROR(IF(INDEX(Movimientos!$M$2:$M$1994,MATCH(A705&amp;"ENTRADA",Movimientos!$R$2:$R$1994,0))=0,"S/D",INDEX(Movimientos!$M$2:$M$1994,MATCH(A705&amp;"ENTRADA",Movimientos!$R$2:$R$1994,0))),"S/D")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2981</v>
      </c>
      <c r="B706" s="2" t="str">
        <f>IFERROR(INDEX(Movimientos!$C$2:$C$1994,MATCH(A706&amp;"ENTRADA",Movimientos!$R$2:$R$1994,0)),"-")</f>
        <v>-</v>
      </c>
      <c r="C706" s="2" t="str">
        <f>IFERROR(INDEX(Movimientos!$D$2:$D$1994,MATCH(A706&amp;"ENTRADA",Movimientos!$R$2:$R$1994,0)),"-")</f>
        <v>-</v>
      </c>
      <c r="D706" s="2" t="str">
        <f>IFERROR(INDEX(Movimientos!$E$2:$E$1994,MATCH(A706&amp;"ENTRADA",Movimientos!$R$2:$R$1994,0)),"-")</f>
        <v>-</v>
      </c>
      <c r="E706" s="2" t="str">
        <f>IFERROR(INDEX(Movimientos!$F$2:$F$1994,MATCH(A706&amp;"ENTRADA",Movimientos!$R$2:$R$1994,0)),"-")</f>
        <v>-</v>
      </c>
      <c r="F706" s="2" t="str">
        <f>IFERROR(INDEX(Movimientos!$G$2:$G$1994,MATCH(A706&amp;"ENTRADA",Movimientos!$R$2:$R$1994,0)),"-")</f>
        <v>-</v>
      </c>
      <c r="G706" s="2" t="str">
        <f>IFERROR(INDEX(Movimientos!$L$2:$L$1994,MATCH(A706&amp;"ENTRADA",Movimientos!$R$2:$R$1994,0)),"-")</f>
        <v>-</v>
      </c>
      <c r="H706" s="17" t="str">
        <f>IFERROR(IF(INDEX(Movimientos!$M$2:$M$1994,MATCH(A706&amp;"ENTRADA",Movimientos!$R$2:$R$1994,0))=0,"S/D",INDEX(Movimientos!$M$2:$M$1994,MATCH(A706&amp;"ENTRADA",Movimientos!$R$2:$R$1994,0))),"S/D")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2982</v>
      </c>
      <c r="B707" s="2" t="str">
        <f>IFERROR(INDEX(Movimientos!$C$2:$C$1994,MATCH(A707&amp;"ENTRADA",Movimientos!$R$2:$R$1994,0)),"-")</f>
        <v>-</v>
      </c>
      <c r="C707" s="2" t="str">
        <f>IFERROR(INDEX(Movimientos!$D$2:$D$1994,MATCH(A707&amp;"ENTRADA",Movimientos!$R$2:$R$1994,0)),"-")</f>
        <v>-</v>
      </c>
      <c r="D707" s="2" t="str">
        <f>IFERROR(INDEX(Movimientos!$E$2:$E$1994,MATCH(A707&amp;"ENTRADA",Movimientos!$R$2:$R$1994,0)),"-")</f>
        <v>-</v>
      </c>
      <c r="E707" s="2" t="str">
        <f>IFERROR(INDEX(Movimientos!$F$2:$F$1994,MATCH(A707&amp;"ENTRADA",Movimientos!$R$2:$R$1994,0)),"-")</f>
        <v>-</v>
      </c>
      <c r="F707" s="2" t="str">
        <f>IFERROR(INDEX(Movimientos!$G$2:$G$1994,MATCH(A707&amp;"ENTRADA",Movimientos!$R$2:$R$1994,0)),"-")</f>
        <v>-</v>
      </c>
      <c r="G707" s="2" t="str">
        <f>IFERROR(INDEX(Movimientos!$L$2:$L$1994,MATCH(A707&amp;"ENTRADA",Movimientos!$R$2:$R$1994,0)),"-")</f>
        <v>-</v>
      </c>
      <c r="H707" s="17" t="str">
        <f>IFERROR(IF(INDEX(Movimientos!$M$2:$M$1994,MATCH(A707&amp;"ENTRADA",Movimientos!$R$2:$R$1994,0))=0,"S/D",INDEX(Movimientos!$M$2:$M$1994,MATCH(A707&amp;"ENTRADA",Movimientos!$R$2:$R$1994,0))),"S/D")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2983</v>
      </c>
      <c r="B708" s="2" t="str">
        <f>IFERROR(INDEX(Movimientos!$C$2:$C$1994,MATCH(A708&amp;"ENTRADA",Movimientos!$R$2:$R$1994,0)),"-")</f>
        <v>-</v>
      </c>
      <c r="C708" s="2" t="str">
        <f>IFERROR(INDEX(Movimientos!$D$2:$D$1994,MATCH(A708&amp;"ENTRADA",Movimientos!$R$2:$R$1994,0)),"-")</f>
        <v>-</v>
      </c>
      <c r="D708" s="2" t="str">
        <f>IFERROR(INDEX(Movimientos!$E$2:$E$1994,MATCH(A708&amp;"ENTRADA",Movimientos!$R$2:$R$1994,0)),"-")</f>
        <v>-</v>
      </c>
      <c r="E708" s="2" t="str">
        <f>IFERROR(INDEX(Movimientos!$F$2:$F$1994,MATCH(A708&amp;"ENTRADA",Movimientos!$R$2:$R$1994,0)),"-")</f>
        <v>-</v>
      </c>
      <c r="F708" s="2" t="str">
        <f>IFERROR(INDEX(Movimientos!$G$2:$G$1994,MATCH(A708&amp;"ENTRADA",Movimientos!$R$2:$R$1994,0)),"-")</f>
        <v>-</v>
      </c>
      <c r="G708" s="2" t="str">
        <f>IFERROR(INDEX(Movimientos!$L$2:$L$1994,MATCH(A708&amp;"ENTRADA",Movimientos!$R$2:$R$1994,0)),"-")</f>
        <v>-</v>
      </c>
      <c r="H708" s="17" t="str">
        <f>IFERROR(IF(INDEX(Movimientos!$M$2:$M$1994,MATCH(A708&amp;"ENTRADA",Movimientos!$R$2:$R$1994,0))=0,"S/D",INDEX(Movimientos!$M$2:$M$1994,MATCH(A708&amp;"ENTRADA",Movimientos!$R$2:$R$1994,0))),"S/D")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2984</v>
      </c>
      <c r="B709" s="2" t="str">
        <f>IFERROR(INDEX(Movimientos!$C$2:$C$1994,MATCH(A709&amp;"ENTRADA",Movimientos!$R$2:$R$1994,0)),"-")</f>
        <v>-</v>
      </c>
      <c r="C709" s="2" t="str">
        <f>IFERROR(INDEX(Movimientos!$D$2:$D$1994,MATCH(A709&amp;"ENTRADA",Movimientos!$R$2:$R$1994,0)),"-")</f>
        <v>-</v>
      </c>
      <c r="D709" s="2" t="str">
        <f>IFERROR(INDEX(Movimientos!$E$2:$E$1994,MATCH(A709&amp;"ENTRADA",Movimientos!$R$2:$R$1994,0)),"-")</f>
        <v>-</v>
      </c>
      <c r="E709" s="2" t="str">
        <f>IFERROR(INDEX(Movimientos!$F$2:$F$1994,MATCH(A709&amp;"ENTRADA",Movimientos!$R$2:$R$1994,0)),"-")</f>
        <v>-</v>
      </c>
      <c r="F709" s="2" t="str">
        <f>IFERROR(INDEX(Movimientos!$G$2:$G$1994,MATCH(A709&amp;"ENTRADA",Movimientos!$R$2:$R$1994,0)),"-")</f>
        <v>-</v>
      </c>
      <c r="G709" s="2" t="str">
        <f>IFERROR(INDEX(Movimientos!$L$2:$L$1994,MATCH(A709&amp;"ENTRADA",Movimientos!$R$2:$R$1994,0)),"-")</f>
        <v>-</v>
      </c>
      <c r="H709" s="17" t="str">
        <f>IFERROR(IF(INDEX(Movimientos!$M$2:$M$1994,MATCH(A709&amp;"ENTRADA",Movimientos!$R$2:$R$1994,0))=0,"S/D",INDEX(Movimientos!$M$2:$M$1994,MATCH(A709&amp;"ENTRADA",Movimientos!$R$2:$R$1994,0))),"S/D")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2985</v>
      </c>
      <c r="B710" s="2" t="str">
        <f>IFERROR(INDEX(Movimientos!$C$2:$C$1994,MATCH(A710&amp;"ENTRADA",Movimientos!$R$2:$R$1994,0)),"-")</f>
        <v>-</v>
      </c>
      <c r="C710" s="2" t="str">
        <f>IFERROR(INDEX(Movimientos!$D$2:$D$1994,MATCH(A710&amp;"ENTRADA",Movimientos!$R$2:$R$1994,0)),"-")</f>
        <v>-</v>
      </c>
      <c r="D710" s="2" t="str">
        <f>IFERROR(INDEX(Movimientos!$E$2:$E$1994,MATCH(A710&amp;"ENTRADA",Movimientos!$R$2:$R$1994,0)),"-")</f>
        <v>-</v>
      </c>
      <c r="E710" s="2" t="str">
        <f>IFERROR(INDEX(Movimientos!$F$2:$F$1994,MATCH(A710&amp;"ENTRADA",Movimientos!$R$2:$R$1994,0)),"-")</f>
        <v>-</v>
      </c>
      <c r="F710" s="2" t="str">
        <f>IFERROR(INDEX(Movimientos!$G$2:$G$1994,MATCH(A710&amp;"ENTRADA",Movimientos!$R$2:$R$1994,0)),"-")</f>
        <v>-</v>
      </c>
      <c r="G710" s="2" t="str">
        <f>IFERROR(INDEX(Movimientos!$L$2:$L$1994,MATCH(A710&amp;"ENTRADA",Movimientos!$R$2:$R$1994,0)),"-")</f>
        <v>-</v>
      </c>
      <c r="H710" s="17" t="str">
        <f>IFERROR(IF(INDEX(Movimientos!$M$2:$M$1994,MATCH(A710&amp;"ENTRADA",Movimientos!$R$2:$R$1994,0))=0,"S/D",INDEX(Movimientos!$M$2:$M$1994,MATCH(A710&amp;"ENTRADA",Movimientos!$R$2:$R$1994,0))),"S/D")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2986</v>
      </c>
      <c r="B711" s="2" t="str">
        <f>IFERROR(INDEX(Movimientos!$C$2:$C$1994,MATCH(A711&amp;"ENTRADA",Movimientos!$R$2:$R$1994,0)),"-")</f>
        <v>-</v>
      </c>
      <c r="C711" s="2" t="str">
        <f>IFERROR(INDEX(Movimientos!$D$2:$D$1994,MATCH(A711&amp;"ENTRADA",Movimientos!$R$2:$R$1994,0)),"-")</f>
        <v>-</v>
      </c>
      <c r="D711" s="2" t="str">
        <f>IFERROR(INDEX(Movimientos!$E$2:$E$1994,MATCH(A711&amp;"ENTRADA",Movimientos!$R$2:$R$1994,0)),"-")</f>
        <v>-</v>
      </c>
      <c r="E711" s="2" t="str">
        <f>IFERROR(INDEX(Movimientos!$F$2:$F$1994,MATCH(A711&amp;"ENTRADA",Movimientos!$R$2:$R$1994,0)),"-")</f>
        <v>-</v>
      </c>
      <c r="F711" s="2" t="str">
        <f>IFERROR(INDEX(Movimientos!$G$2:$G$1994,MATCH(A711&amp;"ENTRADA",Movimientos!$R$2:$R$1994,0)),"-")</f>
        <v>-</v>
      </c>
      <c r="G711" s="2" t="str">
        <f>IFERROR(INDEX(Movimientos!$L$2:$L$1994,MATCH(A711&amp;"ENTRADA",Movimientos!$R$2:$R$1994,0)),"-")</f>
        <v>-</v>
      </c>
      <c r="H711" s="17" t="str">
        <f>IFERROR(IF(INDEX(Movimientos!$M$2:$M$1994,MATCH(A711&amp;"ENTRADA",Movimientos!$R$2:$R$1994,0))=0,"S/D",INDEX(Movimientos!$M$2:$M$1994,MATCH(A711&amp;"ENTRADA",Movimientos!$R$2:$R$1994,0))),"S/D")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2987</v>
      </c>
      <c r="B712" s="2" t="str">
        <f>IFERROR(INDEX(Movimientos!$C$2:$C$1994,MATCH(A712&amp;"ENTRADA",Movimientos!$R$2:$R$1994,0)),"-")</f>
        <v>-</v>
      </c>
      <c r="C712" s="2" t="str">
        <f>IFERROR(INDEX(Movimientos!$D$2:$D$1994,MATCH(A712&amp;"ENTRADA",Movimientos!$R$2:$R$1994,0)),"-")</f>
        <v>-</v>
      </c>
      <c r="D712" s="2" t="str">
        <f>IFERROR(INDEX(Movimientos!$E$2:$E$1994,MATCH(A712&amp;"ENTRADA",Movimientos!$R$2:$R$1994,0)),"-")</f>
        <v>-</v>
      </c>
      <c r="E712" s="2" t="str">
        <f>IFERROR(INDEX(Movimientos!$F$2:$F$1994,MATCH(A712&amp;"ENTRADA",Movimientos!$R$2:$R$1994,0)),"-")</f>
        <v>-</v>
      </c>
      <c r="F712" s="2" t="str">
        <f>IFERROR(INDEX(Movimientos!$G$2:$G$1994,MATCH(A712&amp;"ENTRADA",Movimientos!$R$2:$R$1994,0)),"-")</f>
        <v>-</v>
      </c>
      <c r="G712" s="2" t="str">
        <f>IFERROR(INDEX(Movimientos!$L$2:$L$1994,MATCH(A712&amp;"ENTRADA",Movimientos!$R$2:$R$1994,0)),"-")</f>
        <v>-</v>
      </c>
      <c r="H712" s="17" t="str">
        <f>IFERROR(IF(INDEX(Movimientos!$M$2:$M$1994,MATCH(A712&amp;"ENTRADA",Movimientos!$R$2:$R$1994,0))=0,"S/D",INDEX(Movimientos!$M$2:$M$1994,MATCH(A712&amp;"ENTRADA",Movimientos!$R$2:$R$1994,0))),"S/D")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2988</v>
      </c>
      <c r="B713" s="2" t="str">
        <f>IFERROR(INDEX(Movimientos!$C$2:$C$1994,MATCH(A713&amp;"ENTRADA",Movimientos!$R$2:$R$1994,0)),"-")</f>
        <v>-</v>
      </c>
      <c r="C713" s="2" t="str">
        <f>IFERROR(INDEX(Movimientos!$D$2:$D$1994,MATCH(A713&amp;"ENTRADA",Movimientos!$R$2:$R$1994,0)),"-")</f>
        <v>-</v>
      </c>
      <c r="D713" s="2" t="str">
        <f>IFERROR(INDEX(Movimientos!$E$2:$E$1994,MATCH(A713&amp;"ENTRADA",Movimientos!$R$2:$R$1994,0)),"-")</f>
        <v>-</v>
      </c>
      <c r="E713" s="2" t="str">
        <f>IFERROR(INDEX(Movimientos!$F$2:$F$1994,MATCH(A713&amp;"ENTRADA",Movimientos!$R$2:$R$1994,0)),"-")</f>
        <v>-</v>
      </c>
      <c r="F713" s="2" t="str">
        <f>IFERROR(INDEX(Movimientos!$G$2:$G$1994,MATCH(A713&amp;"ENTRADA",Movimientos!$R$2:$R$1994,0)),"-")</f>
        <v>-</v>
      </c>
      <c r="G713" s="2" t="str">
        <f>IFERROR(INDEX(Movimientos!$L$2:$L$1994,MATCH(A713&amp;"ENTRADA",Movimientos!$R$2:$R$1994,0)),"-")</f>
        <v>-</v>
      </c>
      <c r="H713" s="17" t="str">
        <f>IFERROR(IF(INDEX(Movimientos!$M$2:$M$1994,MATCH(A713&amp;"ENTRADA",Movimientos!$R$2:$R$1994,0))=0,"S/D",INDEX(Movimientos!$M$2:$M$1994,MATCH(A713&amp;"ENTRADA",Movimientos!$R$2:$R$1994,0))),"S/D")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2989</v>
      </c>
      <c r="B714" s="2" t="str">
        <f>IFERROR(INDEX(Movimientos!$C$2:$C$1994,MATCH(A714&amp;"ENTRADA",Movimientos!$R$2:$R$1994,0)),"-")</f>
        <v>-</v>
      </c>
      <c r="C714" s="2" t="str">
        <f>IFERROR(INDEX(Movimientos!$D$2:$D$1994,MATCH(A714&amp;"ENTRADA",Movimientos!$R$2:$R$1994,0)),"-")</f>
        <v>-</v>
      </c>
      <c r="D714" s="2" t="str">
        <f>IFERROR(INDEX(Movimientos!$E$2:$E$1994,MATCH(A714&amp;"ENTRADA",Movimientos!$R$2:$R$1994,0)),"-")</f>
        <v>-</v>
      </c>
      <c r="E714" s="2" t="str">
        <f>IFERROR(INDEX(Movimientos!$F$2:$F$1994,MATCH(A714&amp;"ENTRADA",Movimientos!$R$2:$R$1994,0)),"-")</f>
        <v>-</v>
      </c>
      <c r="F714" s="2" t="str">
        <f>IFERROR(INDEX(Movimientos!$G$2:$G$1994,MATCH(A714&amp;"ENTRADA",Movimientos!$R$2:$R$1994,0)),"-")</f>
        <v>-</v>
      </c>
      <c r="G714" s="2" t="str">
        <f>IFERROR(INDEX(Movimientos!$L$2:$L$1994,MATCH(A714&amp;"ENTRADA",Movimientos!$R$2:$R$1994,0)),"-")</f>
        <v>-</v>
      </c>
      <c r="H714" s="17" t="str">
        <f>IFERROR(IF(INDEX(Movimientos!$M$2:$M$1994,MATCH(A714&amp;"ENTRADA",Movimientos!$R$2:$R$1994,0))=0,"S/D",INDEX(Movimientos!$M$2:$M$1994,MATCH(A714&amp;"ENTRADA",Movimientos!$R$2:$R$1994,0))),"S/D")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2990</v>
      </c>
      <c r="B715" s="2" t="str">
        <f>IFERROR(INDEX(Movimientos!$C$2:$C$1994,MATCH(A715&amp;"ENTRADA",Movimientos!$R$2:$R$1994,0)),"-")</f>
        <v>-</v>
      </c>
      <c r="C715" s="2" t="str">
        <f>IFERROR(INDEX(Movimientos!$D$2:$D$1994,MATCH(A715&amp;"ENTRADA",Movimientos!$R$2:$R$1994,0)),"-")</f>
        <v>-</v>
      </c>
      <c r="D715" s="2" t="str">
        <f>IFERROR(INDEX(Movimientos!$E$2:$E$1994,MATCH(A715&amp;"ENTRADA",Movimientos!$R$2:$R$1994,0)),"-")</f>
        <v>-</v>
      </c>
      <c r="E715" s="2" t="str">
        <f>IFERROR(INDEX(Movimientos!$F$2:$F$1994,MATCH(A715&amp;"ENTRADA",Movimientos!$R$2:$R$1994,0)),"-")</f>
        <v>-</v>
      </c>
      <c r="F715" s="2" t="str">
        <f>IFERROR(INDEX(Movimientos!$G$2:$G$1994,MATCH(A715&amp;"ENTRADA",Movimientos!$R$2:$R$1994,0)),"-")</f>
        <v>-</v>
      </c>
      <c r="G715" s="2" t="str">
        <f>IFERROR(INDEX(Movimientos!$L$2:$L$1994,MATCH(A715&amp;"ENTRADA",Movimientos!$R$2:$R$1994,0)),"-")</f>
        <v>-</v>
      </c>
      <c r="H715" s="17" t="str">
        <f>IFERROR(IF(INDEX(Movimientos!$M$2:$M$1994,MATCH(A715&amp;"ENTRADA",Movimientos!$R$2:$R$1994,0))=0,"S/D",INDEX(Movimientos!$M$2:$M$1994,MATCH(A715&amp;"ENTRADA",Movimientos!$R$2:$R$1994,0))),"S/D")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2991</v>
      </c>
      <c r="B716" s="2" t="str">
        <f>IFERROR(INDEX(Movimientos!$C$2:$C$1994,MATCH(A716&amp;"ENTRADA",Movimientos!$R$2:$R$1994,0)),"-")</f>
        <v>-</v>
      </c>
      <c r="C716" s="2" t="str">
        <f>IFERROR(INDEX(Movimientos!$D$2:$D$1994,MATCH(A716&amp;"ENTRADA",Movimientos!$R$2:$R$1994,0)),"-")</f>
        <v>-</v>
      </c>
      <c r="D716" s="2" t="str">
        <f>IFERROR(INDEX(Movimientos!$E$2:$E$1994,MATCH(A716&amp;"ENTRADA",Movimientos!$R$2:$R$1994,0)),"-")</f>
        <v>-</v>
      </c>
      <c r="E716" s="2" t="str">
        <f>IFERROR(INDEX(Movimientos!$F$2:$F$1994,MATCH(A716&amp;"ENTRADA",Movimientos!$R$2:$R$1994,0)),"-")</f>
        <v>-</v>
      </c>
      <c r="F716" s="2" t="str">
        <f>IFERROR(INDEX(Movimientos!$G$2:$G$1994,MATCH(A716&amp;"ENTRADA",Movimientos!$R$2:$R$1994,0)),"-")</f>
        <v>-</v>
      </c>
      <c r="G716" s="2" t="str">
        <f>IFERROR(INDEX(Movimientos!$L$2:$L$1994,MATCH(A716&amp;"ENTRADA",Movimientos!$R$2:$R$1994,0)),"-")</f>
        <v>-</v>
      </c>
      <c r="H716" s="17" t="str">
        <f>IFERROR(IF(INDEX(Movimientos!$M$2:$M$1994,MATCH(A716&amp;"ENTRADA",Movimientos!$R$2:$R$1994,0))=0,"S/D",INDEX(Movimientos!$M$2:$M$1994,MATCH(A716&amp;"ENTRADA",Movimientos!$R$2:$R$1994,0))),"S/D")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2992</v>
      </c>
      <c r="B717" s="2" t="str">
        <f>IFERROR(INDEX(Movimientos!$C$2:$C$1994,MATCH(A717&amp;"ENTRADA",Movimientos!$R$2:$R$1994,0)),"-")</f>
        <v>-</v>
      </c>
      <c r="C717" s="2" t="str">
        <f>IFERROR(INDEX(Movimientos!$D$2:$D$1994,MATCH(A717&amp;"ENTRADA",Movimientos!$R$2:$R$1994,0)),"-")</f>
        <v>-</v>
      </c>
      <c r="D717" s="2" t="str">
        <f>IFERROR(INDEX(Movimientos!$E$2:$E$1994,MATCH(A717&amp;"ENTRADA",Movimientos!$R$2:$R$1994,0)),"-")</f>
        <v>-</v>
      </c>
      <c r="E717" s="2" t="str">
        <f>IFERROR(INDEX(Movimientos!$F$2:$F$1994,MATCH(A717&amp;"ENTRADA",Movimientos!$R$2:$R$1994,0)),"-")</f>
        <v>-</v>
      </c>
      <c r="F717" s="2" t="str">
        <f>IFERROR(INDEX(Movimientos!$G$2:$G$1994,MATCH(A717&amp;"ENTRADA",Movimientos!$R$2:$R$1994,0)),"-")</f>
        <v>-</v>
      </c>
      <c r="G717" s="2" t="str">
        <f>IFERROR(INDEX(Movimientos!$L$2:$L$1994,MATCH(A717&amp;"ENTRADA",Movimientos!$R$2:$R$1994,0)),"-")</f>
        <v>-</v>
      </c>
      <c r="H717" s="17" t="str">
        <f>IFERROR(IF(INDEX(Movimientos!$M$2:$M$1994,MATCH(A717&amp;"ENTRADA",Movimientos!$R$2:$R$1994,0))=0,"S/D",INDEX(Movimientos!$M$2:$M$1994,MATCH(A717&amp;"ENTRADA",Movimientos!$R$2:$R$1994,0))),"S/D")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2993</v>
      </c>
      <c r="B718" s="2" t="str">
        <f>IFERROR(INDEX(Movimientos!$C$2:$C$1994,MATCH(A718&amp;"ENTRADA",Movimientos!$R$2:$R$1994,0)),"-")</f>
        <v>-</v>
      </c>
      <c r="C718" s="2" t="str">
        <f>IFERROR(INDEX(Movimientos!$D$2:$D$1994,MATCH(A718&amp;"ENTRADA",Movimientos!$R$2:$R$1994,0)),"-")</f>
        <v>-</v>
      </c>
      <c r="D718" s="2" t="str">
        <f>IFERROR(INDEX(Movimientos!$E$2:$E$1994,MATCH(A718&amp;"ENTRADA",Movimientos!$R$2:$R$1994,0)),"-")</f>
        <v>-</v>
      </c>
      <c r="E718" s="2" t="str">
        <f>IFERROR(INDEX(Movimientos!$F$2:$F$1994,MATCH(A718&amp;"ENTRADA",Movimientos!$R$2:$R$1994,0)),"-")</f>
        <v>-</v>
      </c>
      <c r="F718" s="2" t="str">
        <f>IFERROR(INDEX(Movimientos!$G$2:$G$1994,MATCH(A718&amp;"ENTRADA",Movimientos!$R$2:$R$1994,0)),"-")</f>
        <v>-</v>
      </c>
      <c r="G718" s="2" t="str">
        <f>IFERROR(INDEX(Movimientos!$L$2:$L$1994,MATCH(A718&amp;"ENTRADA",Movimientos!$R$2:$R$1994,0)),"-")</f>
        <v>-</v>
      </c>
      <c r="H718" s="17" t="str">
        <f>IFERROR(IF(INDEX(Movimientos!$M$2:$M$1994,MATCH(A718&amp;"ENTRADA",Movimientos!$R$2:$R$1994,0))=0,"S/D",INDEX(Movimientos!$M$2:$M$1994,MATCH(A718&amp;"ENTRADA",Movimientos!$R$2:$R$1994,0))),"S/D")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2994</v>
      </c>
      <c r="B719" s="2" t="str">
        <f>IFERROR(INDEX(Movimientos!$C$2:$C$1994,MATCH(A719&amp;"ENTRADA",Movimientos!$R$2:$R$1994,0)),"-")</f>
        <v>-</v>
      </c>
      <c r="C719" s="2" t="str">
        <f>IFERROR(INDEX(Movimientos!$D$2:$D$1994,MATCH(A719&amp;"ENTRADA",Movimientos!$R$2:$R$1994,0)),"-")</f>
        <v>-</v>
      </c>
      <c r="D719" s="2" t="str">
        <f>IFERROR(INDEX(Movimientos!$E$2:$E$1994,MATCH(A719&amp;"ENTRADA",Movimientos!$R$2:$R$1994,0)),"-")</f>
        <v>-</v>
      </c>
      <c r="E719" s="2" t="str">
        <f>IFERROR(INDEX(Movimientos!$F$2:$F$1994,MATCH(A719&amp;"ENTRADA",Movimientos!$R$2:$R$1994,0)),"-")</f>
        <v>-</v>
      </c>
      <c r="F719" s="2" t="str">
        <f>IFERROR(INDEX(Movimientos!$G$2:$G$1994,MATCH(A719&amp;"ENTRADA",Movimientos!$R$2:$R$1994,0)),"-")</f>
        <v>-</v>
      </c>
      <c r="G719" s="2" t="str">
        <f>IFERROR(INDEX(Movimientos!$L$2:$L$1994,MATCH(A719&amp;"ENTRADA",Movimientos!$R$2:$R$1994,0)),"-")</f>
        <v>-</v>
      </c>
      <c r="H719" s="17" t="str">
        <f>IFERROR(IF(INDEX(Movimientos!$M$2:$M$1994,MATCH(A719&amp;"ENTRADA",Movimientos!$R$2:$R$1994,0))=0,"S/D",INDEX(Movimientos!$M$2:$M$1994,MATCH(A719&amp;"ENTRADA",Movimientos!$R$2:$R$1994,0))),"S/D")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2995</v>
      </c>
      <c r="B720" s="2" t="str">
        <f>IFERROR(INDEX(Movimientos!$C$2:$C$1994,MATCH(A720&amp;"ENTRADA",Movimientos!$R$2:$R$1994,0)),"-")</f>
        <v>-</v>
      </c>
      <c r="C720" s="2" t="str">
        <f>IFERROR(INDEX(Movimientos!$D$2:$D$1994,MATCH(A720&amp;"ENTRADA",Movimientos!$R$2:$R$1994,0)),"-")</f>
        <v>-</v>
      </c>
      <c r="D720" s="2" t="str">
        <f>IFERROR(INDEX(Movimientos!$E$2:$E$1994,MATCH(A720&amp;"ENTRADA",Movimientos!$R$2:$R$1994,0)),"-")</f>
        <v>-</v>
      </c>
      <c r="E720" s="2" t="str">
        <f>IFERROR(INDEX(Movimientos!$F$2:$F$1994,MATCH(A720&amp;"ENTRADA",Movimientos!$R$2:$R$1994,0)),"-")</f>
        <v>-</v>
      </c>
      <c r="F720" s="2" t="str">
        <f>IFERROR(INDEX(Movimientos!$G$2:$G$1994,MATCH(A720&amp;"ENTRADA",Movimientos!$R$2:$R$1994,0)),"-")</f>
        <v>-</v>
      </c>
      <c r="G720" s="2" t="str">
        <f>IFERROR(INDEX(Movimientos!$L$2:$L$1994,MATCH(A720&amp;"ENTRADA",Movimientos!$R$2:$R$1994,0)),"-")</f>
        <v>-</v>
      </c>
      <c r="H720" s="17" t="str">
        <f>IFERROR(IF(INDEX(Movimientos!$M$2:$M$1994,MATCH(A720&amp;"ENTRADA",Movimientos!$R$2:$R$1994,0))=0,"S/D",INDEX(Movimientos!$M$2:$M$1994,MATCH(A720&amp;"ENTRADA",Movimientos!$R$2:$R$1994,0))),"S/D")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2996</v>
      </c>
      <c r="B721" s="2" t="str">
        <f>IFERROR(INDEX(Movimientos!$C$2:$C$1994,MATCH(A721&amp;"ENTRADA",Movimientos!$R$2:$R$1994,0)),"-")</f>
        <v>-</v>
      </c>
      <c r="C721" s="2" t="str">
        <f>IFERROR(INDEX(Movimientos!$D$2:$D$1994,MATCH(A721&amp;"ENTRADA",Movimientos!$R$2:$R$1994,0)),"-")</f>
        <v>-</v>
      </c>
      <c r="D721" s="2" t="str">
        <f>IFERROR(INDEX(Movimientos!$E$2:$E$1994,MATCH(A721&amp;"ENTRADA",Movimientos!$R$2:$R$1994,0)),"-")</f>
        <v>-</v>
      </c>
      <c r="E721" s="2" t="str">
        <f>IFERROR(INDEX(Movimientos!$F$2:$F$1994,MATCH(A721&amp;"ENTRADA",Movimientos!$R$2:$R$1994,0)),"-")</f>
        <v>-</v>
      </c>
      <c r="F721" s="2" t="str">
        <f>IFERROR(INDEX(Movimientos!$G$2:$G$1994,MATCH(A721&amp;"ENTRADA",Movimientos!$R$2:$R$1994,0)),"-")</f>
        <v>-</v>
      </c>
      <c r="G721" s="2" t="str">
        <f>IFERROR(INDEX(Movimientos!$L$2:$L$1994,MATCH(A721&amp;"ENTRADA",Movimientos!$R$2:$R$1994,0)),"-")</f>
        <v>-</v>
      </c>
      <c r="H721" s="17" t="str">
        <f>IFERROR(IF(INDEX(Movimientos!$M$2:$M$1994,MATCH(A721&amp;"ENTRADA",Movimientos!$R$2:$R$1994,0))=0,"S/D",INDEX(Movimientos!$M$2:$M$1994,MATCH(A721&amp;"ENTRADA",Movimientos!$R$2:$R$1994,0))),"S/D")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2997</v>
      </c>
      <c r="B722" s="2" t="str">
        <f>IFERROR(INDEX(Movimientos!$C$2:$C$1994,MATCH(A722&amp;"ENTRADA",Movimientos!$R$2:$R$1994,0)),"-")</f>
        <v>-</v>
      </c>
      <c r="C722" s="2" t="str">
        <f>IFERROR(INDEX(Movimientos!$D$2:$D$1994,MATCH(A722&amp;"ENTRADA",Movimientos!$R$2:$R$1994,0)),"-")</f>
        <v>-</v>
      </c>
      <c r="D722" s="2" t="str">
        <f>IFERROR(INDEX(Movimientos!$E$2:$E$1994,MATCH(A722&amp;"ENTRADA",Movimientos!$R$2:$R$1994,0)),"-")</f>
        <v>-</v>
      </c>
      <c r="E722" s="2" t="str">
        <f>IFERROR(INDEX(Movimientos!$F$2:$F$1994,MATCH(A722&amp;"ENTRADA",Movimientos!$R$2:$R$1994,0)),"-")</f>
        <v>-</v>
      </c>
      <c r="F722" s="2" t="str">
        <f>IFERROR(INDEX(Movimientos!$G$2:$G$1994,MATCH(A722&amp;"ENTRADA",Movimientos!$R$2:$R$1994,0)),"-")</f>
        <v>-</v>
      </c>
      <c r="G722" s="2" t="str">
        <f>IFERROR(INDEX(Movimientos!$L$2:$L$1994,MATCH(A722&amp;"ENTRADA",Movimientos!$R$2:$R$1994,0)),"-")</f>
        <v>-</v>
      </c>
      <c r="H722" s="17" t="str">
        <f>IFERROR(IF(INDEX(Movimientos!$M$2:$M$1994,MATCH(A722&amp;"ENTRADA",Movimientos!$R$2:$R$1994,0))=0,"S/D",INDEX(Movimientos!$M$2:$M$1994,MATCH(A722&amp;"ENTRADA",Movimientos!$R$2:$R$1994,0))),"S/D")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2998</v>
      </c>
      <c r="B723" s="2" t="str">
        <f>IFERROR(INDEX(Movimientos!$C$2:$C$1994,MATCH(A723&amp;"ENTRADA",Movimientos!$R$2:$R$1994,0)),"-")</f>
        <v>-</v>
      </c>
      <c r="C723" s="2" t="str">
        <f>IFERROR(INDEX(Movimientos!$D$2:$D$1994,MATCH(A723&amp;"ENTRADA",Movimientos!$R$2:$R$1994,0)),"-")</f>
        <v>-</v>
      </c>
      <c r="D723" s="2" t="str">
        <f>IFERROR(INDEX(Movimientos!$E$2:$E$1994,MATCH(A723&amp;"ENTRADA",Movimientos!$R$2:$R$1994,0)),"-")</f>
        <v>-</v>
      </c>
      <c r="E723" s="2" t="str">
        <f>IFERROR(INDEX(Movimientos!$F$2:$F$1994,MATCH(A723&amp;"ENTRADA",Movimientos!$R$2:$R$1994,0)),"-")</f>
        <v>-</v>
      </c>
      <c r="F723" s="2" t="str">
        <f>IFERROR(INDEX(Movimientos!$G$2:$G$1994,MATCH(A723&amp;"ENTRADA",Movimientos!$R$2:$R$1994,0)),"-")</f>
        <v>-</v>
      </c>
      <c r="G723" s="2" t="str">
        <f>IFERROR(INDEX(Movimientos!$L$2:$L$1994,MATCH(A723&amp;"ENTRADA",Movimientos!$R$2:$R$1994,0)),"-")</f>
        <v>-</v>
      </c>
      <c r="H723" s="17" t="str">
        <f>IFERROR(IF(INDEX(Movimientos!$M$2:$M$1994,MATCH(A723&amp;"ENTRADA",Movimientos!$R$2:$R$1994,0))=0,"S/D",INDEX(Movimientos!$M$2:$M$1994,MATCH(A723&amp;"ENTRADA",Movimientos!$R$2:$R$1994,0))),"S/D")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2999</v>
      </c>
      <c r="B724" s="2" t="str">
        <f>IFERROR(INDEX(Movimientos!$C$2:$C$1994,MATCH(A724&amp;"ENTRADA",Movimientos!$R$2:$R$1994,0)),"-")</f>
        <v>-</v>
      </c>
      <c r="C724" s="2" t="str">
        <f>IFERROR(INDEX(Movimientos!$D$2:$D$1994,MATCH(A724&amp;"ENTRADA",Movimientos!$R$2:$R$1994,0)),"-")</f>
        <v>-</v>
      </c>
      <c r="D724" s="2" t="str">
        <f>IFERROR(INDEX(Movimientos!$E$2:$E$1994,MATCH(A724&amp;"ENTRADA",Movimientos!$R$2:$R$1994,0)),"-")</f>
        <v>-</v>
      </c>
      <c r="E724" s="2" t="str">
        <f>IFERROR(INDEX(Movimientos!$F$2:$F$1994,MATCH(A724&amp;"ENTRADA",Movimientos!$R$2:$R$1994,0)),"-")</f>
        <v>-</v>
      </c>
      <c r="F724" s="2" t="str">
        <f>IFERROR(INDEX(Movimientos!$G$2:$G$1994,MATCH(A724&amp;"ENTRADA",Movimientos!$R$2:$R$1994,0)),"-")</f>
        <v>-</v>
      </c>
      <c r="G724" s="2" t="str">
        <f>IFERROR(INDEX(Movimientos!$L$2:$L$1994,MATCH(A724&amp;"ENTRADA",Movimientos!$R$2:$R$1994,0)),"-")</f>
        <v>-</v>
      </c>
      <c r="H724" s="17" t="str">
        <f>IFERROR(IF(INDEX(Movimientos!$M$2:$M$1994,MATCH(A724&amp;"ENTRADA",Movimientos!$R$2:$R$1994,0))=0,"S/D",INDEX(Movimientos!$M$2:$M$1994,MATCH(A724&amp;"ENTRADA",Movimientos!$R$2:$R$1994,0))),"S/D")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3000</v>
      </c>
      <c r="B725" s="2" t="str">
        <f>IFERROR(INDEX(Movimientos!$C$2:$C$1994,MATCH(A725&amp;"ENTRADA",Movimientos!$R$2:$R$1994,0)),"-")</f>
        <v>-</v>
      </c>
      <c r="C725" s="2" t="str">
        <f>IFERROR(INDEX(Movimientos!$D$2:$D$1994,MATCH(A725&amp;"ENTRADA",Movimientos!$R$2:$R$1994,0)),"-")</f>
        <v>-</v>
      </c>
      <c r="D725" s="2" t="str">
        <f>IFERROR(INDEX(Movimientos!$E$2:$E$1994,MATCH(A725&amp;"ENTRADA",Movimientos!$R$2:$R$1994,0)),"-")</f>
        <v>-</v>
      </c>
      <c r="E725" s="2" t="str">
        <f>IFERROR(INDEX(Movimientos!$F$2:$F$1994,MATCH(A725&amp;"ENTRADA",Movimientos!$R$2:$R$1994,0)),"-")</f>
        <v>-</v>
      </c>
      <c r="F725" s="2" t="str">
        <f>IFERROR(INDEX(Movimientos!$G$2:$G$1994,MATCH(A725&amp;"ENTRADA",Movimientos!$R$2:$R$1994,0)),"-")</f>
        <v>-</v>
      </c>
      <c r="G725" s="2" t="str">
        <f>IFERROR(INDEX(Movimientos!$L$2:$L$1994,MATCH(A725&amp;"ENTRADA",Movimientos!$R$2:$R$1994,0)),"-")</f>
        <v>-</v>
      </c>
      <c r="H725" s="17" t="str">
        <f>IFERROR(IF(INDEX(Movimientos!$M$2:$M$1994,MATCH(A725&amp;"ENTRADA",Movimientos!$R$2:$R$1994,0))=0,"S/D",INDEX(Movimientos!$M$2:$M$1994,MATCH(A725&amp;"ENTRADA",Movimientos!$R$2:$R$1994,0))),"S/D")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3001</v>
      </c>
      <c r="B726" s="2" t="str">
        <f>IFERROR(INDEX(Movimientos!$C$2:$C$1994,MATCH(A726&amp;"ENTRADA",Movimientos!$R$2:$R$1994,0)),"-")</f>
        <v>-</v>
      </c>
      <c r="C726" s="2" t="str">
        <f>IFERROR(INDEX(Movimientos!$D$2:$D$1994,MATCH(A726&amp;"ENTRADA",Movimientos!$R$2:$R$1994,0)),"-")</f>
        <v>-</v>
      </c>
      <c r="D726" s="2" t="str">
        <f>IFERROR(INDEX(Movimientos!$E$2:$E$1994,MATCH(A726&amp;"ENTRADA",Movimientos!$R$2:$R$1994,0)),"-")</f>
        <v>-</v>
      </c>
      <c r="E726" s="2" t="str">
        <f>IFERROR(INDEX(Movimientos!$F$2:$F$1994,MATCH(A726&amp;"ENTRADA",Movimientos!$R$2:$R$1994,0)),"-")</f>
        <v>-</v>
      </c>
      <c r="F726" s="2" t="str">
        <f>IFERROR(INDEX(Movimientos!$G$2:$G$1994,MATCH(A726&amp;"ENTRADA",Movimientos!$R$2:$R$1994,0)),"-")</f>
        <v>-</v>
      </c>
      <c r="G726" s="2" t="str">
        <f>IFERROR(INDEX(Movimientos!$L$2:$L$1994,MATCH(A726&amp;"ENTRADA",Movimientos!$R$2:$R$1994,0)),"-")</f>
        <v>-</v>
      </c>
      <c r="H726" s="17" t="str">
        <f>IFERROR(IF(INDEX(Movimientos!$M$2:$M$1994,MATCH(A726&amp;"ENTRADA",Movimientos!$R$2:$R$1994,0))=0,"S/D",INDEX(Movimientos!$M$2:$M$1994,MATCH(A726&amp;"ENTRADA",Movimientos!$R$2:$R$1994,0))),"S/D")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3002</v>
      </c>
      <c r="B727" s="2" t="str">
        <f>IFERROR(INDEX(Movimientos!$C$2:$C$1994,MATCH(A727&amp;"ENTRADA",Movimientos!$R$2:$R$1994,0)),"-")</f>
        <v>-</v>
      </c>
      <c r="C727" s="2" t="str">
        <f>IFERROR(INDEX(Movimientos!$D$2:$D$1994,MATCH(A727&amp;"ENTRADA",Movimientos!$R$2:$R$1994,0)),"-")</f>
        <v>-</v>
      </c>
      <c r="D727" s="2" t="str">
        <f>IFERROR(INDEX(Movimientos!$E$2:$E$1994,MATCH(A727&amp;"ENTRADA",Movimientos!$R$2:$R$1994,0)),"-")</f>
        <v>-</v>
      </c>
      <c r="E727" s="2" t="str">
        <f>IFERROR(INDEX(Movimientos!$F$2:$F$1994,MATCH(A727&amp;"ENTRADA",Movimientos!$R$2:$R$1994,0)),"-")</f>
        <v>-</v>
      </c>
      <c r="F727" s="2" t="str">
        <f>IFERROR(INDEX(Movimientos!$G$2:$G$1994,MATCH(A727&amp;"ENTRADA",Movimientos!$R$2:$R$1994,0)),"-")</f>
        <v>-</v>
      </c>
      <c r="G727" s="2" t="str">
        <f>IFERROR(INDEX(Movimientos!$L$2:$L$1994,MATCH(A727&amp;"ENTRADA",Movimientos!$R$2:$R$1994,0)),"-")</f>
        <v>-</v>
      </c>
      <c r="H727" s="17" t="str">
        <f>IFERROR(IF(INDEX(Movimientos!$M$2:$M$1994,MATCH(A727&amp;"ENTRADA",Movimientos!$R$2:$R$1994,0))=0,"S/D",INDEX(Movimientos!$M$2:$M$1994,MATCH(A727&amp;"ENTRADA",Movimientos!$R$2:$R$1994,0))),"S/D")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3003</v>
      </c>
      <c r="B728" s="2" t="str">
        <f>IFERROR(INDEX(Movimientos!$C$2:$C$1994,MATCH(A728&amp;"ENTRADA",Movimientos!$R$2:$R$1994,0)),"-")</f>
        <v>-</v>
      </c>
      <c r="C728" s="2" t="str">
        <f>IFERROR(INDEX(Movimientos!$D$2:$D$1994,MATCH(A728&amp;"ENTRADA",Movimientos!$R$2:$R$1994,0)),"-")</f>
        <v>-</v>
      </c>
      <c r="D728" s="2" t="str">
        <f>IFERROR(INDEX(Movimientos!$E$2:$E$1994,MATCH(A728&amp;"ENTRADA",Movimientos!$R$2:$R$1994,0)),"-")</f>
        <v>-</v>
      </c>
      <c r="E728" s="2" t="str">
        <f>IFERROR(INDEX(Movimientos!$F$2:$F$1994,MATCH(A728&amp;"ENTRADA",Movimientos!$R$2:$R$1994,0)),"-")</f>
        <v>-</v>
      </c>
      <c r="F728" s="2" t="str">
        <f>IFERROR(INDEX(Movimientos!$G$2:$G$1994,MATCH(A728&amp;"ENTRADA",Movimientos!$R$2:$R$1994,0)),"-")</f>
        <v>-</v>
      </c>
      <c r="G728" s="2" t="str">
        <f>IFERROR(INDEX(Movimientos!$L$2:$L$1994,MATCH(A728&amp;"ENTRADA",Movimientos!$R$2:$R$1994,0)),"-")</f>
        <v>-</v>
      </c>
      <c r="H728" s="17" t="str">
        <f>IFERROR(IF(INDEX(Movimientos!$M$2:$M$1994,MATCH(A728&amp;"ENTRADA",Movimientos!$R$2:$R$1994,0))=0,"S/D",INDEX(Movimientos!$M$2:$M$1994,MATCH(A728&amp;"ENTRADA",Movimientos!$R$2:$R$1994,0))),"S/D")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3004</v>
      </c>
      <c r="B729" s="2" t="str">
        <f>IFERROR(INDEX(Movimientos!$C$2:$C$1994,MATCH(A729&amp;"ENTRADA",Movimientos!$R$2:$R$1994,0)),"-")</f>
        <v>-</v>
      </c>
      <c r="C729" s="2" t="str">
        <f>IFERROR(INDEX(Movimientos!$D$2:$D$1994,MATCH(A729&amp;"ENTRADA",Movimientos!$R$2:$R$1994,0)),"-")</f>
        <v>-</v>
      </c>
      <c r="D729" s="2" t="str">
        <f>IFERROR(INDEX(Movimientos!$E$2:$E$1994,MATCH(A729&amp;"ENTRADA",Movimientos!$R$2:$R$1994,0)),"-")</f>
        <v>-</v>
      </c>
      <c r="E729" s="2" t="str">
        <f>IFERROR(INDEX(Movimientos!$F$2:$F$1994,MATCH(A729&amp;"ENTRADA",Movimientos!$R$2:$R$1994,0)),"-")</f>
        <v>-</v>
      </c>
      <c r="F729" s="2" t="str">
        <f>IFERROR(INDEX(Movimientos!$G$2:$G$1994,MATCH(A729&amp;"ENTRADA",Movimientos!$R$2:$R$1994,0)),"-")</f>
        <v>-</v>
      </c>
      <c r="G729" s="2" t="str">
        <f>IFERROR(INDEX(Movimientos!$L$2:$L$1994,MATCH(A729&amp;"ENTRADA",Movimientos!$R$2:$R$1994,0)),"-")</f>
        <v>-</v>
      </c>
      <c r="H729" s="17" t="str">
        <f>IFERROR(IF(INDEX(Movimientos!$M$2:$M$1994,MATCH(A729&amp;"ENTRADA",Movimientos!$R$2:$R$1994,0))=0,"S/D",INDEX(Movimientos!$M$2:$M$1994,MATCH(A729&amp;"ENTRADA",Movimientos!$R$2:$R$1994,0))),"S/D")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3005</v>
      </c>
      <c r="B730" s="2" t="str">
        <f>IFERROR(INDEX(Movimientos!$C$2:$C$1994,MATCH(A730&amp;"ENTRADA",Movimientos!$R$2:$R$1994,0)),"-")</f>
        <v>-</v>
      </c>
      <c r="C730" s="2" t="str">
        <f>IFERROR(INDEX(Movimientos!$D$2:$D$1994,MATCH(A730&amp;"ENTRADA",Movimientos!$R$2:$R$1994,0)),"-")</f>
        <v>-</v>
      </c>
      <c r="D730" s="2" t="str">
        <f>IFERROR(INDEX(Movimientos!$E$2:$E$1994,MATCH(A730&amp;"ENTRADA",Movimientos!$R$2:$R$1994,0)),"-")</f>
        <v>-</v>
      </c>
      <c r="E730" s="2" t="str">
        <f>IFERROR(INDEX(Movimientos!$F$2:$F$1994,MATCH(A730&amp;"ENTRADA",Movimientos!$R$2:$R$1994,0)),"-")</f>
        <v>-</v>
      </c>
      <c r="F730" s="2" t="str">
        <f>IFERROR(INDEX(Movimientos!$G$2:$G$1994,MATCH(A730&amp;"ENTRADA",Movimientos!$R$2:$R$1994,0)),"-")</f>
        <v>-</v>
      </c>
      <c r="G730" s="2" t="str">
        <f>IFERROR(INDEX(Movimientos!$L$2:$L$1994,MATCH(A730&amp;"ENTRADA",Movimientos!$R$2:$R$1994,0)),"-")</f>
        <v>-</v>
      </c>
      <c r="H730" s="17" t="str">
        <f>IFERROR(IF(INDEX(Movimientos!$M$2:$M$1994,MATCH(A730&amp;"ENTRADA",Movimientos!$R$2:$R$1994,0))=0,"S/D",INDEX(Movimientos!$M$2:$M$1994,MATCH(A730&amp;"ENTRADA",Movimientos!$R$2:$R$1994,0))),"S/D")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3006</v>
      </c>
      <c r="B731" s="2" t="str">
        <f>IFERROR(INDEX(Movimientos!$C$2:$C$1994,MATCH(A731&amp;"ENTRADA",Movimientos!$R$2:$R$1994,0)),"-")</f>
        <v>-</v>
      </c>
      <c r="C731" s="2" t="str">
        <f>IFERROR(INDEX(Movimientos!$D$2:$D$1994,MATCH(A731&amp;"ENTRADA",Movimientos!$R$2:$R$1994,0)),"-")</f>
        <v>-</v>
      </c>
      <c r="D731" s="2" t="str">
        <f>IFERROR(INDEX(Movimientos!$E$2:$E$1994,MATCH(A731&amp;"ENTRADA",Movimientos!$R$2:$R$1994,0)),"-")</f>
        <v>-</v>
      </c>
      <c r="E731" s="2" t="str">
        <f>IFERROR(INDEX(Movimientos!$F$2:$F$1994,MATCH(A731&amp;"ENTRADA",Movimientos!$R$2:$R$1994,0)),"-")</f>
        <v>-</v>
      </c>
      <c r="F731" s="2" t="str">
        <f>IFERROR(INDEX(Movimientos!$G$2:$G$1994,MATCH(A731&amp;"ENTRADA",Movimientos!$R$2:$R$1994,0)),"-")</f>
        <v>-</v>
      </c>
      <c r="G731" s="2" t="str">
        <f>IFERROR(INDEX(Movimientos!$L$2:$L$1994,MATCH(A731&amp;"ENTRADA",Movimientos!$R$2:$R$1994,0)),"-")</f>
        <v>-</v>
      </c>
      <c r="H731" s="17" t="str">
        <f>IFERROR(IF(INDEX(Movimientos!$M$2:$M$1994,MATCH(A731&amp;"ENTRADA",Movimientos!$R$2:$R$1994,0))=0,"S/D",INDEX(Movimientos!$M$2:$M$1994,MATCH(A731&amp;"ENTRADA",Movimientos!$R$2:$R$1994,0))),"S/D")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3007</v>
      </c>
      <c r="B732" s="2" t="str">
        <f>IFERROR(INDEX(Movimientos!$C$2:$C$1994,MATCH(A732&amp;"ENTRADA",Movimientos!$R$2:$R$1994,0)),"-")</f>
        <v>-</v>
      </c>
      <c r="C732" s="2" t="str">
        <f>IFERROR(INDEX(Movimientos!$D$2:$D$1994,MATCH(A732&amp;"ENTRADA",Movimientos!$R$2:$R$1994,0)),"-")</f>
        <v>-</v>
      </c>
      <c r="D732" s="2" t="str">
        <f>IFERROR(INDEX(Movimientos!$E$2:$E$1994,MATCH(A732&amp;"ENTRADA",Movimientos!$R$2:$R$1994,0)),"-")</f>
        <v>-</v>
      </c>
      <c r="E732" s="2" t="str">
        <f>IFERROR(INDEX(Movimientos!$F$2:$F$1994,MATCH(A732&amp;"ENTRADA",Movimientos!$R$2:$R$1994,0)),"-")</f>
        <v>-</v>
      </c>
      <c r="F732" s="2" t="str">
        <f>IFERROR(INDEX(Movimientos!$G$2:$G$1994,MATCH(A732&amp;"ENTRADA",Movimientos!$R$2:$R$1994,0)),"-")</f>
        <v>-</v>
      </c>
      <c r="G732" s="2" t="str">
        <f>IFERROR(INDEX(Movimientos!$L$2:$L$1994,MATCH(A732&amp;"ENTRADA",Movimientos!$R$2:$R$1994,0)),"-")</f>
        <v>-</v>
      </c>
      <c r="H732" s="17" t="str">
        <f>IFERROR(IF(INDEX(Movimientos!$M$2:$M$1994,MATCH(A732&amp;"ENTRADA",Movimientos!$R$2:$R$1994,0))=0,"S/D",INDEX(Movimientos!$M$2:$M$1994,MATCH(A732&amp;"ENTRADA",Movimientos!$R$2:$R$1994,0))),"S/D")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3008</v>
      </c>
      <c r="B733" s="2" t="str">
        <f>IFERROR(INDEX(Movimientos!$C$2:$C$1994,MATCH(A733&amp;"ENTRADA",Movimientos!$R$2:$R$1994,0)),"-")</f>
        <v>-</v>
      </c>
      <c r="C733" s="2" t="str">
        <f>IFERROR(INDEX(Movimientos!$D$2:$D$1994,MATCH(A733&amp;"ENTRADA",Movimientos!$R$2:$R$1994,0)),"-")</f>
        <v>-</v>
      </c>
      <c r="D733" s="2" t="str">
        <f>IFERROR(INDEX(Movimientos!$E$2:$E$1994,MATCH(A733&amp;"ENTRADA",Movimientos!$R$2:$R$1994,0)),"-")</f>
        <v>-</v>
      </c>
      <c r="E733" s="2" t="str">
        <f>IFERROR(INDEX(Movimientos!$F$2:$F$1994,MATCH(A733&amp;"ENTRADA",Movimientos!$R$2:$R$1994,0)),"-")</f>
        <v>-</v>
      </c>
      <c r="F733" s="2" t="str">
        <f>IFERROR(INDEX(Movimientos!$G$2:$G$1994,MATCH(A733&amp;"ENTRADA",Movimientos!$R$2:$R$1994,0)),"-")</f>
        <v>-</v>
      </c>
      <c r="G733" s="2" t="str">
        <f>IFERROR(INDEX(Movimientos!$L$2:$L$1994,MATCH(A733&amp;"ENTRADA",Movimientos!$R$2:$R$1994,0)),"-")</f>
        <v>-</v>
      </c>
      <c r="H733" s="17" t="str">
        <f>IFERROR(IF(INDEX(Movimientos!$M$2:$M$1994,MATCH(A733&amp;"ENTRADA",Movimientos!$R$2:$R$1994,0))=0,"S/D",INDEX(Movimientos!$M$2:$M$1994,MATCH(A733&amp;"ENTRADA",Movimientos!$R$2:$R$1994,0))),"S/D")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3009</v>
      </c>
      <c r="B734" s="2" t="str">
        <f>IFERROR(INDEX(Movimientos!$C$2:$C$1994,MATCH(A734&amp;"ENTRADA",Movimientos!$R$2:$R$1994,0)),"-")</f>
        <v>-</v>
      </c>
      <c r="C734" s="2" t="str">
        <f>IFERROR(INDEX(Movimientos!$D$2:$D$1994,MATCH(A734&amp;"ENTRADA",Movimientos!$R$2:$R$1994,0)),"-")</f>
        <v>-</v>
      </c>
      <c r="D734" s="2" t="str">
        <f>IFERROR(INDEX(Movimientos!$E$2:$E$1994,MATCH(A734&amp;"ENTRADA",Movimientos!$R$2:$R$1994,0)),"-")</f>
        <v>-</v>
      </c>
      <c r="E734" s="2" t="str">
        <f>IFERROR(INDEX(Movimientos!$F$2:$F$1994,MATCH(A734&amp;"ENTRADA",Movimientos!$R$2:$R$1994,0)),"-")</f>
        <v>-</v>
      </c>
      <c r="F734" s="2" t="str">
        <f>IFERROR(INDEX(Movimientos!$G$2:$G$1994,MATCH(A734&amp;"ENTRADA",Movimientos!$R$2:$R$1994,0)),"-")</f>
        <v>-</v>
      </c>
      <c r="G734" s="2" t="str">
        <f>IFERROR(INDEX(Movimientos!$L$2:$L$1994,MATCH(A734&amp;"ENTRADA",Movimientos!$R$2:$R$1994,0)),"-")</f>
        <v>-</v>
      </c>
      <c r="H734" s="17" t="str">
        <f>IFERROR(IF(INDEX(Movimientos!$M$2:$M$1994,MATCH(A734&amp;"ENTRADA",Movimientos!$R$2:$R$1994,0))=0,"S/D",INDEX(Movimientos!$M$2:$M$1994,MATCH(A734&amp;"ENTRADA",Movimientos!$R$2:$R$1994,0))),"S/D")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3010</v>
      </c>
      <c r="B735" s="2" t="str">
        <f>IFERROR(INDEX(Movimientos!$C$2:$C$1994,MATCH(A735&amp;"ENTRADA",Movimientos!$R$2:$R$1994,0)),"-")</f>
        <v>-</v>
      </c>
      <c r="C735" s="2" t="str">
        <f>IFERROR(INDEX(Movimientos!$D$2:$D$1994,MATCH(A735&amp;"ENTRADA",Movimientos!$R$2:$R$1994,0)),"-")</f>
        <v>-</v>
      </c>
      <c r="D735" s="2" t="str">
        <f>IFERROR(INDEX(Movimientos!$E$2:$E$1994,MATCH(A735&amp;"ENTRADA",Movimientos!$R$2:$R$1994,0)),"-")</f>
        <v>-</v>
      </c>
      <c r="E735" s="2" t="str">
        <f>IFERROR(INDEX(Movimientos!$F$2:$F$1994,MATCH(A735&amp;"ENTRADA",Movimientos!$R$2:$R$1994,0)),"-")</f>
        <v>-</v>
      </c>
      <c r="F735" s="2" t="str">
        <f>IFERROR(INDEX(Movimientos!$G$2:$G$1994,MATCH(A735&amp;"ENTRADA",Movimientos!$R$2:$R$1994,0)),"-")</f>
        <v>-</v>
      </c>
      <c r="G735" s="2" t="str">
        <f>IFERROR(INDEX(Movimientos!$L$2:$L$1994,MATCH(A735&amp;"ENTRADA",Movimientos!$R$2:$R$1994,0)),"-")</f>
        <v>-</v>
      </c>
      <c r="H735" s="17" t="str">
        <f>IFERROR(IF(INDEX(Movimientos!$M$2:$M$1994,MATCH(A735&amp;"ENTRADA",Movimientos!$R$2:$R$1994,0))=0,"S/D",INDEX(Movimientos!$M$2:$M$1994,MATCH(A735&amp;"ENTRADA",Movimientos!$R$2:$R$1994,0))),"S/D")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3011</v>
      </c>
      <c r="B736" s="2" t="str">
        <f>IFERROR(INDEX(Movimientos!$C$2:$C$1994,MATCH(A736&amp;"ENTRADA",Movimientos!$R$2:$R$1994,0)),"-")</f>
        <v>-</v>
      </c>
      <c r="C736" s="2" t="str">
        <f>IFERROR(INDEX(Movimientos!$D$2:$D$1994,MATCH(A736&amp;"ENTRADA",Movimientos!$R$2:$R$1994,0)),"-")</f>
        <v>-</v>
      </c>
      <c r="D736" s="2" t="str">
        <f>IFERROR(INDEX(Movimientos!$E$2:$E$1994,MATCH(A736&amp;"ENTRADA",Movimientos!$R$2:$R$1994,0)),"-")</f>
        <v>-</v>
      </c>
      <c r="E736" s="2" t="str">
        <f>IFERROR(INDEX(Movimientos!$F$2:$F$1994,MATCH(A736&amp;"ENTRADA",Movimientos!$R$2:$R$1994,0)),"-")</f>
        <v>-</v>
      </c>
      <c r="F736" s="2" t="str">
        <f>IFERROR(INDEX(Movimientos!$G$2:$G$1994,MATCH(A736&amp;"ENTRADA",Movimientos!$R$2:$R$1994,0)),"-")</f>
        <v>-</v>
      </c>
      <c r="G736" s="2" t="str">
        <f>IFERROR(INDEX(Movimientos!$L$2:$L$1994,MATCH(A736&amp;"ENTRADA",Movimientos!$R$2:$R$1994,0)),"-")</f>
        <v>-</v>
      </c>
      <c r="H736" s="17" t="str">
        <f>IFERROR(IF(INDEX(Movimientos!$M$2:$M$1994,MATCH(A736&amp;"ENTRADA",Movimientos!$R$2:$R$1994,0))=0,"S/D",INDEX(Movimientos!$M$2:$M$1994,MATCH(A736&amp;"ENTRADA",Movimientos!$R$2:$R$1994,0))),"S/D")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3012</v>
      </c>
      <c r="B737" s="2" t="str">
        <f>IFERROR(INDEX(Movimientos!$C$2:$C$1994,MATCH(A737&amp;"ENTRADA",Movimientos!$R$2:$R$1994,0)),"-")</f>
        <v>-</v>
      </c>
      <c r="C737" s="2" t="str">
        <f>IFERROR(INDEX(Movimientos!$D$2:$D$1994,MATCH(A737&amp;"ENTRADA",Movimientos!$R$2:$R$1994,0)),"-")</f>
        <v>-</v>
      </c>
      <c r="D737" s="2" t="str">
        <f>IFERROR(INDEX(Movimientos!$E$2:$E$1994,MATCH(A737&amp;"ENTRADA",Movimientos!$R$2:$R$1994,0)),"-")</f>
        <v>-</v>
      </c>
      <c r="E737" s="2" t="str">
        <f>IFERROR(INDEX(Movimientos!$F$2:$F$1994,MATCH(A737&amp;"ENTRADA",Movimientos!$R$2:$R$1994,0)),"-")</f>
        <v>-</v>
      </c>
      <c r="F737" s="2" t="str">
        <f>IFERROR(INDEX(Movimientos!$G$2:$G$1994,MATCH(A737&amp;"ENTRADA",Movimientos!$R$2:$R$1994,0)),"-")</f>
        <v>-</v>
      </c>
      <c r="G737" s="2" t="str">
        <f>IFERROR(INDEX(Movimientos!$L$2:$L$1994,MATCH(A737&amp;"ENTRADA",Movimientos!$R$2:$R$1994,0)),"-")</f>
        <v>-</v>
      </c>
      <c r="H737" s="17" t="str">
        <f>IFERROR(IF(INDEX(Movimientos!$M$2:$M$1994,MATCH(A737&amp;"ENTRADA",Movimientos!$R$2:$R$1994,0))=0,"S/D",INDEX(Movimientos!$M$2:$M$1994,MATCH(A737&amp;"ENTRADA",Movimientos!$R$2:$R$1994,0))),"S/D")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3013</v>
      </c>
      <c r="B738" s="2" t="str">
        <f>IFERROR(INDEX(Movimientos!$C$2:$C$1994,MATCH(A738&amp;"ENTRADA",Movimientos!$R$2:$R$1994,0)),"-")</f>
        <v>-</v>
      </c>
      <c r="C738" s="2" t="str">
        <f>IFERROR(INDEX(Movimientos!$D$2:$D$1994,MATCH(A738&amp;"ENTRADA",Movimientos!$R$2:$R$1994,0)),"-")</f>
        <v>-</v>
      </c>
      <c r="D738" s="2" t="str">
        <f>IFERROR(INDEX(Movimientos!$E$2:$E$1994,MATCH(A738&amp;"ENTRADA",Movimientos!$R$2:$R$1994,0)),"-")</f>
        <v>-</v>
      </c>
      <c r="E738" s="2" t="str">
        <f>IFERROR(INDEX(Movimientos!$F$2:$F$1994,MATCH(A738&amp;"ENTRADA",Movimientos!$R$2:$R$1994,0)),"-")</f>
        <v>-</v>
      </c>
      <c r="F738" s="2" t="str">
        <f>IFERROR(INDEX(Movimientos!$G$2:$G$1994,MATCH(A738&amp;"ENTRADA",Movimientos!$R$2:$R$1994,0)),"-")</f>
        <v>-</v>
      </c>
      <c r="G738" s="2" t="str">
        <f>IFERROR(INDEX(Movimientos!$L$2:$L$1994,MATCH(A738&amp;"ENTRADA",Movimientos!$R$2:$R$1994,0)),"-")</f>
        <v>-</v>
      </c>
      <c r="H738" s="17" t="str">
        <f>IFERROR(IF(INDEX(Movimientos!$M$2:$M$1994,MATCH(A738&amp;"ENTRADA",Movimientos!$R$2:$R$1994,0))=0,"S/D",INDEX(Movimientos!$M$2:$M$1994,MATCH(A738&amp;"ENTRADA",Movimientos!$R$2:$R$1994,0))),"S/D")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3014</v>
      </c>
      <c r="B739" s="2" t="str">
        <f>IFERROR(INDEX(Movimientos!$C$2:$C$1994,MATCH(A739&amp;"ENTRADA",Movimientos!$R$2:$R$1994,0)),"-")</f>
        <v>-</v>
      </c>
      <c r="C739" s="2" t="str">
        <f>IFERROR(INDEX(Movimientos!$D$2:$D$1994,MATCH(A739&amp;"ENTRADA",Movimientos!$R$2:$R$1994,0)),"-")</f>
        <v>-</v>
      </c>
      <c r="D739" s="2" t="str">
        <f>IFERROR(INDEX(Movimientos!$E$2:$E$1994,MATCH(A739&amp;"ENTRADA",Movimientos!$R$2:$R$1994,0)),"-")</f>
        <v>-</v>
      </c>
      <c r="E739" s="2" t="str">
        <f>IFERROR(INDEX(Movimientos!$F$2:$F$1994,MATCH(A739&amp;"ENTRADA",Movimientos!$R$2:$R$1994,0)),"-")</f>
        <v>-</v>
      </c>
      <c r="F739" s="2" t="str">
        <f>IFERROR(INDEX(Movimientos!$G$2:$G$1994,MATCH(A739&amp;"ENTRADA",Movimientos!$R$2:$R$1994,0)),"-")</f>
        <v>-</v>
      </c>
      <c r="G739" s="2" t="str">
        <f>IFERROR(INDEX(Movimientos!$L$2:$L$1994,MATCH(A739&amp;"ENTRADA",Movimientos!$R$2:$R$1994,0)),"-")</f>
        <v>-</v>
      </c>
      <c r="H739" s="17" t="str">
        <f>IFERROR(IF(INDEX(Movimientos!$M$2:$M$1994,MATCH(A739&amp;"ENTRADA",Movimientos!$R$2:$R$1994,0))=0,"S/D",INDEX(Movimientos!$M$2:$M$1994,MATCH(A739&amp;"ENTRADA",Movimientos!$R$2:$R$1994,0))),"S/D")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3015</v>
      </c>
      <c r="B740" s="2" t="str">
        <f>IFERROR(INDEX(Movimientos!$C$2:$C$1994,MATCH(A740&amp;"ENTRADA",Movimientos!$R$2:$R$1994,0)),"-")</f>
        <v>-</v>
      </c>
      <c r="C740" s="2" t="str">
        <f>IFERROR(INDEX(Movimientos!$D$2:$D$1994,MATCH(A740&amp;"ENTRADA",Movimientos!$R$2:$R$1994,0)),"-")</f>
        <v>-</v>
      </c>
      <c r="D740" s="2" t="str">
        <f>IFERROR(INDEX(Movimientos!$E$2:$E$1994,MATCH(A740&amp;"ENTRADA",Movimientos!$R$2:$R$1994,0)),"-")</f>
        <v>-</v>
      </c>
      <c r="E740" s="2" t="str">
        <f>IFERROR(INDEX(Movimientos!$F$2:$F$1994,MATCH(A740&amp;"ENTRADA",Movimientos!$R$2:$R$1994,0)),"-")</f>
        <v>-</v>
      </c>
      <c r="F740" s="2" t="str">
        <f>IFERROR(INDEX(Movimientos!$G$2:$G$1994,MATCH(A740&amp;"ENTRADA",Movimientos!$R$2:$R$1994,0)),"-")</f>
        <v>-</v>
      </c>
      <c r="G740" s="2" t="str">
        <f>IFERROR(INDEX(Movimientos!$L$2:$L$1994,MATCH(A740&amp;"ENTRADA",Movimientos!$R$2:$R$1994,0)),"-")</f>
        <v>-</v>
      </c>
      <c r="H740" s="17" t="str">
        <f>IFERROR(IF(INDEX(Movimientos!$M$2:$M$1994,MATCH(A740&amp;"ENTRADA",Movimientos!$R$2:$R$1994,0))=0,"S/D",INDEX(Movimientos!$M$2:$M$1994,MATCH(A740&amp;"ENTRADA",Movimientos!$R$2:$R$1994,0))),"S/D")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3016</v>
      </c>
      <c r="B741" s="2" t="str">
        <f>IFERROR(INDEX(Movimientos!$C$2:$C$1994,MATCH(A741&amp;"ENTRADA",Movimientos!$R$2:$R$1994,0)),"-")</f>
        <v>-</v>
      </c>
      <c r="C741" s="2" t="str">
        <f>IFERROR(INDEX(Movimientos!$D$2:$D$1994,MATCH(A741&amp;"ENTRADA",Movimientos!$R$2:$R$1994,0)),"-")</f>
        <v>-</v>
      </c>
      <c r="D741" s="2" t="str">
        <f>IFERROR(INDEX(Movimientos!$E$2:$E$1994,MATCH(A741&amp;"ENTRADA",Movimientos!$R$2:$R$1994,0)),"-")</f>
        <v>-</v>
      </c>
      <c r="E741" s="2" t="str">
        <f>IFERROR(INDEX(Movimientos!$F$2:$F$1994,MATCH(A741&amp;"ENTRADA",Movimientos!$R$2:$R$1994,0)),"-")</f>
        <v>-</v>
      </c>
      <c r="F741" s="2" t="str">
        <f>IFERROR(INDEX(Movimientos!$G$2:$G$1994,MATCH(A741&amp;"ENTRADA",Movimientos!$R$2:$R$1994,0)),"-")</f>
        <v>-</v>
      </c>
      <c r="G741" s="2" t="str">
        <f>IFERROR(INDEX(Movimientos!$L$2:$L$1994,MATCH(A741&amp;"ENTRADA",Movimientos!$R$2:$R$1994,0)),"-")</f>
        <v>-</v>
      </c>
      <c r="H741" s="17" t="str">
        <f>IFERROR(IF(INDEX(Movimientos!$M$2:$M$1994,MATCH(A741&amp;"ENTRADA",Movimientos!$R$2:$R$1994,0))=0,"S/D",INDEX(Movimientos!$M$2:$M$1994,MATCH(A741&amp;"ENTRADA",Movimientos!$R$2:$R$1994,0))),"S/D")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3017</v>
      </c>
      <c r="B742" s="2" t="str">
        <f>IFERROR(INDEX(Movimientos!$C$2:$C$1994,MATCH(A742&amp;"ENTRADA",Movimientos!$R$2:$R$1994,0)),"-")</f>
        <v>-</v>
      </c>
      <c r="C742" s="2" t="str">
        <f>IFERROR(INDEX(Movimientos!$D$2:$D$1994,MATCH(A742&amp;"ENTRADA",Movimientos!$R$2:$R$1994,0)),"-")</f>
        <v>-</v>
      </c>
      <c r="D742" s="2" t="str">
        <f>IFERROR(INDEX(Movimientos!$E$2:$E$1994,MATCH(A742&amp;"ENTRADA",Movimientos!$R$2:$R$1994,0)),"-")</f>
        <v>-</v>
      </c>
      <c r="E742" s="2" t="str">
        <f>IFERROR(INDEX(Movimientos!$F$2:$F$1994,MATCH(A742&amp;"ENTRADA",Movimientos!$R$2:$R$1994,0)),"-")</f>
        <v>-</v>
      </c>
      <c r="F742" s="2" t="str">
        <f>IFERROR(INDEX(Movimientos!$G$2:$G$1994,MATCH(A742&amp;"ENTRADA",Movimientos!$R$2:$R$1994,0)),"-")</f>
        <v>-</v>
      </c>
      <c r="G742" s="2" t="str">
        <f>IFERROR(INDEX(Movimientos!$L$2:$L$1994,MATCH(A742&amp;"ENTRADA",Movimientos!$R$2:$R$1994,0)),"-")</f>
        <v>-</v>
      </c>
      <c r="H742" s="17" t="str">
        <f>IFERROR(IF(INDEX(Movimientos!$M$2:$M$1994,MATCH(A742&amp;"ENTRADA",Movimientos!$R$2:$R$1994,0))=0,"S/D",INDEX(Movimientos!$M$2:$M$1994,MATCH(A742&amp;"ENTRADA",Movimientos!$R$2:$R$1994,0))),"S/D")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3018</v>
      </c>
      <c r="B743" s="2" t="str">
        <f>IFERROR(INDEX(Movimientos!$C$2:$C$1994,MATCH(A743&amp;"ENTRADA",Movimientos!$R$2:$R$1994,0)),"-")</f>
        <v>-</v>
      </c>
      <c r="C743" s="2" t="str">
        <f>IFERROR(INDEX(Movimientos!$D$2:$D$1994,MATCH(A743&amp;"ENTRADA",Movimientos!$R$2:$R$1994,0)),"-")</f>
        <v>-</v>
      </c>
      <c r="D743" s="2" t="str">
        <f>IFERROR(INDEX(Movimientos!$E$2:$E$1994,MATCH(A743&amp;"ENTRADA",Movimientos!$R$2:$R$1994,0)),"-")</f>
        <v>-</v>
      </c>
      <c r="E743" s="2" t="str">
        <f>IFERROR(INDEX(Movimientos!$F$2:$F$1994,MATCH(A743&amp;"ENTRADA",Movimientos!$R$2:$R$1994,0)),"-")</f>
        <v>-</v>
      </c>
      <c r="F743" s="2" t="str">
        <f>IFERROR(INDEX(Movimientos!$G$2:$G$1994,MATCH(A743&amp;"ENTRADA",Movimientos!$R$2:$R$1994,0)),"-")</f>
        <v>-</v>
      </c>
      <c r="G743" s="2" t="str">
        <f>IFERROR(INDEX(Movimientos!$L$2:$L$1994,MATCH(A743&amp;"ENTRADA",Movimientos!$R$2:$R$1994,0)),"-")</f>
        <v>-</v>
      </c>
      <c r="H743" s="17" t="str">
        <f>IFERROR(IF(INDEX(Movimientos!$M$2:$M$1994,MATCH(A743&amp;"ENTRADA",Movimientos!$R$2:$R$1994,0))=0,"S/D",INDEX(Movimientos!$M$2:$M$1994,MATCH(A743&amp;"ENTRADA",Movimientos!$R$2:$R$1994,0))),"S/D")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3019</v>
      </c>
      <c r="B744" s="2" t="str">
        <f>IFERROR(INDEX(Movimientos!$C$2:$C$1994,MATCH(A744&amp;"ENTRADA",Movimientos!$R$2:$R$1994,0)),"-")</f>
        <v>-</v>
      </c>
      <c r="C744" s="2" t="str">
        <f>IFERROR(INDEX(Movimientos!$D$2:$D$1994,MATCH(A744&amp;"ENTRADA",Movimientos!$R$2:$R$1994,0)),"-")</f>
        <v>-</v>
      </c>
      <c r="D744" s="2" t="str">
        <f>IFERROR(INDEX(Movimientos!$E$2:$E$1994,MATCH(A744&amp;"ENTRADA",Movimientos!$R$2:$R$1994,0)),"-")</f>
        <v>-</v>
      </c>
      <c r="E744" s="2" t="str">
        <f>IFERROR(INDEX(Movimientos!$F$2:$F$1994,MATCH(A744&amp;"ENTRADA",Movimientos!$R$2:$R$1994,0)),"-")</f>
        <v>-</v>
      </c>
      <c r="F744" s="2" t="str">
        <f>IFERROR(INDEX(Movimientos!$G$2:$G$1994,MATCH(A744&amp;"ENTRADA",Movimientos!$R$2:$R$1994,0)),"-")</f>
        <v>-</v>
      </c>
      <c r="G744" s="2" t="str">
        <f>IFERROR(INDEX(Movimientos!$L$2:$L$1994,MATCH(A744&amp;"ENTRADA",Movimientos!$R$2:$R$1994,0)),"-")</f>
        <v>-</v>
      </c>
      <c r="H744" s="17" t="str">
        <f>IFERROR(IF(INDEX(Movimientos!$M$2:$M$1994,MATCH(A744&amp;"ENTRADA",Movimientos!$R$2:$R$1994,0))=0,"S/D",INDEX(Movimientos!$M$2:$M$1994,MATCH(A744&amp;"ENTRADA",Movimientos!$R$2:$R$1994,0))),"S/D")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3020</v>
      </c>
      <c r="B745" s="2" t="str">
        <f>IFERROR(INDEX(Movimientos!$C$2:$C$1994,MATCH(A745&amp;"ENTRADA",Movimientos!$R$2:$R$1994,0)),"-")</f>
        <v>-</v>
      </c>
      <c r="C745" s="2" t="str">
        <f>IFERROR(INDEX(Movimientos!$D$2:$D$1994,MATCH(A745&amp;"ENTRADA",Movimientos!$R$2:$R$1994,0)),"-")</f>
        <v>-</v>
      </c>
      <c r="D745" s="2" t="str">
        <f>IFERROR(INDEX(Movimientos!$E$2:$E$1994,MATCH(A745&amp;"ENTRADA",Movimientos!$R$2:$R$1994,0)),"-")</f>
        <v>-</v>
      </c>
      <c r="E745" s="2" t="str">
        <f>IFERROR(INDEX(Movimientos!$F$2:$F$1994,MATCH(A745&amp;"ENTRADA",Movimientos!$R$2:$R$1994,0)),"-")</f>
        <v>-</v>
      </c>
      <c r="F745" s="2" t="str">
        <f>IFERROR(INDEX(Movimientos!$G$2:$G$1994,MATCH(A745&amp;"ENTRADA",Movimientos!$R$2:$R$1994,0)),"-")</f>
        <v>-</v>
      </c>
      <c r="G745" s="2" t="str">
        <f>IFERROR(INDEX(Movimientos!$L$2:$L$1994,MATCH(A745&amp;"ENTRADA",Movimientos!$R$2:$R$1994,0)),"-")</f>
        <v>-</v>
      </c>
      <c r="H745" s="17" t="str">
        <f>IFERROR(IF(INDEX(Movimientos!$M$2:$M$1994,MATCH(A745&amp;"ENTRADA",Movimientos!$R$2:$R$1994,0))=0,"S/D",INDEX(Movimientos!$M$2:$M$1994,MATCH(A745&amp;"ENTRADA",Movimientos!$R$2:$R$1994,0))),"S/D")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3021</v>
      </c>
      <c r="B746" s="2" t="str">
        <f>IFERROR(INDEX(Movimientos!$C$2:$C$1994,MATCH(A746&amp;"ENTRADA",Movimientos!$R$2:$R$1994,0)),"-")</f>
        <v>-</v>
      </c>
      <c r="C746" s="2" t="str">
        <f>IFERROR(INDEX(Movimientos!$D$2:$D$1994,MATCH(A746&amp;"ENTRADA",Movimientos!$R$2:$R$1994,0)),"-")</f>
        <v>-</v>
      </c>
      <c r="D746" s="2" t="str">
        <f>IFERROR(INDEX(Movimientos!$E$2:$E$1994,MATCH(A746&amp;"ENTRADA",Movimientos!$R$2:$R$1994,0)),"-")</f>
        <v>-</v>
      </c>
      <c r="E746" s="2" t="str">
        <f>IFERROR(INDEX(Movimientos!$F$2:$F$1994,MATCH(A746&amp;"ENTRADA",Movimientos!$R$2:$R$1994,0)),"-")</f>
        <v>-</v>
      </c>
      <c r="F746" s="2" t="str">
        <f>IFERROR(INDEX(Movimientos!$G$2:$G$1994,MATCH(A746&amp;"ENTRADA",Movimientos!$R$2:$R$1994,0)),"-")</f>
        <v>-</v>
      </c>
      <c r="G746" s="2" t="str">
        <f>IFERROR(INDEX(Movimientos!$L$2:$L$1994,MATCH(A746&amp;"ENTRADA",Movimientos!$R$2:$R$1994,0)),"-")</f>
        <v>-</v>
      </c>
      <c r="H746" s="17" t="str">
        <f>IFERROR(IF(INDEX(Movimientos!$M$2:$M$1994,MATCH(A746&amp;"ENTRADA",Movimientos!$R$2:$R$1994,0))=0,"S/D",INDEX(Movimientos!$M$2:$M$1994,MATCH(A746&amp;"ENTRADA",Movimientos!$R$2:$R$1994,0))),"S/D")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3022</v>
      </c>
      <c r="B747" s="2" t="str">
        <f>IFERROR(INDEX(Movimientos!$C$2:$C$1994,MATCH(A747&amp;"ENTRADA",Movimientos!$R$2:$R$1994,0)),"-")</f>
        <v>-</v>
      </c>
      <c r="C747" s="2" t="str">
        <f>IFERROR(INDEX(Movimientos!$D$2:$D$1994,MATCH(A747&amp;"ENTRADA",Movimientos!$R$2:$R$1994,0)),"-")</f>
        <v>-</v>
      </c>
      <c r="D747" s="2" t="str">
        <f>IFERROR(INDEX(Movimientos!$E$2:$E$1994,MATCH(A747&amp;"ENTRADA",Movimientos!$R$2:$R$1994,0)),"-")</f>
        <v>-</v>
      </c>
      <c r="E747" s="2" t="str">
        <f>IFERROR(INDEX(Movimientos!$F$2:$F$1994,MATCH(A747&amp;"ENTRADA",Movimientos!$R$2:$R$1994,0)),"-")</f>
        <v>-</v>
      </c>
      <c r="F747" s="2" t="str">
        <f>IFERROR(INDEX(Movimientos!$G$2:$G$1994,MATCH(A747&amp;"ENTRADA",Movimientos!$R$2:$R$1994,0)),"-")</f>
        <v>-</v>
      </c>
      <c r="G747" s="2" t="str">
        <f>IFERROR(INDEX(Movimientos!$L$2:$L$1994,MATCH(A747&amp;"ENTRADA",Movimientos!$R$2:$R$1994,0)),"-")</f>
        <v>-</v>
      </c>
      <c r="H747" s="17" t="str">
        <f>IFERROR(IF(INDEX(Movimientos!$M$2:$M$1994,MATCH(A747&amp;"ENTRADA",Movimientos!$R$2:$R$1994,0))=0,"S/D",INDEX(Movimientos!$M$2:$M$1994,MATCH(A747&amp;"ENTRADA",Movimientos!$R$2:$R$1994,0))),"S/D")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3023</v>
      </c>
      <c r="B748" s="2" t="str">
        <f>IFERROR(INDEX(Movimientos!$C$2:$C$1994,MATCH(A748&amp;"ENTRADA",Movimientos!$R$2:$R$1994,0)),"-")</f>
        <v>-</v>
      </c>
      <c r="C748" s="2" t="str">
        <f>IFERROR(INDEX(Movimientos!$D$2:$D$1994,MATCH(A748&amp;"ENTRADA",Movimientos!$R$2:$R$1994,0)),"-")</f>
        <v>-</v>
      </c>
      <c r="D748" s="2" t="str">
        <f>IFERROR(INDEX(Movimientos!$E$2:$E$1994,MATCH(A748&amp;"ENTRADA",Movimientos!$R$2:$R$1994,0)),"-")</f>
        <v>-</v>
      </c>
      <c r="E748" s="2" t="str">
        <f>IFERROR(INDEX(Movimientos!$F$2:$F$1994,MATCH(A748&amp;"ENTRADA",Movimientos!$R$2:$R$1994,0)),"-")</f>
        <v>-</v>
      </c>
      <c r="F748" s="2" t="str">
        <f>IFERROR(INDEX(Movimientos!$G$2:$G$1994,MATCH(A748&amp;"ENTRADA",Movimientos!$R$2:$R$1994,0)),"-")</f>
        <v>-</v>
      </c>
      <c r="G748" s="2" t="str">
        <f>IFERROR(INDEX(Movimientos!$L$2:$L$1994,MATCH(A748&amp;"ENTRADA",Movimientos!$R$2:$R$1994,0)),"-")</f>
        <v>-</v>
      </c>
      <c r="H748" s="17" t="str">
        <f>IFERROR(IF(INDEX(Movimientos!$M$2:$M$1994,MATCH(A748&amp;"ENTRADA",Movimientos!$R$2:$R$1994,0))=0,"S/D",INDEX(Movimientos!$M$2:$M$1994,MATCH(A748&amp;"ENTRADA",Movimientos!$R$2:$R$1994,0))),"S/D")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3024</v>
      </c>
      <c r="B749" s="2" t="str">
        <f>IFERROR(INDEX(Movimientos!$C$2:$C$1994,MATCH(A749&amp;"ENTRADA",Movimientos!$R$2:$R$1994,0)),"-")</f>
        <v>-</v>
      </c>
      <c r="C749" s="2" t="str">
        <f>IFERROR(INDEX(Movimientos!$D$2:$D$1994,MATCH(A749&amp;"ENTRADA",Movimientos!$R$2:$R$1994,0)),"-")</f>
        <v>-</v>
      </c>
      <c r="D749" s="2" t="str">
        <f>IFERROR(INDEX(Movimientos!$E$2:$E$1994,MATCH(A749&amp;"ENTRADA",Movimientos!$R$2:$R$1994,0)),"-")</f>
        <v>-</v>
      </c>
      <c r="E749" s="2" t="str">
        <f>IFERROR(INDEX(Movimientos!$F$2:$F$1994,MATCH(A749&amp;"ENTRADA",Movimientos!$R$2:$R$1994,0)),"-")</f>
        <v>-</v>
      </c>
      <c r="F749" s="2" t="str">
        <f>IFERROR(INDEX(Movimientos!$G$2:$G$1994,MATCH(A749&amp;"ENTRADA",Movimientos!$R$2:$R$1994,0)),"-")</f>
        <v>-</v>
      </c>
      <c r="G749" s="2" t="str">
        <f>IFERROR(INDEX(Movimientos!$L$2:$L$1994,MATCH(A749&amp;"ENTRADA",Movimientos!$R$2:$R$1994,0)),"-")</f>
        <v>-</v>
      </c>
      <c r="H749" s="17" t="str">
        <f>IFERROR(IF(INDEX(Movimientos!$M$2:$M$1994,MATCH(A749&amp;"ENTRADA",Movimientos!$R$2:$R$1994,0))=0,"S/D",INDEX(Movimientos!$M$2:$M$1994,MATCH(A749&amp;"ENTRADA",Movimientos!$R$2:$R$1994,0))),"S/D")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3025</v>
      </c>
      <c r="B750" s="2" t="str">
        <f>IFERROR(INDEX(Movimientos!$C$2:$C$1994,MATCH(A750&amp;"ENTRADA",Movimientos!$R$2:$R$1994,0)),"-")</f>
        <v>-</v>
      </c>
      <c r="C750" s="2" t="str">
        <f>IFERROR(INDEX(Movimientos!$D$2:$D$1994,MATCH(A750&amp;"ENTRADA",Movimientos!$R$2:$R$1994,0)),"-")</f>
        <v>-</v>
      </c>
      <c r="D750" s="2" t="str">
        <f>IFERROR(INDEX(Movimientos!$E$2:$E$1994,MATCH(A750&amp;"ENTRADA",Movimientos!$R$2:$R$1994,0)),"-")</f>
        <v>-</v>
      </c>
      <c r="E750" s="2" t="str">
        <f>IFERROR(INDEX(Movimientos!$F$2:$F$1994,MATCH(A750&amp;"ENTRADA",Movimientos!$R$2:$R$1994,0)),"-")</f>
        <v>-</v>
      </c>
      <c r="F750" s="2" t="str">
        <f>IFERROR(INDEX(Movimientos!$G$2:$G$1994,MATCH(A750&amp;"ENTRADA",Movimientos!$R$2:$R$1994,0)),"-")</f>
        <v>-</v>
      </c>
      <c r="G750" s="2" t="str">
        <f>IFERROR(INDEX(Movimientos!$L$2:$L$1994,MATCH(A750&amp;"ENTRADA",Movimientos!$R$2:$R$1994,0)),"-")</f>
        <v>-</v>
      </c>
      <c r="H750" s="17" t="str">
        <f>IFERROR(IF(INDEX(Movimientos!$M$2:$M$1994,MATCH(A750&amp;"ENTRADA",Movimientos!$R$2:$R$1994,0))=0,"S/D",INDEX(Movimientos!$M$2:$M$1994,MATCH(A750&amp;"ENTRADA",Movimientos!$R$2:$R$1994,0))),"S/D")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3026</v>
      </c>
      <c r="B751" s="2" t="str">
        <f>IFERROR(INDEX(Movimientos!$C$2:$C$1994,MATCH(A751&amp;"ENTRADA",Movimientos!$R$2:$R$1994,0)),"-")</f>
        <v>-</v>
      </c>
      <c r="C751" s="2" t="str">
        <f>IFERROR(INDEX(Movimientos!$D$2:$D$1994,MATCH(A751&amp;"ENTRADA",Movimientos!$R$2:$R$1994,0)),"-")</f>
        <v>-</v>
      </c>
      <c r="D751" s="2" t="str">
        <f>IFERROR(INDEX(Movimientos!$E$2:$E$1994,MATCH(A751&amp;"ENTRADA",Movimientos!$R$2:$R$1994,0)),"-")</f>
        <v>-</v>
      </c>
      <c r="E751" s="2" t="str">
        <f>IFERROR(INDEX(Movimientos!$F$2:$F$1994,MATCH(A751&amp;"ENTRADA",Movimientos!$R$2:$R$1994,0)),"-")</f>
        <v>-</v>
      </c>
      <c r="F751" s="2" t="str">
        <f>IFERROR(INDEX(Movimientos!$G$2:$G$1994,MATCH(A751&amp;"ENTRADA",Movimientos!$R$2:$R$1994,0)),"-")</f>
        <v>-</v>
      </c>
      <c r="G751" s="2" t="str">
        <f>IFERROR(INDEX(Movimientos!$L$2:$L$1994,MATCH(A751&amp;"ENTRADA",Movimientos!$R$2:$R$1994,0)),"-")</f>
        <v>-</v>
      </c>
      <c r="H751" s="17" t="str">
        <f>IFERROR(IF(INDEX(Movimientos!$M$2:$M$1994,MATCH(A751&amp;"ENTRADA",Movimientos!$R$2:$R$1994,0))=0,"S/D",INDEX(Movimientos!$M$2:$M$1994,MATCH(A751&amp;"ENTRADA",Movimientos!$R$2:$R$1994,0))),"S/D")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3027</v>
      </c>
      <c r="B752" s="2" t="str">
        <f>IFERROR(INDEX(Movimientos!$C$2:$C$1994,MATCH(A752&amp;"ENTRADA",Movimientos!$R$2:$R$1994,0)),"-")</f>
        <v>-</v>
      </c>
      <c r="C752" s="2" t="str">
        <f>IFERROR(INDEX(Movimientos!$D$2:$D$1994,MATCH(A752&amp;"ENTRADA",Movimientos!$R$2:$R$1994,0)),"-")</f>
        <v>-</v>
      </c>
      <c r="D752" s="2" t="str">
        <f>IFERROR(INDEX(Movimientos!$E$2:$E$1994,MATCH(A752&amp;"ENTRADA",Movimientos!$R$2:$R$1994,0)),"-")</f>
        <v>-</v>
      </c>
      <c r="E752" s="2" t="str">
        <f>IFERROR(INDEX(Movimientos!$F$2:$F$1994,MATCH(A752&amp;"ENTRADA",Movimientos!$R$2:$R$1994,0)),"-")</f>
        <v>-</v>
      </c>
      <c r="F752" s="2" t="str">
        <f>IFERROR(INDEX(Movimientos!$G$2:$G$1994,MATCH(A752&amp;"ENTRADA",Movimientos!$R$2:$R$1994,0)),"-")</f>
        <v>-</v>
      </c>
      <c r="G752" s="2" t="str">
        <f>IFERROR(INDEX(Movimientos!$L$2:$L$1994,MATCH(A752&amp;"ENTRADA",Movimientos!$R$2:$R$1994,0)),"-")</f>
        <v>-</v>
      </c>
      <c r="H752" s="17" t="str">
        <f>IFERROR(IF(INDEX(Movimientos!$M$2:$M$1994,MATCH(A752&amp;"ENTRADA",Movimientos!$R$2:$R$1994,0))=0,"S/D",INDEX(Movimientos!$M$2:$M$1994,MATCH(A752&amp;"ENTRADA",Movimientos!$R$2:$R$1994,0))),"S/D")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3028</v>
      </c>
      <c r="B753" s="2" t="str">
        <f>IFERROR(INDEX(Movimientos!$C$2:$C$1994,MATCH(A753&amp;"ENTRADA",Movimientos!$R$2:$R$1994,0)),"-")</f>
        <v>-</v>
      </c>
      <c r="C753" s="2" t="str">
        <f>IFERROR(INDEX(Movimientos!$D$2:$D$1994,MATCH(A753&amp;"ENTRADA",Movimientos!$R$2:$R$1994,0)),"-")</f>
        <v>-</v>
      </c>
      <c r="D753" s="2" t="str">
        <f>IFERROR(INDEX(Movimientos!$E$2:$E$1994,MATCH(A753&amp;"ENTRADA",Movimientos!$R$2:$R$1994,0)),"-")</f>
        <v>-</v>
      </c>
      <c r="E753" s="2" t="str">
        <f>IFERROR(INDEX(Movimientos!$F$2:$F$1994,MATCH(A753&amp;"ENTRADA",Movimientos!$R$2:$R$1994,0)),"-")</f>
        <v>-</v>
      </c>
      <c r="F753" s="2" t="str">
        <f>IFERROR(INDEX(Movimientos!$G$2:$G$1994,MATCH(A753&amp;"ENTRADA",Movimientos!$R$2:$R$1994,0)),"-")</f>
        <v>-</v>
      </c>
      <c r="G753" s="2" t="str">
        <f>IFERROR(INDEX(Movimientos!$L$2:$L$1994,MATCH(A753&amp;"ENTRADA",Movimientos!$R$2:$R$1994,0)),"-")</f>
        <v>-</v>
      </c>
      <c r="H753" s="17" t="str">
        <f>IFERROR(IF(INDEX(Movimientos!$M$2:$M$1994,MATCH(A753&amp;"ENTRADA",Movimientos!$R$2:$R$1994,0))=0,"S/D",INDEX(Movimientos!$M$2:$M$1994,MATCH(A753&amp;"ENTRADA",Movimientos!$R$2:$R$1994,0))),"S/D")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3029</v>
      </c>
      <c r="B754" s="2" t="str">
        <f>IFERROR(INDEX(Movimientos!$C$2:$C$1994,MATCH(A754&amp;"ENTRADA",Movimientos!$R$2:$R$1994,0)),"-")</f>
        <v>-</v>
      </c>
      <c r="C754" s="2" t="str">
        <f>IFERROR(INDEX(Movimientos!$D$2:$D$1994,MATCH(A754&amp;"ENTRADA",Movimientos!$R$2:$R$1994,0)),"-")</f>
        <v>-</v>
      </c>
      <c r="D754" s="2" t="str">
        <f>IFERROR(INDEX(Movimientos!$E$2:$E$1994,MATCH(A754&amp;"ENTRADA",Movimientos!$R$2:$R$1994,0)),"-")</f>
        <v>-</v>
      </c>
      <c r="E754" s="2" t="str">
        <f>IFERROR(INDEX(Movimientos!$F$2:$F$1994,MATCH(A754&amp;"ENTRADA",Movimientos!$R$2:$R$1994,0)),"-")</f>
        <v>-</v>
      </c>
      <c r="F754" s="2" t="str">
        <f>IFERROR(INDEX(Movimientos!$G$2:$G$1994,MATCH(A754&amp;"ENTRADA",Movimientos!$R$2:$R$1994,0)),"-")</f>
        <v>-</v>
      </c>
      <c r="G754" s="2" t="str">
        <f>IFERROR(INDEX(Movimientos!$L$2:$L$1994,MATCH(A754&amp;"ENTRADA",Movimientos!$R$2:$R$1994,0)),"-")</f>
        <v>-</v>
      </c>
      <c r="H754" s="17" t="str">
        <f>IFERROR(IF(INDEX(Movimientos!$M$2:$M$1994,MATCH(A754&amp;"ENTRADA",Movimientos!$R$2:$R$1994,0))=0,"S/D",INDEX(Movimientos!$M$2:$M$1994,MATCH(A754&amp;"ENTRADA",Movimientos!$R$2:$R$1994,0))),"S/D")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3030</v>
      </c>
      <c r="B755" s="2" t="str">
        <f>IFERROR(INDEX(Movimientos!$C$2:$C$1994,MATCH(A755&amp;"ENTRADA",Movimientos!$R$2:$R$1994,0)),"-")</f>
        <v>-</v>
      </c>
      <c r="C755" s="2" t="str">
        <f>IFERROR(INDEX(Movimientos!$D$2:$D$1994,MATCH(A755&amp;"ENTRADA",Movimientos!$R$2:$R$1994,0)),"-")</f>
        <v>-</v>
      </c>
      <c r="D755" s="2" t="str">
        <f>IFERROR(INDEX(Movimientos!$E$2:$E$1994,MATCH(A755&amp;"ENTRADA",Movimientos!$R$2:$R$1994,0)),"-")</f>
        <v>-</v>
      </c>
      <c r="E755" s="2" t="str">
        <f>IFERROR(INDEX(Movimientos!$F$2:$F$1994,MATCH(A755&amp;"ENTRADA",Movimientos!$R$2:$R$1994,0)),"-")</f>
        <v>-</v>
      </c>
      <c r="F755" s="2" t="str">
        <f>IFERROR(INDEX(Movimientos!$G$2:$G$1994,MATCH(A755&amp;"ENTRADA",Movimientos!$R$2:$R$1994,0)),"-")</f>
        <v>-</v>
      </c>
      <c r="G755" s="2" t="str">
        <f>IFERROR(INDEX(Movimientos!$L$2:$L$1994,MATCH(A755&amp;"ENTRADA",Movimientos!$R$2:$R$1994,0)),"-")</f>
        <v>-</v>
      </c>
      <c r="H755" s="17" t="str">
        <f>IFERROR(IF(INDEX(Movimientos!$M$2:$M$1994,MATCH(A755&amp;"ENTRADA",Movimientos!$R$2:$R$1994,0))=0,"S/D",INDEX(Movimientos!$M$2:$M$1994,MATCH(A755&amp;"ENTRADA",Movimientos!$R$2:$R$1994,0))),"S/D")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3031</v>
      </c>
      <c r="B756" s="2" t="str">
        <f>IFERROR(INDEX(Movimientos!$C$2:$C$1994,MATCH(A756&amp;"ENTRADA",Movimientos!$R$2:$R$1994,0)),"-")</f>
        <v>-</v>
      </c>
      <c r="C756" s="2" t="str">
        <f>IFERROR(INDEX(Movimientos!$D$2:$D$1994,MATCH(A756&amp;"ENTRADA",Movimientos!$R$2:$R$1994,0)),"-")</f>
        <v>-</v>
      </c>
      <c r="D756" s="2" t="str">
        <f>IFERROR(INDEX(Movimientos!$E$2:$E$1994,MATCH(A756&amp;"ENTRADA",Movimientos!$R$2:$R$1994,0)),"-")</f>
        <v>-</v>
      </c>
      <c r="E756" s="2" t="str">
        <f>IFERROR(INDEX(Movimientos!$F$2:$F$1994,MATCH(A756&amp;"ENTRADA",Movimientos!$R$2:$R$1994,0)),"-")</f>
        <v>-</v>
      </c>
      <c r="F756" s="2" t="str">
        <f>IFERROR(INDEX(Movimientos!$G$2:$G$1994,MATCH(A756&amp;"ENTRADA",Movimientos!$R$2:$R$1994,0)),"-")</f>
        <v>-</v>
      </c>
      <c r="G756" s="2" t="str">
        <f>IFERROR(INDEX(Movimientos!$L$2:$L$1994,MATCH(A756&amp;"ENTRADA",Movimientos!$R$2:$R$1994,0)),"-")</f>
        <v>-</v>
      </c>
      <c r="H756" s="17" t="str">
        <f>IFERROR(IF(INDEX(Movimientos!$M$2:$M$1994,MATCH(A756&amp;"ENTRADA",Movimientos!$R$2:$R$1994,0))=0,"S/D",INDEX(Movimientos!$M$2:$M$1994,MATCH(A756&amp;"ENTRADA",Movimientos!$R$2:$R$1994,0))),"S/D")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3032</v>
      </c>
      <c r="B757" s="2" t="str">
        <f>IFERROR(INDEX(Movimientos!$C$2:$C$1994,MATCH(A757&amp;"ENTRADA",Movimientos!$R$2:$R$1994,0)),"-")</f>
        <v>-</v>
      </c>
      <c r="C757" s="2" t="str">
        <f>IFERROR(INDEX(Movimientos!$D$2:$D$1994,MATCH(A757&amp;"ENTRADA",Movimientos!$R$2:$R$1994,0)),"-")</f>
        <v>-</v>
      </c>
      <c r="D757" s="2" t="str">
        <f>IFERROR(INDEX(Movimientos!$E$2:$E$1994,MATCH(A757&amp;"ENTRADA",Movimientos!$R$2:$R$1994,0)),"-")</f>
        <v>-</v>
      </c>
      <c r="E757" s="2" t="str">
        <f>IFERROR(INDEX(Movimientos!$F$2:$F$1994,MATCH(A757&amp;"ENTRADA",Movimientos!$R$2:$R$1994,0)),"-")</f>
        <v>-</v>
      </c>
      <c r="F757" s="2" t="str">
        <f>IFERROR(INDEX(Movimientos!$G$2:$G$1994,MATCH(A757&amp;"ENTRADA",Movimientos!$R$2:$R$1994,0)),"-")</f>
        <v>-</v>
      </c>
      <c r="G757" s="2" t="str">
        <f>IFERROR(INDEX(Movimientos!$L$2:$L$1994,MATCH(A757&amp;"ENTRADA",Movimientos!$R$2:$R$1994,0)),"-")</f>
        <v>-</v>
      </c>
      <c r="H757" s="17" t="str">
        <f>IFERROR(IF(INDEX(Movimientos!$M$2:$M$1994,MATCH(A757&amp;"ENTRADA",Movimientos!$R$2:$R$1994,0))=0,"S/D",INDEX(Movimientos!$M$2:$M$1994,MATCH(A757&amp;"ENTRADA",Movimientos!$R$2:$R$1994,0))),"S/D")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3033</v>
      </c>
      <c r="B758" s="2" t="str">
        <f>IFERROR(INDEX(Movimientos!$C$2:$C$1994,MATCH(A758&amp;"ENTRADA",Movimientos!$R$2:$R$1994,0)),"-")</f>
        <v>-</v>
      </c>
      <c r="C758" s="2" t="str">
        <f>IFERROR(INDEX(Movimientos!$D$2:$D$1994,MATCH(A758&amp;"ENTRADA",Movimientos!$R$2:$R$1994,0)),"-")</f>
        <v>-</v>
      </c>
      <c r="D758" s="2" t="str">
        <f>IFERROR(INDEX(Movimientos!$E$2:$E$1994,MATCH(A758&amp;"ENTRADA",Movimientos!$R$2:$R$1994,0)),"-")</f>
        <v>-</v>
      </c>
      <c r="E758" s="2" t="str">
        <f>IFERROR(INDEX(Movimientos!$F$2:$F$1994,MATCH(A758&amp;"ENTRADA",Movimientos!$R$2:$R$1994,0)),"-")</f>
        <v>-</v>
      </c>
      <c r="F758" s="2" t="str">
        <f>IFERROR(INDEX(Movimientos!$G$2:$G$1994,MATCH(A758&amp;"ENTRADA",Movimientos!$R$2:$R$1994,0)),"-")</f>
        <v>-</v>
      </c>
      <c r="G758" s="2" t="str">
        <f>IFERROR(INDEX(Movimientos!$L$2:$L$1994,MATCH(A758&amp;"ENTRADA",Movimientos!$R$2:$R$1994,0)),"-")</f>
        <v>-</v>
      </c>
      <c r="H758" s="17" t="str">
        <f>IFERROR(IF(INDEX(Movimientos!$M$2:$M$1994,MATCH(A758&amp;"ENTRADA",Movimientos!$R$2:$R$1994,0))=0,"S/D",INDEX(Movimientos!$M$2:$M$1994,MATCH(A758&amp;"ENTRADA",Movimientos!$R$2:$R$1994,0))),"S/D")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3034</v>
      </c>
      <c r="B759" s="2" t="str">
        <f>IFERROR(INDEX(Movimientos!$C$2:$C$1994,MATCH(A759&amp;"ENTRADA",Movimientos!$R$2:$R$1994,0)),"-")</f>
        <v>-</v>
      </c>
      <c r="C759" s="2" t="str">
        <f>IFERROR(INDEX(Movimientos!$D$2:$D$1994,MATCH(A759&amp;"ENTRADA",Movimientos!$R$2:$R$1994,0)),"-")</f>
        <v>-</v>
      </c>
      <c r="D759" s="2" t="str">
        <f>IFERROR(INDEX(Movimientos!$E$2:$E$1994,MATCH(A759&amp;"ENTRADA",Movimientos!$R$2:$R$1994,0)),"-")</f>
        <v>-</v>
      </c>
      <c r="E759" s="2" t="str">
        <f>IFERROR(INDEX(Movimientos!$F$2:$F$1994,MATCH(A759&amp;"ENTRADA",Movimientos!$R$2:$R$1994,0)),"-")</f>
        <v>-</v>
      </c>
      <c r="F759" s="2" t="str">
        <f>IFERROR(INDEX(Movimientos!$G$2:$G$1994,MATCH(A759&amp;"ENTRADA",Movimientos!$R$2:$R$1994,0)),"-")</f>
        <v>-</v>
      </c>
      <c r="G759" s="2" t="str">
        <f>IFERROR(INDEX(Movimientos!$L$2:$L$1994,MATCH(A759&amp;"ENTRADA",Movimientos!$R$2:$R$1994,0)),"-")</f>
        <v>-</v>
      </c>
      <c r="H759" s="17" t="str">
        <f>IFERROR(IF(INDEX(Movimientos!$M$2:$M$1994,MATCH(A759&amp;"ENTRADA",Movimientos!$R$2:$R$1994,0))=0,"S/D",INDEX(Movimientos!$M$2:$M$1994,MATCH(A759&amp;"ENTRADA",Movimientos!$R$2:$R$1994,0))),"S/D")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3035</v>
      </c>
      <c r="B760" s="2" t="str">
        <f>IFERROR(INDEX(Movimientos!$C$2:$C$1994,MATCH(A760&amp;"ENTRADA",Movimientos!$R$2:$R$1994,0)),"-")</f>
        <v>-</v>
      </c>
      <c r="C760" s="2" t="str">
        <f>IFERROR(INDEX(Movimientos!$D$2:$D$1994,MATCH(A760&amp;"ENTRADA",Movimientos!$R$2:$R$1994,0)),"-")</f>
        <v>-</v>
      </c>
      <c r="D760" s="2" t="str">
        <f>IFERROR(INDEX(Movimientos!$E$2:$E$1994,MATCH(A760&amp;"ENTRADA",Movimientos!$R$2:$R$1994,0)),"-")</f>
        <v>-</v>
      </c>
      <c r="E760" s="2" t="str">
        <f>IFERROR(INDEX(Movimientos!$F$2:$F$1994,MATCH(A760&amp;"ENTRADA",Movimientos!$R$2:$R$1994,0)),"-")</f>
        <v>-</v>
      </c>
      <c r="F760" s="2" t="str">
        <f>IFERROR(INDEX(Movimientos!$G$2:$G$1994,MATCH(A760&amp;"ENTRADA",Movimientos!$R$2:$R$1994,0)),"-")</f>
        <v>-</v>
      </c>
      <c r="G760" s="2" t="str">
        <f>IFERROR(INDEX(Movimientos!$L$2:$L$1994,MATCH(A760&amp;"ENTRADA",Movimientos!$R$2:$R$1994,0)),"-")</f>
        <v>-</v>
      </c>
      <c r="H760" s="17" t="str">
        <f>IFERROR(IF(INDEX(Movimientos!$M$2:$M$1994,MATCH(A760&amp;"ENTRADA",Movimientos!$R$2:$R$1994,0))=0,"S/D",INDEX(Movimientos!$M$2:$M$1994,MATCH(A760&amp;"ENTRADA",Movimientos!$R$2:$R$1994,0))),"S/D")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3036</v>
      </c>
      <c r="B761" s="2" t="str">
        <f>IFERROR(INDEX(Movimientos!$C$2:$C$1994,MATCH(A761&amp;"ENTRADA",Movimientos!$R$2:$R$1994,0)),"-")</f>
        <v>-</v>
      </c>
      <c r="C761" s="2" t="str">
        <f>IFERROR(INDEX(Movimientos!$D$2:$D$1994,MATCH(A761&amp;"ENTRADA",Movimientos!$R$2:$R$1994,0)),"-")</f>
        <v>-</v>
      </c>
      <c r="D761" s="2" t="str">
        <f>IFERROR(INDEX(Movimientos!$E$2:$E$1994,MATCH(A761&amp;"ENTRADA",Movimientos!$R$2:$R$1994,0)),"-")</f>
        <v>-</v>
      </c>
      <c r="E761" s="2" t="str">
        <f>IFERROR(INDEX(Movimientos!$F$2:$F$1994,MATCH(A761&amp;"ENTRADA",Movimientos!$R$2:$R$1994,0)),"-")</f>
        <v>-</v>
      </c>
      <c r="F761" s="2" t="str">
        <f>IFERROR(INDEX(Movimientos!$G$2:$G$1994,MATCH(A761&amp;"ENTRADA",Movimientos!$R$2:$R$1994,0)),"-")</f>
        <v>-</v>
      </c>
      <c r="G761" s="2" t="str">
        <f>IFERROR(INDEX(Movimientos!$L$2:$L$1994,MATCH(A761&amp;"ENTRADA",Movimientos!$R$2:$R$1994,0)),"-")</f>
        <v>-</v>
      </c>
      <c r="H761" s="17" t="str">
        <f>IFERROR(IF(INDEX(Movimientos!$M$2:$M$1994,MATCH(A761&amp;"ENTRADA",Movimientos!$R$2:$R$1994,0))=0,"S/D",INDEX(Movimientos!$M$2:$M$1994,MATCH(A761&amp;"ENTRADA",Movimientos!$R$2:$R$1994,0))),"S/D")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3037</v>
      </c>
      <c r="B762" s="2" t="str">
        <f>IFERROR(INDEX(Movimientos!$C$2:$C$1994,MATCH(A762&amp;"ENTRADA",Movimientos!$R$2:$R$1994,0)),"-")</f>
        <v>-</v>
      </c>
      <c r="C762" s="2" t="str">
        <f>IFERROR(INDEX(Movimientos!$D$2:$D$1994,MATCH(A762&amp;"ENTRADA",Movimientos!$R$2:$R$1994,0)),"-")</f>
        <v>-</v>
      </c>
      <c r="D762" s="2" t="str">
        <f>IFERROR(INDEX(Movimientos!$E$2:$E$1994,MATCH(A762&amp;"ENTRADA",Movimientos!$R$2:$R$1994,0)),"-")</f>
        <v>-</v>
      </c>
      <c r="E762" s="2" t="str">
        <f>IFERROR(INDEX(Movimientos!$F$2:$F$1994,MATCH(A762&amp;"ENTRADA",Movimientos!$R$2:$R$1994,0)),"-")</f>
        <v>-</v>
      </c>
      <c r="F762" s="2" t="str">
        <f>IFERROR(INDEX(Movimientos!$G$2:$G$1994,MATCH(A762&amp;"ENTRADA",Movimientos!$R$2:$R$1994,0)),"-")</f>
        <v>-</v>
      </c>
      <c r="G762" s="2" t="str">
        <f>IFERROR(INDEX(Movimientos!$L$2:$L$1994,MATCH(A762&amp;"ENTRADA",Movimientos!$R$2:$R$1994,0)),"-")</f>
        <v>-</v>
      </c>
      <c r="H762" s="17" t="str">
        <f>IFERROR(IF(INDEX(Movimientos!$M$2:$M$1994,MATCH(A762&amp;"ENTRADA",Movimientos!$R$2:$R$1994,0))=0,"S/D",INDEX(Movimientos!$M$2:$M$1994,MATCH(A762&amp;"ENTRADA",Movimientos!$R$2:$R$1994,0))),"S/D")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3038</v>
      </c>
      <c r="B763" s="2" t="str">
        <f>IFERROR(INDEX(Movimientos!$C$2:$C$1994,MATCH(A763&amp;"ENTRADA",Movimientos!$R$2:$R$1994,0)),"-")</f>
        <v>-</v>
      </c>
      <c r="C763" s="2" t="str">
        <f>IFERROR(INDEX(Movimientos!$D$2:$D$1994,MATCH(A763&amp;"ENTRADA",Movimientos!$R$2:$R$1994,0)),"-")</f>
        <v>-</v>
      </c>
      <c r="D763" s="2" t="str">
        <f>IFERROR(INDEX(Movimientos!$E$2:$E$1994,MATCH(A763&amp;"ENTRADA",Movimientos!$R$2:$R$1994,0)),"-")</f>
        <v>-</v>
      </c>
      <c r="E763" s="2" t="str">
        <f>IFERROR(INDEX(Movimientos!$F$2:$F$1994,MATCH(A763&amp;"ENTRADA",Movimientos!$R$2:$R$1994,0)),"-")</f>
        <v>-</v>
      </c>
      <c r="F763" s="2" t="str">
        <f>IFERROR(INDEX(Movimientos!$G$2:$G$1994,MATCH(A763&amp;"ENTRADA",Movimientos!$R$2:$R$1994,0)),"-")</f>
        <v>-</v>
      </c>
      <c r="G763" s="2" t="str">
        <f>IFERROR(INDEX(Movimientos!$L$2:$L$1994,MATCH(A763&amp;"ENTRADA",Movimientos!$R$2:$R$1994,0)),"-")</f>
        <v>-</v>
      </c>
      <c r="H763" s="17" t="str">
        <f>IFERROR(IF(INDEX(Movimientos!$M$2:$M$1994,MATCH(A763&amp;"ENTRADA",Movimientos!$R$2:$R$1994,0))=0,"S/D",INDEX(Movimientos!$M$2:$M$1994,MATCH(A763&amp;"ENTRADA",Movimientos!$R$2:$R$1994,0))),"S/D")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3039</v>
      </c>
      <c r="B764" s="2" t="str">
        <f>IFERROR(INDEX(Movimientos!$C$2:$C$1994,MATCH(A764&amp;"ENTRADA",Movimientos!$R$2:$R$1994,0)),"-")</f>
        <v>-</v>
      </c>
      <c r="C764" s="2" t="str">
        <f>IFERROR(INDEX(Movimientos!$D$2:$D$1994,MATCH(A764&amp;"ENTRADA",Movimientos!$R$2:$R$1994,0)),"-")</f>
        <v>-</v>
      </c>
      <c r="D764" s="2" t="str">
        <f>IFERROR(INDEX(Movimientos!$E$2:$E$1994,MATCH(A764&amp;"ENTRADA",Movimientos!$R$2:$R$1994,0)),"-")</f>
        <v>-</v>
      </c>
      <c r="E764" s="2" t="str">
        <f>IFERROR(INDEX(Movimientos!$F$2:$F$1994,MATCH(A764&amp;"ENTRADA",Movimientos!$R$2:$R$1994,0)),"-")</f>
        <v>-</v>
      </c>
      <c r="F764" s="2" t="str">
        <f>IFERROR(INDEX(Movimientos!$G$2:$G$1994,MATCH(A764&amp;"ENTRADA",Movimientos!$R$2:$R$1994,0)),"-")</f>
        <v>-</v>
      </c>
      <c r="G764" s="2" t="str">
        <f>IFERROR(INDEX(Movimientos!$L$2:$L$1994,MATCH(A764&amp;"ENTRADA",Movimientos!$R$2:$R$1994,0)),"-")</f>
        <v>-</v>
      </c>
      <c r="H764" s="17" t="str">
        <f>IFERROR(IF(INDEX(Movimientos!$M$2:$M$1994,MATCH(A764&amp;"ENTRADA",Movimientos!$R$2:$R$1994,0))=0,"S/D",INDEX(Movimientos!$M$2:$M$1994,MATCH(A764&amp;"ENTRADA",Movimientos!$R$2:$R$1994,0))),"S/D")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3040</v>
      </c>
      <c r="B765" s="2" t="str">
        <f>IFERROR(INDEX(Movimientos!$C$2:$C$1994,MATCH(A765&amp;"ENTRADA",Movimientos!$R$2:$R$1994,0)),"-")</f>
        <v>-</v>
      </c>
      <c r="C765" s="2" t="str">
        <f>IFERROR(INDEX(Movimientos!$D$2:$D$1994,MATCH(A765&amp;"ENTRADA",Movimientos!$R$2:$R$1994,0)),"-")</f>
        <v>-</v>
      </c>
      <c r="D765" s="2" t="str">
        <f>IFERROR(INDEX(Movimientos!$E$2:$E$1994,MATCH(A765&amp;"ENTRADA",Movimientos!$R$2:$R$1994,0)),"-")</f>
        <v>-</v>
      </c>
      <c r="E765" s="2" t="str">
        <f>IFERROR(INDEX(Movimientos!$F$2:$F$1994,MATCH(A765&amp;"ENTRADA",Movimientos!$R$2:$R$1994,0)),"-")</f>
        <v>-</v>
      </c>
      <c r="F765" s="2" t="str">
        <f>IFERROR(INDEX(Movimientos!$G$2:$G$1994,MATCH(A765&amp;"ENTRADA",Movimientos!$R$2:$R$1994,0)),"-")</f>
        <v>-</v>
      </c>
      <c r="G765" s="2" t="str">
        <f>IFERROR(INDEX(Movimientos!$L$2:$L$1994,MATCH(A765&amp;"ENTRADA",Movimientos!$R$2:$R$1994,0)),"-")</f>
        <v>-</v>
      </c>
      <c r="H765" s="17" t="str">
        <f>IFERROR(IF(INDEX(Movimientos!$M$2:$M$1994,MATCH(A765&amp;"ENTRADA",Movimientos!$R$2:$R$1994,0))=0,"S/D",INDEX(Movimientos!$M$2:$M$1994,MATCH(A765&amp;"ENTRADA",Movimientos!$R$2:$R$1994,0))),"S/D")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3041</v>
      </c>
      <c r="B766" s="2" t="str">
        <f>IFERROR(INDEX(Movimientos!$C$2:$C$1994,MATCH(A766&amp;"ENTRADA",Movimientos!$R$2:$R$1994,0)),"-")</f>
        <v>-</v>
      </c>
      <c r="C766" s="2" t="str">
        <f>IFERROR(INDEX(Movimientos!$D$2:$D$1994,MATCH(A766&amp;"ENTRADA",Movimientos!$R$2:$R$1994,0)),"-")</f>
        <v>-</v>
      </c>
      <c r="D766" s="2" t="str">
        <f>IFERROR(INDEX(Movimientos!$E$2:$E$1994,MATCH(A766&amp;"ENTRADA",Movimientos!$R$2:$R$1994,0)),"-")</f>
        <v>-</v>
      </c>
      <c r="E766" s="2" t="str">
        <f>IFERROR(INDEX(Movimientos!$F$2:$F$1994,MATCH(A766&amp;"ENTRADA",Movimientos!$R$2:$R$1994,0)),"-")</f>
        <v>-</v>
      </c>
      <c r="F766" s="2" t="str">
        <f>IFERROR(INDEX(Movimientos!$G$2:$G$1994,MATCH(A766&amp;"ENTRADA",Movimientos!$R$2:$R$1994,0)),"-")</f>
        <v>-</v>
      </c>
      <c r="G766" s="2" t="str">
        <f>IFERROR(INDEX(Movimientos!$L$2:$L$1994,MATCH(A766&amp;"ENTRADA",Movimientos!$R$2:$R$1994,0)),"-")</f>
        <v>-</v>
      </c>
      <c r="H766" s="17" t="str">
        <f>IFERROR(IF(INDEX(Movimientos!$M$2:$M$1994,MATCH(A766&amp;"ENTRADA",Movimientos!$R$2:$R$1994,0))=0,"S/D",INDEX(Movimientos!$M$2:$M$1994,MATCH(A766&amp;"ENTRADA",Movimientos!$R$2:$R$1994,0))),"S/D")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3042</v>
      </c>
      <c r="B767" s="2" t="str">
        <f>IFERROR(INDEX(Movimientos!$C$2:$C$1994,MATCH(A767&amp;"ENTRADA",Movimientos!$R$2:$R$1994,0)),"-")</f>
        <v>-</v>
      </c>
      <c r="C767" s="2" t="str">
        <f>IFERROR(INDEX(Movimientos!$D$2:$D$1994,MATCH(A767&amp;"ENTRADA",Movimientos!$R$2:$R$1994,0)),"-")</f>
        <v>-</v>
      </c>
      <c r="D767" s="2" t="str">
        <f>IFERROR(INDEX(Movimientos!$E$2:$E$1994,MATCH(A767&amp;"ENTRADA",Movimientos!$R$2:$R$1994,0)),"-")</f>
        <v>-</v>
      </c>
      <c r="E767" s="2" t="str">
        <f>IFERROR(INDEX(Movimientos!$F$2:$F$1994,MATCH(A767&amp;"ENTRADA",Movimientos!$R$2:$R$1994,0)),"-")</f>
        <v>-</v>
      </c>
      <c r="F767" s="2" t="str">
        <f>IFERROR(INDEX(Movimientos!$G$2:$G$1994,MATCH(A767&amp;"ENTRADA",Movimientos!$R$2:$R$1994,0)),"-")</f>
        <v>-</v>
      </c>
      <c r="G767" s="2" t="str">
        <f>IFERROR(INDEX(Movimientos!$L$2:$L$1994,MATCH(A767&amp;"ENTRADA",Movimientos!$R$2:$R$1994,0)),"-")</f>
        <v>-</v>
      </c>
      <c r="H767" s="17" t="str">
        <f>IFERROR(IF(INDEX(Movimientos!$M$2:$M$1994,MATCH(A767&amp;"ENTRADA",Movimientos!$R$2:$R$1994,0))=0,"S/D",INDEX(Movimientos!$M$2:$M$1994,MATCH(A767&amp;"ENTRADA",Movimientos!$R$2:$R$1994,0))),"S/D")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3043</v>
      </c>
      <c r="B768" s="2" t="str">
        <f>IFERROR(INDEX(Movimientos!$C$2:$C$1994,MATCH(A768&amp;"ENTRADA",Movimientos!$R$2:$R$1994,0)),"-")</f>
        <v>-</v>
      </c>
      <c r="C768" s="2" t="str">
        <f>IFERROR(INDEX(Movimientos!$D$2:$D$1994,MATCH(A768&amp;"ENTRADA",Movimientos!$R$2:$R$1994,0)),"-")</f>
        <v>-</v>
      </c>
      <c r="D768" s="2" t="str">
        <f>IFERROR(INDEX(Movimientos!$E$2:$E$1994,MATCH(A768&amp;"ENTRADA",Movimientos!$R$2:$R$1994,0)),"-")</f>
        <v>-</v>
      </c>
      <c r="E768" s="2" t="str">
        <f>IFERROR(INDEX(Movimientos!$F$2:$F$1994,MATCH(A768&amp;"ENTRADA",Movimientos!$R$2:$R$1994,0)),"-")</f>
        <v>-</v>
      </c>
      <c r="F768" s="2" t="str">
        <f>IFERROR(INDEX(Movimientos!$G$2:$G$1994,MATCH(A768&amp;"ENTRADA",Movimientos!$R$2:$R$1994,0)),"-")</f>
        <v>-</v>
      </c>
      <c r="G768" s="2" t="str">
        <f>IFERROR(INDEX(Movimientos!$L$2:$L$1994,MATCH(A768&amp;"ENTRADA",Movimientos!$R$2:$R$1994,0)),"-")</f>
        <v>-</v>
      </c>
      <c r="H768" s="17" t="str">
        <f>IFERROR(IF(INDEX(Movimientos!$M$2:$M$1994,MATCH(A768&amp;"ENTRADA",Movimientos!$R$2:$R$1994,0))=0,"S/D",INDEX(Movimientos!$M$2:$M$1994,MATCH(A768&amp;"ENTRADA",Movimientos!$R$2:$R$1994,0))),"S/D")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3044</v>
      </c>
      <c r="B769" s="2" t="str">
        <f>IFERROR(INDEX(Movimientos!$C$2:$C$1994,MATCH(A769&amp;"ENTRADA",Movimientos!$R$2:$R$1994,0)),"-")</f>
        <v>-</v>
      </c>
      <c r="C769" s="2" t="str">
        <f>IFERROR(INDEX(Movimientos!$D$2:$D$1994,MATCH(A769&amp;"ENTRADA",Movimientos!$R$2:$R$1994,0)),"-")</f>
        <v>-</v>
      </c>
      <c r="D769" s="2" t="str">
        <f>IFERROR(INDEX(Movimientos!$E$2:$E$1994,MATCH(A769&amp;"ENTRADA",Movimientos!$R$2:$R$1994,0)),"-")</f>
        <v>-</v>
      </c>
      <c r="E769" s="2" t="str">
        <f>IFERROR(INDEX(Movimientos!$F$2:$F$1994,MATCH(A769&amp;"ENTRADA",Movimientos!$R$2:$R$1994,0)),"-")</f>
        <v>-</v>
      </c>
      <c r="F769" s="2" t="str">
        <f>IFERROR(INDEX(Movimientos!$G$2:$G$1994,MATCH(A769&amp;"ENTRADA",Movimientos!$R$2:$R$1994,0)),"-")</f>
        <v>-</v>
      </c>
      <c r="G769" s="2" t="str">
        <f>IFERROR(INDEX(Movimientos!$L$2:$L$1994,MATCH(A769&amp;"ENTRADA",Movimientos!$R$2:$R$1994,0)),"-")</f>
        <v>-</v>
      </c>
      <c r="H769" s="17" t="str">
        <f>IFERROR(IF(INDEX(Movimientos!$M$2:$M$1994,MATCH(A769&amp;"ENTRADA",Movimientos!$R$2:$R$1994,0))=0,"S/D",INDEX(Movimientos!$M$2:$M$1994,MATCH(A769&amp;"ENTRADA",Movimientos!$R$2:$R$1994,0))),"S/D")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3045</v>
      </c>
      <c r="B770" s="2" t="str">
        <f>IFERROR(INDEX(Movimientos!$C$2:$C$1994,MATCH(A770&amp;"ENTRADA",Movimientos!$R$2:$R$1994,0)),"-")</f>
        <v>-</v>
      </c>
      <c r="C770" s="2" t="str">
        <f>IFERROR(INDEX(Movimientos!$D$2:$D$1994,MATCH(A770&amp;"ENTRADA",Movimientos!$R$2:$R$1994,0)),"-")</f>
        <v>-</v>
      </c>
      <c r="D770" s="2" t="str">
        <f>IFERROR(INDEX(Movimientos!$E$2:$E$1994,MATCH(A770&amp;"ENTRADA",Movimientos!$R$2:$R$1994,0)),"-")</f>
        <v>-</v>
      </c>
      <c r="E770" s="2" t="str">
        <f>IFERROR(INDEX(Movimientos!$F$2:$F$1994,MATCH(A770&amp;"ENTRADA",Movimientos!$R$2:$R$1994,0)),"-")</f>
        <v>-</v>
      </c>
      <c r="F770" s="2" t="str">
        <f>IFERROR(INDEX(Movimientos!$G$2:$G$1994,MATCH(A770&amp;"ENTRADA",Movimientos!$R$2:$R$1994,0)),"-")</f>
        <v>-</v>
      </c>
      <c r="G770" s="2" t="str">
        <f>IFERROR(INDEX(Movimientos!$L$2:$L$1994,MATCH(A770&amp;"ENTRADA",Movimientos!$R$2:$R$1994,0)),"-")</f>
        <v>-</v>
      </c>
      <c r="H770" s="17" t="str">
        <f>IFERROR(IF(INDEX(Movimientos!$M$2:$M$1994,MATCH(A770&amp;"ENTRADA",Movimientos!$R$2:$R$1994,0))=0,"S/D",INDEX(Movimientos!$M$2:$M$1994,MATCH(A770&amp;"ENTRADA",Movimientos!$R$2:$R$1994,0))),"S/D")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3046</v>
      </c>
      <c r="B771" s="2" t="str">
        <f>IFERROR(INDEX(Movimientos!$C$2:$C$1994,MATCH(A771&amp;"ENTRADA",Movimientos!$R$2:$R$1994,0)),"-")</f>
        <v>-</v>
      </c>
      <c r="C771" s="2" t="str">
        <f>IFERROR(INDEX(Movimientos!$D$2:$D$1994,MATCH(A771&amp;"ENTRADA",Movimientos!$R$2:$R$1994,0)),"-")</f>
        <v>-</v>
      </c>
      <c r="D771" s="2" t="str">
        <f>IFERROR(INDEX(Movimientos!$E$2:$E$1994,MATCH(A771&amp;"ENTRADA",Movimientos!$R$2:$R$1994,0)),"-")</f>
        <v>-</v>
      </c>
      <c r="E771" s="2" t="str">
        <f>IFERROR(INDEX(Movimientos!$F$2:$F$1994,MATCH(A771&amp;"ENTRADA",Movimientos!$R$2:$R$1994,0)),"-")</f>
        <v>-</v>
      </c>
      <c r="F771" s="2" t="str">
        <f>IFERROR(INDEX(Movimientos!$G$2:$G$1994,MATCH(A771&amp;"ENTRADA",Movimientos!$R$2:$R$1994,0)),"-")</f>
        <v>-</v>
      </c>
      <c r="G771" s="2" t="str">
        <f>IFERROR(INDEX(Movimientos!$L$2:$L$1994,MATCH(A771&amp;"ENTRADA",Movimientos!$R$2:$R$1994,0)),"-")</f>
        <v>-</v>
      </c>
      <c r="H771" s="17" t="str">
        <f>IFERROR(IF(INDEX(Movimientos!$M$2:$M$1994,MATCH(A771&amp;"ENTRADA",Movimientos!$R$2:$R$1994,0))=0,"S/D",INDEX(Movimientos!$M$2:$M$1994,MATCH(A771&amp;"ENTRADA",Movimientos!$R$2:$R$1994,0))),"S/D")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3047</v>
      </c>
      <c r="B772" s="2" t="str">
        <f>IFERROR(INDEX(Movimientos!$C$2:$C$1994,MATCH(A772&amp;"ENTRADA",Movimientos!$R$2:$R$1994,0)),"-")</f>
        <v>-</v>
      </c>
      <c r="C772" s="2" t="str">
        <f>IFERROR(INDEX(Movimientos!$D$2:$D$1994,MATCH(A772&amp;"ENTRADA",Movimientos!$R$2:$R$1994,0)),"-")</f>
        <v>-</v>
      </c>
      <c r="D772" s="2" t="str">
        <f>IFERROR(INDEX(Movimientos!$E$2:$E$1994,MATCH(A772&amp;"ENTRADA",Movimientos!$R$2:$R$1994,0)),"-")</f>
        <v>-</v>
      </c>
      <c r="E772" s="2" t="str">
        <f>IFERROR(INDEX(Movimientos!$F$2:$F$1994,MATCH(A772&amp;"ENTRADA",Movimientos!$R$2:$R$1994,0)),"-")</f>
        <v>-</v>
      </c>
      <c r="F772" s="2" t="str">
        <f>IFERROR(INDEX(Movimientos!$G$2:$G$1994,MATCH(A772&amp;"ENTRADA",Movimientos!$R$2:$R$1994,0)),"-")</f>
        <v>-</v>
      </c>
      <c r="G772" s="2" t="str">
        <f>IFERROR(INDEX(Movimientos!$L$2:$L$1994,MATCH(A772&amp;"ENTRADA",Movimientos!$R$2:$R$1994,0)),"-")</f>
        <v>-</v>
      </c>
      <c r="H772" s="17" t="str">
        <f>IFERROR(IF(INDEX(Movimientos!$M$2:$M$1994,MATCH(A772&amp;"ENTRADA",Movimientos!$R$2:$R$1994,0))=0,"S/D",INDEX(Movimientos!$M$2:$M$1994,MATCH(A772&amp;"ENTRADA",Movimientos!$R$2:$R$1994,0))),"S/D")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3048</v>
      </c>
      <c r="B773" s="2" t="str">
        <f>IFERROR(INDEX(Movimientos!$C$2:$C$1994,MATCH(A773&amp;"ENTRADA",Movimientos!$R$2:$R$1994,0)),"-")</f>
        <v>-</v>
      </c>
      <c r="C773" s="2" t="str">
        <f>IFERROR(INDEX(Movimientos!$D$2:$D$1994,MATCH(A773&amp;"ENTRADA",Movimientos!$R$2:$R$1994,0)),"-")</f>
        <v>-</v>
      </c>
      <c r="D773" s="2" t="str">
        <f>IFERROR(INDEX(Movimientos!$E$2:$E$1994,MATCH(A773&amp;"ENTRADA",Movimientos!$R$2:$R$1994,0)),"-")</f>
        <v>-</v>
      </c>
      <c r="E773" s="2" t="str">
        <f>IFERROR(INDEX(Movimientos!$F$2:$F$1994,MATCH(A773&amp;"ENTRADA",Movimientos!$R$2:$R$1994,0)),"-")</f>
        <v>-</v>
      </c>
      <c r="F773" s="2" t="str">
        <f>IFERROR(INDEX(Movimientos!$G$2:$G$1994,MATCH(A773&amp;"ENTRADA",Movimientos!$R$2:$R$1994,0)),"-")</f>
        <v>-</v>
      </c>
      <c r="G773" s="2" t="str">
        <f>IFERROR(INDEX(Movimientos!$L$2:$L$1994,MATCH(A773&amp;"ENTRADA",Movimientos!$R$2:$R$1994,0)),"-")</f>
        <v>-</v>
      </c>
      <c r="H773" s="17" t="str">
        <f>IFERROR(IF(INDEX(Movimientos!$M$2:$M$1994,MATCH(A773&amp;"ENTRADA",Movimientos!$R$2:$R$1994,0))=0,"S/D",INDEX(Movimientos!$M$2:$M$1994,MATCH(A773&amp;"ENTRADA",Movimientos!$R$2:$R$1994,0))),"S/D")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3049</v>
      </c>
      <c r="B774" s="2" t="str">
        <f>IFERROR(INDEX(Movimientos!$C$2:$C$1994,MATCH(A774&amp;"ENTRADA",Movimientos!$R$2:$R$1994,0)),"-")</f>
        <v>-</v>
      </c>
      <c r="C774" s="2" t="str">
        <f>IFERROR(INDEX(Movimientos!$D$2:$D$1994,MATCH(A774&amp;"ENTRADA",Movimientos!$R$2:$R$1994,0)),"-")</f>
        <v>-</v>
      </c>
      <c r="D774" s="2" t="str">
        <f>IFERROR(INDEX(Movimientos!$E$2:$E$1994,MATCH(A774&amp;"ENTRADA",Movimientos!$R$2:$R$1994,0)),"-")</f>
        <v>-</v>
      </c>
      <c r="E774" s="2" t="str">
        <f>IFERROR(INDEX(Movimientos!$F$2:$F$1994,MATCH(A774&amp;"ENTRADA",Movimientos!$R$2:$R$1994,0)),"-")</f>
        <v>-</v>
      </c>
      <c r="F774" s="2" t="str">
        <f>IFERROR(INDEX(Movimientos!$G$2:$G$1994,MATCH(A774&amp;"ENTRADA",Movimientos!$R$2:$R$1994,0)),"-")</f>
        <v>-</v>
      </c>
      <c r="G774" s="2" t="str">
        <f>IFERROR(INDEX(Movimientos!$L$2:$L$1994,MATCH(A774&amp;"ENTRADA",Movimientos!$R$2:$R$1994,0)),"-")</f>
        <v>-</v>
      </c>
      <c r="H774" s="17" t="str">
        <f>IFERROR(IF(INDEX(Movimientos!$M$2:$M$1994,MATCH(A774&amp;"ENTRADA",Movimientos!$R$2:$R$1994,0))=0,"S/D",INDEX(Movimientos!$M$2:$M$1994,MATCH(A774&amp;"ENTRADA",Movimientos!$R$2:$R$1994,0))),"S/D")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3050</v>
      </c>
      <c r="B775" s="2" t="str">
        <f>IFERROR(INDEX(Movimientos!$C$2:$C$1994,MATCH(A775&amp;"ENTRADA",Movimientos!$R$2:$R$1994,0)),"-")</f>
        <v>-</v>
      </c>
      <c r="C775" s="2" t="str">
        <f>IFERROR(INDEX(Movimientos!$D$2:$D$1994,MATCH(A775&amp;"ENTRADA",Movimientos!$R$2:$R$1994,0)),"-")</f>
        <v>-</v>
      </c>
      <c r="D775" s="2" t="str">
        <f>IFERROR(INDEX(Movimientos!$E$2:$E$1994,MATCH(A775&amp;"ENTRADA",Movimientos!$R$2:$R$1994,0)),"-")</f>
        <v>-</v>
      </c>
      <c r="E775" s="2" t="str">
        <f>IFERROR(INDEX(Movimientos!$F$2:$F$1994,MATCH(A775&amp;"ENTRADA",Movimientos!$R$2:$R$1994,0)),"-")</f>
        <v>-</v>
      </c>
      <c r="F775" s="2" t="str">
        <f>IFERROR(INDEX(Movimientos!$G$2:$G$1994,MATCH(A775&amp;"ENTRADA",Movimientos!$R$2:$R$1994,0)),"-")</f>
        <v>-</v>
      </c>
      <c r="G775" s="2" t="str">
        <f>IFERROR(INDEX(Movimientos!$L$2:$L$1994,MATCH(A775&amp;"ENTRADA",Movimientos!$R$2:$R$1994,0)),"-")</f>
        <v>-</v>
      </c>
      <c r="H775" s="17" t="str">
        <f>IFERROR(IF(INDEX(Movimientos!$M$2:$M$1994,MATCH(A775&amp;"ENTRADA",Movimientos!$R$2:$R$1994,0))=0,"S/D",INDEX(Movimientos!$M$2:$M$1994,MATCH(A775&amp;"ENTRADA",Movimientos!$R$2:$R$1994,0))),"S/D")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3051</v>
      </c>
      <c r="B776" s="2" t="str">
        <f>IFERROR(INDEX(Movimientos!$C$2:$C$1994,MATCH(A776&amp;"ENTRADA",Movimientos!$R$2:$R$1994,0)),"-")</f>
        <v>-</v>
      </c>
      <c r="C776" s="2" t="str">
        <f>IFERROR(INDEX(Movimientos!$D$2:$D$1994,MATCH(A776&amp;"ENTRADA",Movimientos!$R$2:$R$1994,0)),"-")</f>
        <v>-</v>
      </c>
      <c r="D776" s="2" t="str">
        <f>IFERROR(INDEX(Movimientos!$E$2:$E$1994,MATCH(A776&amp;"ENTRADA",Movimientos!$R$2:$R$1994,0)),"-")</f>
        <v>-</v>
      </c>
      <c r="E776" s="2" t="str">
        <f>IFERROR(INDEX(Movimientos!$F$2:$F$1994,MATCH(A776&amp;"ENTRADA",Movimientos!$R$2:$R$1994,0)),"-")</f>
        <v>-</v>
      </c>
      <c r="F776" s="2" t="str">
        <f>IFERROR(INDEX(Movimientos!$G$2:$G$1994,MATCH(A776&amp;"ENTRADA",Movimientos!$R$2:$R$1994,0)),"-")</f>
        <v>-</v>
      </c>
      <c r="G776" s="2" t="str">
        <f>IFERROR(INDEX(Movimientos!$L$2:$L$1994,MATCH(A776&amp;"ENTRADA",Movimientos!$R$2:$R$1994,0)),"-")</f>
        <v>-</v>
      </c>
      <c r="H776" s="17" t="str">
        <f>IFERROR(IF(INDEX(Movimientos!$M$2:$M$1994,MATCH(A776&amp;"ENTRADA",Movimientos!$R$2:$R$1994,0))=0,"S/D",INDEX(Movimientos!$M$2:$M$1994,MATCH(A776&amp;"ENTRADA",Movimientos!$R$2:$R$1994,0))),"S/D")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3052</v>
      </c>
      <c r="B777" s="2" t="str">
        <f>IFERROR(INDEX(Movimientos!$C$2:$C$1994,MATCH(A777&amp;"ENTRADA",Movimientos!$R$2:$R$1994,0)),"-")</f>
        <v>-</v>
      </c>
      <c r="C777" s="2" t="str">
        <f>IFERROR(INDEX(Movimientos!$D$2:$D$1994,MATCH(A777&amp;"ENTRADA",Movimientos!$R$2:$R$1994,0)),"-")</f>
        <v>-</v>
      </c>
      <c r="D777" s="2" t="str">
        <f>IFERROR(INDEX(Movimientos!$E$2:$E$1994,MATCH(A777&amp;"ENTRADA",Movimientos!$R$2:$R$1994,0)),"-")</f>
        <v>-</v>
      </c>
      <c r="E777" s="2" t="str">
        <f>IFERROR(INDEX(Movimientos!$F$2:$F$1994,MATCH(A777&amp;"ENTRADA",Movimientos!$R$2:$R$1994,0)),"-")</f>
        <v>-</v>
      </c>
      <c r="F777" s="2" t="str">
        <f>IFERROR(INDEX(Movimientos!$G$2:$G$1994,MATCH(A777&amp;"ENTRADA",Movimientos!$R$2:$R$1994,0)),"-")</f>
        <v>-</v>
      </c>
      <c r="G777" s="2" t="str">
        <f>IFERROR(INDEX(Movimientos!$L$2:$L$1994,MATCH(A777&amp;"ENTRADA",Movimientos!$R$2:$R$1994,0)),"-")</f>
        <v>-</v>
      </c>
      <c r="H777" s="17" t="str">
        <f>IFERROR(IF(INDEX(Movimientos!$M$2:$M$1994,MATCH(A777&amp;"ENTRADA",Movimientos!$R$2:$R$1994,0))=0,"S/D",INDEX(Movimientos!$M$2:$M$1994,MATCH(A777&amp;"ENTRADA",Movimientos!$R$2:$R$1994,0))),"S/D")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3053</v>
      </c>
      <c r="B778" s="2" t="str">
        <f>IFERROR(INDEX(Movimientos!$C$2:$C$1994,MATCH(A778&amp;"ENTRADA",Movimientos!$R$2:$R$1994,0)),"-")</f>
        <v>-</v>
      </c>
      <c r="C778" s="2" t="str">
        <f>IFERROR(INDEX(Movimientos!$D$2:$D$1994,MATCH(A778&amp;"ENTRADA",Movimientos!$R$2:$R$1994,0)),"-")</f>
        <v>-</v>
      </c>
      <c r="D778" s="2" t="str">
        <f>IFERROR(INDEX(Movimientos!$E$2:$E$1994,MATCH(A778&amp;"ENTRADA",Movimientos!$R$2:$R$1994,0)),"-")</f>
        <v>-</v>
      </c>
      <c r="E778" s="2" t="str">
        <f>IFERROR(INDEX(Movimientos!$F$2:$F$1994,MATCH(A778&amp;"ENTRADA",Movimientos!$R$2:$R$1994,0)),"-")</f>
        <v>-</v>
      </c>
      <c r="F778" s="2" t="str">
        <f>IFERROR(INDEX(Movimientos!$G$2:$G$1994,MATCH(A778&amp;"ENTRADA",Movimientos!$R$2:$R$1994,0)),"-")</f>
        <v>-</v>
      </c>
      <c r="G778" s="2" t="str">
        <f>IFERROR(INDEX(Movimientos!$L$2:$L$1994,MATCH(A778&amp;"ENTRADA",Movimientos!$R$2:$R$1994,0)),"-")</f>
        <v>-</v>
      </c>
      <c r="H778" s="17" t="str">
        <f>IFERROR(IF(INDEX(Movimientos!$M$2:$M$1994,MATCH(A778&amp;"ENTRADA",Movimientos!$R$2:$R$1994,0))=0,"S/D",INDEX(Movimientos!$M$2:$M$1994,MATCH(A778&amp;"ENTRADA",Movimientos!$R$2:$R$1994,0))),"S/D")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3054</v>
      </c>
      <c r="B779" s="2" t="str">
        <f>IFERROR(INDEX(Movimientos!$C$2:$C$1994,MATCH(A779&amp;"ENTRADA",Movimientos!$R$2:$R$1994,0)),"-")</f>
        <v>-</v>
      </c>
      <c r="C779" s="2" t="str">
        <f>IFERROR(INDEX(Movimientos!$D$2:$D$1994,MATCH(A779&amp;"ENTRADA",Movimientos!$R$2:$R$1994,0)),"-")</f>
        <v>-</v>
      </c>
      <c r="D779" s="2" t="str">
        <f>IFERROR(INDEX(Movimientos!$E$2:$E$1994,MATCH(A779&amp;"ENTRADA",Movimientos!$R$2:$R$1994,0)),"-")</f>
        <v>-</v>
      </c>
      <c r="E779" s="2" t="str">
        <f>IFERROR(INDEX(Movimientos!$F$2:$F$1994,MATCH(A779&amp;"ENTRADA",Movimientos!$R$2:$R$1994,0)),"-")</f>
        <v>-</v>
      </c>
      <c r="F779" s="2" t="str">
        <f>IFERROR(INDEX(Movimientos!$G$2:$G$1994,MATCH(A779&amp;"ENTRADA",Movimientos!$R$2:$R$1994,0)),"-")</f>
        <v>-</v>
      </c>
      <c r="G779" s="2" t="str">
        <f>IFERROR(INDEX(Movimientos!$L$2:$L$1994,MATCH(A779&amp;"ENTRADA",Movimientos!$R$2:$R$1994,0)),"-")</f>
        <v>-</v>
      </c>
      <c r="H779" s="17" t="str">
        <f>IFERROR(IF(INDEX(Movimientos!$M$2:$M$1994,MATCH(A779&amp;"ENTRADA",Movimientos!$R$2:$R$1994,0))=0,"S/D",INDEX(Movimientos!$M$2:$M$1994,MATCH(A779&amp;"ENTRADA",Movimientos!$R$2:$R$1994,0))),"S/D")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3055</v>
      </c>
      <c r="B780" s="2" t="str">
        <f>IFERROR(INDEX(Movimientos!$C$2:$C$1994,MATCH(A780&amp;"ENTRADA",Movimientos!$R$2:$R$1994,0)),"-")</f>
        <v>-</v>
      </c>
      <c r="C780" s="2" t="str">
        <f>IFERROR(INDEX(Movimientos!$D$2:$D$1994,MATCH(A780&amp;"ENTRADA",Movimientos!$R$2:$R$1994,0)),"-")</f>
        <v>-</v>
      </c>
      <c r="D780" s="2" t="str">
        <f>IFERROR(INDEX(Movimientos!$E$2:$E$1994,MATCH(A780&amp;"ENTRADA",Movimientos!$R$2:$R$1994,0)),"-")</f>
        <v>-</v>
      </c>
      <c r="E780" s="2" t="str">
        <f>IFERROR(INDEX(Movimientos!$F$2:$F$1994,MATCH(A780&amp;"ENTRADA",Movimientos!$R$2:$R$1994,0)),"-")</f>
        <v>-</v>
      </c>
      <c r="F780" s="2" t="str">
        <f>IFERROR(INDEX(Movimientos!$G$2:$G$1994,MATCH(A780&amp;"ENTRADA",Movimientos!$R$2:$R$1994,0)),"-")</f>
        <v>-</v>
      </c>
      <c r="G780" s="2" t="str">
        <f>IFERROR(INDEX(Movimientos!$L$2:$L$1994,MATCH(A780&amp;"ENTRADA",Movimientos!$R$2:$R$1994,0)),"-")</f>
        <v>-</v>
      </c>
      <c r="H780" s="17" t="str">
        <f>IFERROR(IF(INDEX(Movimientos!$M$2:$M$1994,MATCH(A780&amp;"ENTRADA",Movimientos!$R$2:$R$1994,0))=0,"S/D",INDEX(Movimientos!$M$2:$M$1994,MATCH(A780&amp;"ENTRADA",Movimientos!$R$2:$R$1994,0))),"S/D")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3056</v>
      </c>
      <c r="B781" s="2" t="str">
        <f>IFERROR(INDEX(Movimientos!$C$2:$C$1994,MATCH(A781&amp;"ENTRADA",Movimientos!$R$2:$R$1994,0)),"-")</f>
        <v>-</v>
      </c>
      <c r="C781" s="2" t="str">
        <f>IFERROR(INDEX(Movimientos!$D$2:$D$1994,MATCH(A781&amp;"ENTRADA",Movimientos!$R$2:$R$1994,0)),"-")</f>
        <v>-</v>
      </c>
      <c r="D781" s="2" t="str">
        <f>IFERROR(INDEX(Movimientos!$E$2:$E$1994,MATCH(A781&amp;"ENTRADA",Movimientos!$R$2:$R$1994,0)),"-")</f>
        <v>-</v>
      </c>
      <c r="E781" s="2" t="str">
        <f>IFERROR(INDEX(Movimientos!$F$2:$F$1994,MATCH(A781&amp;"ENTRADA",Movimientos!$R$2:$R$1994,0)),"-")</f>
        <v>-</v>
      </c>
      <c r="F781" s="2" t="str">
        <f>IFERROR(INDEX(Movimientos!$G$2:$G$1994,MATCH(A781&amp;"ENTRADA",Movimientos!$R$2:$R$1994,0)),"-")</f>
        <v>-</v>
      </c>
      <c r="G781" s="2" t="str">
        <f>IFERROR(INDEX(Movimientos!$L$2:$L$1994,MATCH(A781&amp;"ENTRADA",Movimientos!$R$2:$R$1994,0)),"-")</f>
        <v>-</v>
      </c>
      <c r="H781" s="17" t="str">
        <f>IFERROR(IF(INDEX(Movimientos!$M$2:$M$1994,MATCH(A781&amp;"ENTRADA",Movimientos!$R$2:$R$1994,0))=0,"S/D",INDEX(Movimientos!$M$2:$M$1994,MATCH(A781&amp;"ENTRADA",Movimientos!$R$2:$R$1994,0))),"S/D")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3057</v>
      </c>
      <c r="B782" s="2" t="str">
        <f>IFERROR(INDEX(Movimientos!$C$2:$C$1994,MATCH(A782&amp;"ENTRADA",Movimientos!$R$2:$R$1994,0)),"-")</f>
        <v>-</v>
      </c>
      <c r="C782" s="2" t="str">
        <f>IFERROR(INDEX(Movimientos!$D$2:$D$1994,MATCH(A782&amp;"ENTRADA",Movimientos!$R$2:$R$1994,0)),"-")</f>
        <v>-</v>
      </c>
      <c r="D782" s="2" t="str">
        <f>IFERROR(INDEX(Movimientos!$E$2:$E$1994,MATCH(A782&amp;"ENTRADA",Movimientos!$R$2:$R$1994,0)),"-")</f>
        <v>-</v>
      </c>
      <c r="E782" s="2" t="str">
        <f>IFERROR(INDEX(Movimientos!$F$2:$F$1994,MATCH(A782&amp;"ENTRADA",Movimientos!$R$2:$R$1994,0)),"-")</f>
        <v>-</v>
      </c>
      <c r="F782" s="2" t="str">
        <f>IFERROR(INDEX(Movimientos!$G$2:$G$1994,MATCH(A782&amp;"ENTRADA",Movimientos!$R$2:$R$1994,0)),"-")</f>
        <v>-</v>
      </c>
      <c r="G782" s="2" t="str">
        <f>IFERROR(INDEX(Movimientos!$L$2:$L$1994,MATCH(A782&amp;"ENTRADA",Movimientos!$R$2:$R$1994,0)),"-")</f>
        <v>-</v>
      </c>
      <c r="H782" s="17" t="str">
        <f>IFERROR(IF(INDEX(Movimientos!$M$2:$M$1994,MATCH(A782&amp;"ENTRADA",Movimientos!$R$2:$R$1994,0))=0,"S/D",INDEX(Movimientos!$M$2:$M$1994,MATCH(A782&amp;"ENTRADA",Movimientos!$R$2:$R$1994,0))),"S/D")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3058</v>
      </c>
      <c r="B783" s="2" t="str">
        <f>IFERROR(INDEX(Movimientos!$C$2:$C$1994,MATCH(A783&amp;"ENTRADA",Movimientos!$R$2:$R$1994,0)),"-")</f>
        <v>-</v>
      </c>
      <c r="C783" s="2" t="str">
        <f>IFERROR(INDEX(Movimientos!$D$2:$D$1994,MATCH(A783&amp;"ENTRADA",Movimientos!$R$2:$R$1994,0)),"-")</f>
        <v>-</v>
      </c>
      <c r="D783" s="2" t="str">
        <f>IFERROR(INDEX(Movimientos!$E$2:$E$1994,MATCH(A783&amp;"ENTRADA",Movimientos!$R$2:$R$1994,0)),"-")</f>
        <v>-</v>
      </c>
      <c r="E783" s="2" t="str">
        <f>IFERROR(INDEX(Movimientos!$F$2:$F$1994,MATCH(A783&amp;"ENTRADA",Movimientos!$R$2:$R$1994,0)),"-")</f>
        <v>-</v>
      </c>
      <c r="F783" s="2" t="str">
        <f>IFERROR(INDEX(Movimientos!$G$2:$G$1994,MATCH(A783&amp;"ENTRADA",Movimientos!$R$2:$R$1994,0)),"-")</f>
        <v>-</v>
      </c>
      <c r="G783" s="2" t="str">
        <f>IFERROR(INDEX(Movimientos!$L$2:$L$1994,MATCH(A783&amp;"ENTRADA",Movimientos!$R$2:$R$1994,0)),"-")</f>
        <v>-</v>
      </c>
      <c r="H783" s="17" t="str">
        <f>IFERROR(IF(INDEX(Movimientos!$M$2:$M$1994,MATCH(A783&amp;"ENTRADA",Movimientos!$R$2:$R$1994,0))=0,"S/D",INDEX(Movimientos!$M$2:$M$1994,MATCH(A783&amp;"ENTRADA",Movimientos!$R$2:$R$1994,0))),"S/D")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3059</v>
      </c>
      <c r="B784" s="2" t="str">
        <f>IFERROR(INDEX(Movimientos!$C$2:$C$1994,MATCH(A784&amp;"ENTRADA",Movimientos!$R$2:$R$1994,0)),"-")</f>
        <v>-</v>
      </c>
      <c r="C784" s="2" t="str">
        <f>IFERROR(INDEX(Movimientos!$D$2:$D$1994,MATCH(A784&amp;"ENTRADA",Movimientos!$R$2:$R$1994,0)),"-")</f>
        <v>-</v>
      </c>
      <c r="D784" s="2" t="str">
        <f>IFERROR(INDEX(Movimientos!$E$2:$E$1994,MATCH(A784&amp;"ENTRADA",Movimientos!$R$2:$R$1994,0)),"-")</f>
        <v>-</v>
      </c>
      <c r="E784" s="2" t="str">
        <f>IFERROR(INDEX(Movimientos!$F$2:$F$1994,MATCH(A784&amp;"ENTRADA",Movimientos!$R$2:$R$1994,0)),"-")</f>
        <v>-</v>
      </c>
      <c r="F784" s="2" t="str">
        <f>IFERROR(INDEX(Movimientos!$G$2:$G$1994,MATCH(A784&amp;"ENTRADA",Movimientos!$R$2:$R$1994,0)),"-")</f>
        <v>-</v>
      </c>
      <c r="G784" s="2" t="str">
        <f>IFERROR(INDEX(Movimientos!$L$2:$L$1994,MATCH(A784&amp;"ENTRADA",Movimientos!$R$2:$R$1994,0)),"-")</f>
        <v>-</v>
      </c>
      <c r="H784" s="17" t="str">
        <f>IFERROR(IF(INDEX(Movimientos!$M$2:$M$1994,MATCH(A784&amp;"ENTRADA",Movimientos!$R$2:$R$1994,0))=0,"S/D",INDEX(Movimientos!$M$2:$M$1994,MATCH(A784&amp;"ENTRADA",Movimientos!$R$2:$R$1994,0))),"S/D")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3060</v>
      </c>
      <c r="B785" s="2" t="str">
        <f>IFERROR(INDEX(Movimientos!$C$2:$C$1994,MATCH(A785&amp;"ENTRADA",Movimientos!$R$2:$R$1994,0)),"-")</f>
        <v>-</v>
      </c>
      <c r="C785" s="2" t="str">
        <f>IFERROR(INDEX(Movimientos!$D$2:$D$1994,MATCH(A785&amp;"ENTRADA",Movimientos!$R$2:$R$1994,0)),"-")</f>
        <v>-</v>
      </c>
      <c r="D785" s="2" t="str">
        <f>IFERROR(INDEX(Movimientos!$E$2:$E$1994,MATCH(A785&amp;"ENTRADA",Movimientos!$R$2:$R$1994,0)),"-")</f>
        <v>-</v>
      </c>
      <c r="E785" s="2" t="str">
        <f>IFERROR(INDEX(Movimientos!$F$2:$F$1994,MATCH(A785&amp;"ENTRADA",Movimientos!$R$2:$R$1994,0)),"-")</f>
        <v>-</v>
      </c>
      <c r="F785" s="2" t="str">
        <f>IFERROR(INDEX(Movimientos!$G$2:$G$1994,MATCH(A785&amp;"ENTRADA",Movimientos!$R$2:$R$1994,0)),"-")</f>
        <v>-</v>
      </c>
      <c r="G785" s="2" t="str">
        <f>IFERROR(INDEX(Movimientos!$L$2:$L$1994,MATCH(A785&amp;"ENTRADA",Movimientos!$R$2:$R$1994,0)),"-")</f>
        <v>-</v>
      </c>
      <c r="H785" s="17" t="str">
        <f>IFERROR(IF(INDEX(Movimientos!$M$2:$M$1994,MATCH(A785&amp;"ENTRADA",Movimientos!$R$2:$R$1994,0))=0,"S/D",INDEX(Movimientos!$M$2:$M$1994,MATCH(A785&amp;"ENTRADA",Movimientos!$R$2:$R$1994,0))),"S/D")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3061</v>
      </c>
      <c r="B786" s="2" t="str">
        <f>IFERROR(INDEX(Movimientos!$C$2:$C$1994,MATCH(A786&amp;"ENTRADA",Movimientos!$R$2:$R$1994,0)),"-")</f>
        <v>-</v>
      </c>
      <c r="C786" s="2" t="str">
        <f>IFERROR(INDEX(Movimientos!$D$2:$D$1994,MATCH(A786&amp;"ENTRADA",Movimientos!$R$2:$R$1994,0)),"-")</f>
        <v>-</v>
      </c>
      <c r="D786" s="2" t="str">
        <f>IFERROR(INDEX(Movimientos!$E$2:$E$1994,MATCH(A786&amp;"ENTRADA",Movimientos!$R$2:$R$1994,0)),"-")</f>
        <v>-</v>
      </c>
      <c r="E786" s="2" t="str">
        <f>IFERROR(INDEX(Movimientos!$F$2:$F$1994,MATCH(A786&amp;"ENTRADA",Movimientos!$R$2:$R$1994,0)),"-")</f>
        <v>-</v>
      </c>
      <c r="F786" s="2" t="str">
        <f>IFERROR(INDEX(Movimientos!$G$2:$G$1994,MATCH(A786&amp;"ENTRADA",Movimientos!$R$2:$R$1994,0)),"-")</f>
        <v>-</v>
      </c>
      <c r="G786" s="2" t="str">
        <f>IFERROR(INDEX(Movimientos!$L$2:$L$1994,MATCH(A786&amp;"ENTRADA",Movimientos!$R$2:$R$1994,0)),"-")</f>
        <v>-</v>
      </c>
      <c r="H786" s="17" t="str">
        <f>IFERROR(IF(INDEX(Movimientos!$M$2:$M$1994,MATCH(A786&amp;"ENTRADA",Movimientos!$R$2:$R$1994,0))=0,"S/D",INDEX(Movimientos!$M$2:$M$1994,MATCH(A786&amp;"ENTRADA",Movimientos!$R$2:$R$1994,0))),"S/D")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3062</v>
      </c>
      <c r="B787" s="2" t="str">
        <f>IFERROR(INDEX(Movimientos!$C$2:$C$1994,MATCH(A787&amp;"ENTRADA",Movimientos!$R$2:$R$1994,0)),"-")</f>
        <v>-</v>
      </c>
      <c r="C787" s="2" t="str">
        <f>IFERROR(INDEX(Movimientos!$D$2:$D$1994,MATCH(A787&amp;"ENTRADA",Movimientos!$R$2:$R$1994,0)),"-")</f>
        <v>-</v>
      </c>
      <c r="D787" s="2" t="str">
        <f>IFERROR(INDEX(Movimientos!$E$2:$E$1994,MATCH(A787&amp;"ENTRADA",Movimientos!$R$2:$R$1994,0)),"-")</f>
        <v>-</v>
      </c>
      <c r="E787" s="2" t="str">
        <f>IFERROR(INDEX(Movimientos!$F$2:$F$1994,MATCH(A787&amp;"ENTRADA",Movimientos!$R$2:$R$1994,0)),"-")</f>
        <v>-</v>
      </c>
      <c r="F787" s="2" t="str">
        <f>IFERROR(INDEX(Movimientos!$G$2:$G$1994,MATCH(A787&amp;"ENTRADA",Movimientos!$R$2:$R$1994,0)),"-")</f>
        <v>-</v>
      </c>
      <c r="G787" s="2" t="str">
        <f>IFERROR(INDEX(Movimientos!$L$2:$L$1994,MATCH(A787&amp;"ENTRADA",Movimientos!$R$2:$R$1994,0)),"-")</f>
        <v>-</v>
      </c>
      <c r="H787" s="17" t="str">
        <f>IFERROR(IF(INDEX(Movimientos!$M$2:$M$1994,MATCH(A787&amp;"ENTRADA",Movimientos!$R$2:$R$1994,0))=0,"S/D",INDEX(Movimientos!$M$2:$M$1994,MATCH(A787&amp;"ENTRADA",Movimientos!$R$2:$R$1994,0))),"S/D")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3063</v>
      </c>
      <c r="B788" s="2" t="str">
        <f>IFERROR(INDEX(Movimientos!$C$2:$C$1994,MATCH(A788&amp;"ENTRADA",Movimientos!$R$2:$R$1994,0)),"-")</f>
        <v>-</v>
      </c>
      <c r="C788" s="2" t="str">
        <f>IFERROR(INDEX(Movimientos!$D$2:$D$1994,MATCH(A788&amp;"ENTRADA",Movimientos!$R$2:$R$1994,0)),"-")</f>
        <v>-</v>
      </c>
      <c r="D788" s="2" t="str">
        <f>IFERROR(INDEX(Movimientos!$E$2:$E$1994,MATCH(A788&amp;"ENTRADA",Movimientos!$R$2:$R$1994,0)),"-")</f>
        <v>-</v>
      </c>
      <c r="E788" s="2" t="str">
        <f>IFERROR(INDEX(Movimientos!$F$2:$F$1994,MATCH(A788&amp;"ENTRADA",Movimientos!$R$2:$R$1994,0)),"-")</f>
        <v>-</v>
      </c>
      <c r="F788" s="2" t="str">
        <f>IFERROR(INDEX(Movimientos!$G$2:$G$1994,MATCH(A788&amp;"ENTRADA",Movimientos!$R$2:$R$1994,0)),"-")</f>
        <v>-</v>
      </c>
      <c r="G788" s="2" t="str">
        <f>IFERROR(INDEX(Movimientos!$L$2:$L$1994,MATCH(A788&amp;"ENTRADA",Movimientos!$R$2:$R$1994,0)),"-")</f>
        <v>-</v>
      </c>
      <c r="H788" s="17" t="str">
        <f>IFERROR(IF(INDEX(Movimientos!$M$2:$M$1994,MATCH(A788&amp;"ENTRADA",Movimientos!$R$2:$R$1994,0))=0,"S/D",INDEX(Movimientos!$M$2:$M$1994,MATCH(A788&amp;"ENTRADA",Movimientos!$R$2:$R$1994,0))),"S/D")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3064</v>
      </c>
      <c r="B789" s="2" t="str">
        <f>IFERROR(INDEX(Movimientos!$C$2:$C$1994,MATCH(A789&amp;"ENTRADA",Movimientos!$R$2:$R$1994,0)),"-")</f>
        <v>-</v>
      </c>
      <c r="C789" s="2" t="str">
        <f>IFERROR(INDEX(Movimientos!$D$2:$D$1994,MATCH(A789&amp;"ENTRADA",Movimientos!$R$2:$R$1994,0)),"-")</f>
        <v>-</v>
      </c>
      <c r="D789" s="2" t="str">
        <f>IFERROR(INDEX(Movimientos!$E$2:$E$1994,MATCH(A789&amp;"ENTRADA",Movimientos!$R$2:$R$1994,0)),"-")</f>
        <v>-</v>
      </c>
      <c r="E789" s="2" t="str">
        <f>IFERROR(INDEX(Movimientos!$F$2:$F$1994,MATCH(A789&amp;"ENTRADA",Movimientos!$R$2:$R$1994,0)),"-")</f>
        <v>-</v>
      </c>
      <c r="F789" s="2" t="str">
        <f>IFERROR(INDEX(Movimientos!$G$2:$G$1994,MATCH(A789&amp;"ENTRADA",Movimientos!$R$2:$R$1994,0)),"-")</f>
        <v>-</v>
      </c>
      <c r="G789" s="2" t="str">
        <f>IFERROR(INDEX(Movimientos!$L$2:$L$1994,MATCH(A789&amp;"ENTRADA",Movimientos!$R$2:$R$1994,0)),"-")</f>
        <v>-</v>
      </c>
      <c r="H789" s="17" t="str">
        <f>IFERROR(IF(INDEX(Movimientos!$M$2:$M$1994,MATCH(A789&amp;"ENTRADA",Movimientos!$R$2:$R$1994,0))=0,"S/D",INDEX(Movimientos!$M$2:$M$1994,MATCH(A789&amp;"ENTRADA",Movimientos!$R$2:$R$1994,0))),"S/D")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3065</v>
      </c>
      <c r="B790" s="2" t="str">
        <f>IFERROR(INDEX(Movimientos!$C$2:$C$1994,MATCH(A790&amp;"ENTRADA",Movimientos!$R$2:$R$1994,0)),"-")</f>
        <v>-</v>
      </c>
      <c r="C790" s="2" t="str">
        <f>IFERROR(INDEX(Movimientos!$D$2:$D$1994,MATCH(A790&amp;"ENTRADA",Movimientos!$R$2:$R$1994,0)),"-")</f>
        <v>-</v>
      </c>
      <c r="D790" s="2" t="str">
        <f>IFERROR(INDEX(Movimientos!$E$2:$E$1994,MATCH(A790&amp;"ENTRADA",Movimientos!$R$2:$R$1994,0)),"-")</f>
        <v>-</v>
      </c>
      <c r="E790" s="2" t="str">
        <f>IFERROR(INDEX(Movimientos!$F$2:$F$1994,MATCH(A790&amp;"ENTRADA",Movimientos!$R$2:$R$1994,0)),"-")</f>
        <v>-</v>
      </c>
      <c r="F790" s="2" t="str">
        <f>IFERROR(INDEX(Movimientos!$G$2:$G$1994,MATCH(A790&amp;"ENTRADA",Movimientos!$R$2:$R$1994,0)),"-")</f>
        <v>-</v>
      </c>
      <c r="G790" s="2" t="str">
        <f>IFERROR(INDEX(Movimientos!$L$2:$L$1994,MATCH(A790&amp;"ENTRADA",Movimientos!$R$2:$R$1994,0)),"-")</f>
        <v>-</v>
      </c>
      <c r="H790" s="17" t="str">
        <f>IFERROR(IF(INDEX(Movimientos!$M$2:$M$1994,MATCH(A790&amp;"ENTRADA",Movimientos!$R$2:$R$1994,0))=0,"S/D",INDEX(Movimientos!$M$2:$M$1994,MATCH(A790&amp;"ENTRADA",Movimientos!$R$2:$R$1994,0))),"S/D")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3066</v>
      </c>
      <c r="B791" s="2" t="str">
        <f>IFERROR(INDEX(Movimientos!$C$2:$C$1994,MATCH(A791&amp;"ENTRADA",Movimientos!$R$2:$R$1994,0)),"-")</f>
        <v>-</v>
      </c>
      <c r="C791" s="2" t="str">
        <f>IFERROR(INDEX(Movimientos!$D$2:$D$1994,MATCH(A791&amp;"ENTRADA",Movimientos!$R$2:$R$1994,0)),"-")</f>
        <v>-</v>
      </c>
      <c r="D791" s="2" t="str">
        <f>IFERROR(INDEX(Movimientos!$E$2:$E$1994,MATCH(A791&amp;"ENTRADA",Movimientos!$R$2:$R$1994,0)),"-")</f>
        <v>-</v>
      </c>
      <c r="E791" s="2" t="str">
        <f>IFERROR(INDEX(Movimientos!$F$2:$F$1994,MATCH(A791&amp;"ENTRADA",Movimientos!$R$2:$R$1994,0)),"-")</f>
        <v>-</v>
      </c>
      <c r="F791" s="2" t="str">
        <f>IFERROR(INDEX(Movimientos!$G$2:$G$1994,MATCH(A791&amp;"ENTRADA",Movimientos!$R$2:$R$1994,0)),"-")</f>
        <v>-</v>
      </c>
      <c r="G791" s="2" t="str">
        <f>IFERROR(INDEX(Movimientos!$L$2:$L$1994,MATCH(A791&amp;"ENTRADA",Movimientos!$R$2:$R$1994,0)),"-")</f>
        <v>-</v>
      </c>
      <c r="H791" s="17" t="str">
        <f>IFERROR(IF(INDEX(Movimientos!$M$2:$M$1994,MATCH(A791&amp;"ENTRADA",Movimientos!$R$2:$R$1994,0))=0,"S/D",INDEX(Movimientos!$M$2:$M$1994,MATCH(A791&amp;"ENTRADA",Movimientos!$R$2:$R$1994,0))),"S/D")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3067</v>
      </c>
      <c r="B792" s="2" t="str">
        <f>IFERROR(INDEX(Movimientos!$C$2:$C$1994,MATCH(A792&amp;"ENTRADA",Movimientos!$R$2:$R$1994,0)),"-")</f>
        <v>-</v>
      </c>
      <c r="C792" s="2" t="str">
        <f>IFERROR(INDEX(Movimientos!$D$2:$D$1994,MATCH(A792&amp;"ENTRADA",Movimientos!$R$2:$R$1994,0)),"-")</f>
        <v>-</v>
      </c>
      <c r="D792" s="2" t="str">
        <f>IFERROR(INDEX(Movimientos!$E$2:$E$1994,MATCH(A792&amp;"ENTRADA",Movimientos!$R$2:$R$1994,0)),"-")</f>
        <v>-</v>
      </c>
      <c r="E792" s="2" t="str">
        <f>IFERROR(INDEX(Movimientos!$F$2:$F$1994,MATCH(A792&amp;"ENTRADA",Movimientos!$R$2:$R$1994,0)),"-")</f>
        <v>-</v>
      </c>
      <c r="F792" s="2" t="str">
        <f>IFERROR(INDEX(Movimientos!$G$2:$G$1994,MATCH(A792&amp;"ENTRADA",Movimientos!$R$2:$R$1994,0)),"-")</f>
        <v>-</v>
      </c>
      <c r="G792" s="2" t="str">
        <f>IFERROR(INDEX(Movimientos!$L$2:$L$1994,MATCH(A792&amp;"ENTRADA",Movimientos!$R$2:$R$1994,0)),"-")</f>
        <v>-</v>
      </c>
      <c r="H792" s="17" t="str">
        <f>IFERROR(IF(INDEX(Movimientos!$M$2:$M$1994,MATCH(A792&amp;"ENTRADA",Movimientos!$R$2:$R$1994,0))=0,"S/D",INDEX(Movimientos!$M$2:$M$1994,MATCH(A792&amp;"ENTRADA",Movimientos!$R$2:$R$1994,0))),"S/D")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3068</v>
      </c>
      <c r="B793" s="2" t="str">
        <f>IFERROR(INDEX(Movimientos!$C$2:$C$1994,MATCH(A793&amp;"ENTRADA",Movimientos!$R$2:$R$1994,0)),"-")</f>
        <v>-</v>
      </c>
      <c r="C793" s="2" t="str">
        <f>IFERROR(INDEX(Movimientos!$D$2:$D$1994,MATCH(A793&amp;"ENTRADA",Movimientos!$R$2:$R$1994,0)),"-")</f>
        <v>-</v>
      </c>
      <c r="D793" s="2" t="str">
        <f>IFERROR(INDEX(Movimientos!$E$2:$E$1994,MATCH(A793&amp;"ENTRADA",Movimientos!$R$2:$R$1994,0)),"-")</f>
        <v>-</v>
      </c>
      <c r="E793" s="2" t="str">
        <f>IFERROR(INDEX(Movimientos!$F$2:$F$1994,MATCH(A793&amp;"ENTRADA",Movimientos!$R$2:$R$1994,0)),"-")</f>
        <v>-</v>
      </c>
      <c r="F793" s="2" t="str">
        <f>IFERROR(INDEX(Movimientos!$G$2:$G$1994,MATCH(A793&amp;"ENTRADA",Movimientos!$R$2:$R$1994,0)),"-")</f>
        <v>-</v>
      </c>
      <c r="G793" s="2" t="str">
        <f>IFERROR(INDEX(Movimientos!$L$2:$L$1994,MATCH(A793&amp;"ENTRADA",Movimientos!$R$2:$R$1994,0)),"-")</f>
        <v>-</v>
      </c>
      <c r="H793" s="17" t="str">
        <f>IFERROR(IF(INDEX(Movimientos!$M$2:$M$1994,MATCH(A793&amp;"ENTRADA",Movimientos!$R$2:$R$1994,0))=0,"S/D",INDEX(Movimientos!$M$2:$M$1994,MATCH(A793&amp;"ENTRADA",Movimientos!$R$2:$R$1994,0))),"S/D")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3069</v>
      </c>
      <c r="B794" s="2" t="str">
        <f>IFERROR(INDEX(Movimientos!$C$2:$C$1994,MATCH(A794&amp;"ENTRADA",Movimientos!$R$2:$R$1994,0)),"-")</f>
        <v>-</v>
      </c>
      <c r="C794" s="2" t="str">
        <f>IFERROR(INDEX(Movimientos!$D$2:$D$1994,MATCH(A794&amp;"ENTRADA",Movimientos!$R$2:$R$1994,0)),"-")</f>
        <v>-</v>
      </c>
      <c r="D794" s="2" t="str">
        <f>IFERROR(INDEX(Movimientos!$E$2:$E$1994,MATCH(A794&amp;"ENTRADA",Movimientos!$R$2:$R$1994,0)),"-")</f>
        <v>-</v>
      </c>
      <c r="E794" s="2" t="str">
        <f>IFERROR(INDEX(Movimientos!$F$2:$F$1994,MATCH(A794&amp;"ENTRADA",Movimientos!$R$2:$R$1994,0)),"-")</f>
        <v>-</v>
      </c>
      <c r="F794" s="2" t="str">
        <f>IFERROR(INDEX(Movimientos!$G$2:$G$1994,MATCH(A794&amp;"ENTRADA",Movimientos!$R$2:$R$1994,0)),"-")</f>
        <v>-</v>
      </c>
      <c r="G794" s="2" t="str">
        <f>IFERROR(INDEX(Movimientos!$L$2:$L$1994,MATCH(A794&amp;"ENTRADA",Movimientos!$R$2:$R$1994,0)),"-")</f>
        <v>-</v>
      </c>
      <c r="H794" s="17" t="str">
        <f>IFERROR(IF(INDEX(Movimientos!$M$2:$M$1994,MATCH(A794&amp;"ENTRADA",Movimientos!$R$2:$R$1994,0))=0,"S/D",INDEX(Movimientos!$M$2:$M$1994,MATCH(A794&amp;"ENTRADA",Movimientos!$R$2:$R$1994,0))),"S/D")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3070</v>
      </c>
      <c r="B795" s="2" t="str">
        <f>IFERROR(INDEX(Movimientos!$C$2:$C$1994,MATCH(A795&amp;"ENTRADA",Movimientos!$R$2:$R$1994,0)),"-")</f>
        <v>-</v>
      </c>
      <c r="C795" s="2" t="str">
        <f>IFERROR(INDEX(Movimientos!$D$2:$D$1994,MATCH(A795&amp;"ENTRADA",Movimientos!$R$2:$R$1994,0)),"-")</f>
        <v>-</v>
      </c>
      <c r="D795" s="2" t="str">
        <f>IFERROR(INDEX(Movimientos!$E$2:$E$1994,MATCH(A795&amp;"ENTRADA",Movimientos!$R$2:$R$1994,0)),"-")</f>
        <v>-</v>
      </c>
      <c r="E795" s="2" t="str">
        <f>IFERROR(INDEX(Movimientos!$F$2:$F$1994,MATCH(A795&amp;"ENTRADA",Movimientos!$R$2:$R$1994,0)),"-")</f>
        <v>-</v>
      </c>
      <c r="F795" s="2" t="str">
        <f>IFERROR(INDEX(Movimientos!$G$2:$G$1994,MATCH(A795&amp;"ENTRADA",Movimientos!$R$2:$R$1994,0)),"-")</f>
        <v>-</v>
      </c>
      <c r="G795" s="2" t="str">
        <f>IFERROR(INDEX(Movimientos!$L$2:$L$1994,MATCH(A795&amp;"ENTRADA",Movimientos!$R$2:$R$1994,0)),"-")</f>
        <v>-</v>
      </c>
      <c r="H795" s="17" t="str">
        <f>IFERROR(IF(INDEX(Movimientos!$M$2:$M$1994,MATCH(A795&amp;"ENTRADA",Movimientos!$R$2:$R$1994,0))=0,"S/D",INDEX(Movimientos!$M$2:$M$1994,MATCH(A795&amp;"ENTRADA",Movimientos!$R$2:$R$1994,0))),"S/D")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3071</v>
      </c>
      <c r="B796" s="2" t="str">
        <f>IFERROR(INDEX(Movimientos!$C$2:$C$1994,MATCH(A796&amp;"ENTRADA",Movimientos!$R$2:$R$1994,0)),"-")</f>
        <v>-</v>
      </c>
      <c r="C796" s="2" t="str">
        <f>IFERROR(INDEX(Movimientos!$D$2:$D$1994,MATCH(A796&amp;"ENTRADA",Movimientos!$R$2:$R$1994,0)),"-")</f>
        <v>-</v>
      </c>
      <c r="D796" s="2" t="str">
        <f>IFERROR(INDEX(Movimientos!$E$2:$E$1994,MATCH(A796&amp;"ENTRADA",Movimientos!$R$2:$R$1994,0)),"-")</f>
        <v>-</v>
      </c>
      <c r="E796" s="2" t="str">
        <f>IFERROR(INDEX(Movimientos!$F$2:$F$1994,MATCH(A796&amp;"ENTRADA",Movimientos!$R$2:$R$1994,0)),"-")</f>
        <v>-</v>
      </c>
      <c r="F796" s="2" t="str">
        <f>IFERROR(INDEX(Movimientos!$G$2:$G$1994,MATCH(A796&amp;"ENTRADA",Movimientos!$R$2:$R$1994,0)),"-")</f>
        <v>-</v>
      </c>
      <c r="G796" s="2" t="str">
        <f>IFERROR(INDEX(Movimientos!$L$2:$L$1994,MATCH(A796&amp;"ENTRADA",Movimientos!$R$2:$R$1994,0)),"-")</f>
        <v>-</v>
      </c>
      <c r="H796" s="17" t="str">
        <f>IFERROR(IF(INDEX(Movimientos!$M$2:$M$1994,MATCH(A796&amp;"ENTRADA",Movimientos!$R$2:$R$1994,0))=0,"S/D",INDEX(Movimientos!$M$2:$M$1994,MATCH(A796&amp;"ENTRADA",Movimientos!$R$2:$R$1994,0))),"S/D")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3072</v>
      </c>
      <c r="B797" s="2" t="str">
        <f>IFERROR(INDEX(Movimientos!$C$2:$C$1994,MATCH(A797&amp;"ENTRADA",Movimientos!$R$2:$R$1994,0)),"-")</f>
        <v>-</v>
      </c>
      <c r="C797" s="2" t="str">
        <f>IFERROR(INDEX(Movimientos!$D$2:$D$1994,MATCH(A797&amp;"ENTRADA",Movimientos!$R$2:$R$1994,0)),"-")</f>
        <v>-</v>
      </c>
      <c r="D797" s="2" t="str">
        <f>IFERROR(INDEX(Movimientos!$E$2:$E$1994,MATCH(A797&amp;"ENTRADA",Movimientos!$R$2:$R$1994,0)),"-")</f>
        <v>-</v>
      </c>
      <c r="E797" s="2" t="str">
        <f>IFERROR(INDEX(Movimientos!$F$2:$F$1994,MATCH(A797&amp;"ENTRADA",Movimientos!$R$2:$R$1994,0)),"-")</f>
        <v>-</v>
      </c>
      <c r="F797" s="2" t="str">
        <f>IFERROR(INDEX(Movimientos!$G$2:$G$1994,MATCH(A797&amp;"ENTRADA",Movimientos!$R$2:$R$1994,0)),"-")</f>
        <v>-</v>
      </c>
      <c r="G797" s="2" t="str">
        <f>IFERROR(INDEX(Movimientos!$L$2:$L$1994,MATCH(A797&amp;"ENTRADA",Movimientos!$R$2:$R$1994,0)),"-")</f>
        <v>-</v>
      </c>
      <c r="H797" s="17" t="str">
        <f>IFERROR(IF(INDEX(Movimientos!$M$2:$M$1994,MATCH(A797&amp;"ENTRADA",Movimientos!$R$2:$R$1994,0))=0,"S/D",INDEX(Movimientos!$M$2:$M$1994,MATCH(A797&amp;"ENTRADA",Movimientos!$R$2:$R$1994,0))),"S/D")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3073</v>
      </c>
      <c r="B798" s="2" t="str">
        <f>IFERROR(INDEX(Movimientos!$C$2:$C$1994,MATCH(A798&amp;"ENTRADA",Movimientos!$R$2:$R$1994,0)),"-")</f>
        <v>-</v>
      </c>
      <c r="C798" s="2" t="str">
        <f>IFERROR(INDEX(Movimientos!$D$2:$D$1994,MATCH(A798&amp;"ENTRADA",Movimientos!$R$2:$R$1994,0)),"-")</f>
        <v>-</v>
      </c>
      <c r="D798" s="2" t="str">
        <f>IFERROR(INDEX(Movimientos!$E$2:$E$1994,MATCH(A798&amp;"ENTRADA",Movimientos!$R$2:$R$1994,0)),"-")</f>
        <v>-</v>
      </c>
      <c r="E798" s="2" t="str">
        <f>IFERROR(INDEX(Movimientos!$F$2:$F$1994,MATCH(A798&amp;"ENTRADA",Movimientos!$R$2:$R$1994,0)),"-")</f>
        <v>-</v>
      </c>
      <c r="F798" s="2" t="str">
        <f>IFERROR(INDEX(Movimientos!$G$2:$G$1994,MATCH(A798&amp;"ENTRADA",Movimientos!$R$2:$R$1994,0)),"-")</f>
        <v>-</v>
      </c>
      <c r="G798" s="2" t="str">
        <f>IFERROR(INDEX(Movimientos!$L$2:$L$1994,MATCH(A798&amp;"ENTRADA",Movimientos!$R$2:$R$1994,0)),"-")</f>
        <v>-</v>
      </c>
      <c r="H798" s="17" t="str">
        <f>IFERROR(IF(INDEX(Movimientos!$M$2:$M$1994,MATCH(A798&amp;"ENTRADA",Movimientos!$R$2:$R$1994,0))=0,"S/D",INDEX(Movimientos!$M$2:$M$1994,MATCH(A798&amp;"ENTRADA",Movimientos!$R$2:$R$1994,0))),"S/D")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3074</v>
      </c>
      <c r="B799" s="2" t="str">
        <f>IFERROR(INDEX(Movimientos!$C$2:$C$1994,MATCH(A799&amp;"ENTRADA",Movimientos!$R$2:$R$1994,0)),"-")</f>
        <v>-</v>
      </c>
      <c r="C799" s="2" t="str">
        <f>IFERROR(INDEX(Movimientos!$D$2:$D$1994,MATCH(A799&amp;"ENTRADA",Movimientos!$R$2:$R$1994,0)),"-")</f>
        <v>-</v>
      </c>
      <c r="D799" s="2" t="str">
        <f>IFERROR(INDEX(Movimientos!$E$2:$E$1994,MATCH(A799&amp;"ENTRADA",Movimientos!$R$2:$R$1994,0)),"-")</f>
        <v>-</v>
      </c>
      <c r="E799" s="2" t="str">
        <f>IFERROR(INDEX(Movimientos!$F$2:$F$1994,MATCH(A799&amp;"ENTRADA",Movimientos!$R$2:$R$1994,0)),"-")</f>
        <v>-</v>
      </c>
      <c r="F799" s="2" t="str">
        <f>IFERROR(INDEX(Movimientos!$G$2:$G$1994,MATCH(A799&amp;"ENTRADA",Movimientos!$R$2:$R$1994,0)),"-")</f>
        <v>-</v>
      </c>
      <c r="G799" s="2" t="str">
        <f>IFERROR(INDEX(Movimientos!$L$2:$L$1994,MATCH(A799&amp;"ENTRADA",Movimientos!$R$2:$R$1994,0)),"-")</f>
        <v>-</v>
      </c>
      <c r="H799" s="17" t="str">
        <f>IFERROR(IF(INDEX(Movimientos!$M$2:$M$1994,MATCH(A799&amp;"ENTRADA",Movimientos!$R$2:$R$1994,0))=0,"S/D",INDEX(Movimientos!$M$2:$M$1994,MATCH(A799&amp;"ENTRADA",Movimientos!$R$2:$R$1994,0))),"S/D")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3075</v>
      </c>
      <c r="B800" s="2" t="str">
        <f>IFERROR(INDEX(Movimientos!$C$2:$C$1994,MATCH(A800&amp;"ENTRADA",Movimientos!$R$2:$R$1994,0)),"-")</f>
        <v>-</v>
      </c>
      <c r="C800" s="2" t="str">
        <f>IFERROR(INDEX(Movimientos!$D$2:$D$1994,MATCH(A800&amp;"ENTRADA",Movimientos!$R$2:$R$1994,0)),"-")</f>
        <v>-</v>
      </c>
      <c r="D800" s="2" t="str">
        <f>IFERROR(INDEX(Movimientos!$E$2:$E$1994,MATCH(A800&amp;"ENTRADA",Movimientos!$R$2:$R$1994,0)),"-")</f>
        <v>-</v>
      </c>
      <c r="E800" s="2" t="str">
        <f>IFERROR(INDEX(Movimientos!$F$2:$F$1994,MATCH(A800&amp;"ENTRADA",Movimientos!$R$2:$R$1994,0)),"-")</f>
        <v>-</v>
      </c>
      <c r="F800" s="2" t="str">
        <f>IFERROR(INDEX(Movimientos!$G$2:$G$1994,MATCH(A800&amp;"ENTRADA",Movimientos!$R$2:$R$1994,0)),"-")</f>
        <v>-</v>
      </c>
      <c r="G800" s="2" t="str">
        <f>IFERROR(INDEX(Movimientos!$L$2:$L$1994,MATCH(A800&amp;"ENTRADA",Movimientos!$R$2:$R$1994,0)),"-")</f>
        <v>-</v>
      </c>
      <c r="H800" s="17" t="str">
        <f>IFERROR(IF(INDEX(Movimientos!$M$2:$M$1994,MATCH(A800&amp;"ENTRADA",Movimientos!$R$2:$R$1994,0))=0,"S/D",INDEX(Movimientos!$M$2:$M$1994,MATCH(A800&amp;"ENTRADA",Movimientos!$R$2:$R$1994,0))),"S/D")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3076</v>
      </c>
      <c r="B801" s="2" t="str">
        <f>IFERROR(INDEX(Movimientos!$C$2:$C$1994,MATCH(A801&amp;"ENTRADA",Movimientos!$R$2:$R$1994,0)),"-")</f>
        <v>-</v>
      </c>
      <c r="C801" s="2" t="str">
        <f>IFERROR(INDEX(Movimientos!$D$2:$D$1994,MATCH(A801&amp;"ENTRADA",Movimientos!$R$2:$R$1994,0)),"-")</f>
        <v>-</v>
      </c>
      <c r="D801" s="2" t="str">
        <f>IFERROR(INDEX(Movimientos!$E$2:$E$1994,MATCH(A801&amp;"ENTRADA",Movimientos!$R$2:$R$1994,0)),"-")</f>
        <v>-</v>
      </c>
      <c r="E801" s="2" t="str">
        <f>IFERROR(INDEX(Movimientos!$F$2:$F$1994,MATCH(A801&amp;"ENTRADA",Movimientos!$R$2:$R$1994,0)),"-")</f>
        <v>-</v>
      </c>
      <c r="F801" s="2" t="str">
        <f>IFERROR(INDEX(Movimientos!$G$2:$G$1994,MATCH(A801&amp;"ENTRADA",Movimientos!$R$2:$R$1994,0)),"-")</f>
        <v>-</v>
      </c>
      <c r="G801" s="2" t="str">
        <f>IFERROR(INDEX(Movimientos!$L$2:$L$1994,MATCH(A801&amp;"ENTRADA",Movimientos!$R$2:$R$1994,0)),"-")</f>
        <v>-</v>
      </c>
      <c r="H801" s="17" t="str">
        <f>IFERROR(IF(INDEX(Movimientos!$M$2:$M$1994,MATCH(A801&amp;"ENTRADA",Movimientos!$R$2:$R$1994,0))=0,"S/D",INDEX(Movimientos!$M$2:$M$1994,MATCH(A801&amp;"ENTRADA",Movimientos!$R$2:$R$1994,0))),"S/D")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3077</v>
      </c>
      <c r="B802" s="2" t="str">
        <f>IFERROR(INDEX(Movimientos!$C$2:$C$1994,MATCH(A802&amp;"ENTRADA",Movimientos!$R$2:$R$1994,0)),"-")</f>
        <v>-</v>
      </c>
      <c r="C802" s="2" t="str">
        <f>IFERROR(INDEX(Movimientos!$D$2:$D$1994,MATCH(A802&amp;"ENTRADA",Movimientos!$R$2:$R$1994,0)),"-")</f>
        <v>-</v>
      </c>
      <c r="D802" s="2" t="str">
        <f>IFERROR(INDEX(Movimientos!$E$2:$E$1994,MATCH(A802&amp;"ENTRADA",Movimientos!$R$2:$R$1994,0)),"-")</f>
        <v>-</v>
      </c>
      <c r="E802" s="2" t="str">
        <f>IFERROR(INDEX(Movimientos!$F$2:$F$1994,MATCH(A802&amp;"ENTRADA",Movimientos!$R$2:$R$1994,0)),"-")</f>
        <v>-</v>
      </c>
      <c r="F802" s="2" t="str">
        <f>IFERROR(INDEX(Movimientos!$G$2:$G$1994,MATCH(A802&amp;"ENTRADA",Movimientos!$R$2:$R$1994,0)),"-")</f>
        <v>-</v>
      </c>
      <c r="G802" s="2" t="str">
        <f>IFERROR(INDEX(Movimientos!$L$2:$L$1994,MATCH(A802&amp;"ENTRADA",Movimientos!$R$2:$R$1994,0)),"-")</f>
        <v>-</v>
      </c>
      <c r="H802" s="17" t="str">
        <f>IFERROR(IF(INDEX(Movimientos!$M$2:$M$1994,MATCH(A802&amp;"ENTRADA",Movimientos!$R$2:$R$1994,0))=0,"S/D",INDEX(Movimientos!$M$2:$M$1994,MATCH(A802&amp;"ENTRADA",Movimientos!$R$2:$R$1994,0))),"S/D")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3078</v>
      </c>
      <c r="B803" s="2" t="str">
        <f>IFERROR(INDEX(Movimientos!$C$2:$C$1994,MATCH(A803&amp;"ENTRADA",Movimientos!$R$2:$R$1994,0)),"-")</f>
        <v>-</v>
      </c>
      <c r="C803" s="2" t="str">
        <f>IFERROR(INDEX(Movimientos!$D$2:$D$1994,MATCH(A803&amp;"ENTRADA",Movimientos!$R$2:$R$1994,0)),"-")</f>
        <v>-</v>
      </c>
      <c r="D803" s="2" t="str">
        <f>IFERROR(INDEX(Movimientos!$E$2:$E$1994,MATCH(A803&amp;"ENTRADA",Movimientos!$R$2:$R$1994,0)),"-")</f>
        <v>-</v>
      </c>
      <c r="E803" s="2" t="str">
        <f>IFERROR(INDEX(Movimientos!$F$2:$F$1994,MATCH(A803&amp;"ENTRADA",Movimientos!$R$2:$R$1994,0)),"-")</f>
        <v>-</v>
      </c>
      <c r="F803" s="2" t="str">
        <f>IFERROR(INDEX(Movimientos!$G$2:$G$1994,MATCH(A803&amp;"ENTRADA",Movimientos!$R$2:$R$1994,0)),"-")</f>
        <v>-</v>
      </c>
      <c r="G803" s="2" t="str">
        <f>IFERROR(INDEX(Movimientos!$L$2:$L$1994,MATCH(A803&amp;"ENTRADA",Movimientos!$R$2:$R$1994,0)),"-")</f>
        <v>-</v>
      </c>
      <c r="H803" s="17" t="str">
        <f>IFERROR(IF(INDEX(Movimientos!$M$2:$M$1994,MATCH(A803&amp;"ENTRADA",Movimientos!$R$2:$R$1994,0))=0,"S/D",INDEX(Movimientos!$M$2:$M$1994,MATCH(A803&amp;"ENTRADA",Movimientos!$R$2:$R$1994,0))),"S/D")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3079</v>
      </c>
      <c r="B804" s="2" t="str">
        <f>IFERROR(INDEX(Movimientos!$C$2:$C$1994,MATCH(A804&amp;"ENTRADA",Movimientos!$R$2:$R$1994,0)),"-")</f>
        <v>-</v>
      </c>
      <c r="C804" s="2" t="str">
        <f>IFERROR(INDEX(Movimientos!$D$2:$D$1994,MATCH(A804&amp;"ENTRADA",Movimientos!$R$2:$R$1994,0)),"-")</f>
        <v>-</v>
      </c>
      <c r="D804" s="2" t="str">
        <f>IFERROR(INDEX(Movimientos!$E$2:$E$1994,MATCH(A804&amp;"ENTRADA",Movimientos!$R$2:$R$1994,0)),"-")</f>
        <v>-</v>
      </c>
      <c r="E804" s="2" t="str">
        <f>IFERROR(INDEX(Movimientos!$F$2:$F$1994,MATCH(A804&amp;"ENTRADA",Movimientos!$R$2:$R$1994,0)),"-")</f>
        <v>-</v>
      </c>
      <c r="F804" s="2" t="str">
        <f>IFERROR(INDEX(Movimientos!$G$2:$G$1994,MATCH(A804&amp;"ENTRADA",Movimientos!$R$2:$R$1994,0)),"-")</f>
        <v>-</v>
      </c>
      <c r="G804" s="2" t="str">
        <f>IFERROR(INDEX(Movimientos!$L$2:$L$1994,MATCH(A804&amp;"ENTRADA",Movimientos!$R$2:$R$1994,0)),"-")</f>
        <v>-</v>
      </c>
      <c r="H804" s="17" t="str">
        <f>IFERROR(IF(INDEX(Movimientos!$M$2:$M$1994,MATCH(A804&amp;"ENTRADA",Movimientos!$R$2:$R$1994,0))=0,"S/D",INDEX(Movimientos!$M$2:$M$1994,MATCH(A804&amp;"ENTRADA",Movimientos!$R$2:$R$1994,0))),"S/D")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3080</v>
      </c>
      <c r="B805" s="2" t="str">
        <f>IFERROR(INDEX(Movimientos!$C$2:$C$1994,MATCH(A805&amp;"ENTRADA",Movimientos!$R$2:$R$1994,0)),"-")</f>
        <v>-</v>
      </c>
      <c r="C805" s="2" t="str">
        <f>IFERROR(INDEX(Movimientos!$D$2:$D$1994,MATCH(A805&amp;"ENTRADA",Movimientos!$R$2:$R$1994,0)),"-")</f>
        <v>-</v>
      </c>
      <c r="D805" s="2" t="str">
        <f>IFERROR(INDEX(Movimientos!$E$2:$E$1994,MATCH(A805&amp;"ENTRADA",Movimientos!$R$2:$R$1994,0)),"-")</f>
        <v>-</v>
      </c>
      <c r="E805" s="2" t="str">
        <f>IFERROR(INDEX(Movimientos!$F$2:$F$1994,MATCH(A805&amp;"ENTRADA",Movimientos!$R$2:$R$1994,0)),"-")</f>
        <v>-</v>
      </c>
      <c r="F805" s="2" t="str">
        <f>IFERROR(INDEX(Movimientos!$G$2:$G$1994,MATCH(A805&amp;"ENTRADA",Movimientos!$R$2:$R$1994,0)),"-")</f>
        <v>-</v>
      </c>
      <c r="G805" s="2" t="str">
        <f>IFERROR(INDEX(Movimientos!$L$2:$L$1994,MATCH(A805&amp;"ENTRADA",Movimientos!$R$2:$R$1994,0)),"-")</f>
        <v>-</v>
      </c>
      <c r="H805" s="17" t="str">
        <f>IFERROR(IF(INDEX(Movimientos!$M$2:$M$1994,MATCH(A805&amp;"ENTRADA",Movimientos!$R$2:$R$1994,0))=0,"S/D",INDEX(Movimientos!$M$2:$M$1994,MATCH(A805&amp;"ENTRADA",Movimientos!$R$2:$R$1994,0))),"S/D")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3081</v>
      </c>
      <c r="B806" s="2" t="str">
        <f>IFERROR(INDEX(Movimientos!$C$2:$C$1994,MATCH(A806&amp;"ENTRADA",Movimientos!$R$2:$R$1994,0)),"-")</f>
        <v>-</v>
      </c>
      <c r="C806" s="2" t="str">
        <f>IFERROR(INDEX(Movimientos!$D$2:$D$1994,MATCH(A806&amp;"ENTRADA",Movimientos!$R$2:$R$1994,0)),"-")</f>
        <v>-</v>
      </c>
      <c r="D806" s="2" t="str">
        <f>IFERROR(INDEX(Movimientos!$E$2:$E$1994,MATCH(A806&amp;"ENTRADA",Movimientos!$R$2:$R$1994,0)),"-")</f>
        <v>-</v>
      </c>
      <c r="E806" s="2" t="str">
        <f>IFERROR(INDEX(Movimientos!$F$2:$F$1994,MATCH(A806&amp;"ENTRADA",Movimientos!$R$2:$R$1994,0)),"-")</f>
        <v>-</v>
      </c>
      <c r="F806" s="2" t="str">
        <f>IFERROR(INDEX(Movimientos!$G$2:$G$1994,MATCH(A806&amp;"ENTRADA",Movimientos!$R$2:$R$1994,0)),"-")</f>
        <v>-</v>
      </c>
      <c r="G806" s="2" t="str">
        <f>IFERROR(INDEX(Movimientos!$L$2:$L$1994,MATCH(A806&amp;"ENTRADA",Movimientos!$R$2:$R$1994,0)),"-")</f>
        <v>-</v>
      </c>
      <c r="H806" s="17" t="str">
        <f>IFERROR(IF(INDEX(Movimientos!$M$2:$M$1994,MATCH(A806&amp;"ENTRADA",Movimientos!$R$2:$R$1994,0))=0,"S/D",INDEX(Movimientos!$M$2:$M$1994,MATCH(A806&amp;"ENTRADA",Movimientos!$R$2:$R$1994,0))),"S/D")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3082</v>
      </c>
      <c r="B807" s="2" t="str">
        <f>IFERROR(INDEX(Movimientos!$C$2:$C$1994,MATCH(A807&amp;"ENTRADA",Movimientos!$R$2:$R$1994,0)),"-")</f>
        <v>-</v>
      </c>
      <c r="C807" s="2" t="str">
        <f>IFERROR(INDEX(Movimientos!$D$2:$D$1994,MATCH(A807&amp;"ENTRADA",Movimientos!$R$2:$R$1994,0)),"-")</f>
        <v>-</v>
      </c>
      <c r="D807" s="2" t="str">
        <f>IFERROR(INDEX(Movimientos!$E$2:$E$1994,MATCH(A807&amp;"ENTRADA",Movimientos!$R$2:$R$1994,0)),"-")</f>
        <v>-</v>
      </c>
      <c r="E807" s="2" t="str">
        <f>IFERROR(INDEX(Movimientos!$F$2:$F$1994,MATCH(A807&amp;"ENTRADA",Movimientos!$R$2:$R$1994,0)),"-")</f>
        <v>-</v>
      </c>
      <c r="F807" s="2" t="str">
        <f>IFERROR(INDEX(Movimientos!$G$2:$G$1994,MATCH(A807&amp;"ENTRADA",Movimientos!$R$2:$R$1994,0)),"-")</f>
        <v>-</v>
      </c>
      <c r="G807" s="2" t="str">
        <f>IFERROR(INDEX(Movimientos!$L$2:$L$1994,MATCH(A807&amp;"ENTRADA",Movimientos!$R$2:$R$1994,0)),"-")</f>
        <v>-</v>
      </c>
      <c r="H807" s="17" t="str">
        <f>IFERROR(IF(INDEX(Movimientos!$M$2:$M$1994,MATCH(A807&amp;"ENTRADA",Movimientos!$R$2:$R$1994,0))=0,"S/D",INDEX(Movimientos!$M$2:$M$1994,MATCH(A807&amp;"ENTRADA",Movimientos!$R$2:$R$1994,0))),"S/D")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3083</v>
      </c>
      <c r="B808" s="2" t="str">
        <f>IFERROR(INDEX(Movimientos!$C$2:$C$1994,MATCH(A808&amp;"ENTRADA",Movimientos!$R$2:$R$1994,0)),"-")</f>
        <v>-</v>
      </c>
      <c r="C808" s="2" t="str">
        <f>IFERROR(INDEX(Movimientos!$D$2:$D$1994,MATCH(A808&amp;"ENTRADA",Movimientos!$R$2:$R$1994,0)),"-")</f>
        <v>-</v>
      </c>
      <c r="D808" s="2" t="str">
        <f>IFERROR(INDEX(Movimientos!$E$2:$E$1994,MATCH(A808&amp;"ENTRADA",Movimientos!$R$2:$R$1994,0)),"-")</f>
        <v>-</v>
      </c>
      <c r="E808" s="2" t="str">
        <f>IFERROR(INDEX(Movimientos!$F$2:$F$1994,MATCH(A808&amp;"ENTRADA",Movimientos!$R$2:$R$1994,0)),"-")</f>
        <v>-</v>
      </c>
      <c r="F808" s="2" t="str">
        <f>IFERROR(INDEX(Movimientos!$G$2:$G$1994,MATCH(A808&amp;"ENTRADA",Movimientos!$R$2:$R$1994,0)),"-")</f>
        <v>-</v>
      </c>
      <c r="G808" s="2" t="str">
        <f>IFERROR(INDEX(Movimientos!$L$2:$L$1994,MATCH(A808&amp;"ENTRADA",Movimientos!$R$2:$R$1994,0)),"-")</f>
        <v>-</v>
      </c>
      <c r="H808" s="17" t="str">
        <f>IFERROR(IF(INDEX(Movimientos!$M$2:$M$1994,MATCH(A808&amp;"ENTRADA",Movimientos!$R$2:$R$1994,0))=0,"S/D",INDEX(Movimientos!$M$2:$M$1994,MATCH(A808&amp;"ENTRADA",Movimientos!$R$2:$R$1994,0))),"S/D")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3084</v>
      </c>
      <c r="B809" s="2" t="str">
        <f>IFERROR(INDEX(Movimientos!$C$2:$C$1994,MATCH(A809&amp;"ENTRADA",Movimientos!$R$2:$R$1994,0)),"-")</f>
        <v>-</v>
      </c>
      <c r="C809" s="2" t="str">
        <f>IFERROR(INDEX(Movimientos!$D$2:$D$1994,MATCH(A809&amp;"ENTRADA",Movimientos!$R$2:$R$1994,0)),"-")</f>
        <v>-</v>
      </c>
      <c r="D809" s="2" t="str">
        <f>IFERROR(INDEX(Movimientos!$E$2:$E$1994,MATCH(A809&amp;"ENTRADA",Movimientos!$R$2:$R$1994,0)),"-")</f>
        <v>-</v>
      </c>
      <c r="E809" s="2" t="str">
        <f>IFERROR(INDEX(Movimientos!$F$2:$F$1994,MATCH(A809&amp;"ENTRADA",Movimientos!$R$2:$R$1994,0)),"-")</f>
        <v>-</v>
      </c>
      <c r="F809" s="2" t="str">
        <f>IFERROR(INDEX(Movimientos!$G$2:$G$1994,MATCH(A809&amp;"ENTRADA",Movimientos!$R$2:$R$1994,0)),"-")</f>
        <v>-</v>
      </c>
      <c r="G809" s="2" t="str">
        <f>IFERROR(INDEX(Movimientos!$L$2:$L$1994,MATCH(A809&amp;"ENTRADA",Movimientos!$R$2:$R$1994,0)),"-")</f>
        <v>-</v>
      </c>
      <c r="H809" s="17" t="str">
        <f>IFERROR(IF(INDEX(Movimientos!$M$2:$M$1994,MATCH(A809&amp;"ENTRADA",Movimientos!$R$2:$R$1994,0))=0,"S/D",INDEX(Movimientos!$M$2:$M$1994,MATCH(A809&amp;"ENTRADA",Movimientos!$R$2:$R$1994,0))),"S/D")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3085</v>
      </c>
      <c r="B810" s="2" t="str">
        <f>IFERROR(INDEX(Movimientos!$C$2:$C$1994,MATCH(A810&amp;"ENTRADA",Movimientos!$R$2:$R$1994,0)),"-")</f>
        <v>-</v>
      </c>
      <c r="C810" s="2" t="str">
        <f>IFERROR(INDEX(Movimientos!$D$2:$D$1994,MATCH(A810&amp;"ENTRADA",Movimientos!$R$2:$R$1994,0)),"-")</f>
        <v>-</v>
      </c>
      <c r="D810" s="2" t="str">
        <f>IFERROR(INDEX(Movimientos!$E$2:$E$1994,MATCH(A810&amp;"ENTRADA",Movimientos!$R$2:$R$1994,0)),"-")</f>
        <v>-</v>
      </c>
      <c r="E810" s="2" t="str">
        <f>IFERROR(INDEX(Movimientos!$F$2:$F$1994,MATCH(A810&amp;"ENTRADA",Movimientos!$R$2:$R$1994,0)),"-")</f>
        <v>-</v>
      </c>
      <c r="F810" s="2" t="str">
        <f>IFERROR(INDEX(Movimientos!$G$2:$G$1994,MATCH(A810&amp;"ENTRADA",Movimientos!$R$2:$R$1994,0)),"-")</f>
        <v>-</v>
      </c>
      <c r="G810" s="2" t="str">
        <f>IFERROR(INDEX(Movimientos!$L$2:$L$1994,MATCH(A810&amp;"ENTRADA",Movimientos!$R$2:$R$1994,0)),"-")</f>
        <v>-</v>
      </c>
      <c r="H810" s="17" t="str">
        <f>IFERROR(IF(INDEX(Movimientos!$M$2:$M$1994,MATCH(A810&amp;"ENTRADA",Movimientos!$R$2:$R$1994,0))=0,"S/D",INDEX(Movimientos!$M$2:$M$1994,MATCH(A810&amp;"ENTRADA",Movimientos!$R$2:$R$1994,0))),"S/D")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3086</v>
      </c>
      <c r="B811" s="2" t="str">
        <f>IFERROR(INDEX(Movimientos!$C$2:$C$1994,MATCH(A811&amp;"ENTRADA",Movimientos!$R$2:$R$1994,0)),"-")</f>
        <v>-</v>
      </c>
      <c r="C811" s="2" t="str">
        <f>IFERROR(INDEX(Movimientos!$D$2:$D$1994,MATCH(A811&amp;"ENTRADA",Movimientos!$R$2:$R$1994,0)),"-")</f>
        <v>-</v>
      </c>
      <c r="D811" s="2" t="str">
        <f>IFERROR(INDEX(Movimientos!$E$2:$E$1994,MATCH(A811&amp;"ENTRADA",Movimientos!$R$2:$R$1994,0)),"-")</f>
        <v>-</v>
      </c>
      <c r="E811" s="2" t="str">
        <f>IFERROR(INDEX(Movimientos!$F$2:$F$1994,MATCH(A811&amp;"ENTRADA",Movimientos!$R$2:$R$1994,0)),"-")</f>
        <v>-</v>
      </c>
      <c r="F811" s="2" t="str">
        <f>IFERROR(INDEX(Movimientos!$G$2:$G$1994,MATCH(A811&amp;"ENTRADA",Movimientos!$R$2:$R$1994,0)),"-")</f>
        <v>-</v>
      </c>
      <c r="G811" s="2" t="str">
        <f>IFERROR(INDEX(Movimientos!$L$2:$L$1994,MATCH(A811&amp;"ENTRADA",Movimientos!$R$2:$R$1994,0)),"-")</f>
        <v>-</v>
      </c>
      <c r="H811" s="17" t="str">
        <f>IFERROR(IF(INDEX(Movimientos!$M$2:$M$1994,MATCH(A811&amp;"ENTRADA",Movimientos!$R$2:$R$1994,0))=0,"S/D",INDEX(Movimientos!$M$2:$M$1994,MATCH(A811&amp;"ENTRADA",Movimientos!$R$2:$R$1994,0))),"S/D")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3087</v>
      </c>
      <c r="B812" s="2" t="str">
        <f>IFERROR(INDEX(Movimientos!$C$2:$C$1994,MATCH(A812&amp;"ENTRADA",Movimientos!$R$2:$R$1994,0)),"-")</f>
        <v>-</v>
      </c>
      <c r="C812" s="2" t="str">
        <f>IFERROR(INDEX(Movimientos!$D$2:$D$1994,MATCH(A812&amp;"ENTRADA",Movimientos!$R$2:$R$1994,0)),"-")</f>
        <v>-</v>
      </c>
      <c r="D812" s="2" t="str">
        <f>IFERROR(INDEX(Movimientos!$E$2:$E$1994,MATCH(A812&amp;"ENTRADA",Movimientos!$R$2:$R$1994,0)),"-")</f>
        <v>-</v>
      </c>
      <c r="E812" s="2" t="str">
        <f>IFERROR(INDEX(Movimientos!$F$2:$F$1994,MATCH(A812&amp;"ENTRADA",Movimientos!$R$2:$R$1994,0)),"-")</f>
        <v>-</v>
      </c>
      <c r="F812" s="2" t="str">
        <f>IFERROR(INDEX(Movimientos!$G$2:$G$1994,MATCH(A812&amp;"ENTRADA",Movimientos!$R$2:$R$1994,0)),"-")</f>
        <v>-</v>
      </c>
      <c r="G812" s="2" t="str">
        <f>IFERROR(INDEX(Movimientos!$L$2:$L$1994,MATCH(A812&amp;"ENTRADA",Movimientos!$R$2:$R$1994,0)),"-")</f>
        <v>-</v>
      </c>
      <c r="H812" s="17" t="str">
        <f>IFERROR(IF(INDEX(Movimientos!$M$2:$M$1994,MATCH(A812&amp;"ENTRADA",Movimientos!$R$2:$R$1994,0))=0,"S/D",INDEX(Movimientos!$M$2:$M$1994,MATCH(A812&amp;"ENTRADA",Movimientos!$R$2:$R$1994,0))),"S/D")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3088</v>
      </c>
      <c r="B813" s="2" t="str">
        <f>IFERROR(INDEX(Movimientos!$C$2:$C$1994,MATCH(A813&amp;"ENTRADA",Movimientos!$R$2:$R$1994,0)),"-")</f>
        <v>-</v>
      </c>
      <c r="C813" s="2" t="str">
        <f>IFERROR(INDEX(Movimientos!$D$2:$D$1994,MATCH(A813&amp;"ENTRADA",Movimientos!$R$2:$R$1994,0)),"-")</f>
        <v>-</v>
      </c>
      <c r="D813" s="2" t="str">
        <f>IFERROR(INDEX(Movimientos!$E$2:$E$1994,MATCH(A813&amp;"ENTRADA",Movimientos!$R$2:$R$1994,0)),"-")</f>
        <v>-</v>
      </c>
      <c r="E813" s="2" t="str">
        <f>IFERROR(INDEX(Movimientos!$F$2:$F$1994,MATCH(A813&amp;"ENTRADA",Movimientos!$R$2:$R$1994,0)),"-")</f>
        <v>-</v>
      </c>
      <c r="F813" s="2" t="str">
        <f>IFERROR(INDEX(Movimientos!$G$2:$G$1994,MATCH(A813&amp;"ENTRADA",Movimientos!$R$2:$R$1994,0)),"-")</f>
        <v>-</v>
      </c>
      <c r="G813" s="2" t="str">
        <f>IFERROR(INDEX(Movimientos!$L$2:$L$1994,MATCH(A813&amp;"ENTRADA",Movimientos!$R$2:$R$1994,0)),"-")</f>
        <v>-</v>
      </c>
      <c r="H813" s="17" t="str">
        <f>IFERROR(IF(INDEX(Movimientos!$M$2:$M$1994,MATCH(A813&amp;"ENTRADA",Movimientos!$R$2:$R$1994,0))=0,"S/D",INDEX(Movimientos!$M$2:$M$1994,MATCH(A813&amp;"ENTRADA",Movimientos!$R$2:$R$1994,0))),"S/D")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3089</v>
      </c>
      <c r="B814" s="2" t="str">
        <f>IFERROR(INDEX(Movimientos!$C$2:$C$1994,MATCH(A814&amp;"ENTRADA",Movimientos!$R$2:$R$1994,0)),"-")</f>
        <v>-</v>
      </c>
      <c r="C814" s="2" t="str">
        <f>IFERROR(INDEX(Movimientos!$D$2:$D$1994,MATCH(A814&amp;"ENTRADA",Movimientos!$R$2:$R$1994,0)),"-")</f>
        <v>-</v>
      </c>
      <c r="D814" s="2" t="str">
        <f>IFERROR(INDEX(Movimientos!$E$2:$E$1994,MATCH(A814&amp;"ENTRADA",Movimientos!$R$2:$R$1994,0)),"-")</f>
        <v>-</v>
      </c>
      <c r="E814" s="2" t="str">
        <f>IFERROR(INDEX(Movimientos!$F$2:$F$1994,MATCH(A814&amp;"ENTRADA",Movimientos!$R$2:$R$1994,0)),"-")</f>
        <v>-</v>
      </c>
      <c r="F814" s="2" t="str">
        <f>IFERROR(INDEX(Movimientos!$G$2:$G$1994,MATCH(A814&amp;"ENTRADA",Movimientos!$R$2:$R$1994,0)),"-")</f>
        <v>-</v>
      </c>
      <c r="G814" s="2" t="str">
        <f>IFERROR(INDEX(Movimientos!$L$2:$L$1994,MATCH(A814&amp;"ENTRADA",Movimientos!$R$2:$R$1994,0)),"-")</f>
        <v>-</v>
      </c>
      <c r="H814" s="17" t="str">
        <f>IFERROR(IF(INDEX(Movimientos!$M$2:$M$1994,MATCH(A814&amp;"ENTRADA",Movimientos!$R$2:$R$1994,0))=0,"S/D",INDEX(Movimientos!$M$2:$M$1994,MATCH(A814&amp;"ENTRADA",Movimientos!$R$2:$R$1994,0))),"S/D")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3090</v>
      </c>
      <c r="B815" s="2" t="str">
        <f>IFERROR(INDEX(Movimientos!$C$2:$C$1994,MATCH(A815&amp;"ENTRADA",Movimientos!$R$2:$R$1994,0)),"-")</f>
        <v>-</v>
      </c>
      <c r="C815" s="2" t="str">
        <f>IFERROR(INDEX(Movimientos!$D$2:$D$1994,MATCH(A815&amp;"ENTRADA",Movimientos!$R$2:$R$1994,0)),"-")</f>
        <v>-</v>
      </c>
      <c r="D815" s="2" t="str">
        <f>IFERROR(INDEX(Movimientos!$E$2:$E$1994,MATCH(A815&amp;"ENTRADA",Movimientos!$R$2:$R$1994,0)),"-")</f>
        <v>-</v>
      </c>
      <c r="E815" s="2" t="str">
        <f>IFERROR(INDEX(Movimientos!$F$2:$F$1994,MATCH(A815&amp;"ENTRADA",Movimientos!$R$2:$R$1994,0)),"-")</f>
        <v>-</v>
      </c>
      <c r="F815" s="2" t="str">
        <f>IFERROR(INDEX(Movimientos!$G$2:$G$1994,MATCH(A815&amp;"ENTRADA",Movimientos!$R$2:$R$1994,0)),"-")</f>
        <v>-</v>
      </c>
      <c r="G815" s="2" t="str">
        <f>IFERROR(INDEX(Movimientos!$L$2:$L$1994,MATCH(A815&amp;"ENTRADA",Movimientos!$R$2:$R$1994,0)),"-")</f>
        <v>-</v>
      </c>
      <c r="H815" s="17" t="str">
        <f>IFERROR(IF(INDEX(Movimientos!$M$2:$M$1994,MATCH(A815&amp;"ENTRADA",Movimientos!$R$2:$R$1994,0))=0,"S/D",INDEX(Movimientos!$M$2:$M$1994,MATCH(A815&amp;"ENTRADA",Movimientos!$R$2:$R$1994,0))),"S/D")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3091</v>
      </c>
      <c r="B816" s="2" t="str">
        <f>IFERROR(INDEX(Movimientos!$C$2:$C$1994,MATCH(A816&amp;"ENTRADA",Movimientos!$R$2:$R$1994,0)),"-")</f>
        <v>-</v>
      </c>
      <c r="C816" s="2" t="str">
        <f>IFERROR(INDEX(Movimientos!$D$2:$D$1994,MATCH(A816&amp;"ENTRADA",Movimientos!$R$2:$R$1994,0)),"-")</f>
        <v>-</v>
      </c>
      <c r="D816" s="2" t="str">
        <f>IFERROR(INDEX(Movimientos!$E$2:$E$1994,MATCH(A816&amp;"ENTRADA",Movimientos!$R$2:$R$1994,0)),"-")</f>
        <v>-</v>
      </c>
      <c r="E816" s="2" t="str">
        <f>IFERROR(INDEX(Movimientos!$F$2:$F$1994,MATCH(A816&amp;"ENTRADA",Movimientos!$R$2:$R$1994,0)),"-")</f>
        <v>-</v>
      </c>
      <c r="F816" s="2" t="str">
        <f>IFERROR(INDEX(Movimientos!$G$2:$G$1994,MATCH(A816&amp;"ENTRADA",Movimientos!$R$2:$R$1994,0)),"-")</f>
        <v>-</v>
      </c>
      <c r="G816" s="2" t="str">
        <f>IFERROR(INDEX(Movimientos!$L$2:$L$1994,MATCH(A816&amp;"ENTRADA",Movimientos!$R$2:$R$1994,0)),"-")</f>
        <v>-</v>
      </c>
      <c r="H816" s="17" t="str">
        <f>IFERROR(IF(INDEX(Movimientos!$M$2:$M$1994,MATCH(A816&amp;"ENTRADA",Movimientos!$R$2:$R$1994,0))=0,"S/D",INDEX(Movimientos!$M$2:$M$1994,MATCH(A816&amp;"ENTRADA",Movimientos!$R$2:$R$1994,0))),"S/D")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3092</v>
      </c>
      <c r="B817" s="2" t="str">
        <f>IFERROR(INDEX(Movimientos!$C$2:$C$1994,MATCH(A817&amp;"ENTRADA",Movimientos!$R$2:$R$1994,0)),"-")</f>
        <v>-</v>
      </c>
      <c r="C817" s="2" t="str">
        <f>IFERROR(INDEX(Movimientos!$D$2:$D$1994,MATCH(A817&amp;"ENTRADA",Movimientos!$R$2:$R$1994,0)),"-")</f>
        <v>-</v>
      </c>
      <c r="D817" s="2" t="str">
        <f>IFERROR(INDEX(Movimientos!$E$2:$E$1994,MATCH(A817&amp;"ENTRADA",Movimientos!$R$2:$R$1994,0)),"-")</f>
        <v>-</v>
      </c>
      <c r="E817" s="2" t="str">
        <f>IFERROR(INDEX(Movimientos!$F$2:$F$1994,MATCH(A817&amp;"ENTRADA",Movimientos!$R$2:$R$1994,0)),"-")</f>
        <v>-</v>
      </c>
      <c r="F817" s="2" t="str">
        <f>IFERROR(INDEX(Movimientos!$G$2:$G$1994,MATCH(A817&amp;"ENTRADA",Movimientos!$R$2:$R$1994,0)),"-")</f>
        <v>-</v>
      </c>
      <c r="G817" s="2" t="str">
        <f>IFERROR(INDEX(Movimientos!$L$2:$L$1994,MATCH(A817&amp;"ENTRADA",Movimientos!$R$2:$R$1994,0)),"-")</f>
        <v>-</v>
      </c>
      <c r="H817" s="17" t="str">
        <f>IFERROR(IF(INDEX(Movimientos!$M$2:$M$1994,MATCH(A817&amp;"ENTRADA",Movimientos!$R$2:$R$1994,0))=0,"S/D",INDEX(Movimientos!$M$2:$M$1994,MATCH(A817&amp;"ENTRADA",Movimientos!$R$2:$R$1994,0))),"S/D")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3093</v>
      </c>
      <c r="B818" s="2" t="str">
        <f>IFERROR(INDEX(Movimientos!$C$2:$C$1994,MATCH(A818&amp;"ENTRADA",Movimientos!$R$2:$R$1994,0)),"-")</f>
        <v>-</v>
      </c>
      <c r="C818" s="2" t="str">
        <f>IFERROR(INDEX(Movimientos!$D$2:$D$1994,MATCH(A818&amp;"ENTRADA",Movimientos!$R$2:$R$1994,0)),"-")</f>
        <v>-</v>
      </c>
      <c r="D818" s="2" t="str">
        <f>IFERROR(INDEX(Movimientos!$E$2:$E$1994,MATCH(A818&amp;"ENTRADA",Movimientos!$R$2:$R$1994,0)),"-")</f>
        <v>-</v>
      </c>
      <c r="E818" s="2" t="str">
        <f>IFERROR(INDEX(Movimientos!$F$2:$F$1994,MATCH(A818&amp;"ENTRADA",Movimientos!$R$2:$R$1994,0)),"-")</f>
        <v>-</v>
      </c>
      <c r="F818" s="2" t="str">
        <f>IFERROR(INDEX(Movimientos!$G$2:$G$1994,MATCH(A818&amp;"ENTRADA",Movimientos!$R$2:$R$1994,0)),"-")</f>
        <v>-</v>
      </c>
      <c r="G818" s="2" t="str">
        <f>IFERROR(INDEX(Movimientos!$L$2:$L$1994,MATCH(A818&amp;"ENTRADA",Movimientos!$R$2:$R$1994,0)),"-")</f>
        <v>-</v>
      </c>
      <c r="H818" s="17" t="str">
        <f>IFERROR(IF(INDEX(Movimientos!$M$2:$M$1994,MATCH(A818&amp;"ENTRADA",Movimientos!$R$2:$R$1994,0))=0,"S/D",INDEX(Movimientos!$M$2:$M$1994,MATCH(A818&amp;"ENTRADA",Movimientos!$R$2:$R$1994,0))),"S/D")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3094</v>
      </c>
      <c r="B819" s="2" t="str">
        <f>IFERROR(INDEX(Movimientos!$C$2:$C$1994,MATCH(A819&amp;"ENTRADA",Movimientos!$R$2:$R$1994,0)),"-")</f>
        <v>-</v>
      </c>
      <c r="C819" s="2" t="str">
        <f>IFERROR(INDEX(Movimientos!$D$2:$D$1994,MATCH(A819&amp;"ENTRADA",Movimientos!$R$2:$R$1994,0)),"-")</f>
        <v>-</v>
      </c>
      <c r="D819" s="2" t="str">
        <f>IFERROR(INDEX(Movimientos!$E$2:$E$1994,MATCH(A819&amp;"ENTRADA",Movimientos!$R$2:$R$1994,0)),"-")</f>
        <v>-</v>
      </c>
      <c r="E819" s="2" t="str">
        <f>IFERROR(INDEX(Movimientos!$F$2:$F$1994,MATCH(A819&amp;"ENTRADA",Movimientos!$R$2:$R$1994,0)),"-")</f>
        <v>-</v>
      </c>
      <c r="F819" s="2" t="str">
        <f>IFERROR(INDEX(Movimientos!$G$2:$G$1994,MATCH(A819&amp;"ENTRADA",Movimientos!$R$2:$R$1994,0)),"-")</f>
        <v>-</v>
      </c>
      <c r="G819" s="2" t="str">
        <f>IFERROR(INDEX(Movimientos!$L$2:$L$1994,MATCH(A819&amp;"ENTRADA",Movimientos!$R$2:$R$1994,0)),"-")</f>
        <v>-</v>
      </c>
      <c r="H819" s="17" t="str">
        <f>IFERROR(IF(INDEX(Movimientos!$M$2:$M$1994,MATCH(A819&amp;"ENTRADA",Movimientos!$R$2:$R$1994,0))=0,"S/D",INDEX(Movimientos!$M$2:$M$1994,MATCH(A819&amp;"ENTRADA",Movimientos!$R$2:$R$1994,0))),"S/D")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3095</v>
      </c>
      <c r="B820" s="2" t="str">
        <f>IFERROR(INDEX(Movimientos!$C$2:$C$1994,MATCH(A820&amp;"ENTRADA",Movimientos!$R$2:$R$1994,0)),"-")</f>
        <v>-</v>
      </c>
      <c r="C820" s="2" t="str">
        <f>IFERROR(INDEX(Movimientos!$D$2:$D$1994,MATCH(A820&amp;"ENTRADA",Movimientos!$R$2:$R$1994,0)),"-")</f>
        <v>-</v>
      </c>
      <c r="D820" s="2" t="str">
        <f>IFERROR(INDEX(Movimientos!$E$2:$E$1994,MATCH(A820&amp;"ENTRADA",Movimientos!$R$2:$R$1994,0)),"-")</f>
        <v>-</v>
      </c>
      <c r="E820" s="2" t="str">
        <f>IFERROR(INDEX(Movimientos!$F$2:$F$1994,MATCH(A820&amp;"ENTRADA",Movimientos!$R$2:$R$1994,0)),"-")</f>
        <v>-</v>
      </c>
      <c r="F820" s="2" t="str">
        <f>IFERROR(INDEX(Movimientos!$G$2:$G$1994,MATCH(A820&amp;"ENTRADA",Movimientos!$R$2:$R$1994,0)),"-")</f>
        <v>-</v>
      </c>
      <c r="G820" s="2" t="str">
        <f>IFERROR(INDEX(Movimientos!$L$2:$L$1994,MATCH(A820&amp;"ENTRADA",Movimientos!$R$2:$R$1994,0)),"-")</f>
        <v>-</v>
      </c>
      <c r="H820" s="17" t="str">
        <f>IFERROR(IF(INDEX(Movimientos!$M$2:$M$1994,MATCH(A820&amp;"ENTRADA",Movimientos!$R$2:$R$1994,0))=0,"S/D",INDEX(Movimientos!$M$2:$M$1994,MATCH(A820&amp;"ENTRADA",Movimientos!$R$2:$R$1994,0))),"S/D")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3096</v>
      </c>
      <c r="B821" s="2" t="str">
        <f>IFERROR(INDEX(Movimientos!$C$2:$C$1994,MATCH(A821&amp;"ENTRADA",Movimientos!$R$2:$R$1994,0)),"-")</f>
        <v>-</v>
      </c>
      <c r="C821" s="2" t="str">
        <f>IFERROR(INDEX(Movimientos!$D$2:$D$1994,MATCH(A821&amp;"ENTRADA",Movimientos!$R$2:$R$1994,0)),"-")</f>
        <v>-</v>
      </c>
      <c r="D821" s="2" t="str">
        <f>IFERROR(INDEX(Movimientos!$E$2:$E$1994,MATCH(A821&amp;"ENTRADA",Movimientos!$R$2:$R$1994,0)),"-")</f>
        <v>-</v>
      </c>
      <c r="E821" s="2" t="str">
        <f>IFERROR(INDEX(Movimientos!$F$2:$F$1994,MATCH(A821&amp;"ENTRADA",Movimientos!$R$2:$R$1994,0)),"-")</f>
        <v>-</v>
      </c>
      <c r="F821" s="2" t="str">
        <f>IFERROR(INDEX(Movimientos!$G$2:$G$1994,MATCH(A821&amp;"ENTRADA",Movimientos!$R$2:$R$1994,0)),"-")</f>
        <v>-</v>
      </c>
      <c r="G821" s="2" t="str">
        <f>IFERROR(INDEX(Movimientos!$L$2:$L$1994,MATCH(A821&amp;"ENTRADA",Movimientos!$R$2:$R$1994,0)),"-")</f>
        <v>-</v>
      </c>
      <c r="H821" s="17" t="str">
        <f>IFERROR(IF(INDEX(Movimientos!$M$2:$M$1994,MATCH(A821&amp;"ENTRADA",Movimientos!$R$2:$R$1994,0))=0,"S/D",INDEX(Movimientos!$M$2:$M$1994,MATCH(A821&amp;"ENTRADA",Movimientos!$R$2:$R$1994,0))),"S/D")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3097</v>
      </c>
      <c r="B822" s="2" t="str">
        <f>IFERROR(INDEX(Movimientos!$C$2:$C$1994,MATCH(A822&amp;"ENTRADA",Movimientos!$R$2:$R$1994,0)),"-")</f>
        <v>-</v>
      </c>
      <c r="C822" s="2" t="str">
        <f>IFERROR(INDEX(Movimientos!$D$2:$D$1994,MATCH(A822&amp;"ENTRADA",Movimientos!$R$2:$R$1994,0)),"-")</f>
        <v>-</v>
      </c>
      <c r="D822" s="2" t="str">
        <f>IFERROR(INDEX(Movimientos!$E$2:$E$1994,MATCH(A822&amp;"ENTRADA",Movimientos!$R$2:$R$1994,0)),"-")</f>
        <v>-</v>
      </c>
      <c r="E822" s="2" t="str">
        <f>IFERROR(INDEX(Movimientos!$F$2:$F$1994,MATCH(A822&amp;"ENTRADA",Movimientos!$R$2:$R$1994,0)),"-")</f>
        <v>-</v>
      </c>
      <c r="F822" s="2" t="str">
        <f>IFERROR(INDEX(Movimientos!$G$2:$G$1994,MATCH(A822&amp;"ENTRADA",Movimientos!$R$2:$R$1994,0)),"-")</f>
        <v>-</v>
      </c>
      <c r="G822" s="2" t="str">
        <f>IFERROR(INDEX(Movimientos!$L$2:$L$1994,MATCH(A822&amp;"ENTRADA",Movimientos!$R$2:$R$1994,0)),"-")</f>
        <v>-</v>
      </c>
      <c r="H822" s="17" t="str">
        <f>IFERROR(IF(INDEX(Movimientos!$M$2:$M$1994,MATCH(A822&amp;"ENTRADA",Movimientos!$R$2:$R$1994,0))=0,"S/D",INDEX(Movimientos!$M$2:$M$1994,MATCH(A822&amp;"ENTRADA",Movimientos!$R$2:$R$1994,0))),"S/D")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3098</v>
      </c>
      <c r="B823" s="2" t="str">
        <f>IFERROR(INDEX(Movimientos!$C$2:$C$1994,MATCH(A823&amp;"ENTRADA",Movimientos!$R$2:$R$1994,0)),"-")</f>
        <v>-</v>
      </c>
      <c r="C823" s="2" t="str">
        <f>IFERROR(INDEX(Movimientos!$D$2:$D$1994,MATCH(A823&amp;"ENTRADA",Movimientos!$R$2:$R$1994,0)),"-")</f>
        <v>-</v>
      </c>
      <c r="D823" s="2" t="str">
        <f>IFERROR(INDEX(Movimientos!$E$2:$E$1994,MATCH(A823&amp;"ENTRADA",Movimientos!$R$2:$R$1994,0)),"-")</f>
        <v>-</v>
      </c>
      <c r="E823" s="2" t="str">
        <f>IFERROR(INDEX(Movimientos!$F$2:$F$1994,MATCH(A823&amp;"ENTRADA",Movimientos!$R$2:$R$1994,0)),"-")</f>
        <v>-</v>
      </c>
      <c r="F823" s="2" t="str">
        <f>IFERROR(INDEX(Movimientos!$G$2:$G$1994,MATCH(A823&amp;"ENTRADA",Movimientos!$R$2:$R$1994,0)),"-")</f>
        <v>-</v>
      </c>
      <c r="G823" s="2" t="str">
        <f>IFERROR(INDEX(Movimientos!$L$2:$L$1994,MATCH(A823&amp;"ENTRADA",Movimientos!$R$2:$R$1994,0)),"-")</f>
        <v>-</v>
      </c>
      <c r="H823" s="17" t="str">
        <f>IFERROR(IF(INDEX(Movimientos!$M$2:$M$1994,MATCH(A823&amp;"ENTRADA",Movimientos!$R$2:$R$1994,0))=0,"S/D",INDEX(Movimientos!$M$2:$M$1994,MATCH(A823&amp;"ENTRADA",Movimientos!$R$2:$R$1994,0))),"S/D")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3099</v>
      </c>
      <c r="B824" s="2" t="str">
        <f>IFERROR(INDEX(Movimientos!$C$2:$C$1994,MATCH(A824&amp;"ENTRADA",Movimientos!$R$2:$R$1994,0)),"-")</f>
        <v>-</v>
      </c>
      <c r="C824" s="2" t="str">
        <f>IFERROR(INDEX(Movimientos!$D$2:$D$1994,MATCH(A824&amp;"ENTRADA",Movimientos!$R$2:$R$1994,0)),"-")</f>
        <v>-</v>
      </c>
      <c r="D824" s="2" t="str">
        <f>IFERROR(INDEX(Movimientos!$E$2:$E$1994,MATCH(A824&amp;"ENTRADA",Movimientos!$R$2:$R$1994,0)),"-")</f>
        <v>-</v>
      </c>
      <c r="E824" s="2" t="str">
        <f>IFERROR(INDEX(Movimientos!$F$2:$F$1994,MATCH(A824&amp;"ENTRADA",Movimientos!$R$2:$R$1994,0)),"-")</f>
        <v>-</v>
      </c>
      <c r="F824" s="2" t="str">
        <f>IFERROR(INDEX(Movimientos!$G$2:$G$1994,MATCH(A824&amp;"ENTRADA",Movimientos!$R$2:$R$1994,0)),"-")</f>
        <v>-</v>
      </c>
      <c r="G824" s="2" t="str">
        <f>IFERROR(INDEX(Movimientos!$L$2:$L$1994,MATCH(A824&amp;"ENTRADA",Movimientos!$R$2:$R$1994,0)),"-")</f>
        <v>-</v>
      </c>
      <c r="H824" s="17" t="str">
        <f>IFERROR(IF(INDEX(Movimientos!$M$2:$M$1994,MATCH(A824&amp;"ENTRADA",Movimientos!$R$2:$R$1994,0))=0,"S/D",INDEX(Movimientos!$M$2:$M$1994,MATCH(A824&amp;"ENTRADA",Movimientos!$R$2:$R$1994,0))),"S/D")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3100</v>
      </c>
      <c r="B825" s="2" t="str">
        <f>IFERROR(INDEX(Movimientos!$C$2:$C$1994,MATCH(A825&amp;"ENTRADA",Movimientos!$R$2:$R$1994,0)),"-")</f>
        <v>-</v>
      </c>
      <c r="C825" s="2" t="str">
        <f>IFERROR(INDEX(Movimientos!$D$2:$D$1994,MATCH(A825&amp;"ENTRADA",Movimientos!$R$2:$R$1994,0)),"-")</f>
        <v>-</v>
      </c>
      <c r="D825" s="2" t="str">
        <f>IFERROR(INDEX(Movimientos!$E$2:$E$1994,MATCH(A825&amp;"ENTRADA",Movimientos!$R$2:$R$1994,0)),"-")</f>
        <v>-</v>
      </c>
      <c r="E825" s="2" t="str">
        <f>IFERROR(INDEX(Movimientos!$F$2:$F$1994,MATCH(A825&amp;"ENTRADA",Movimientos!$R$2:$R$1994,0)),"-")</f>
        <v>-</v>
      </c>
      <c r="F825" s="2" t="str">
        <f>IFERROR(INDEX(Movimientos!$G$2:$G$1994,MATCH(A825&amp;"ENTRADA",Movimientos!$R$2:$R$1994,0)),"-")</f>
        <v>-</v>
      </c>
      <c r="G825" s="2" t="str">
        <f>IFERROR(INDEX(Movimientos!$L$2:$L$1994,MATCH(A825&amp;"ENTRADA",Movimientos!$R$2:$R$1994,0)),"-")</f>
        <v>-</v>
      </c>
      <c r="H825" s="17" t="str">
        <f>IFERROR(IF(INDEX(Movimientos!$M$2:$M$1994,MATCH(A825&amp;"ENTRADA",Movimientos!$R$2:$R$1994,0))=0,"S/D",INDEX(Movimientos!$M$2:$M$1994,MATCH(A825&amp;"ENTRADA",Movimientos!$R$2:$R$1994,0))),"S/D")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3101</v>
      </c>
      <c r="B826" s="2" t="str">
        <f>IFERROR(INDEX(Movimientos!$C$2:$C$1994,MATCH(A826&amp;"ENTRADA",Movimientos!$R$2:$R$1994,0)),"-")</f>
        <v>-</v>
      </c>
      <c r="C826" s="2" t="str">
        <f>IFERROR(INDEX(Movimientos!$D$2:$D$1994,MATCH(A826&amp;"ENTRADA",Movimientos!$R$2:$R$1994,0)),"-")</f>
        <v>-</v>
      </c>
      <c r="D826" s="2" t="str">
        <f>IFERROR(INDEX(Movimientos!$E$2:$E$1994,MATCH(A826&amp;"ENTRADA",Movimientos!$R$2:$R$1994,0)),"-")</f>
        <v>-</v>
      </c>
      <c r="E826" s="2" t="str">
        <f>IFERROR(INDEX(Movimientos!$F$2:$F$1994,MATCH(A826&amp;"ENTRADA",Movimientos!$R$2:$R$1994,0)),"-")</f>
        <v>-</v>
      </c>
      <c r="F826" s="2" t="str">
        <f>IFERROR(INDEX(Movimientos!$G$2:$G$1994,MATCH(A826&amp;"ENTRADA",Movimientos!$R$2:$R$1994,0)),"-")</f>
        <v>-</v>
      </c>
      <c r="G826" s="2" t="str">
        <f>IFERROR(INDEX(Movimientos!$L$2:$L$1994,MATCH(A826&amp;"ENTRADA",Movimientos!$R$2:$R$1994,0)),"-")</f>
        <v>-</v>
      </c>
      <c r="H826" s="17" t="str">
        <f>IFERROR(IF(INDEX(Movimientos!$M$2:$M$1994,MATCH(A826&amp;"ENTRADA",Movimientos!$R$2:$R$1994,0))=0,"S/D",INDEX(Movimientos!$M$2:$M$1994,MATCH(A826&amp;"ENTRADA",Movimientos!$R$2:$R$1994,0))),"S/D")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3102</v>
      </c>
      <c r="B827" s="2" t="str">
        <f>IFERROR(INDEX(Movimientos!$C$2:$C$1994,MATCH(A827&amp;"ENTRADA",Movimientos!$R$2:$R$1994,0)),"-")</f>
        <v>-</v>
      </c>
      <c r="C827" s="2" t="str">
        <f>IFERROR(INDEX(Movimientos!$D$2:$D$1994,MATCH(A827&amp;"ENTRADA",Movimientos!$R$2:$R$1994,0)),"-")</f>
        <v>-</v>
      </c>
      <c r="D827" s="2" t="str">
        <f>IFERROR(INDEX(Movimientos!$E$2:$E$1994,MATCH(A827&amp;"ENTRADA",Movimientos!$R$2:$R$1994,0)),"-")</f>
        <v>-</v>
      </c>
      <c r="E827" s="2" t="str">
        <f>IFERROR(INDEX(Movimientos!$F$2:$F$1994,MATCH(A827&amp;"ENTRADA",Movimientos!$R$2:$R$1994,0)),"-")</f>
        <v>-</v>
      </c>
      <c r="F827" s="2" t="str">
        <f>IFERROR(INDEX(Movimientos!$G$2:$G$1994,MATCH(A827&amp;"ENTRADA",Movimientos!$R$2:$R$1994,0)),"-")</f>
        <v>-</v>
      </c>
      <c r="G827" s="2" t="str">
        <f>IFERROR(INDEX(Movimientos!$L$2:$L$1994,MATCH(A827&amp;"ENTRADA",Movimientos!$R$2:$R$1994,0)),"-")</f>
        <v>-</v>
      </c>
      <c r="H827" s="17" t="str">
        <f>IFERROR(IF(INDEX(Movimientos!$M$2:$M$1994,MATCH(A827&amp;"ENTRADA",Movimientos!$R$2:$R$1994,0))=0,"S/D",INDEX(Movimientos!$M$2:$M$1994,MATCH(A827&amp;"ENTRADA",Movimientos!$R$2:$R$1994,0))),"S/D")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3103</v>
      </c>
      <c r="B828" s="2" t="str">
        <f>IFERROR(INDEX(Movimientos!$C$2:$C$1994,MATCH(A828&amp;"ENTRADA",Movimientos!$R$2:$R$1994,0)),"-")</f>
        <v>-</v>
      </c>
      <c r="C828" s="2" t="str">
        <f>IFERROR(INDEX(Movimientos!$D$2:$D$1994,MATCH(A828&amp;"ENTRADA",Movimientos!$R$2:$R$1994,0)),"-")</f>
        <v>-</v>
      </c>
      <c r="D828" s="2" t="str">
        <f>IFERROR(INDEX(Movimientos!$E$2:$E$1994,MATCH(A828&amp;"ENTRADA",Movimientos!$R$2:$R$1994,0)),"-")</f>
        <v>-</v>
      </c>
      <c r="E828" s="2" t="str">
        <f>IFERROR(INDEX(Movimientos!$F$2:$F$1994,MATCH(A828&amp;"ENTRADA",Movimientos!$R$2:$R$1994,0)),"-")</f>
        <v>-</v>
      </c>
      <c r="F828" s="2" t="str">
        <f>IFERROR(INDEX(Movimientos!$G$2:$G$1994,MATCH(A828&amp;"ENTRADA",Movimientos!$R$2:$R$1994,0)),"-")</f>
        <v>-</v>
      </c>
      <c r="G828" s="2" t="str">
        <f>IFERROR(INDEX(Movimientos!$L$2:$L$1994,MATCH(A828&amp;"ENTRADA",Movimientos!$R$2:$R$1994,0)),"-")</f>
        <v>-</v>
      </c>
      <c r="H828" s="17" t="str">
        <f>IFERROR(IF(INDEX(Movimientos!$M$2:$M$1994,MATCH(A828&amp;"ENTRADA",Movimientos!$R$2:$R$1994,0))=0,"S/D",INDEX(Movimientos!$M$2:$M$1994,MATCH(A828&amp;"ENTRADA",Movimientos!$R$2:$R$1994,0))),"S/D")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3104</v>
      </c>
      <c r="B829" s="2" t="str">
        <f>IFERROR(INDEX(Movimientos!$C$2:$C$1994,MATCH(A829&amp;"ENTRADA",Movimientos!$R$2:$R$1994,0)),"-")</f>
        <v>-</v>
      </c>
      <c r="C829" s="2" t="str">
        <f>IFERROR(INDEX(Movimientos!$D$2:$D$1994,MATCH(A829&amp;"ENTRADA",Movimientos!$R$2:$R$1994,0)),"-")</f>
        <v>-</v>
      </c>
      <c r="D829" s="2" t="str">
        <f>IFERROR(INDEX(Movimientos!$E$2:$E$1994,MATCH(A829&amp;"ENTRADA",Movimientos!$R$2:$R$1994,0)),"-")</f>
        <v>-</v>
      </c>
      <c r="E829" s="2" t="str">
        <f>IFERROR(INDEX(Movimientos!$F$2:$F$1994,MATCH(A829&amp;"ENTRADA",Movimientos!$R$2:$R$1994,0)),"-")</f>
        <v>-</v>
      </c>
      <c r="F829" s="2" t="str">
        <f>IFERROR(INDEX(Movimientos!$G$2:$G$1994,MATCH(A829&amp;"ENTRADA",Movimientos!$R$2:$R$1994,0)),"-")</f>
        <v>-</v>
      </c>
      <c r="G829" s="2" t="str">
        <f>IFERROR(INDEX(Movimientos!$L$2:$L$1994,MATCH(A829&amp;"ENTRADA",Movimientos!$R$2:$R$1994,0)),"-")</f>
        <v>-</v>
      </c>
      <c r="H829" s="17" t="str">
        <f>IFERROR(IF(INDEX(Movimientos!$M$2:$M$1994,MATCH(A829&amp;"ENTRADA",Movimientos!$R$2:$R$1994,0))=0,"S/D",INDEX(Movimientos!$M$2:$M$1994,MATCH(A829&amp;"ENTRADA",Movimientos!$R$2:$R$1994,0))),"S/D")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3105</v>
      </c>
      <c r="B830" s="2" t="str">
        <f>IFERROR(INDEX(Movimientos!$C$2:$C$1994,MATCH(A830&amp;"ENTRADA",Movimientos!$R$2:$R$1994,0)),"-")</f>
        <v>-</v>
      </c>
      <c r="C830" s="2" t="str">
        <f>IFERROR(INDEX(Movimientos!$D$2:$D$1994,MATCH(A830&amp;"ENTRADA",Movimientos!$R$2:$R$1994,0)),"-")</f>
        <v>-</v>
      </c>
      <c r="D830" s="2" t="str">
        <f>IFERROR(INDEX(Movimientos!$E$2:$E$1994,MATCH(A830&amp;"ENTRADA",Movimientos!$R$2:$R$1994,0)),"-")</f>
        <v>-</v>
      </c>
      <c r="E830" s="2" t="str">
        <f>IFERROR(INDEX(Movimientos!$F$2:$F$1994,MATCH(A830&amp;"ENTRADA",Movimientos!$R$2:$R$1994,0)),"-")</f>
        <v>-</v>
      </c>
      <c r="F830" s="2" t="str">
        <f>IFERROR(INDEX(Movimientos!$G$2:$G$1994,MATCH(A830&amp;"ENTRADA",Movimientos!$R$2:$R$1994,0)),"-")</f>
        <v>-</v>
      </c>
      <c r="G830" s="2" t="str">
        <f>IFERROR(INDEX(Movimientos!$L$2:$L$1994,MATCH(A830&amp;"ENTRADA",Movimientos!$R$2:$R$1994,0)),"-")</f>
        <v>-</v>
      </c>
      <c r="H830" s="17" t="str">
        <f>IFERROR(IF(INDEX(Movimientos!$M$2:$M$1994,MATCH(A830&amp;"ENTRADA",Movimientos!$R$2:$R$1994,0))=0,"S/D",INDEX(Movimientos!$M$2:$M$1994,MATCH(A830&amp;"ENTRADA",Movimientos!$R$2:$R$1994,0))),"S/D")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3106</v>
      </c>
      <c r="B831" s="2" t="str">
        <f>IFERROR(INDEX(Movimientos!$C$2:$C$1994,MATCH(A831&amp;"ENTRADA",Movimientos!$R$2:$R$1994,0)),"-")</f>
        <v>-</v>
      </c>
      <c r="C831" s="2" t="str">
        <f>IFERROR(INDEX(Movimientos!$D$2:$D$1994,MATCH(A831&amp;"ENTRADA",Movimientos!$R$2:$R$1994,0)),"-")</f>
        <v>-</v>
      </c>
      <c r="D831" s="2" t="str">
        <f>IFERROR(INDEX(Movimientos!$E$2:$E$1994,MATCH(A831&amp;"ENTRADA",Movimientos!$R$2:$R$1994,0)),"-")</f>
        <v>-</v>
      </c>
      <c r="E831" s="2" t="str">
        <f>IFERROR(INDEX(Movimientos!$F$2:$F$1994,MATCH(A831&amp;"ENTRADA",Movimientos!$R$2:$R$1994,0)),"-")</f>
        <v>-</v>
      </c>
      <c r="F831" s="2" t="str">
        <f>IFERROR(INDEX(Movimientos!$G$2:$G$1994,MATCH(A831&amp;"ENTRADA",Movimientos!$R$2:$R$1994,0)),"-")</f>
        <v>-</v>
      </c>
      <c r="G831" s="2" t="str">
        <f>IFERROR(INDEX(Movimientos!$L$2:$L$1994,MATCH(A831&amp;"ENTRADA",Movimientos!$R$2:$R$1994,0)),"-")</f>
        <v>-</v>
      </c>
      <c r="H831" s="17" t="str">
        <f>IFERROR(IF(INDEX(Movimientos!$M$2:$M$1994,MATCH(A831&amp;"ENTRADA",Movimientos!$R$2:$R$1994,0))=0,"S/D",INDEX(Movimientos!$M$2:$M$1994,MATCH(A831&amp;"ENTRADA",Movimientos!$R$2:$R$1994,0))),"S/D")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3107</v>
      </c>
      <c r="B832" s="2" t="str">
        <f>IFERROR(INDEX(Movimientos!$C$2:$C$1994,MATCH(A832&amp;"ENTRADA",Movimientos!$R$2:$R$1994,0)),"-")</f>
        <v>-</v>
      </c>
      <c r="C832" s="2" t="str">
        <f>IFERROR(INDEX(Movimientos!$D$2:$D$1994,MATCH(A832&amp;"ENTRADA",Movimientos!$R$2:$R$1994,0)),"-")</f>
        <v>-</v>
      </c>
      <c r="D832" s="2" t="str">
        <f>IFERROR(INDEX(Movimientos!$E$2:$E$1994,MATCH(A832&amp;"ENTRADA",Movimientos!$R$2:$R$1994,0)),"-")</f>
        <v>-</v>
      </c>
      <c r="E832" s="2" t="str">
        <f>IFERROR(INDEX(Movimientos!$F$2:$F$1994,MATCH(A832&amp;"ENTRADA",Movimientos!$R$2:$R$1994,0)),"-")</f>
        <v>-</v>
      </c>
      <c r="F832" s="2" t="str">
        <f>IFERROR(INDEX(Movimientos!$G$2:$G$1994,MATCH(A832&amp;"ENTRADA",Movimientos!$R$2:$R$1994,0)),"-")</f>
        <v>-</v>
      </c>
      <c r="G832" s="2" t="str">
        <f>IFERROR(INDEX(Movimientos!$L$2:$L$1994,MATCH(A832&amp;"ENTRADA",Movimientos!$R$2:$R$1994,0)),"-")</f>
        <v>-</v>
      </c>
      <c r="H832" s="17" t="str">
        <f>IFERROR(IF(INDEX(Movimientos!$M$2:$M$1994,MATCH(A832&amp;"ENTRADA",Movimientos!$R$2:$R$1994,0))=0,"S/D",INDEX(Movimientos!$M$2:$M$1994,MATCH(A832&amp;"ENTRADA",Movimientos!$R$2:$R$1994,0))),"S/D")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3108</v>
      </c>
      <c r="B833" s="2" t="str">
        <f>IFERROR(INDEX(Movimientos!$C$2:$C$1994,MATCH(A833&amp;"ENTRADA",Movimientos!$R$2:$R$1994,0)),"-")</f>
        <v>-</v>
      </c>
      <c r="C833" s="2" t="str">
        <f>IFERROR(INDEX(Movimientos!$D$2:$D$1994,MATCH(A833&amp;"ENTRADA",Movimientos!$R$2:$R$1994,0)),"-")</f>
        <v>-</v>
      </c>
      <c r="D833" s="2" t="str">
        <f>IFERROR(INDEX(Movimientos!$E$2:$E$1994,MATCH(A833&amp;"ENTRADA",Movimientos!$R$2:$R$1994,0)),"-")</f>
        <v>-</v>
      </c>
      <c r="E833" s="2" t="str">
        <f>IFERROR(INDEX(Movimientos!$F$2:$F$1994,MATCH(A833&amp;"ENTRADA",Movimientos!$R$2:$R$1994,0)),"-")</f>
        <v>-</v>
      </c>
      <c r="F833" s="2" t="str">
        <f>IFERROR(INDEX(Movimientos!$G$2:$G$1994,MATCH(A833&amp;"ENTRADA",Movimientos!$R$2:$R$1994,0)),"-")</f>
        <v>-</v>
      </c>
      <c r="G833" s="2" t="str">
        <f>IFERROR(INDEX(Movimientos!$L$2:$L$1994,MATCH(A833&amp;"ENTRADA",Movimientos!$R$2:$R$1994,0)),"-")</f>
        <v>-</v>
      </c>
      <c r="H833" s="17" t="str">
        <f>IFERROR(IF(INDEX(Movimientos!$M$2:$M$1994,MATCH(A833&amp;"ENTRADA",Movimientos!$R$2:$R$1994,0))=0,"S/D",INDEX(Movimientos!$M$2:$M$1994,MATCH(A833&amp;"ENTRADA",Movimientos!$R$2:$R$1994,0))),"S/D")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3109</v>
      </c>
      <c r="B834" s="2" t="str">
        <f>IFERROR(INDEX(Movimientos!$C$2:$C$1994,MATCH(A834&amp;"ENTRADA",Movimientos!$R$2:$R$1994,0)),"-")</f>
        <v>-</v>
      </c>
      <c r="C834" s="2" t="str">
        <f>IFERROR(INDEX(Movimientos!$D$2:$D$1994,MATCH(A834&amp;"ENTRADA",Movimientos!$R$2:$R$1994,0)),"-")</f>
        <v>-</v>
      </c>
      <c r="D834" s="2" t="str">
        <f>IFERROR(INDEX(Movimientos!$E$2:$E$1994,MATCH(A834&amp;"ENTRADA",Movimientos!$R$2:$R$1994,0)),"-")</f>
        <v>-</v>
      </c>
      <c r="E834" s="2" t="str">
        <f>IFERROR(INDEX(Movimientos!$F$2:$F$1994,MATCH(A834&amp;"ENTRADA",Movimientos!$R$2:$R$1994,0)),"-")</f>
        <v>-</v>
      </c>
      <c r="F834" s="2" t="str">
        <f>IFERROR(INDEX(Movimientos!$G$2:$G$1994,MATCH(A834&amp;"ENTRADA",Movimientos!$R$2:$R$1994,0)),"-")</f>
        <v>-</v>
      </c>
      <c r="G834" s="2" t="str">
        <f>IFERROR(INDEX(Movimientos!$L$2:$L$1994,MATCH(A834&amp;"ENTRADA",Movimientos!$R$2:$R$1994,0)),"-")</f>
        <v>-</v>
      </c>
      <c r="H834" s="17" t="str">
        <f>IFERROR(IF(INDEX(Movimientos!$M$2:$M$1994,MATCH(A834&amp;"ENTRADA",Movimientos!$R$2:$R$1994,0))=0,"S/D",INDEX(Movimientos!$M$2:$M$1994,MATCH(A834&amp;"ENTRADA",Movimientos!$R$2:$R$1994,0))),"S/D")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3110</v>
      </c>
      <c r="B835" s="2" t="str">
        <f>IFERROR(INDEX(Movimientos!$C$2:$C$1994,MATCH(A835&amp;"ENTRADA",Movimientos!$R$2:$R$1994,0)),"-")</f>
        <v>-</v>
      </c>
      <c r="C835" s="2" t="str">
        <f>IFERROR(INDEX(Movimientos!$D$2:$D$1994,MATCH(A835&amp;"ENTRADA",Movimientos!$R$2:$R$1994,0)),"-")</f>
        <v>-</v>
      </c>
      <c r="D835" s="2" t="str">
        <f>IFERROR(INDEX(Movimientos!$E$2:$E$1994,MATCH(A835&amp;"ENTRADA",Movimientos!$R$2:$R$1994,0)),"-")</f>
        <v>-</v>
      </c>
      <c r="E835" s="2" t="str">
        <f>IFERROR(INDEX(Movimientos!$F$2:$F$1994,MATCH(A835&amp;"ENTRADA",Movimientos!$R$2:$R$1994,0)),"-")</f>
        <v>-</v>
      </c>
      <c r="F835" s="2" t="str">
        <f>IFERROR(INDEX(Movimientos!$G$2:$G$1994,MATCH(A835&amp;"ENTRADA",Movimientos!$R$2:$R$1994,0)),"-")</f>
        <v>-</v>
      </c>
      <c r="G835" s="2" t="str">
        <f>IFERROR(INDEX(Movimientos!$L$2:$L$1994,MATCH(A835&amp;"ENTRADA",Movimientos!$R$2:$R$1994,0)),"-")</f>
        <v>-</v>
      </c>
      <c r="H835" s="17" t="str">
        <f>IFERROR(IF(INDEX(Movimientos!$M$2:$M$1994,MATCH(A835&amp;"ENTRADA",Movimientos!$R$2:$R$1994,0))=0,"S/D",INDEX(Movimientos!$M$2:$M$1994,MATCH(A835&amp;"ENTRADA",Movimientos!$R$2:$R$1994,0))),"S/D")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3111</v>
      </c>
      <c r="B836" s="2" t="str">
        <f>IFERROR(INDEX(Movimientos!$C$2:$C$1994,MATCH(A836&amp;"ENTRADA",Movimientos!$R$2:$R$1994,0)),"-")</f>
        <v>-</v>
      </c>
      <c r="C836" s="2" t="str">
        <f>IFERROR(INDEX(Movimientos!$D$2:$D$1994,MATCH(A836&amp;"ENTRADA",Movimientos!$R$2:$R$1994,0)),"-")</f>
        <v>-</v>
      </c>
      <c r="D836" s="2" t="str">
        <f>IFERROR(INDEX(Movimientos!$E$2:$E$1994,MATCH(A836&amp;"ENTRADA",Movimientos!$R$2:$R$1994,0)),"-")</f>
        <v>-</v>
      </c>
      <c r="E836" s="2" t="str">
        <f>IFERROR(INDEX(Movimientos!$F$2:$F$1994,MATCH(A836&amp;"ENTRADA",Movimientos!$R$2:$R$1994,0)),"-")</f>
        <v>-</v>
      </c>
      <c r="F836" s="2" t="str">
        <f>IFERROR(INDEX(Movimientos!$G$2:$G$1994,MATCH(A836&amp;"ENTRADA",Movimientos!$R$2:$R$1994,0)),"-")</f>
        <v>-</v>
      </c>
      <c r="G836" s="2" t="str">
        <f>IFERROR(INDEX(Movimientos!$L$2:$L$1994,MATCH(A836&amp;"ENTRADA",Movimientos!$R$2:$R$1994,0)),"-")</f>
        <v>-</v>
      </c>
      <c r="H836" s="17" t="str">
        <f>IFERROR(IF(INDEX(Movimientos!$M$2:$M$1994,MATCH(A836&amp;"ENTRADA",Movimientos!$R$2:$R$1994,0))=0,"S/D",INDEX(Movimientos!$M$2:$M$1994,MATCH(A836&amp;"ENTRADA",Movimientos!$R$2:$R$1994,0))),"S/D")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3112</v>
      </c>
      <c r="B837" s="2" t="str">
        <f>IFERROR(INDEX(Movimientos!$C$2:$C$1994,MATCH(A837&amp;"ENTRADA",Movimientos!$R$2:$R$1994,0)),"-")</f>
        <v>-</v>
      </c>
      <c r="C837" s="2" t="str">
        <f>IFERROR(INDEX(Movimientos!$D$2:$D$1994,MATCH(A837&amp;"ENTRADA",Movimientos!$R$2:$R$1994,0)),"-")</f>
        <v>-</v>
      </c>
      <c r="D837" s="2" t="str">
        <f>IFERROR(INDEX(Movimientos!$E$2:$E$1994,MATCH(A837&amp;"ENTRADA",Movimientos!$R$2:$R$1994,0)),"-")</f>
        <v>-</v>
      </c>
      <c r="E837" s="2" t="str">
        <f>IFERROR(INDEX(Movimientos!$F$2:$F$1994,MATCH(A837&amp;"ENTRADA",Movimientos!$R$2:$R$1994,0)),"-")</f>
        <v>-</v>
      </c>
      <c r="F837" s="2" t="str">
        <f>IFERROR(INDEX(Movimientos!$G$2:$G$1994,MATCH(A837&amp;"ENTRADA",Movimientos!$R$2:$R$1994,0)),"-")</f>
        <v>-</v>
      </c>
      <c r="G837" s="2" t="str">
        <f>IFERROR(INDEX(Movimientos!$L$2:$L$1994,MATCH(A837&amp;"ENTRADA",Movimientos!$R$2:$R$1994,0)),"-")</f>
        <v>-</v>
      </c>
      <c r="H837" s="17" t="str">
        <f>IFERROR(IF(INDEX(Movimientos!$M$2:$M$1994,MATCH(A837&amp;"ENTRADA",Movimientos!$R$2:$R$1994,0))=0,"S/D",INDEX(Movimientos!$M$2:$M$1994,MATCH(A837&amp;"ENTRADA",Movimientos!$R$2:$R$1994,0))),"S/D")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3113</v>
      </c>
      <c r="B838" s="2" t="str">
        <f>IFERROR(INDEX(Movimientos!$C$2:$C$1994,MATCH(A838&amp;"ENTRADA",Movimientos!$R$2:$R$1994,0)),"-")</f>
        <v>-</v>
      </c>
      <c r="C838" s="2" t="str">
        <f>IFERROR(INDEX(Movimientos!$D$2:$D$1994,MATCH(A838&amp;"ENTRADA",Movimientos!$R$2:$R$1994,0)),"-")</f>
        <v>-</v>
      </c>
      <c r="D838" s="2" t="str">
        <f>IFERROR(INDEX(Movimientos!$E$2:$E$1994,MATCH(A838&amp;"ENTRADA",Movimientos!$R$2:$R$1994,0)),"-")</f>
        <v>-</v>
      </c>
      <c r="E838" s="2" t="str">
        <f>IFERROR(INDEX(Movimientos!$F$2:$F$1994,MATCH(A838&amp;"ENTRADA",Movimientos!$R$2:$R$1994,0)),"-")</f>
        <v>-</v>
      </c>
      <c r="F838" s="2" t="str">
        <f>IFERROR(INDEX(Movimientos!$G$2:$G$1994,MATCH(A838&amp;"ENTRADA",Movimientos!$R$2:$R$1994,0)),"-")</f>
        <v>-</v>
      </c>
      <c r="G838" s="2" t="str">
        <f>IFERROR(INDEX(Movimientos!$L$2:$L$1994,MATCH(A838&amp;"ENTRADA",Movimientos!$R$2:$R$1994,0)),"-")</f>
        <v>-</v>
      </c>
      <c r="H838" s="17" t="str">
        <f>IFERROR(IF(INDEX(Movimientos!$M$2:$M$1994,MATCH(A838&amp;"ENTRADA",Movimientos!$R$2:$R$1994,0))=0,"S/D",INDEX(Movimientos!$M$2:$M$1994,MATCH(A838&amp;"ENTRADA",Movimientos!$R$2:$R$1994,0))),"S/D")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3114</v>
      </c>
      <c r="B839" s="2" t="str">
        <f>IFERROR(INDEX(Movimientos!$C$2:$C$1994,MATCH(A839&amp;"ENTRADA",Movimientos!$R$2:$R$1994,0)),"-")</f>
        <v>-</v>
      </c>
      <c r="C839" s="2" t="str">
        <f>IFERROR(INDEX(Movimientos!$D$2:$D$1994,MATCH(A839&amp;"ENTRADA",Movimientos!$R$2:$R$1994,0)),"-")</f>
        <v>-</v>
      </c>
      <c r="D839" s="2" t="str">
        <f>IFERROR(INDEX(Movimientos!$E$2:$E$1994,MATCH(A839&amp;"ENTRADA",Movimientos!$R$2:$R$1994,0)),"-")</f>
        <v>-</v>
      </c>
      <c r="E839" s="2" t="str">
        <f>IFERROR(INDEX(Movimientos!$F$2:$F$1994,MATCH(A839&amp;"ENTRADA",Movimientos!$R$2:$R$1994,0)),"-")</f>
        <v>-</v>
      </c>
      <c r="F839" s="2" t="str">
        <f>IFERROR(INDEX(Movimientos!$G$2:$G$1994,MATCH(A839&amp;"ENTRADA",Movimientos!$R$2:$R$1994,0)),"-")</f>
        <v>-</v>
      </c>
      <c r="G839" s="2" t="str">
        <f>IFERROR(INDEX(Movimientos!$L$2:$L$1994,MATCH(A839&amp;"ENTRADA",Movimientos!$R$2:$R$1994,0)),"-")</f>
        <v>-</v>
      </c>
      <c r="H839" s="17" t="str">
        <f>IFERROR(IF(INDEX(Movimientos!$M$2:$M$1994,MATCH(A839&amp;"ENTRADA",Movimientos!$R$2:$R$1994,0))=0,"S/D",INDEX(Movimientos!$M$2:$M$1994,MATCH(A839&amp;"ENTRADA",Movimientos!$R$2:$R$1994,0))),"S/D")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3115</v>
      </c>
      <c r="B840" s="2" t="str">
        <f>IFERROR(INDEX(Movimientos!$C$2:$C$1994,MATCH(A840&amp;"ENTRADA",Movimientos!$R$2:$R$1994,0)),"-")</f>
        <v>-</v>
      </c>
      <c r="C840" s="2" t="str">
        <f>IFERROR(INDEX(Movimientos!$D$2:$D$1994,MATCH(A840&amp;"ENTRADA",Movimientos!$R$2:$R$1994,0)),"-")</f>
        <v>-</v>
      </c>
      <c r="D840" s="2" t="str">
        <f>IFERROR(INDEX(Movimientos!$E$2:$E$1994,MATCH(A840&amp;"ENTRADA",Movimientos!$R$2:$R$1994,0)),"-")</f>
        <v>-</v>
      </c>
      <c r="E840" s="2" t="str">
        <f>IFERROR(INDEX(Movimientos!$F$2:$F$1994,MATCH(A840&amp;"ENTRADA",Movimientos!$R$2:$R$1994,0)),"-")</f>
        <v>-</v>
      </c>
      <c r="F840" s="2" t="str">
        <f>IFERROR(INDEX(Movimientos!$G$2:$G$1994,MATCH(A840&amp;"ENTRADA",Movimientos!$R$2:$R$1994,0)),"-")</f>
        <v>-</v>
      </c>
      <c r="G840" s="2" t="str">
        <f>IFERROR(INDEX(Movimientos!$L$2:$L$1994,MATCH(A840&amp;"ENTRADA",Movimientos!$R$2:$R$1994,0)),"-")</f>
        <v>-</v>
      </c>
      <c r="H840" s="17" t="str">
        <f>IFERROR(IF(INDEX(Movimientos!$M$2:$M$1994,MATCH(A840&amp;"ENTRADA",Movimientos!$R$2:$R$1994,0))=0,"S/D",INDEX(Movimientos!$M$2:$M$1994,MATCH(A840&amp;"ENTRADA",Movimientos!$R$2:$R$1994,0))),"S/D")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3116</v>
      </c>
      <c r="B841" s="2" t="str">
        <f>IFERROR(INDEX(Movimientos!$C$2:$C$1994,MATCH(A841&amp;"ENTRADA",Movimientos!$R$2:$R$1994,0)),"-")</f>
        <v>-</v>
      </c>
      <c r="C841" s="2" t="str">
        <f>IFERROR(INDEX(Movimientos!$D$2:$D$1994,MATCH(A841&amp;"ENTRADA",Movimientos!$R$2:$R$1994,0)),"-")</f>
        <v>-</v>
      </c>
      <c r="D841" s="2" t="str">
        <f>IFERROR(INDEX(Movimientos!$E$2:$E$1994,MATCH(A841&amp;"ENTRADA",Movimientos!$R$2:$R$1994,0)),"-")</f>
        <v>-</v>
      </c>
      <c r="E841" s="2" t="str">
        <f>IFERROR(INDEX(Movimientos!$F$2:$F$1994,MATCH(A841&amp;"ENTRADA",Movimientos!$R$2:$R$1994,0)),"-")</f>
        <v>-</v>
      </c>
      <c r="F841" s="2" t="str">
        <f>IFERROR(INDEX(Movimientos!$G$2:$G$1994,MATCH(A841&amp;"ENTRADA",Movimientos!$R$2:$R$1994,0)),"-")</f>
        <v>-</v>
      </c>
      <c r="G841" s="2" t="str">
        <f>IFERROR(INDEX(Movimientos!$L$2:$L$1994,MATCH(A841&amp;"ENTRADA",Movimientos!$R$2:$R$1994,0)),"-")</f>
        <v>-</v>
      </c>
      <c r="H841" s="17" t="str">
        <f>IFERROR(IF(INDEX(Movimientos!$M$2:$M$1994,MATCH(A841&amp;"ENTRADA",Movimientos!$R$2:$R$1994,0))=0,"S/D",INDEX(Movimientos!$M$2:$M$1994,MATCH(A841&amp;"ENTRADA",Movimientos!$R$2:$R$1994,0))),"S/D")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3117</v>
      </c>
      <c r="B842" s="2" t="str">
        <f>IFERROR(INDEX(Movimientos!$C$2:$C$1994,MATCH(A842&amp;"ENTRADA",Movimientos!$R$2:$R$1994,0)),"-")</f>
        <v>-</v>
      </c>
      <c r="C842" s="2" t="str">
        <f>IFERROR(INDEX(Movimientos!$D$2:$D$1994,MATCH(A842&amp;"ENTRADA",Movimientos!$R$2:$R$1994,0)),"-")</f>
        <v>-</v>
      </c>
      <c r="D842" s="2" t="str">
        <f>IFERROR(INDEX(Movimientos!$E$2:$E$1994,MATCH(A842&amp;"ENTRADA",Movimientos!$R$2:$R$1994,0)),"-")</f>
        <v>-</v>
      </c>
      <c r="E842" s="2" t="str">
        <f>IFERROR(INDEX(Movimientos!$F$2:$F$1994,MATCH(A842&amp;"ENTRADA",Movimientos!$R$2:$R$1994,0)),"-")</f>
        <v>-</v>
      </c>
      <c r="F842" s="2" t="str">
        <f>IFERROR(INDEX(Movimientos!$G$2:$G$1994,MATCH(A842&amp;"ENTRADA",Movimientos!$R$2:$R$1994,0)),"-")</f>
        <v>-</v>
      </c>
      <c r="G842" s="2" t="str">
        <f>IFERROR(INDEX(Movimientos!$L$2:$L$1994,MATCH(A842&amp;"ENTRADA",Movimientos!$R$2:$R$1994,0)),"-")</f>
        <v>-</v>
      </c>
      <c r="H842" s="17" t="str">
        <f>IFERROR(IF(INDEX(Movimientos!$M$2:$M$1994,MATCH(A842&amp;"ENTRADA",Movimientos!$R$2:$R$1994,0))=0,"S/D",INDEX(Movimientos!$M$2:$M$1994,MATCH(A842&amp;"ENTRADA",Movimientos!$R$2:$R$1994,0))),"S/D")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3118</v>
      </c>
      <c r="B843" s="2" t="str">
        <f>IFERROR(INDEX(Movimientos!$C$2:$C$1994,MATCH(A843&amp;"ENTRADA",Movimientos!$R$2:$R$1994,0)),"-")</f>
        <v>-</v>
      </c>
      <c r="C843" s="2" t="str">
        <f>IFERROR(INDEX(Movimientos!$D$2:$D$1994,MATCH(A843&amp;"ENTRADA",Movimientos!$R$2:$R$1994,0)),"-")</f>
        <v>-</v>
      </c>
      <c r="D843" s="2" t="str">
        <f>IFERROR(INDEX(Movimientos!$E$2:$E$1994,MATCH(A843&amp;"ENTRADA",Movimientos!$R$2:$R$1994,0)),"-")</f>
        <v>-</v>
      </c>
      <c r="E843" s="2" t="str">
        <f>IFERROR(INDEX(Movimientos!$F$2:$F$1994,MATCH(A843&amp;"ENTRADA",Movimientos!$R$2:$R$1994,0)),"-")</f>
        <v>-</v>
      </c>
      <c r="F843" s="2" t="str">
        <f>IFERROR(INDEX(Movimientos!$G$2:$G$1994,MATCH(A843&amp;"ENTRADA",Movimientos!$R$2:$R$1994,0)),"-")</f>
        <v>-</v>
      </c>
      <c r="G843" s="2" t="str">
        <f>IFERROR(INDEX(Movimientos!$L$2:$L$1994,MATCH(A843&amp;"ENTRADA",Movimientos!$R$2:$R$1994,0)),"-")</f>
        <v>-</v>
      </c>
      <c r="H843" s="17" t="str">
        <f>IFERROR(IF(INDEX(Movimientos!$M$2:$M$1994,MATCH(A843&amp;"ENTRADA",Movimientos!$R$2:$R$1994,0))=0,"S/D",INDEX(Movimientos!$M$2:$M$1994,MATCH(A843&amp;"ENTRADA",Movimientos!$R$2:$R$1994,0))),"S/D")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3119</v>
      </c>
      <c r="B844" s="2" t="str">
        <f>IFERROR(INDEX(Movimientos!$C$2:$C$1994,MATCH(A844&amp;"ENTRADA",Movimientos!$R$2:$R$1994,0)),"-")</f>
        <v>-</v>
      </c>
      <c r="C844" s="2" t="str">
        <f>IFERROR(INDEX(Movimientos!$D$2:$D$1994,MATCH(A844&amp;"ENTRADA",Movimientos!$R$2:$R$1994,0)),"-")</f>
        <v>-</v>
      </c>
      <c r="D844" s="2" t="str">
        <f>IFERROR(INDEX(Movimientos!$E$2:$E$1994,MATCH(A844&amp;"ENTRADA",Movimientos!$R$2:$R$1994,0)),"-")</f>
        <v>-</v>
      </c>
      <c r="E844" s="2" t="str">
        <f>IFERROR(INDEX(Movimientos!$F$2:$F$1994,MATCH(A844&amp;"ENTRADA",Movimientos!$R$2:$R$1994,0)),"-")</f>
        <v>-</v>
      </c>
      <c r="F844" s="2" t="str">
        <f>IFERROR(INDEX(Movimientos!$G$2:$G$1994,MATCH(A844&amp;"ENTRADA",Movimientos!$R$2:$R$1994,0)),"-")</f>
        <v>-</v>
      </c>
      <c r="G844" s="2" t="str">
        <f>IFERROR(INDEX(Movimientos!$L$2:$L$1994,MATCH(A844&amp;"ENTRADA",Movimientos!$R$2:$R$1994,0)),"-")</f>
        <v>-</v>
      </c>
      <c r="H844" s="17" t="str">
        <f>IFERROR(IF(INDEX(Movimientos!$M$2:$M$1994,MATCH(A844&amp;"ENTRADA",Movimientos!$R$2:$R$1994,0))=0,"S/D",INDEX(Movimientos!$M$2:$M$1994,MATCH(A844&amp;"ENTRADA",Movimientos!$R$2:$R$1994,0))),"S/D")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3120</v>
      </c>
      <c r="B845" s="2" t="str">
        <f>IFERROR(INDEX(Movimientos!$C$2:$C$1994,MATCH(A845&amp;"ENTRADA",Movimientos!$R$2:$R$1994,0)),"-")</f>
        <v>-</v>
      </c>
      <c r="C845" s="2" t="str">
        <f>IFERROR(INDEX(Movimientos!$D$2:$D$1994,MATCH(A845&amp;"ENTRADA",Movimientos!$R$2:$R$1994,0)),"-")</f>
        <v>-</v>
      </c>
      <c r="D845" s="2" t="str">
        <f>IFERROR(INDEX(Movimientos!$E$2:$E$1994,MATCH(A845&amp;"ENTRADA",Movimientos!$R$2:$R$1994,0)),"-")</f>
        <v>-</v>
      </c>
      <c r="E845" s="2" t="str">
        <f>IFERROR(INDEX(Movimientos!$F$2:$F$1994,MATCH(A845&amp;"ENTRADA",Movimientos!$R$2:$R$1994,0)),"-")</f>
        <v>-</v>
      </c>
      <c r="F845" s="2" t="str">
        <f>IFERROR(INDEX(Movimientos!$G$2:$G$1994,MATCH(A845&amp;"ENTRADA",Movimientos!$R$2:$R$1994,0)),"-")</f>
        <v>-</v>
      </c>
      <c r="G845" s="2" t="str">
        <f>IFERROR(INDEX(Movimientos!$L$2:$L$1994,MATCH(A845&amp;"ENTRADA",Movimientos!$R$2:$R$1994,0)),"-")</f>
        <v>-</v>
      </c>
      <c r="H845" s="17" t="str">
        <f>IFERROR(IF(INDEX(Movimientos!$M$2:$M$1994,MATCH(A845&amp;"ENTRADA",Movimientos!$R$2:$R$1994,0))=0,"S/D",INDEX(Movimientos!$M$2:$M$1994,MATCH(A845&amp;"ENTRADA",Movimientos!$R$2:$R$1994,0))),"S/D")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3121</v>
      </c>
      <c r="B846" s="2" t="str">
        <f>IFERROR(INDEX(Movimientos!$C$2:$C$1994,MATCH(A846&amp;"ENTRADA",Movimientos!$R$2:$R$1994,0)),"-")</f>
        <v>-</v>
      </c>
      <c r="C846" s="2" t="str">
        <f>IFERROR(INDEX(Movimientos!$D$2:$D$1994,MATCH(A846&amp;"ENTRADA",Movimientos!$R$2:$R$1994,0)),"-")</f>
        <v>-</v>
      </c>
      <c r="D846" s="2" t="str">
        <f>IFERROR(INDEX(Movimientos!$E$2:$E$1994,MATCH(A846&amp;"ENTRADA",Movimientos!$R$2:$R$1994,0)),"-")</f>
        <v>-</v>
      </c>
      <c r="E846" s="2" t="str">
        <f>IFERROR(INDEX(Movimientos!$F$2:$F$1994,MATCH(A846&amp;"ENTRADA",Movimientos!$R$2:$R$1994,0)),"-")</f>
        <v>-</v>
      </c>
      <c r="F846" s="2" t="str">
        <f>IFERROR(INDEX(Movimientos!$G$2:$G$1994,MATCH(A846&amp;"ENTRADA",Movimientos!$R$2:$R$1994,0)),"-")</f>
        <v>-</v>
      </c>
      <c r="G846" s="2" t="str">
        <f>IFERROR(INDEX(Movimientos!$L$2:$L$1994,MATCH(A846&amp;"ENTRADA",Movimientos!$R$2:$R$1994,0)),"-")</f>
        <v>-</v>
      </c>
      <c r="H846" s="17" t="str">
        <f>IFERROR(IF(INDEX(Movimientos!$M$2:$M$1994,MATCH(A846&amp;"ENTRADA",Movimientos!$R$2:$R$1994,0))=0,"S/D",INDEX(Movimientos!$M$2:$M$1994,MATCH(A846&amp;"ENTRADA",Movimientos!$R$2:$R$1994,0))),"S/D")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3122</v>
      </c>
      <c r="B847" s="2" t="str">
        <f>IFERROR(INDEX(Movimientos!$C$2:$C$1994,MATCH(A847&amp;"ENTRADA",Movimientos!$R$2:$R$1994,0)),"-")</f>
        <v>-</v>
      </c>
      <c r="C847" s="2" t="str">
        <f>IFERROR(INDEX(Movimientos!$D$2:$D$1994,MATCH(A847&amp;"ENTRADA",Movimientos!$R$2:$R$1994,0)),"-")</f>
        <v>-</v>
      </c>
      <c r="D847" s="2" t="str">
        <f>IFERROR(INDEX(Movimientos!$E$2:$E$1994,MATCH(A847&amp;"ENTRADA",Movimientos!$R$2:$R$1994,0)),"-")</f>
        <v>-</v>
      </c>
      <c r="E847" s="2" t="str">
        <f>IFERROR(INDEX(Movimientos!$F$2:$F$1994,MATCH(A847&amp;"ENTRADA",Movimientos!$R$2:$R$1994,0)),"-")</f>
        <v>-</v>
      </c>
      <c r="F847" s="2" t="str">
        <f>IFERROR(INDEX(Movimientos!$G$2:$G$1994,MATCH(A847&amp;"ENTRADA",Movimientos!$R$2:$R$1994,0)),"-")</f>
        <v>-</v>
      </c>
      <c r="G847" s="2" t="str">
        <f>IFERROR(INDEX(Movimientos!$L$2:$L$1994,MATCH(A847&amp;"ENTRADA",Movimientos!$R$2:$R$1994,0)),"-")</f>
        <v>-</v>
      </c>
      <c r="H847" s="17" t="str">
        <f>IFERROR(IF(INDEX(Movimientos!$M$2:$M$1994,MATCH(A847&amp;"ENTRADA",Movimientos!$R$2:$R$1994,0))=0,"S/D",INDEX(Movimientos!$M$2:$M$1994,MATCH(A847&amp;"ENTRADA",Movimientos!$R$2:$R$1994,0))),"S/D")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3123</v>
      </c>
      <c r="B848" s="2" t="str">
        <f>IFERROR(INDEX(Movimientos!$C$2:$C$1994,MATCH(A848&amp;"ENTRADA",Movimientos!$R$2:$R$1994,0)),"-")</f>
        <v>-</v>
      </c>
      <c r="C848" s="2" t="str">
        <f>IFERROR(INDEX(Movimientos!$D$2:$D$1994,MATCH(A848&amp;"ENTRADA",Movimientos!$R$2:$R$1994,0)),"-")</f>
        <v>-</v>
      </c>
      <c r="D848" s="2" t="str">
        <f>IFERROR(INDEX(Movimientos!$E$2:$E$1994,MATCH(A848&amp;"ENTRADA",Movimientos!$R$2:$R$1994,0)),"-")</f>
        <v>-</v>
      </c>
      <c r="E848" s="2" t="str">
        <f>IFERROR(INDEX(Movimientos!$F$2:$F$1994,MATCH(A848&amp;"ENTRADA",Movimientos!$R$2:$R$1994,0)),"-")</f>
        <v>-</v>
      </c>
      <c r="F848" s="2" t="str">
        <f>IFERROR(INDEX(Movimientos!$G$2:$G$1994,MATCH(A848&amp;"ENTRADA",Movimientos!$R$2:$R$1994,0)),"-")</f>
        <v>-</v>
      </c>
      <c r="G848" s="2" t="str">
        <f>IFERROR(INDEX(Movimientos!$L$2:$L$1994,MATCH(A848&amp;"ENTRADA",Movimientos!$R$2:$R$1994,0)),"-")</f>
        <v>-</v>
      </c>
      <c r="H848" s="17" t="str">
        <f>IFERROR(IF(INDEX(Movimientos!$M$2:$M$1994,MATCH(A848&amp;"ENTRADA",Movimientos!$R$2:$R$1994,0))=0,"S/D",INDEX(Movimientos!$M$2:$M$1994,MATCH(A848&amp;"ENTRADA",Movimientos!$R$2:$R$1994,0))),"S/D")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3124</v>
      </c>
      <c r="B849" s="2" t="str">
        <f>IFERROR(INDEX(Movimientos!$C$2:$C$1994,MATCH(A849&amp;"ENTRADA",Movimientos!$R$2:$R$1994,0)),"-")</f>
        <v>-</v>
      </c>
      <c r="C849" s="2" t="str">
        <f>IFERROR(INDEX(Movimientos!$D$2:$D$1994,MATCH(A849&amp;"ENTRADA",Movimientos!$R$2:$R$1994,0)),"-")</f>
        <v>-</v>
      </c>
      <c r="D849" s="2" t="str">
        <f>IFERROR(INDEX(Movimientos!$E$2:$E$1994,MATCH(A849&amp;"ENTRADA",Movimientos!$R$2:$R$1994,0)),"-")</f>
        <v>-</v>
      </c>
      <c r="E849" s="2" t="str">
        <f>IFERROR(INDEX(Movimientos!$F$2:$F$1994,MATCH(A849&amp;"ENTRADA",Movimientos!$R$2:$R$1994,0)),"-")</f>
        <v>-</v>
      </c>
      <c r="F849" s="2" t="str">
        <f>IFERROR(INDEX(Movimientos!$G$2:$G$1994,MATCH(A849&amp;"ENTRADA",Movimientos!$R$2:$R$1994,0)),"-")</f>
        <v>-</v>
      </c>
      <c r="G849" s="2" t="str">
        <f>IFERROR(INDEX(Movimientos!$L$2:$L$1994,MATCH(A849&amp;"ENTRADA",Movimientos!$R$2:$R$1994,0)),"-")</f>
        <v>-</v>
      </c>
      <c r="H849" s="17" t="str">
        <f>IFERROR(IF(INDEX(Movimientos!$M$2:$M$1994,MATCH(A849&amp;"ENTRADA",Movimientos!$R$2:$R$1994,0))=0,"S/D",INDEX(Movimientos!$M$2:$M$1994,MATCH(A849&amp;"ENTRADA",Movimientos!$R$2:$R$1994,0))),"S/D")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3125</v>
      </c>
      <c r="B850" s="2" t="str">
        <f>IFERROR(INDEX(Movimientos!$C$2:$C$1994,MATCH(A850&amp;"ENTRADA",Movimientos!$R$2:$R$1994,0)),"-")</f>
        <v>-</v>
      </c>
      <c r="C850" s="2" t="str">
        <f>IFERROR(INDEX(Movimientos!$D$2:$D$1994,MATCH(A850&amp;"ENTRADA",Movimientos!$R$2:$R$1994,0)),"-")</f>
        <v>-</v>
      </c>
      <c r="D850" s="2" t="str">
        <f>IFERROR(INDEX(Movimientos!$E$2:$E$1994,MATCH(A850&amp;"ENTRADA",Movimientos!$R$2:$R$1994,0)),"-")</f>
        <v>-</v>
      </c>
      <c r="E850" s="2" t="str">
        <f>IFERROR(INDEX(Movimientos!$F$2:$F$1994,MATCH(A850&amp;"ENTRADA",Movimientos!$R$2:$R$1994,0)),"-")</f>
        <v>-</v>
      </c>
      <c r="F850" s="2" t="str">
        <f>IFERROR(INDEX(Movimientos!$G$2:$G$1994,MATCH(A850&amp;"ENTRADA",Movimientos!$R$2:$R$1994,0)),"-")</f>
        <v>-</v>
      </c>
      <c r="G850" s="2" t="str">
        <f>IFERROR(INDEX(Movimientos!$L$2:$L$1994,MATCH(A850&amp;"ENTRADA",Movimientos!$R$2:$R$1994,0)),"-")</f>
        <v>-</v>
      </c>
      <c r="H850" s="17" t="str">
        <f>IFERROR(IF(INDEX(Movimientos!$M$2:$M$1994,MATCH(A850&amp;"ENTRADA",Movimientos!$R$2:$R$1994,0))=0,"S/D",INDEX(Movimientos!$M$2:$M$1994,MATCH(A850&amp;"ENTRADA",Movimientos!$R$2:$R$1994,0))),"S/D")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3126</v>
      </c>
      <c r="B851" s="2" t="str">
        <f>IFERROR(INDEX(Movimientos!$C$2:$C$1994,MATCH(A851&amp;"ENTRADA",Movimientos!$R$2:$R$1994,0)),"-")</f>
        <v>-</v>
      </c>
      <c r="C851" s="2" t="str">
        <f>IFERROR(INDEX(Movimientos!$D$2:$D$1994,MATCH(A851&amp;"ENTRADA",Movimientos!$R$2:$R$1994,0)),"-")</f>
        <v>-</v>
      </c>
      <c r="D851" s="2" t="str">
        <f>IFERROR(INDEX(Movimientos!$E$2:$E$1994,MATCH(A851&amp;"ENTRADA",Movimientos!$R$2:$R$1994,0)),"-")</f>
        <v>-</v>
      </c>
      <c r="E851" s="2" t="str">
        <f>IFERROR(INDEX(Movimientos!$F$2:$F$1994,MATCH(A851&amp;"ENTRADA",Movimientos!$R$2:$R$1994,0)),"-")</f>
        <v>-</v>
      </c>
      <c r="F851" s="2" t="str">
        <f>IFERROR(INDEX(Movimientos!$G$2:$G$1994,MATCH(A851&amp;"ENTRADA",Movimientos!$R$2:$R$1994,0)),"-")</f>
        <v>-</v>
      </c>
      <c r="G851" s="2" t="str">
        <f>IFERROR(INDEX(Movimientos!$L$2:$L$1994,MATCH(A851&amp;"ENTRADA",Movimientos!$R$2:$R$1994,0)),"-")</f>
        <v>-</v>
      </c>
      <c r="H851" s="17" t="str">
        <f>IFERROR(IF(INDEX(Movimientos!$M$2:$M$1994,MATCH(A851&amp;"ENTRADA",Movimientos!$R$2:$R$1994,0))=0,"S/D",INDEX(Movimientos!$M$2:$M$1994,MATCH(A851&amp;"ENTRADA",Movimientos!$R$2:$R$1994,0))),"S/D")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3127</v>
      </c>
      <c r="B852" s="2" t="str">
        <f>IFERROR(INDEX(Movimientos!$C$2:$C$1994,MATCH(A852&amp;"ENTRADA",Movimientos!$R$2:$R$1994,0)),"-")</f>
        <v>-</v>
      </c>
      <c r="C852" s="2" t="str">
        <f>IFERROR(INDEX(Movimientos!$D$2:$D$1994,MATCH(A852&amp;"ENTRADA",Movimientos!$R$2:$R$1994,0)),"-")</f>
        <v>-</v>
      </c>
      <c r="D852" s="2" t="str">
        <f>IFERROR(INDEX(Movimientos!$E$2:$E$1994,MATCH(A852&amp;"ENTRADA",Movimientos!$R$2:$R$1994,0)),"-")</f>
        <v>-</v>
      </c>
      <c r="E852" s="2" t="str">
        <f>IFERROR(INDEX(Movimientos!$F$2:$F$1994,MATCH(A852&amp;"ENTRADA",Movimientos!$R$2:$R$1994,0)),"-")</f>
        <v>-</v>
      </c>
      <c r="F852" s="2" t="str">
        <f>IFERROR(INDEX(Movimientos!$G$2:$G$1994,MATCH(A852&amp;"ENTRADA",Movimientos!$R$2:$R$1994,0)),"-")</f>
        <v>-</v>
      </c>
      <c r="G852" s="2" t="str">
        <f>IFERROR(INDEX(Movimientos!$L$2:$L$1994,MATCH(A852&amp;"ENTRADA",Movimientos!$R$2:$R$1994,0)),"-")</f>
        <v>-</v>
      </c>
      <c r="H852" s="17" t="str">
        <f>IFERROR(IF(INDEX(Movimientos!$M$2:$M$1994,MATCH(A852&amp;"ENTRADA",Movimientos!$R$2:$R$1994,0))=0,"S/D",INDEX(Movimientos!$M$2:$M$1994,MATCH(A852&amp;"ENTRADA",Movimientos!$R$2:$R$1994,0))),"S/D")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3128</v>
      </c>
      <c r="B853" s="2" t="str">
        <f>IFERROR(INDEX(Movimientos!$C$2:$C$1994,MATCH(A853&amp;"ENTRADA",Movimientos!$R$2:$R$1994,0)),"-")</f>
        <v>-</v>
      </c>
      <c r="C853" s="2" t="str">
        <f>IFERROR(INDEX(Movimientos!$D$2:$D$1994,MATCH(A853&amp;"ENTRADA",Movimientos!$R$2:$R$1994,0)),"-")</f>
        <v>-</v>
      </c>
      <c r="D853" s="2" t="str">
        <f>IFERROR(INDEX(Movimientos!$E$2:$E$1994,MATCH(A853&amp;"ENTRADA",Movimientos!$R$2:$R$1994,0)),"-")</f>
        <v>-</v>
      </c>
      <c r="E853" s="2" t="str">
        <f>IFERROR(INDEX(Movimientos!$F$2:$F$1994,MATCH(A853&amp;"ENTRADA",Movimientos!$R$2:$R$1994,0)),"-")</f>
        <v>-</v>
      </c>
      <c r="F853" s="2" t="str">
        <f>IFERROR(INDEX(Movimientos!$G$2:$G$1994,MATCH(A853&amp;"ENTRADA",Movimientos!$R$2:$R$1994,0)),"-")</f>
        <v>-</v>
      </c>
      <c r="G853" s="2" t="str">
        <f>IFERROR(INDEX(Movimientos!$L$2:$L$1994,MATCH(A853&amp;"ENTRADA",Movimientos!$R$2:$R$1994,0)),"-")</f>
        <v>-</v>
      </c>
      <c r="H853" s="17" t="str">
        <f>IFERROR(IF(INDEX(Movimientos!$M$2:$M$1994,MATCH(A853&amp;"ENTRADA",Movimientos!$R$2:$R$1994,0))=0,"S/D",INDEX(Movimientos!$M$2:$M$1994,MATCH(A853&amp;"ENTRADA",Movimientos!$R$2:$R$1994,0))),"S/D")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3129</v>
      </c>
      <c r="B854" s="2" t="str">
        <f>IFERROR(INDEX(Movimientos!$C$2:$C$1994,MATCH(A854&amp;"ENTRADA",Movimientos!$R$2:$R$1994,0)),"-")</f>
        <v>-</v>
      </c>
      <c r="C854" s="2" t="str">
        <f>IFERROR(INDEX(Movimientos!$D$2:$D$1994,MATCH(A854&amp;"ENTRADA",Movimientos!$R$2:$R$1994,0)),"-")</f>
        <v>-</v>
      </c>
      <c r="D854" s="2" t="str">
        <f>IFERROR(INDEX(Movimientos!$E$2:$E$1994,MATCH(A854&amp;"ENTRADA",Movimientos!$R$2:$R$1994,0)),"-")</f>
        <v>-</v>
      </c>
      <c r="E854" s="2" t="str">
        <f>IFERROR(INDEX(Movimientos!$F$2:$F$1994,MATCH(A854&amp;"ENTRADA",Movimientos!$R$2:$R$1994,0)),"-")</f>
        <v>-</v>
      </c>
      <c r="F854" s="2" t="str">
        <f>IFERROR(INDEX(Movimientos!$G$2:$G$1994,MATCH(A854&amp;"ENTRADA",Movimientos!$R$2:$R$1994,0)),"-")</f>
        <v>-</v>
      </c>
      <c r="G854" s="2" t="str">
        <f>IFERROR(INDEX(Movimientos!$L$2:$L$1994,MATCH(A854&amp;"ENTRADA",Movimientos!$R$2:$R$1994,0)),"-")</f>
        <v>-</v>
      </c>
      <c r="H854" s="17" t="str">
        <f>IFERROR(IF(INDEX(Movimientos!$M$2:$M$1994,MATCH(A854&amp;"ENTRADA",Movimientos!$R$2:$R$1994,0))=0,"S/D",INDEX(Movimientos!$M$2:$M$1994,MATCH(A854&amp;"ENTRADA",Movimientos!$R$2:$R$1994,0))),"S/D")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3130</v>
      </c>
      <c r="B855" s="2" t="str">
        <f>IFERROR(INDEX(Movimientos!$C$2:$C$1994,MATCH(A855&amp;"ENTRADA",Movimientos!$R$2:$R$1994,0)),"-")</f>
        <v>-</v>
      </c>
      <c r="C855" s="2" t="str">
        <f>IFERROR(INDEX(Movimientos!$D$2:$D$1994,MATCH(A855&amp;"ENTRADA",Movimientos!$R$2:$R$1994,0)),"-")</f>
        <v>-</v>
      </c>
      <c r="D855" s="2" t="str">
        <f>IFERROR(INDEX(Movimientos!$E$2:$E$1994,MATCH(A855&amp;"ENTRADA",Movimientos!$R$2:$R$1994,0)),"-")</f>
        <v>-</v>
      </c>
      <c r="E855" s="2" t="str">
        <f>IFERROR(INDEX(Movimientos!$F$2:$F$1994,MATCH(A855&amp;"ENTRADA",Movimientos!$R$2:$R$1994,0)),"-")</f>
        <v>-</v>
      </c>
      <c r="F855" s="2" t="str">
        <f>IFERROR(INDEX(Movimientos!$G$2:$G$1994,MATCH(A855&amp;"ENTRADA",Movimientos!$R$2:$R$1994,0)),"-")</f>
        <v>-</v>
      </c>
      <c r="G855" s="2" t="str">
        <f>IFERROR(INDEX(Movimientos!$L$2:$L$1994,MATCH(A855&amp;"ENTRADA",Movimientos!$R$2:$R$1994,0)),"-")</f>
        <v>-</v>
      </c>
      <c r="H855" s="17" t="str">
        <f>IFERROR(IF(INDEX(Movimientos!$M$2:$M$1994,MATCH(A855&amp;"ENTRADA",Movimientos!$R$2:$R$1994,0))=0,"S/D",INDEX(Movimientos!$M$2:$M$1994,MATCH(A855&amp;"ENTRADA",Movimientos!$R$2:$R$1994,0))),"S/D")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3131</v>
      </c>
      <c r="B856" s="2" t="str">
        <f>IFERROR(INDEX(Movimientos!$C$2:$C$1994,MATCH(A856&amp;"ENTRADA",Movimientos!$R$2:$R$1994,0)),"-")</f>
        <v>-</v>
      </c>
      <c r="C856" s="2" t="str">
        <f>IFERROR(INDEX(Movimientos!$D$2:$D$1994,MATCH(A856&amp;"ENTRADA",Movimientos!$R$2:$R$1994,0)),"-")</f>
        <v>-</v>
      </c>
      <c r="D856" s="2" t="str">
        <f>IFERROR(INDEX(Movimientos!$E$2:$E$1994,MATCH(A856&amp;"ENTRADA",Movimientos!$R$2:$R$1994,0)),"-")</f>
        <v>-</v>
      </c>
      <c r="E856" s="2" t="str">
        <f>IFERROR(INDEX(Movimientos!$F$2:$F$1994,MATCH(A856&amp;"ENTRADA",Movimientos!$R$2:$R$1994,0)),"-")</f>
        <v>-</v>
      </c>
      <c r="F856" s="2" t="str">
        <f>IFERROR(INDEX(Movimientos!$G$2:$G$1994,MATCH(A856&amp;"ENTRADA",Movimientos!$R$2:$R$1994,0)),"-")</f>
        <v>-</v>
      </c>
      <c r="G856" s="2" t="str">
        <f>IFERROR(INDEX(Movimientos!$L$2:$L$1994,MATCH(A856&amp;"ENTRADA",Movimientos!$R$2:$R$1994,0)),"-")</f>
        <v>-</v>
      </c>
      <c r="H856" s="17" t="str">
        <f>IFERROR(IF(INDEX(Movimientos!$M$2:$M$1994,MATCH(A856&amp;"ENTRADA",Movimientos!$R$2:$R$1994,0))=0,"S/D",INDEX(Movimientos!$M$2:$M$1994,MATCH(A856&amp;"ENTRADA",Movimientos!$R$2:$R$1994,0))),"S/D")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3132</v>
      </c>
      <c r="B857" s="2" t="str">
        <f>IFERROR(INDEX(Movimientos!$C$2:$C$1994,MATCH(A857&amp;"ENTRADA",Movimientos!$R$2:$R$1994,0)),"-")</f>
        <v>-</v>
      </c>
      <c r="C857" s="2" t="str">
        <f>IFERROR(INDEX(Movimientos!$D$2:$D$1994,MATCH(A857&amp;"ENTRADA",Movimientos!$R$2:$R$1994,0)),"-")</f>
        <v>-</v>
      </c>
      <c r="D857" s="2" t="str">
        <f>IFERROR(INDEX(Movimientos!$E$2:$E$1994,MATCH(A857&amp;"ENTRADA",Movimientos!$R$2:$R$1994,0)),"-")</f>
        <v>-</v>
      </c>
      <c r="E857" s="2" t="str">
        <f>IFERROR(INDEX(Movimientos!$F$2:$F$1994,MATCH(A857&amp;"ENTRADA",Movimientos!$R$2:$R$1994,0)),"-")</f>
        <v>-</v>
      </c>
      <c r="F857" s="2" t="str">
        <f>IFERROR(INDEX(Movimientos!$G$2:$G$1994,MATCH(A857&amp;"ENTRADA",Movimientos!$R$2:$R$1994,0)),"-")</f>
        <v>-</v>
      </c>
      <c r="G857" s="2" t="str">
        <f>IFERROR(INDEX(Movimientos!$L$2:$L$1994,MATCH(A857&amp;"ENTRADA",Movimientos!$R$2:$R$1994,0)),"-")</f>
        <v>-</v>
      </c>
      <c r="H857" s="17" t="str">
        <f>IFERROR(IF(INDEX(Movimientos!$M$2:$M$1994,MATCH(A857&amp;"ENTRADA",Movimientos!$R$2:$R$1994,0))=0,"S/D",INDEX(Movimientos!$M$2:$M$1994,MATCH(A857&amp;"ENTRADA",Movimientos!$R$2:$R$1994,0))),"S/D")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3133</v>
      </c>
      <c r="B858" s="2" t="str">
        <f>IFERROR(INDEX(Movimientos!$C$2:$C$1994,MATCH(A858&amp;"ENTRADA",Movimientos!$R$2:$R$1994,0)),"-")</f>
        <v>-</v>
      </c>
      <c r="C858" s="2" t="str">
        <f>IFERROR(INDEX(Movimientos!$D$2:$D$1994,MATCH(A858&amp;"ENTRADA",Movimientos!$R$2:$R$1994,0)),"-")</f>
        <v>-</v>
      </c>
      <c r="D858" s="2" t="str">
        <f>IFERROR(INDEX(Movimientos!$E$2:$E$1994,MATCH(A858&amp;"ENTRADA",Movimientos!$R$2:$R$1994,0)),"-")</f>
        <v>-</v>
      </c>
      <c r="E858" s="2" t="str">
        <f>IFERROR(INDEX(Movimientos!$F$2:$F$1994,MATCH(A858&amp;"ENTRADA",Movimientos!$R$2:$R$1994,0)),"-")</f>
        <v>-</v>
      </c>
      <c r="F858" s="2" t="str">
        <f>IFERROR(INDEX(Movimientos!$G$2:$G$1994,MATCH(A858&amp;"ENTRADA",Movimientos!$R$2:$R$1994,0)),"-")</f>
        <v>-</v>
      </c>
      <c r="G858" s="2" t="str">
        <f>IFERROR(INDEX(Movimientos!$L$2:$L$1994,MATCH(A858&amp;"ENTRADA",Movimientos!$R$2:$R$1994,0)),"-")</f>
        <v>-</v>
      </c>
      <c r="H858" s="17" t="str">
        <f>IFERROR(IF(INDEX(Movimientos!$M$2:$M$1994,MATCH(A858&amp;"ENTRADA",Movimientos!$R$2:$R$1994,0))=0,"S/D",INDEX(Movimientos!$M$2:$M$1994,MATCH(A858&amp;"ENTRADA",Movimientos!$R$2:$R$1994,0))),"S/D")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3134</v>
      </c>
      <c r="B859" s="2" t="str">
        <f>IFERROR(INDEX(Movimientos!$C$2:$C$1994,MATCH(A859&amp;"ENTRADA",Movimientos!$R$2:$R$1994,0)),"-")</f>
        <v>-</v>
      </c>
      <c r="C859" s="2" t="str">
        <f>IFERROR(INDEX(Movimientos!$D$2:$D$1994,MATCH(A859&amp;"ENTRADA",Movimientos!$R$2:$R$1994,0)),"-")</f>
        <v>-</v>
      </c>
      <c r="D859" s="2" t="str">
        <f>IFERROR(INDEX(Movimientos!$E$2:$E$1994,MATCH(A859&amp;"ENTRADA",Movimientos!$R$2:$R$1994,0)),"-")</f>
        <v>-</v>
      </c>
      <c r="E859" s="2" t="str">
        <f>IFERROR(INDEX(Movimientos!$F$2:$F$1994,MATCH(A859&amp;"ENTRADA",Movimientos!$R$2:$R$1994,0)),"-")</f>
        <v>-</v>
      </c>
      <c r="F859" s="2" t="str">
        <f>IFERROR(INDEX(Movimientos!$G$2:$G$1994,MATCH(A859&amp;"ENTRADA",Movimientos!$R$2:$R$1994,0)),"-")</f>
        <v>-</v>
      </c>
      <c r="G859" s="2" t="str">
        <f>IFERROR(INDEX(Movimientos!$L$2:$L$1994,MATCH(A859&amp;"ENTRADA",Movimientos!$R$2:$R$1994,0)),"-")</f>
        <v>-</v>
      </c>
      <c r="H859" s="17" t="str">
        <f>IFERROR(IF(INDEX(Movimientos!$M$2:$M$1994,MATCH(A859&amp;"ENTRADA",Movimientos!$R$2:$R$1994,0))=0,"S/D",INDEX(Movimientos!$M$2:$M$1994,MATCH(A859&amp;"ENTRADA",Movimientos!$R$2:$R$1994,0))),"S/D")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3135</v>
      </c>
      <c r="B860" s="2" t="str">
        <f>IFERROR(INDEX(Movimientos!$C$2:$C$1994,MATCH(A860&amp;"ENTRADA",Movimientos!$R$2:$R$1994,0)),"-")</f>
        <v>-</v>
      </c>
      <c r="C860" s="2" t="str">
        <f>IFERROR(INDEX(Movimientos!$D$2:$D$1994,MATCH(A860&amp;"ENTRADA",Movimientos!$R$2:$R$1994,0)),"-")</f>
        <v>-</v>
      </c>
      <c r="D860" s="2" t="str">
        <f>IFERROR(INDEX(Movimientos!$E$2:$E$1994,MATCH(A860&amp;"ENTRADA",Movimientos!$R$2:$R$1994,0)),"-")</f>
        <v>-</v>
      </c>
      <c r="E860" s="2" t="str">
        <f>IFERROR(INDEX(Movimientos!$F$2:$F$1994,MATCH(A860&amp;"ENTRADA",Movimientos!$R$2:$R$1994,0)),"-")</f>
        <v>-</v>
      </c>
      <c r="F860" s="2" t="str">
        <f>IFERROR(INDEX(Movimientos!$G$2:$G$1994,MATCH(A860&amp;"ENTRADA",Movimientos!$R$2:$R$1994,0)),"-")</f>
        <v>-</v>
      </c>
      <c r="G860" s="2" t="str">
        <f>IFERROR(INDEX(Movimientos!$L$2:$L$1994,MATCH(A860&amp;"ENTRADA",Movimientos!$R$2:$R$1994,0)),"-")</f>
        <v>-</v>
      </c>
      <c r="H860" s="17" t="str">
        <f>IFERROR(IF(INDEX(Movimientos!$M$2:$M$1994,MATCH(A860&amp;"ENTRADA",Movimientos!$R$2:$R$1994,0))=0,"S/D",INDEX(Movimientos!$M$2:$M$1994,MATCH(A860&amp;"ENTRADA",Movimientos!$R$2:$R$1994,0))),"S/D")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3136</v>
      </c>
      <c r="B861" s="2" t="str">
        <f>IFERROR(INDEX(Movimientos!$C$2:$C$1994,MATCH(A861&amp;"ENTRADA",Movimientos!$R$2:$R$1994,0)),"-")</f>
        <v>-</v>
      </c>
      <c r="C861" s="2" t="str">
        <f>IFERROR(INDEX(Movimientos!$D$2:$D$1994,MATCH(A861&amp;"ENTRADA",Movimientos!$R$2:$R$1994,0)),"-")</f>
        <v>-</v>
      </c>
      <c r="D861" s="2" t="str">
        <f>IFERROR(INDEX(Movimientos!$E$2:$E$1994,MATCH(A861&amp;"ENTRADA",Movimientos!$R$2:$R$1994,0)),"-")</f>
        <v>-</v>
      </c>
      <c r="E861" s="2" t="str">
        <f>IFERROR(INDEX(Movimientos!$F$2:$F$1994,MATCH(A861&amp;"ENTRADA",Movimientos!$R$2:$R$1994,0)),"-")</f>
        <v>-</v>
      </c>
      <c r="F861" s="2" t="str">
        <f>IFERROR(INDEX(Movimientos!$G$2:$G$1994,MATCH(A861&amp;"ENTRADA",Movimientos!$R$2:$R$1994,0)),"-")</f>
        <v>-</v>
      </c>
      <c r="G861" s="2" t="str">
        <f>IFERROR(INDEX(Movimientos!$L$2:$L$1994,MATCH(A861&amp;"ENTRADA",Movimientos!$R$2:$R$1994,0)),"-")</f>
        <v>-</v>
      </c>
      <c r="H861" s="17" t="str">
        <f>IFERROR(IF(INDEX(Movimientos!$M$2:$M$1994,MATCH(A861&amp;"ENTRADA",Movimientos!$R$2:$R$1994,0))=0,"S/D",INDEX(Movimientos!$M$2:$M$1994,MATCH(A861&amp;"ENTRADA",Movimientos!$R$2:$R$1994,0))),"S/D")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3137</v>
      </c>
      <c r="B862" s="2" t="str">
        <f>IFERROR(INDEX(Movimientos!$C$2:$C$1994,MATCH(A862&amp;"ENTRADA",Movimientos!$R$2:$R$1994,0)),"-")</f>
        <v>-</v>
      </c>
      <c r="C862" s="2" t="str">
        <f>IFERROR(INDEX(Movimientos!$D$2:$D$1994,MATCH(A862&amp;"ENTRADA",Movimientos!$R$2:$R$1994,0)),"-")</f>
        <v>-</v>
      </c>
      <c r="D862" s="2" t="str">
        <f>IFERROR(INDEX(Movimientos!$E$2:$E$1994,MATCH(A862&amp;"ENTRADA",Movimientos!$R$2:$R$1994,0)),"-")</f>
        <v>-</v>
      </c>
      <c r="E862" s="2" t="str">
        <f>IFERROR(INDEX(Movimientos!$F$2:$F$1994,MATCH(A862&amp;"ENTRADA",Movimientos!$R$2:$R$1994,0)),"-")</f>
        <v>-</v>
      </c>
      <c r="F862" s="2" t="str">
        <f>IFERROR(INDEX(Movimientos!$G$2:$G$1994,MATCH(A862&amp;"ENTRADA",Movimientos!$R$2:$R$1994,0)),"-")</f>
        <v>-</v>
      </c>
      <c r="G862" s="2" t="str">
        <f>IFERROR(INDEX(Movimientos!$L$2:$L$1994,MATCH(A862&amp;"ENTRADA",Movimientos!$R$2:$R$1994,0)),"-")</f>
        <v>-</v>
      </c>
      <c r="H862" s="17" t="str">
        <f>IFERROR(IF(INDEX(Movimientos!$M$2:$M$1994,MATCH(A862&amp;"ENTRADA",Movimientos!$R$2:$R$1994,0))=0,"S/D",INDEX(Movimientos!$M$2:$M$1994,MATCH(A862&amp;"ENTRADA",Movimientos!$R$2:$R$1994,0))),"S/D")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3138</v>
      </c>
      <c r="B863" s="2" t="str">
        <f>IFERROR(INDEX(Movimientos!$C$2:$C$1994,MATCH(A863&amp;"ENTRADA",Movimientos!$R$2:$R$1994,0)),"-")</f>
        <v>-</v>
      </c>
      <c r="C863" s="2" t="str">
        <f>IFERROR(INDEX(Movimientos!$D$2:$D$1994,MATCH(A863&amp;"ENTRADA",Movimientos!$R$2:$R$1994,0)),"-")</f>
        <v>-</v>
      </c>
      <c r="D863" s="2" t="str">
        <f>IFERROR(INDEX(Movimientos!$E$2:$E$1994,MATCH(A863&amp;"ENTRADA",Movimientos!$R$2:$R$1994,0)),"-")</f>
        <v>-</v>
      </c>
      <c r="E863" s="2" t="str">
        <f>IFERROR(INDEX(Movimientos!$F$2:$F$1994,MATCH(A863&amp;"ENTRADA",Movimientos!$R$2:$R$1994,0)),"-")</f>
        <v>-</v>
      </c>
      <c r="F863" s="2" t="str">
        <f>IFERROR(INDEX(Movimientos!$G$2:$G$1994,MATCH(A863&amp;"ENTRADA",Movimientos!$R$2:$R$1994,0)),"-")</f>
        <v>-</v>
      </c>
      <c r="G863" s="2" t="str">
        <f>IFERROR(INDEX(Movimientos!$L$2:$L$1994,MATCH(A863&amp;"ENTRADA",Movimientos!$R$2:$R$1994,0)),"-")</f>
        <v>-</v>
      </c>
      <c r="H863" s="17" t="str">
        <f>IFERROR(IF(INDEX(Movimientos!$M$2:$M$1994,MATCH(A863&amp;"ENTRADA",Movimientos!$R$2:$R$1994,0))=0,"S/D",INDEX(Movimientos!$M$2:$M$1994,MATCH(A863&amp;"ENTRADA",Movimientos!$R$2:$R$1994,0))),"S/D")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3139</v>
      </c>
      <c r="B864" s="2" t="str">
        <f>IFERROR(INDEX(Movimientos!$C$2:$C$1994,MATCH(A864&amp;"ENTRADA",Movimientos!$R$2:$R$1994,0)),"-")</f>
        <v>-</v>
      </c>
      <c r="C864" s="2" t="str">
        <f>IFERROR(INDEX(Movimientos!$D$2:$D$1994,MATCH(A864&amp;"ENTRADA",Movimientos!$R$2:$R$1994,0)),"-")</f>
        <v>-</v>
      </c>
      <c r="D864" s="2" t="str">
        <f>IFERROR(INDEX(Movimientos!$E$2:$E$1994,MATCH(A864&amp;"ENTRADA",Movimientos!$R$2:$R$1994,0)),"-")</f>
        <v>-</v>
      </c>
      <c r="E864" s="2" t="str">
        <f>IFERROR(INDEX(Movimientos!$F$2:$F$1994,MATCH(A864&amp;"ENTRADA",Movimientos!$R$2:$R$1994,0)),"-")</f>
        <v>-</v>
      </c>
      <c r="F864" s="2" t="str">
        <f>IFERROR(INDEX(Movimientos!$G$2:$G$1994,MATCH(A864&amp;"ENTRADA",Movimientos!$R$2:$R$1994,0)),"-")</f>
        <v>-</v>
      </c>
      <c r="G864" s="2" t="str">
        <f>IFERROR(INDEX(Movimientos!$L$2:$L$1994,MATCH(A864&amp;"ENTRADA",Movimientos!$R$2:$R$1994,0)),"-")</f>
        <v>-</v>
      </c>
      <c r="H864" s="17" t="str">
        <f>IFERROR(IF(INDEX(Movimientos!$M$2:$M$1994,MATCH(A864&amp;"ENTRADA",Movimientos!$R$2:$R$1994,0))=0,"S/D",INDEX(Movimientos!$M$2:$M$1994,MATCH(A864&amp;"ENTRADA",Movimientos!$R$2:$R$1994,0))),"S/D")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3140</v>
      </c>
      <c r="B865" s="2" t="str">
        <f>IFERROR(INDEX(Movimientos!$C$2:$C$1994,MATCH(A865&amp;"ENTRADA",Movimientos!$R$2:$R$1994,0)),"-")</f>
        <v>-</v>
      </c>
      <c r="C865" s="2" t="str">
        <f>IFERROR(INDEX(Movimientos!$D$2:$D$1994,MATCH(A865&amp;"ENTRADA",Movimientos!$R$2:$R$1994,0)),"-")</f>
        <v>-</v>
      </c>
      <c r="D865" s="2" t="str">
        <f>IFERROR(INDEX(Movimientos!$E$2:$E$1994,MATCH(A865&amp;"ENTRADA",Movimientos!$R$2:$R$1994,0)),"-")</f>
        <v>-</v>
      </c>
      <c r="E865" s="2" t="str">
        <f>IFERROR(INDEX(Movimientos!$F$2:$F$1994,MATCH(A865&amp;"ENTRADA",Movimientos!$R$2:$R$1994,0)),"-")</f>
        <v>-</v>
      </c>
      <c r="F865" s="2" t="str">
        <f>IFERROR(INDEX(Movimientos!$G$2:$G$1994,MATCH(A865&amp;"ENTRADA",Movimientos!$R$2:$R$1994,0)),"-")</f>
        <v>-</v>
      </c>
      <c r="G865" s="2" t="str">
        <f>IFERROR(INDEX(Movimientos!$L$2:$L$1994,MATCH(A865&amp;"ENTRADA",Movimientos!$R$2:$R$1994,0)),"-")</f>
        <v>-</v>
      </c>
      <c r="H865" s="17" t="str">
        <f>IFERROR(IF(INDEX(Movimientos!$M$2:$M$1994,MATCH(A865&amp;"ENTRADA",Movimientos!$R$2:$R$1994,0))=0,"S/D",INDEX(Movimientos!$M$2:$M$1994,MATCH(A865&amp;"ENTRADA",Movimientos!$R$2:$R$1994,0))),"S/D")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3141</v>
      </c>
      <c r="B866" s="2" t="str">
        <f>IFERROR(INDEX(Movimientos!$C$2:$C$1994,MATCH(A866&amp;"ENTRADA",Movimientos!$R$2:$R$1994,0)),"-")</f>
        <v>-</v>
      </c>
      <c r="C866" s="2" t="str">
        <f>IFERROR(INDEX(Movimientos!$D$2:$D$1994,MATCH(A866&amp;"ENTRADA",Movimientos!$R$2:$R$1994,0)),"-")</f>
        <v>-</v>
      </c>
      <c r="D866" s="2" t="str">
        <f>IFERROR(INDEX(Movimientos!$E$2:$E$1994,MATCH(A866&amp;"ENTRADA",Movimientos!$R$2:$R$1994,0)),"-")</f>
        <v>-</v>
      </c>
      <c r="E866" s="2" t="str">
        <f>IFERROR(INDEX(Movimientos!$F$2:$F$1994,MATCH(A866&amp;"ENTRADA",Movimientos!$R$2:$R$1994,0)),"-")</f>
        <v>-</v>
      </c>
      <c r="F866" s="2" t="str">
        <f>IFERROR(INDEX(Movimientos!$G$2:$G$1994,MATCH(A866&amp;"ENTRADA",Movimientos!$R$2:$R$1994,0)),"-")</f>
        <v>-</v>
      </c>
      <c r="G866" s="2" t="str">
        <f>IFERROR(INDEX(Movimientos!$L$2:$L$1994,MATCH(A866&amp;"ENTRADA",Movimientos!$R$2:$R$1994,0)),"-")</f>
        <v>-</v>
      </c>
      <c r="H866" s="17" t="str">
        <f>IFERROR(IF(INDEX(Movimientos!$M$2:$M$1994,MATCH(A866&amp;"ENTRADA",Movimientos!$R$2:$R$1994,0))=0,"S/D",INDEX(Movimientos!$M$2:$M$1994,MATCH(A866&amp;"ENTRADA",Movimientos!$R$2:$R$1994,0))),"S/D")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3142</v>
      </c>
      <c r="B867" s="2" t="str">
        <f>IFERROR(INDEX(Movimientos!$C$2:$C$1994,MATCH(A867&amp;"ENTRADA",Movimientos!$R$2:$R$1994,0)),"-")</f>
        <v>-</v>
      </c>
      <c r="C867" s="2" t="str">
        <f>IFERROR(INDEX(Movimientos!$D$2:$D$1994,MATCH(A867&amp;"ENTRADA",Movimientos!$R$2:$R$1994,0)),"-")</f>
        <v>-</v>
      </c>
      <c r="D867" s="2" t="str">
        <f>IFERROR(INDEX(Movimientos!$E$2:$E$1994,MATCH(A867&amp;"ENTRADA",Movimientos!$R$2:$R$1994,0)),"-")</f>
        <v>-</v>
      </c>
      <c r="E867" s="2" t="str">
        <f>IFERROR(INDEX(Movimientos!$F$2:$F$1994,MATCH(A867&amp;"ENTRADA",Movimientos!$R$2:$R$1994,0)),"-")</f>
        <v>-</v>
      </c>
      <c r="F867" s="2" t="str">
        <f>IFERROR(INDEX(Movimientos!$G$2:$G$1994,MATCH(A867&amp;"ENTRADA",Movimientos!$R$2:$R$1994,0)),"-")</f>
        <v>-</v>
      </c>
      <c r="G867" s="2" t="str">
        <f>IFERROR(INDEX(Movimientos!$L$2:$L$1994,MATCH(A867&amp;"ENTRADA",Movimientos!$R$2:$R$1994,0)),"-")</f>
        <v>-</v>
      </c>
      <c r="H867" s="17" t="str">
        <f>IFERROR(IF(INDEX(Movimientos!$M$2:$M$1994,MATCH(A867&amp;"ENTRADA",Movimientos!$R$2:$R$1994,0))=0,"S/D",INDEX(Movimientos!$M$2:$M$1994,MATCH(A867&amp;"ENTRADA",Movimientos!$R$2:$R$1994,0))),"S/D")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3143</v>
      </c>
      <c r="B868" s="2" t="str">
        <f>IFERROR(INDEX(Movimientos!$C$2:$C$1994,MATCH(A868&amp;"ENTRADA",Movimientos!$R$2:$R$1994,0)),"-")</f>
        <v>-</v>
      </c>
      <c r="C868" s="2" t="str">
        <f>IFERROR(INDEX(Movimientos!$D$2:$D$1994,MATCH(A868&amp;"ENTRADA",Movimientos!$R$2:$R$1994,0)),"-")</f>
        <v>-</v>
      </c>
      <c r="D868" s="2" t="str">
        <f>IFERROR(INDEX(Movimientos!$E$2:$E$1994,MATCH(A868&amp;"ENTRADA",Movimientos!$R$2:$R$1994,0)),"-")</f>
        <v>-</v>
      </c>
      <c r="E868" s="2" t="str">
        <f>IFERROR(INDEX(Movimientos!$F$2:$F$1994,MATCH(A868&amp;"ENTRADA",Movimientos!$R$2:$R$1994,0)),"-")</f>
        <v>-</v>
      </c>
      <c r="F868" s="2" t="str">
        <f>IFERROR(INDEX(Movimientos!$G$2:$G$1994,MATCH(A868&amp;"ENTRADA",Movimientos!$R$2:$R$1994,0)),"-")</f>
        <v>-</v>
      </c>
      <c r="G868" s="2" t="str">
        <f>IFERROR(INDEX(Movimientos!$L$2:$L$1994,MATCH(A868&amp;"ENTRADA",Movimientos!$R$2:$R$1994,0)),"-")</f>
        <v>-</v>
      </c>
      <c r="H868" s="17" t="str">
        <f>IFERROR(IF(INDEX(Movimientos!$M$2:$M$1994,MATCH(A868&amp;"ENTRADA",Movimientos!$R$2:$R$1994,0))=0,"S/D",INDEX(Movimientos!$M$2:$M$1994,MATCH(A868&amp;"ENTRADA",Movimientos!$R$2:$R$1994,0))),"S/D")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3144</v>
      </c>
      <c r="B869" s="2" t="str">
        <f>IFERROR(INDEX(Movimientos!$C$2:$C$1994,MATCH(A869&amp;"ENTRADA",Movimientos!$R$2:$R$1994,0)),"-")</f>
        <v>-</v>
      </c>
      <c r="C869" s="2" t="str">
        <f>IFERROR(INDEX(Movimientos!$D$2:$D$1994,MATCH(A869&amp;"ENTRADA",Movimientos!$R$2:$R$1994,0)),"-")</f>
        <v>-</v>
      </c>
      <c r="D869" s="2" t="str">
        <f>IFERROR(INDEX(Movimientos!$E$2:$E$1994,MATCH(A869&amp;"ENTRADA",Movimientos!$R$2:$R$1994,0)),"-")</f>
        <v>-</v>
      </c>
      <c r="E869" s="2" t="str">
        <f>IFERROR(INDEX(Movimientos!$F$2:$F$1994,MATCH(A869&amp;"ENTRADA",Movimientos!$R$2:$R$1994,0)),"-")</f>
        <v>-</v>
      </c>
      <c r="F869" s="2" t="str">
        <f>IFERROR(INDEX(Movimientos!$G$2:$G$1994,MATCH(A869&amp;"ENTRADA",Movimientos!$R$2:$R$1994,0)),"-")</f>
        <v>-</v>
      </c>
      <c r="G869" s="2" t="str">
        <f>IFERROR(INDEX(Movimientos!$L$2:$L$1994,MATCH(A869&amp;"ENTRADA",Movimientos!$R$2:$R$1994,0)),"-")</f>
        <v>-</v>
      </c>
      <c r="H869" s="17" t="str">
        <f>IFERROR(IF(INDEX(Movimientos!$M$2:$M$1994,MATCH(A869&amp;"ENTRADA",Movimientos!$R$2:$R$1994,0))=0,"S/D",INDEX(Movimientos!$M$2:$M$1994,MATCH(A869&amp;"ENTRADA",Movimientos!$R$2:$R$1994,0))),"S/D")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3145</v>
      </c>
      <c r="B870" s="2" t="str">
        <f>IFERROR(INDEX(Movimientos!$C$2:$C$1994,MATCH(A870&amp;"ENTRADA",Movimientos!$R$2:$R$1994,0)),"-")</f>
        <v>-</v>
      </c>
      <c r="C870" s="2" t="str">
        <f>IFERROR(INDEX(Movimientos!$D$2:$D$1994,MATCH(A870&amp;"ENTRADA",Movimientos!$R$2:$R$1994,0)),"-")</f>
        <v>-</v>
      </c>
      <c r="D870" s="2" t="str">
        <f>IFERROR(INDEX(Movimientos!$E$2:$E$1994,MATCH(A870&amp;"ENTRADA",Movimientos!$R$2:$R$1994,0)),"-")</f>
        <v>-</v>
      </c>
      <c r="E870" s="2" t="str">
        <f>IFERROR(INDEX(Movimientos!$F$2:$F$1994,MATCH(A870&amp;"ENTRADA",Movimientos!$R$2:$R$1994,0)),"-")</f>
        <v>-</v>
      </c>
      <c r="F870" s="2" t="str">
        <f>IFERROR(INDEX(Movimientos!$G$2:$G$1994,MATCH(A870&amp;"ENTRADA",Movimientos!$R$2:$R$1994,0)),"-")</f>
        <v>-</v>
      </c>
      <c r="G870" s="2" t="str">
        <f>IFERROR(INDEX(Movimientos!$L$2:$L$1994,MATCH(A870&amp;"ENTRADA",Movimientos!$R$2:$R$1994,0)),"-")</f>
        <v>-</v>
      </c>
      <c r="H870" s="17" t="str">
        <f>IFERROR(IF(INDEX(Movimientos!$M$2:$M$1994,MATCH(A870&amp;"ENTRADA",Movimientos!$R$2:$R$1994,0))=0,"S/D",INDEX(Movimientos!$M$2:$M$1994,MATCH(A870&amp;"ENTRADA",Movimientos!$R$2:$R$1994,0))),"S/D")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3146</v>
      </c>
      <c r="B871" s="2" t="str">
        <f>IFERROR(INDEX(Movimientos!$C$2:$C$1994,MATCH(A871&amp;"ENTRADA",Movimientos!$R$2:$R$1994,0)),"-")</f>
        <v>-</v>
      </c>
      <c r="C871" s="2" t="str">
        <f>IFERROR(INDEX(Movimientos!$D$2:$D$1994,MATCH(A871&amp;"ENTRADA",Movimientos!$R$2:$R$1994,0)),"-")</f>
        <v>-</v>
      </c>
      <c r="D871" s="2" t="str">
        <f>IFERROR(INDEX(Movimientos!$E$2:$E$1994,MATCH(A871&amp;"ENTRADA",Movimientos!$R$2:$R$1994,0)),"-")</f>
        <v>-</v>
      </c>
      <c r="E871" s="2" t="str">
        <f>IFERROR(INDEX(Movimientos!$F$2:$F$1994,MATCH(A871&amp;"ENTRADA",Movimientos!$R$2:$R$1994,0)),"-")</f>
        <v>-</v>
      </c>
      <c r="F871" s="2" t="str">
        <f>IFERROR(INDEX(Movimientos!$G$2:$G$1994,MATCH(A871&amp;"ENTRADA",Movimientos!$R$2:$R$1994,0)),"-")</f>
        <v>-</v>
      </c>
      <c r="G871" s="2" t="str">
        <f>IFERROR(INDEX(Movimientos!$L$2:$L$1994,MATCH(A871&amp;"ENTRADA",Movimientos!$R$2:$R$1994,0)),"-")</f>
        <v>-</v>
      </c>
      <c r="H871" s="17" t="str">
        <f>IFERROR(IF(INDEX(Movimientos!$M$2:$M$1994,MATCH(A871&amp;"ENTRADA",Movimientos!$R$2:$R$1994,0))=0,"S/D",INDEX(Movimientos!$M$2:$M$1994,MATCH(A871&amp;"ENTRADA",Movimientos!$R$2:$R$1994,0))),"S/D")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3147</v>
      </c>
      <c r="B872" s="2" t="str">
        <f>IFERROR(INDEX(Movimientos!$C$2:$C$1994,MATCH(A872&amp;"ENTRADA",Movimientos!$R$2:$R$1994,0)),"-")</f>
        <v>-</v>
      </c>
      <c r="C872" s="2" t="str">
        <f>IFERROR(INDEX(Movimientos!$D$2:$D$1994,MATCH(A872&amp;"ENTRADA",Movimientos!$R$2:$R$1994,0)),"-")</f>
        <v>-</v>
      </c>
      <c r="D872" s="2" t="str">
        <f>IFERROR(INDEX(Movimientos!$E$2:$E$1994,MATCH(A872&amp;"ENTRADA",Movimientos!$R$2:$R$1994,0)),"-")</f>
        <v>-</v>
      </c>
      <c r="E872" s="2" t="str">
        <f>IFERROR(INDEX(Movimientos!$F$2:$F$1994,MATCH(A872&amp;"ENTRADA",Movimientos!$R$2:$R$1994,0)),"-")</f>
        <v>-</v>
      </c>
      <c r="F872" s="2" t="str">
        <f>IFERROR(INDEX(Movimientos!$G$2:$G$1994,MATCH(A872&amp;"ENTRADA",Movimientos!$R$2:$R$1994,0)),"-")</f>
        <v>-</v>
      </c>
      <c r="G872" s="2" t="str">
        <f>IFERROR(INDEX(Movimientos!$L$2:$L$1994,MATCH(A872&amp;"ENTRADA",Movimientos!$R$2:$R$1994,0)),"-")</f>
        <v>-</v>
      </c>
      <c r="H872" s="17" t="str">
        <f>IFERROR(IF(INDEX(Movimientos!$M$2:$M$1994,MATCH(A872&amp;"ENTRADA",Movimientos!$R$2:$R$1994,0))=0,"S/D",INDEX(Movimientos!$M$2:$M$1994,MATCH(A872&amp;"ENTRADA",Movimientos!$R$2:$R$1994,0))),"S/D")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3148</v>
      </c>
      <c r="B873" s="2" t="str">
        <f>IFERROR(INDEX(Movimientos!$C$2:$C$1994,MATCH(A873&amp;"ENTRADA",Movimientos!$R$2:$R$1994,0)),"-")</f>
        <v>-</v>
      </c>
      <c r="C873" s="2" t="str">
        <f>IFERROR(INDEX(Movimientos!$D$2:$D$1994,MATCH(A873&amp;"ENTRADA",Movimientos!$R$2:$R$1994,0)),"-")</f>
        <v>-</v>
      </c>
      <c r="D873" s="2" t="str">
        <f>IFERROR(INDEX(Movimientos!$E$2:$E$1994,MATCH(A873&amp;"ENTRADA",Movimientos!$R$2:$R$1994,0)),"-")</f>
        <v>-</v>
      </c>
      <c r="E873" s="2" t="str">
        <f>IFERROR(INDEX(Movimientos!$F$2:$F$1994,MATCH(A873&amp;"ENTRADA",Movimientos!$R$2:$R$1994,0)),"-")</f>
        <v>-</v>
      </c>
      <c r="F873" s="2" t="str">
        <f>IFERROR(INDEX(Movimientos!$G$2:$G$1994,MATCH(A873&amp;"ENTRADA",Movimientos!$R$2:$R$1994,0)),"-")</f>
        <v>-</v>
      </c>
      <c r="G873" s="2" t="str">
        <f>IFERROR(INDEX(Movimientos!$L$2:$L$1994,MATCH(A873&amp;"ENTRADA",Movimientos!$R$2:$R$1994,0)),"-")</f>
        <v>-</v>
      </c>
      <c r="H873" s="17" t="str">
        <f>IFERROR(IF(INDEX(Movimientos!$M$2:$M$1994,MATCH(A873&amp;"ENTRADA",Movimientos!$R$2:$R$1994,0))=0,"S/D",INDEX(Movimientos!$M$2:$M$1994,MATCH(A873&amp;"ENTRADA",Movimientos!$R$2:$R$1994,0))),"S/D")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3149</v>
      </c>
      <c r="B874" s="2" t="str">
        <f>IFERROR(INDEX(Movimientos!$C$2:$C$1994,MATCH(A874&amp;"ENTRADA",Movimientos!$R$2:$R$1994,0)),"-")</f>
        <v>-</v>
      </c>
      <c r="C874" s="2" t="str">
        <f>IFERROR(INDEX(Movimientos!$D$2:$D$1994,MATCH(A874&amp;"ENTRADA",Movimientos!$R$2:$R$1994,0)),"-")</f>
        <v>-</v>
      </c>
      <c r="D874" s="2" t="str">
        <f>IFERROR(INDEX(Movimientos!$E$2:$E$1994,MATCH(A874&amp;"ENTRADA",Movimientos!$R$2:$R$1994,0)),"-")</f>
        <v>-</v>
      </c>
      <c r="E874" s="2" t="str">
        <f>IFERROR(INDEX(Movimientos!$F$2:$F$1994,MATCH(A874&amp;"ENTRADA",Movimientos!$R$2:$R$1994,0)),"-")</f>
        <v>-</v>
      </c>
      <c r="F874" s="2" t="str">
        <f>IFERROR(INDEX(Movimientos!$G$2:$G$1994,MATCH(A874&amp;"ENTRADA",Movimientos!$R$2:$R$1994,0)),"-")</f>
        <v>-</v>
      </c>
      <c r="G874" s="2" t="str">
        <f>IFERROR(INDEX(Movimientos!$L$2:$L$1994,MATCH(A874&amp;"ENTRADA",Movimientos!$R$2:$R$1994,0)),"-")</f>
        <v>-</v>
      </c>
      <c r="H874" s="17" t="str">
        <f>IFERROR(IF(INDEX(Movimientos!$M$2:$M$1994,MATCH(A874&amp;"ENTRADA",Movimientos!$R$2:$R$1994,0))=0,"S/D",INDEX(Movimientos!$M$2:$M$1994,MATCH(A874&amp;"ENTRADA",Movimientos!$R$2:$R$1994,0))),"S/D")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3150</v>
      </c>
      <c r="B875" s="2" t="str">
        <f>IFERROR(INDEX(Movimientos!$C$2:$C$1994,MATCH(A875&amp;"ENTRADA",Movimientos!$R$2:$R$1994,0)),"-")</f>
        <v>-</v>
      </c>
      <c r="C875" s="2" t="str">
        <f>IFERROR(INDEX(Movimientos!$D$2:$D$1994,MATCH(A875&amp;"ENTRADA",Movimientos!$R$2:$R$1994,0)),"-")</f>
        <v>-</v>
      </c>
      <c r="D875" s="2" t="str">
        <f>IFERROR(INDEX(Movimientos!$E$2:$E$1994,MATCH(A875&amp;"ENTRADA",Movimientos!$R$2:$R$1994,0)),"-")</f>
        <v>-</v>
      </c>
      <c r="E875" s="2" t="str">
        <f>IFERROR(INDEX(Movimientos!$F$2:$F$1994,MATCH(A875&amp;"ENTRADA",Movimientos!$R$2:$R$1994,0)),"-")</f>
        <v>-</v>
      </c>
      <c r="F875" s="2" t="str">
        <f>IFERROR(INDEX(Movimientos!$G$2:$G$1994,MATCH(A875&amp;"ENTRADA",Movimientos!$R$2:$R$1994,0)),"-")</f>
        <v>-</v>
      </c>
      <c r="G875" s="2" t="str">
        <f>IFERROR(INDEX(Movimientos!$L$2:$L$1994,MATCH(A875&amp;"ENTRADA",Movimientos!$R$2:$R$1994,0)),"-")</f>
        <v>-</v>
      </c>
      <c r="H875" s="17" t="str">
        <f>IFERROR(IF(INDEX(Movimientos!$M$2:$M$1994,MATCH(A875&amp;"ENTRADA",Movimientos!$R$2:$R$1994,0))=0,"S/D",INDEX(Movimientos!$M$2:$M$1994,MATCH(A875&amp;"ENTRADA",Movimientos!$R$2:$R$1994,0))),"S/D")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3151</v>
      </c>
      <c r="B876" s="2" t="str">
        <f>IFERROR(INDEX(Movimientos!$C$2:$C$1994,MATCH(A876&amp;"ENTRADA",Movimientos!$R$2:$R$1994,0)),"-")</f>
        <v>-</v>
      </c>
      <c r="C876" s="2" t="str">
        <f>IFERROR(INDEX(Movimientos!$D$2:$D$1994,MATCH(A876&amp;"ENTRADA",Movimientos!$R$2:$R$1994,0)),"-")</f>
        <v>-</v>
      </c>
      <c r="D876" s="2" t="str">
        <f>IFERROR(INDEX(Movimientos!$E$2:$E$1994,MATCH(A876&amp;"ENTRADA",Movimientos!$R$2:$R$1994,0)),"-")</f>
        <v>-</v>
      </c>
      <c r="E876" s="2" t="str">
        <f>IFERROR(INDEX(Movimientos!$F$2:$F$1994,MATCH(A876&amp;"ENTRADA",Movimientos!$R$2:$R$1994,0)),"-")</f>
        <v>-</v>
      </c>
      <c r="F876" s="2" t="str">
        <f>IFERROR(INDEX(Movimientos!$G$2:$G$1994,MATCH(A876&amp;"ENTRADA",Movimientos!$R$2:$R$1994,0)),"-")</f>
        <v>-</v>
      </c>
      <c r="G876" s="2" t="str">
        <f>IFERROR(INDEX(Movimientos!$L$2:$L$1994,MATCH(A876&amp;"ENTRADA",Movimientos!$R$2:$R$1994,0)),"-")</f>
        <v>-</v>
      </c>
      <c r="H876" s="17" t="str">
        <f>IFERROR(IF(INDEX(Movimientos!$M$2:$M$1994,MATCH(A876&amp;"ENTRADA",Movimientos!$R$2:$R$1994,0))=0,"S/D",INDEX(Movimientos!$M$2:$M$1994,MATCH(A876&amp;"ENTRADA",Movimientos!$R$2:$R$1994,0))),"S/D")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3152</v>
      </c>
      <c r="B877" s="2" t="str">
        <f>IFERROR(INDEX(Movimientos!$C$2:$C$1994,MATCH(A877&amp;"ENTRADA",Movimientos!$R$2:$R$1994,0)),"-")</f>
        <v>-</v>
      </c>
      <c r="C877" s="2" t="str">
        <f>IFERROR(INDEX(Movimientos!$D$2:$D$1994,MATCH(A877&amp;"ENTRADA",Movimientos!$R$2:$R$1994,0)),"-")</f>
        <v>-</v>
      </c>
      <c r="D877" s="2" t="str">
        <f>IFERROR(INDEX(Movimientos!$E$2:$E$1994,MATCH(A877&amp;"ENTRADA",Movimientos!$R$2:$R$1994,0)),"-")</f>
        <v>-</v>
      </c>
      <c r="E877" s="2" t="str">
        <f>IFERROR(INDEX(Movimientos!$F$2:$F$1994,MATCH(A877&amp;"ENTRADA",Movimientos!$R$2:$R$1994,0)),"-")</f>
        <v>-</v>
      </c>
      <c r="F877" s="2" t="str">
        <f>IFERROR(INDEX(Movimientos!$G$2:$G$1994,MATCH(A877&amp;"ENTRADA",Movimientos!$R$2:$R$1994,0)),"-")</f>
        <v>-</v>
      </c>
      <c r="G877" s="2" t="str">
        <f>IFERROR(INDEX(Movimientos!$L$2:$L$1994,MATCH(A877&amp;"ENTRADA",Movimientos!$R$2:$R$1994,0)),"-")</f>
        <v>-</v>
      </c>
      <c r="H877" s="17" t="str">
        <f>IFERROR(IF(INDEX(Movimientos!$M$2:$M$1994,MATCH(A877&amp;"ENTRADA",Movimientos!$R$2:$R$1994,0))=0,"S/D",INDEX(Movimientos!$M$2:$M$1994,MATCH(A877&amp;"ENTRADA",Movimientos!$R$2:$R$1994,0))),"S/D")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3153</v>
      </c>
      <c r="B878" s="2" t="str">
        <f>IFERROR(INDEX(Movimientos!$C$2:$C$1994,MATCH(A878&amp;"ENTRADA",Movimientos!$R$2:$R$1994,0)),"-")</f>
        <v>-</v>
      </c>
      <c r="C878" s="2" t="str">
        <f>IFERROR(INDEX(Movimientos!$D$2:$D$1994,MATCH(A878&amp;"ENTRADA",Movimientos!$R$2:$R$1994,0)),"-")</f>
        <v>-</v>
      </c>
      <c r="D878" s="2" t="str">
        <f>IFERROR(INDEX(Movimientos!$E$2:$E$1994,MATCH(A878&amp;"ENTRADA",Movimientos!$R$2:$R$1994,0)),"-")</f>
        <v>-</v>
      </c>
      <c r="E878" s="2" t="str">
        <f>IFERROR(INDEX(Movimientos!$F$2:$F$1994,MATCH(A878&amp;"ENTRADA",Movimientos!$R$2:$R$1994,0)),"-")</f>
        <v>-</v>
      </c>
      <c r="F878" s="2" t="str">
        <f>IFERROR(INDEX(Movimientos!$G$2:$G$1994,MATCH(A878&amp;"ENTRADA",Movimientos!$R$2:$R$1994,0)),"-")</f>
        <v>-</v>
      </c>
      <c r="G878" s="2" t="str">
        <f>IFERROR(INDEX(Movimientos!$L$2:$L$1994,MATCH(A878&amp;"ENTRADA",Movimientos!$R$2:$R$1994,0)),"-")</f>
        <v>-</v>
      </c>
      <c r="H878" s="17" t="str">
        <f>IFERROR(IF(INDEX(Movimientos!$M$2:$M$1994,MATCH(A878&amp;"ENTRADA",Movimientos!$R$2:$R$1994,0))=0,"S/D",INDEX(Movimientos!$M$2:$M$1994,MATCH(A878&amp;"ENTRADA",Movimientos!$R$2:$R$1994,0))),"S/D")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3154</v>
      </c>
      <c r="B879" s="2" t="str">
        <f>IFERROR(INDEX(Movimientos!$C$2:$C$1994,MATCH(A879&amp;"ENTRADA",Movimientos!$R$2:$R$1994,0)),"-")</f>
        <v>-</v>
      </c>
      <c r="C879" s="2" t="str">
        <f>IFERROR(INDEX(Movimientos!$D$2:$D$1994,MATCH(A879&amp;"ENTRADA",Movimientos!$R$2:$R$1994,0)),"-")</f>
        <v>-</v>
      </c>
      <c r="D879" s="2" t="str">
        <f>IFERROR(INDEX(Movimientos!$E$2:$E$1994,MATCH(A879&amp;"ENTRADA",Movimientos!$R$2:$R$1994,0)),"-")</f>
        <v>-</v>
      </c>
      <c r="E879" s="2" t="str">
        <f>IFERROR(INDEX(Movimientos!$F$2:$F$1994,MATCH(A879&amp;"ENTRADA",Movimientos!$R$2:$R$1994,0)),"-")</f>
        <v>-</v>
      </c>
      <c r="F879" s="2" t="str">
        <f>IFERROR(INDEX(Movimientos!$G$2:$G$1994,MATCH(A879&amp;"ENTRADA",Movimientos!$R$2:$R$1994,0)),"-")</f>
        <v>-</v>
      </c>
      <c r="G879" s="2" t="str">
        <f>IFERROR(INDEX(Movimientos!$L$2:$L$1994,MATCH(A879&amp;"ENTRADA",Movimientos!$R$2:$R$1994,0)),"-")</f>
        <v>-</v>
      </c>
      <c r="H879" s="17" t="str">
        <f>IFERROR(IF(INDEX(Movimientos!$M$2:$M$1994,MATCH(A879&amp;"ENTRADA",Movimientos!$R$2:$R$1994,0))=0,"S/D",INDEX(Movimientos!$M$2:$M$1994,MATCH(A879&amp;"ENTRADA",Movimientos!$R$2:$R$1994,0))),"S/D")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3155</v>
      </c>
      <c r="B880" s="2" t="str">
        <f>IFERROR(INDEX(Movimientos!$C$2:$C$1994,MATCH(A880&amp;"ENTRADA",Movimientos!$R$2:$R$1994,0)),"-")</f>
        <v>-</v>
      </c>
      <c r="C880" s="2" t="str">
        <f>IFERROR(INDEX(Movimientos!$D$2:$D$1994,MATCH(A880&amp;"ENTRADA",Movimientos!$R$2:$R$1994,0)),"-")</f>
        <v>-</v>
      </c>
      <c r="D880" s="2" t="str">
        <f>IFERROR(INDEX(Movimientos!$E$2:$E$1994,MATCH(A880&amp;"ENTRADA",Movimientos!$R$2:$R$1994,0)),"-")</f>
        <v>-</v>
      </c>
      <c r="E880" s="2" t="str">
        <f>IFERROR(INDEX(Movimientos!$F$2:$F$1994,MATCH(A880&amp;"ENTRADA",Movimientos!$R$2:$R$1994,0)),"-")</f>
        <v>-</v>
      </c>
      <c r="F880" s="2" t="str">
        <f>IFERROR(INDEX(Movimientos!$G$2:$G$1994,MATCH(A880&amp;"ENTRADA",Movimientos!$R$2:$R$1994,0)),"-")</f>
        <v>-</v>
      </c>
      <c r="G880" s="2" t="str">
        <f>IFERROR(INDEX(Movimientos!$L$2:$L$1994,MATCH(A880&amp;"ENTRADA",Movimientos!$R$2:$R$1994,0)),"-")</f>
        <v>-</v>
      </c>
      <c r="H880" s="17" t="str">
        <f>IFERROR(IF(INDEX(Movimientos!$M$2:$M$1994,MATCH(A880&amp;"ENTRADA",Movimientos!$R$2:$R$1994,0))=0,"S/D",INDEX(Movimientos!$M$2:$M$1994,MATCH(A880&amp;"ENTRADA",Movimientos!$R$2:$R$1994,0))),"S/D")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3156</v>
      </c>
      <c r="B881" s="2" t="str">
        <f>IFERROR(INDEX(Movimientos!$C$2:$C$1994,MATCH(A881&amp;"ENTRADA",Movimientos!$R$2:$R$1994,0)),"-")</f>
        <v>-</v>
      </c>
      <c r="C881" s="2" t="str">
        <f>IFERROR(INDEX(Movimientos!$D$2:$D$1994,MATCH(A881&amp;"ENTRADA",Movimientos!$R$2:$R$1994,0)),"-")</f>
        <v>-</v>
      </c>
      <c r="D881" s="2" t="str">
        <f>IFERROR(INDEX(Movimientos!$E$2:$E$1994,MATCH(A881&amp;"ENTRADA",Movimientos!$R$2:$R$1994,0)),"-")</f>
        <v>-</v>
      </c>
      <c r="E881" s="2" t="str">
        <f>IFERROR(INDEX(Movimientos!$F$2:$F$1994,MATCH(A881&amp;"ENTRADA",Movimientos!$R$2:$R$1994,0)),"-")</f>
        <v>-</v>
      </c>
      <c r="F881" s="2" t="str">
        <f>IFERROR(INDEX(Movimientos!$G$2:$G$1994,MATCH(A881&amp;"ENTRADA",Movimientos!$R$2:$R$1994,0)),"-")</f>
        <v>-</v>
      </c>
      <c r="G881" s="2" t="str">
        <f>IFERROR(INDEX(Movimientos!$L$2:$L$1994,MATCH(A881&amp;"ENTRADA",Movimientos!$R$2:$R$1994,0)),"-")</f>
        <v>-</v>
      </c>
      <c r="H881" s="17" t="str">
        <f>IFERROR(IF(INDEX(Movimientos!$M$2:$M$1994,MATCH(A881&amp;"ENTRADA",Movimientos!$R$2:$R$1994,0))=0,"S/D",INDEX(Movimientos!$M$2:$M$1994,MATCH(A881&amp;"ENTRADA",Movimientos!$R$2:$R$1994,0))),"S/D")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3157</v>
      </c>
      <c r="B882" s="2" t="str">
        <f>IFERROR(INDEX(Movimientos!$C$2:$C$1994,MATCH(A882&amp;"ENTRADA",Movimientos!$R$2:$R$1994,0)),"-")</f>
        <v>-</v>
      </c>
      <c r="C882" s="2" t="str">
        <f>IFERROR(INDEX(Movimientos!$D$2:$D$1994,MATCH(A882&amp;"ENTRADA",Movimientos!$R$2:$R$1994,0)),"-")</f>
        <v>-</v>
      </c>
      <c r="D882" s="2" t="str">
        <f>IFERROR(INDEX(Movimientos!$E$2:$E$1994,MATCH(A882&amp;"ENTRADA",Movimientos!$R$2:$R$1994,0)),"-")</f>
        <v>-</v>
      </c>
      <c r="E882" s="2" t="str">
        <f>IFERROR(INDEX(Movimientos!$F$2:$F$1994,MATCH(A882&amp;"ENTRADA",Movimientos!$R$2:$R$1994,0)),"-")</f>
        <v>-</v>
      </c>
      <c r="F882" s="2" t="str">
        <f>IFERROR(INDEX(Movimientos!$G$2:$G$1994,MATCH(A882&amp;"ENTRADA",Movimientos!$R$2:$R$1994,0)),"-")</f>
        <v>-</v>
      </c>
      <c r="G882" s="2" t="str">
        <f>IFERROR(INDEX(Movimientos!$L$2:$L$1994,MATCH(A882&amp;"ENTRADA",Movimientos!$R$2:$R$1994,0)),"-")</f>
        <v>-</v>
      </c>
      <c r="H882" s="17" t="str">
        <f>IFERROR(IF(INDEX(Movimientos!$M$2:$M$1994,MATCH(A882&amp;"ENTRADA",Movimientos!$R$2:$R$1994,0))=0,"S/D",INDEX(Movimientos!$M$2:$M$1994,MATCH(A882&amp;"ENTRADA",Movimientos!$R$2:$R$1994,0))),"S/D")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3158</v>
      </c>
      <c r="B883" s="2" t="str">
        <f>IFERROR(INDEX(Movimientos!$C$2:$C$1994,MATCH(A883&amp;"ENTRADA",Movimientos!$R$2:$R$1994,0)),"-")</f>
        <v>-</v>
      </c>
      <c r="C883" s="2" t="str">
        <f>IFERROR(INDEX(Movimientos!$D$2:$D$1994,MATCH(A883&amp;"ENTRADA",Movimientos!$R$2:$R$1994,0)),"-")</f>
        <v>-</v>
      </c>
      <c r="D883" s="2" t="str">
        <f>IFERROR(INDEX(Movimientos!$E$2:$E$1994,MATCH(A883&amp;"ENTRADA",Movimientos!$R$2:$R$1994,0)),"-")</f>
        <v>-</v>
      </c>
      <c r="E883" s="2" t="str">
        <f>IFERROR(INDEX(Movimientos!$F$2:$F$1994,MATCH(A883&amp;"ENTRADA",Movimientos!$R$2:$R$1994,0)),"-")</f>
        <v>-</v>
      </c>
      <c r="F883" s="2" t="str">
        <f>IFERROR(INDEX(Movimientos!$G$2:$G$1994,MATCH(A883&amp;"ENTRADA",Movimientos!$R$2:$R$1994,0)),"-")</f>
        <v>-</v>
      </c>
      <c r="G883" s="2" t="str">
        <f>IFERROR(INDEX(Movimientos!$L$2:$L$1994,MATCH(A883&amp;"ENTRADA",Movimientos!$R$2:$R$1994,0)),"-")</f>
        <v>-</v>
      </c>
      <c r="H883" s="17" t="str">
        <f>IFERROR(IF(INDEX(Movimientos!$M$2:$M$1994,MATCH(A883&amp;"ENTRADA",Movimientos!$R$2:$R$1994,0))=0,"S/D",INDEX(Movimientos!$M$2:$M$1994,MATCH(A883&amp;"ENTRADA",Movimientos!$R$2:$R$1994,0))),"S/D")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3159</v>
      </c>
      <c r="B884" s="2" t="str">
        <f>IFERROR(INDEX(Movimientos!$C$2:$C$1994,MATCH(A884&amp;"ENTRADA",Movimientos!$R$2:$R$1994,0)),"-")</f>
        <v>-</v>
      </c>
      <c r="C884" s="2" t="str">
        <f>IFERROR(INDEX(Movimientos!$D$2:$D$1994,MATCH(A884&amp;"ENTRADA",Movimientos!$R$2:$R$1994,0)),"-")</f>
        <v>-</v>
      </c>
      <c r="D884" s="2" t="str">
        <f>IFERROR(INDEX(Movimientos!$E$2:$E$1994,MATCH(A884&amp;"ENTRADA",Movimientos!$R$2:$R$1994,0)),"-")</f>
        <v>-</v>
      </c>
      <c r="E884" s="2" t="str">
        <f>IFERROR(INDEX(Movimientos!$F$2:$F$1994,MATCH(A884&amp;"ENTRADA",Movimientos!$R$2:$R$1994,0)),"-")</f>
        <v>-</v>
      </c>
      <c r="F884" s="2" t="str">
        <f>IFERROR(INDEX(Movimientos!$G$2:$G$1994,MATCH(A884&amp;"ENTRADA",Movimientos!$R$2:$R$1994,0)),"-")</f>
        <v>-</v>
      </c>
      <c r="G884" s="2" t="str">
        <f>IFERROR(INDEX(Movimientos!$L$2:$L$1994,MATCH(A884&amp;"ENTRADA",Movimientos!$R$2:$R$1994,0)),"-")</f>
        <v>-</v>
      </c>
      <c r="H884" s="17" t="str">
        <f>IFERROR(IF(INDEX(Movimientos!$M$2:$M$1994,MATCH(A884&amp;"ENTRADA",Movimientos!$R$2:$R$1994,0))=0,"S/D",INDEX(Movimientos!$M$2:$M$1994,MATCH(A884&amp;"ENTRADA",Movimientos!$R$2:$R$1994,0))),"S/D")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3160</v>
      </c>
      <c r="B885" s="2" t="str">
        <f>IFERROR(INDEX(Movimientos!$C$2:$C$1994,MATCH(A885&amp;"ENTRADA",Movimientos!$R$2:$R$1994,0)),"-")</f>
        <v>-</v>
      </c>
      <c r="C885" s="2" t="str">
        <f>IFERROR(INDEX(Movimientos!$D$2:$D$1994,MATCH(A885&amp;"ENTRADA",Movimientos!$R$2:$R$1994,0)),"-")</f>
        <v>-</v>
      </c>
      <c r="D885" s="2" t="str">
        <f>IFERROR(INDEX(Movimientos!$E$2:$E$1994,MATCH(A885&amp;"ENTRADA",Movimientos!$R$2:$R$1994,0)),"-")</f>
        <v>-</v>
      </c>
      <c r="E885" s="2" t="str">
        <f>IFERROR(INDEX(Movimientos!$F$2:$F$1994,MATCH(A885&amp;"ENTRADA",Movimientos!$R$2:$R$1994,0)),"-")</f>
        <v>-</v>
      </c>
      <c r="F885" s="2" t="str">
        <f>IFERROR(INDEX(Movimientos!$G$2:$G$1994,MATCH(A885&amp;"ENTRADA",Movimientos!$R$2:$R$1994,0)),"-")</f>
        <v>-</v>
      </c>
      <c r="G885" s="2" t="str">
        <f>IFERROR(INDEX(Movimientos!$L$2:$L$1994,MATCH(A885&amp;"ENTRADA",Movimientos!$R$2:$R$1994,0)),"-")</f>
        <v>-</v>
      </c>
      <c r="H885" s="17" t="str">
        <f>IFERROR(IF(INDEX(Movimientos!$M$2:$M$1994,MATCH(A885&amp;"ENTRADA",Movimientos!$R$2:$R$1994,0))=0,"S/D",INDEX(Movimientos!$M$2:$M$1994,MATCH(A885&amp;"ENTRADA",Movimientos!$R$2:$R$1994,0))),"S/D")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3161</v>
      </c>
      <c r="B886" s="2" t="str">
        <f>IFERROR(INDEX(Movimientos!$C$2:$C$1994,MATCH(A886&amp;"ENTRADA",Movimientos!$R$2:$R$1994,0)),"-")</f>
        <v>-</v>
      </c>
      <c r="C886" s="2" t="str">
        <f>IFERROR(INDEX(Movimientos!$D$2:$D$1994,MATCH(A886&amp;"ENTRADA",Movimientos!$R$2:$R$1994,0)),"-")</f>
        <v>-</v>
      </c>
      <c r="D886" s="2" t="str">
        <f>IFERROR(INDEX(Movimientos!$E$2:$E$1994,MATCH(A886&amp;"ENTRADA",Movimientos!$R$2:$R$1994,0)),"-")</f>
        <v>-</v>
      </c>
      <c r="E886" s="2" t="str">
        <f>IFERROR(INDEX(Movimientos!$F$2:$F$1994,MATCH(A886&amp;"ENTRADA",Movimientos!$R$2:$R$1994,0)),"-")</f>
        <v>-</v>
      </c>
      <c r="F886" s="2" t="str">
        <f>IFERROR(INDEX(Movimientos!$G$2:$G$1994,MATCH(A886&amp;"ENTRADA",Movimientos!$R$2:$R$1994,0)),"-")</f>
        <v>-</v>
      </c>
      <c r="G886" s="2" t="str">
        <f>IFERROR(INDEX(Movimientos!$L$2:$L$1994,MATCH(A886&amp;"ENTRADA",Movimientos!$R$2:$R$1994,0)),"-")</f>
        <v>-</v>
      </c>
      <c r="H886" s="17" t="str">
        <f>IFERROR(IF(INDEX(Movimientos!$M$2:$M$1994,MATCH(A886&amp;"ENTRADA",Movimientos!$R$2:$R$1994,0))=0,"S/D",INDEX(Movimientos!$M$2:$M$1994,MATCH(A886&amp;"ENTRADA",Movimientos!$R$2:$R$1994,0))),"S/D")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3162</v>
      </c>
      <c r="B887" s="2" t="str">
        <f>IFERROR(INDEX(Movimientos!$C$2:$C$1994,MATCH(A887&amp;"ENTRADA",Movimientos!$R$2:$R$1994,0)),"-")</f>
        <v>-</v>
      </c>
      <c r="C887" s="2" t="str">
        <f>IFERROR(INDEX(Movimientos!$D$2:$D$1994,MATCH(A887&amp;"ENTRADA",Movimientos!$R$2:$R$1994,0)),"-")</f>
        <v>-</v>
      </c>
      <c r="D887" s="2" t="str">
        <f>IFERROR(INDEX(Movimientos!$E$2:$E$1994,MATCH(A887&amp;"ENTRADA",Movimientos!$R$2:$R$1994,0)),"-")</f>
        <v>-</v>
      </c>
      <c r="E887" s="2" t="str">
        <f>IFERROR(INDEX(Movimientos!$F$2:$F$1994,MATCH(A887&amp;"ENTRADA",Movimientos!$R$2:$R$1994,0)),"-")</f>
        <v>-</v>
      </c>
      <c r="F887" s="2" t="str">
        <f>IFERROR(INDEX(Movimientos!$G$2:$G$1994,MATCH(A887&amp;"ENTRADA",Movimientos!$R$2:$R$1994,0)),"-")</f>
        <v>-</v>
      </c>
      <c r="G887" s="2" t="str">
        <f>IFERROR(INDEX(Movimientos!$L$2:$L$1994,MATCH(A887&amp;"ENTRADA",Movimientos!$R$2:$R$1994,0)),"-")</f>
        <v>-</v>
      </c>
      <c r="H887" s="17" t="str">
        <f>IFERROR(IF(INDEX(Movimientos!$M$2:$M$1994,MATCH(A887&amp;"ENTRADA",Movimientos!$R$2:$R$1994,0))=0,"S/D",INDEX(Movimientos!$M$2:$M$1994,MATCH(A887&amp;"ENTRADA",Movimientos!$R$2:$R$1994,0))),"S/D")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3163</v>
      </c>
      <c r="B888" s="2" t="str">
        <f>IFERROR(INDEX(Movimientos!$C$2:$C$1994,MATCH(A888&amp;"ENTRADA",Movimientos!$R$2:$R$1994,0)),"-")</f>
        <v>-</v>
      </c>
      <c r="C888" s="2" t="str">
        <f>IFERROR(INDEX(Movimientos!$D$2:$D$1994,MATCH(A888&amp;"ENTRADA",Movimientos!$R$2:$R$1994,0)),"-")</f>
        <v>-</v>
      </c>
      <c r="D888" s="2" t="str">
        <f>IFERROR(INDEX(Movimientos!$E$2:$E$1994,MATCH(A888&amp;"ENTRADA",Movimientos!$R$2:$R$1994,0)),"-")</f>
        <v>-</v>
      </c>
      <c r="E888" s="2" t="str">
        <f>IFERROR(INDEX(Movimientos!$F$2:$F$1994,MATCH(A888&amp;"ENTRADA",Movimientos!$R$2:$R$1994,0)),"-")</f>
        <v>-</v>
      </c>
      <c r="F888" s="2" t="str">
        <f>IFERROR(INDEX(Movimientos!$G$2:$G$1994,MATCH(A888&amp;"ENTRADA",Movimientos!$R$2:$R$1994,0)),"-")</f>
        <v>-</v>
      </c>
      <c r="G888" s="2" t="str">
        <f>IFERROR(INDEX(Movimientos!$L$2:$L$1994,MATCH(A888&amp;"ENTRADA",Movimientos!$R$2:$R$1994,0)),"-")</f>
        <v>-</v>
      </c>
      <c r="H888" s="17" t="str">
        <f>IFERROR(IF(INDEX(Movimientos!$M$2:$M$1994,MATCH(A888&amp;"ENTRADA",Movimientos!$R$2:$R$1994,0))=0,"S/D",INDEX(Movimientos!$M$2:$M$1994,MATCH(A888&amp;"ENTRADA",Movimientos!$R$2:$R$1994,0))),"S/D")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3164</v>
      </c>
      <c r="B889" s="2" t="str">
        <f>IFERROR(INDEX(Movimientos!$C$2:$C$1994,MATCH(A889&amp;"ENTRADA",Movimientos!$R$2:$R$1994,0)),"-")</f>
        <v>-</v>
      </c>
      <c r="C889" s="2" t="str">
        <f>IFERROR(INDEX(Movimientos!$D$2:$D$1994,MATCH(A889&amp;"ENTRADA",Movimientos!$R$2:$R$1994,0)),"-")</f>
        <v>-</v>
      </c>
      <c r="D889" s="2" t="str">
        <f>IFERROR(INDEX(Movimientos!$E$2:$E$1994,MATCH(A889&amp;"ENTRADA",Movimientos!$R$2:$R$1994,0)),"-")</f>
        <v>-</v>
      </c>
      <c r="E889" s="2" t="str">
        <f>IFERROR(INDEX(Movimientos!$F$2:$F$1994,MATCH(A889&amp;"ENTRADA",Movimientos!$R$2:$R$1994,0)),"-")</f>
        <v>-</v>
      </c>
      <c r="F889" s="2" t="str">
        <f>IFERROR(INDEX(Movimientos!$G$2:$G$1994,MATCH(A889&amp;"ENTRADA",Movimientos!$R$2:$R$1994,0)),"-")</f>
        <v>-</v>
      </c>
      <c r="G889" s="2" t="str">
        <f>IFERROR(INDEX(Movimientos!$L$2:$L$1994,MATCH(A889&amp;"ENTRADA",Movimientos!$R$2:$R$1994,0)),"-")</f>
        <v>-</v>
      </c>
      <c r="H889" s="17" t="str">
        <f>IFERROR(IF(INDEX(Movimientos!$M$2:$M$1994,MATCH(A889&amp;"ENTRADA",Movimientos!$R$2:$R$1994,0))=0,"S/D",INDEX(Movimientos!$M$2:$M$1994,MATCH(A889&amp;"ENTRADA",Movimientos!$R$2:$R$1994,0))),"S/D")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3165</v>
      </c>
      <c r="B890" s="2" t="str">
        <f>IFERROR(INDEX(Movimientos!$C$2:$C$1994,MATCH(A890&amp;"ENTRADA",Movimientos!$R$2:$R$1994,0)),"-")</f>
        <v>-</v>
      </c>
      <c r="C890" s="2" t="str">
        <f>IFERROR(INDEX(Movimientos!$D$2:$D$1994,MATCH(A890&amp;"ENTRADA",Movimientos!$R$2:$R$1994,0)),"-")</f>
        <v>-</v>
      </c>
      <c r="D890" s="2" t="str">
        <f>IFERROR(INDEX(Movimientos!$E$2:$E$1994,MATCH(A890&amp;"ENTRADA",Movimientos!$R$2:$R$1994,0)),"-")</f>
        <v>-</v>
      </c>
      <c r="E890" s="2" t="str">
        <f>IFERROR(INDEX(Movimientos!$F$2:$F$1994,MATCH(A890&amp;"ENTRADA",Movimientos!$R$2:$R$1994,0)),"-")</f>
        <v>-</v>
      </c>
      <c r="F890" s="2" t="str">
        <f>IFERROR(INDEX(Movimientos!$G$2:$G$1994,MATCH(A890&amp;"ENTRADA",Movimientos!$R$2:$R$1994,0)),"-")</f>
        <v>-</v>
      </c>
      <c r="G890" s="2" t="str">
        <f>IFERROR(INDEX(Movimientos!$L$2:$L$1994,MATCH(A890&amp;"ENTRADA",Movimientos!$R$2:$R$1994,0)),"-")</f>
        <v>-</v>
      </c>
      <c r="H890" s="17" t="str">
        <f>IFERROR(IF(INDEX(Movimientos!$M$2:$M$1994,MATCH(A890&amp;"ENTRADA",Movimientos!$R$2:$R$1994,0))=0,"S/D",INDEX(Movimientos!$M$2:$M$1994,MATCH(A890&amp;"ENTRADA",Movimientos!$R$2:$R$1994,0))),"S/D")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3166</v>
      </c>
      <c r="B891" s="2" t="str">
        <f>IFERROR(INDEX(Movimientos!$C$2:$C$1994,MATCH(A891&amp;"ENTRADA",Movimientos!$R$2:$R$1994,0)),"-")</f>
        <v>-</v>
      </c>
      <c r="C891" s="2" t="str">
        <f>IFERROR(INDEX(Movimientos!$D$2:$D$1994,MATCH(A891&amp;"ENTRADA",Movimientos!$R$2:$R$1994,0)),"-")</f>
        <v>-</v>
      </c>
      <c r="D891" s="2" t="str">
        <f>IFERROR(INDEX(Movimientos!$E$2:$E$1994,MATCH(A891&amp;"ENTRADA",Movimientos!$R$2:$R$1994,0)),"-")</f>
        <v>-</v>
      </c>
      <c r="E891" s="2" t="str">
        <f>IFERROR(INDEX(Movimientos!$F$2:$F$1994,MATCH(A891&amp;"ENTRADA",Movimientos!$R$2:$R$1994,0)),"-")</f>
        <v>-</v>
      </c>
      <c r="F891" s="2" t="str">
        <f>IFERROR(INDEX(Movimientos!$G$2:$G$1994,MATCH(A891&amp;"ENTRADA",Movimientos!$R$2:$R$1994,0)),"-")</f>
        <v>-</v>
      </c>
      <c r="G891" s="2" t="str">
        <f>IFERROR(INDEX(Movimientos!$L$2:$L$1994,MATCH(A891&amp;"ENTRADA",Movimientos!$R$2:$R$1994,0)),"-")</f>
        <v>-</v>
      </c>
      <c r="H891" s="17" t="str">
        <f>IFERROR(IF(INDEX(Movimientos!$M$2:$M$1994,MATCH(A891&amp;"ENTRADA",Movimientos!$R$2:$R$1994,0))=0,"S/D",INDEX(Movimientos!$M$2:$M$1994,MATCH(A891&amp;"ENTRADA",Movimientos!$R$2:$R$1994,0))),"S/D")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3167</v>
      </c>
      <c r="B892" s="2" t="str">
        <f>IFERROR(INDEX(Movimientos!$C$2:$C$1994,MATCH(A892&amp;"ENTRADA",Movimientos!$R$2:$R$1994,0)),"-")</f>
        <v>-</v>
      </c>
      <c r="C892" s="2" t="str">
        <f>IFERROR(INDEX(Movimientos!$D$2:$D$1994,MATCH(A892&amp;"ENTRADA",Movimientos!$R$2:$R$1994,0)),"-")</f>
        <v>-</v>
      </c>
      <c r="D892" s="2" t="str">
        <f>IFERROR(INDEX(Movimientos!$E$2:$E$1994,MATCH(A892&amp;"ENTRADA",Movimientos!$R$2:$R$1994,0)),"-")</f>
        <v>-</v>
      </c>
      <c r="E892" s="2" t="str">
        <f>IFERROR(INDEX(Movimientos!$F$2:$F$1994,MATCH(A892&amp;"ENTRADA",Movimientos!$R$2:$R$1994,0)),"-")</f>
        <v>-</v>
      </c>
      <c r="F892" s="2" t="str">
        <f>IFERROR(INDEX(Movimientos!$G$2:$G$1994,MATCH(A892&amp;"ENTRADA",Movimientos!$R$2:$R$1994,0)),"-")</f>
        <v>-</v>
      </c>
      <c r="G892" s="2" t="str">
        <f>IFERROR(INDEX(Movimientos!$L$2:$L$1994,MATCH(A892&amp;"ENTRADA",Movimientos!$R$2:$R$1994,0)),"-")</f>
        <v>-</v>
      </c>
      <c r="H892" s="17" t="str">
        <f>IFERROR(IF(INDEX(Movimientos!$M$2:$M$1994,MATCH(A892&amp;"ENTRADA",Movimientos!$R$2:$R$1994,0))=0,"S/D",INDEX(Movimientos!$M$2:$M$1994,MATCH(A892&amp;"ENTRADA",Movimientos!$R$2:$R$1994,0))),"S/D")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3168</v>
      </c>
      <c r="B893" s="2" t="str">
        <f>IFERROR(INDEX(Movimientos!$C$2:$C$1994,MATCH(A893&amp;"ENTRADA",Movimientos!$R$2:$R$1994,0)),"-")</f>
        <v>-</v>
      </c>
      <c r="C893" s="2" t="str">
        <f>IFERROR(INDEX(Movimientos!$D$2:$D$1994,MATCH(A893&amp;"ENTRADA",Movimientos!$R$2:$R$1994,0)),"-")</f>
        <v>-</v>
      </c>
      <c r="D893" s="2" t="str">
        <f>IFERROR(INDEX(Movimientos!$E$2:$E$1994,MATCH(A893&amp;"ENTRADA",Movimientos!$R$2:$R$1994,0)),"-")</f>
        <v>-</v>
      </c>
      <c r="E893" s="2" t="str">
        <f>IFERROR(INDEX(Movimientos!$F$2:$F$1994,MATCH(A893&amp;"ENTRADA",Movimientos!$R$2:$R$1994,0)),"-")</f>
        <v>-</v>
      </c>
      <c r="F893" s="2" t="str">
        <f>IFERROR(INDEX(Movimientos!$G$2:$G$1994,MATCH(A893&amp;"ENTRADA",Movimientos!$R$2:$R$1994,0)),"-")</f>
        <v>-</v>
      </c>
      <c r="G893" s="2" t="str">
        <f>IFERROR(INDEX(Movimientos!$L$2:$L$1994,MATCH(A893&amp;"ENTRADA",Movimientos!$R$2:$R$1994,0)),"-")</f>
        <v>-</v>
      </c>
      <c r="H893" s="17" t="str">
        <f>IFERROR(IF(INDEX(Movimientos!$M$2:$M$1994,MATCH(A893&amp;"ENTRADA",Movimientos!$R$2:$R$1994,0))=0,"S/D",INDEX(Movimientos!$M$2:$M$1994,MATCH(A893&amp;"ENTRADA",Movimientos!$R$2:$R$1994,0))),"S/D")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3169</v>
      </c>
      <c r="B894" s="2" t="str">
        <f>IFERROR(INDEX(Movimientos!$C$2:$C$1994,MATCH(A894&amp;"ENTRADA",Movimientos!$R$2:$R$1994,0)),"-")</f>
        <v>-</v>
      </c>
      <c r="C894" s="2" t="str">
        <f>IFERROR(INDEX(Movimientos!$D$2:$D$1994,MATCH(A894&amp;"ENTRADA",Movimientos!$R$2:$R$1994,0)),"-")</f>
        <v>-</v>
      </c>
      <c r="D894" s="2" t="str">
        <f>IFERROR(INDEX(Movimientos!$E$2:$E$1994,MATCH(A894&amp;"ENTRADA",Movimientos!$R$2:$R$1994,0)),"-")</f>
        <v>-</v>
      </c>
      <c r="E894" s="2" t="str">
        <f>IFERROR(INDEX(Movimientos!$F$2:$F$1994,MATCH(A894&amp;"ENTRADA",Movimientos!$R$2:$R$1994,0)),"-")</f>
        <v>-</v>
      </c>
      <c r="F894" s="2" t="str">
        <f>IFERROR(INDEX(Movimientos!$G$2:$G$1994,MATCH(A894&amp;"ENTRADA",Movimientos!$R$2:$R$1994,0)),"-")</f>
        <v>-</v>
      </c>
      <c r="G894" s="2" t="str">
        <f>IFERROR(INDEX(Movimientos!$L$2:$L$1994,MATCH(A894&amp;"ENTRADA",Movimientos!$R$2:$R$1994,0)),"-")</f>
        <v>-</v>
      </c>
      <c r="H894" s="17" t="str">
        <f>IFERROR(IF(INDEX(Movimientos!$M$2:$M$1994,MATCH(A894&amp;"ENTRADA",Movimientos!$R$2:$R$1994,0))=0,"S/D",INDEX(Movimientos!$M$2:$M$1994,MATCH(A894&amp;"ENTRADA",Movimientos!$R$2:$R$1994,0))),"S/D")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3170</v>
      </c>
      <c r="B895" s="2" t="str">
        <f>IFERROR(INDEX(Movimientos!$C$2:$C$1994,MATCH(A895&amp;"ENTRADA",Movimientos!$R$2:$R$1994,0)),"-")</f>
        <v>-</v>
      </c>
      <c r="C895" s="2" t="str">
        <f>IFERROR(INDEX(Movimientos!$D$2:$D$1994,MATCH(A895&amp;"ENTRADA",Movimientos!$R$2:$R$1994,0)),"-")</f>
        <v>-</v>
      </c>
      <c r="D895" s="2" t="str">
        <f>IFERROR(INDEX(Movimientos!$E$2:$E$1994,MATCH(A895&amp;"ENTRADA",Movimientos!$R$2:$R$1994,0)),"-")</f>
        <v>-</v>
      </c>
      <c r="E895" s="2" t="str">
        <f>IFERROR(INDEX(Movimientos!$F$2:$F$1994,MATCH(A895&amp;"ENTRADA",Movimientos!$R$2:$R$1994,0)),"-")</f>
        <v>-</v>
      </c>
      <c r="F895" s="2" t="str">
        <f>IFERROR(INDEX(Movimientos!$G$2:$G$1994,MATCH(A895&amp;"ENTRADA",Movimientos!$R$2:$R$1994,0)),"-")</f>
        <v>-</v>
      </c>
      <c r="G895" s="2" t="str">
        <f>IFERROR(INDEX(Movimientos!$L$2:$L$1994,MATCH(A895&amp;"ENTRADA",Movimientos!$R$2:$R$1994,0)),"-")</f>
        <v>-</v>
      </c>
      <c r="H895" s="17" t="str">
        <f>IFERROR(IF(INDEX(Movimientos!$M$2:$M$1994,MATCH(A895&amp;"ENTRADA",Movimientos!$R$2:$R$1994,0))=0,"S/D",INDEX(Movimientos!$M$2:$M$1994,MATCH(A895&amp;"ENTRADA",Movimientos!$R$2:$R$1994,0))),"S/D")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3171</v>
      </c>
      <c r="B896" s="2" t="str">
        <f>IFERROR(INDEX(Movimientos!$C$2:$C$1994,MATCH(A896&amp;"ENTRADA",Movimientos!$R$2:$R$1994,0)),"-")</f>
        <v>-</v>
      </c>
      <c r="C896" s="2" t="str">
        <f>IFERROR(INDEX(Movimientos!$D$2:$D$1994,MATCH(A896&amp;"ENTRADA",Movimientos!$R$2:$R$1994,0)),"-")</f>
        <v>-</v>
      </c>
      <c r="D896" s="2" t="str">
        <f>IFERROR(INDEX(Movimientos!$E$2:$E$1994,MATCH(A896&amp;"ENTRADA",Movimientos!$R$2:$R$1994,0)),"-")</f>
        <v>-</v>
      </c>
      <c r="E896" s="2" t="str">
        <f>IFERROR(INDEX(Movimientos!$F$2:$F$1994,MATCH(A896&amp;"ENTRADA",Movimientos!$R$2:$R$1994,0)),"-")</f>
        <v>-</v>
      </c>
      <c r="F896" s="2" t="str">
        <f>IFERROR(INDEX(Movimientos!$G$2:$G$1994,MATCH(A896&amp;"ENTRADA",Movimientos!$R$2:$R$1994,0)),"-")</f>
        <v>-</v>
      </c>
      <c r="G896" s="2" t="str">
        <f>IFERROR(INDEX(Movimientos!$L$2:$L$1994,MATCH(A896&amp;"ENTRADA",Movimientos!$R$2:$R$1994,0)),"-")</f>
        <v>-</v>
      </c>
      <c r="H896" s="17" t="str">
        <f>IFERROR(IF(INDEX(Movimientos!$M$2:$M$1994,MATCH(A896&amp;"ENTRADA",Movimientos!$R$2:$R$1994,0))=0,"S/D",INDEX(Movimientos!$M$2:$M$1994,MATCH(A896&amp;"ENTRADA",Movimientos!$R$2:$R$1994,0))),"S/D")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3172</v>
      </c>
      <c r="B897" s="2" t="str">
        <f>IFERROR(INDEX(Movimientos!$C$2:$C$1994,MATCH(A897&amp;"ENTRADA",Movimientos!$R$2:$R$1994,0)),"-")</f>
        <v>-</v>
      </c>
      <c r="C897" s="2" t="str">
        <f>IFERROR(INDEX(Movimientos!$D$2:$D$1994,MATCH(A897&amp;"ENTRADA",Movimientos!$R$2:$R$1994,0)),"-")</f>
        <v>-</v>
      </c>
      <c r="D897" s="2" t="str">
        <f>IFERROR(INDEX(Movimientos!$E$2:$E$1994,MATCH(A897&amp;"ENTRADA",Movimientos!$R$2:$R$1994,0)),"-")</f>
        <v>-</v>
      </c>
      <c r="E897" s="2" t="str">
        <f>IFERROR(INDEX(Movimientos!$F$2:$F$1994,MATCH(A897&amp;"ENTRADA",Movimientos!$R$2:$R$1994,0)),"-")</f>
        <v>-</v>
      </c>
      <c r="F897" s="2" t="str">
        <f>IFERROR(INDEX(Movimientos!$G$2:$G$1994,MATCH(A897&amp;"ENTRADA",Movimientos!$R$2:$R$1994,0)),"-")</f>
        <v>-</v>
      </c>
      <c r="G897" s="2" t="str">
        <f>IFERROR(INDEX(Movimientos!$L$2:$L$1994,MATCH(A897&amp;"ENTRADA",Movimientos!$R$2:$R$1994,0)),"-")</f>
        <v>-</v>
      </c>
      <c r="H897" s="17" t="str">
        <f>IFERROR(IF(INDEX(Movimientos!$M$2:$M$1994,MATCH(A897&amp;"ENTRADA",Movimientos!$R$2:$R$1994,0))=0,"S/D",INDEX(Movimientos!$M$2:$M$1994,MATCH(A897&amp;"ENTRADA",Movimientos!$R$2:$R$1994,0))),"S/D")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3173</v>
      </c>
      <c r="B898" s="2" t="str">
        <f>IFERROR(INDEX(Movimientos!$C$2:$C$1994,MATCH(A898&amp;"ENTRADA",Movimientos!$R$2:$R$1994,0)),"-")</f>
        <v>-</v>
      </c>
      <c r="C898" s="2" t="str">
        <f>IFERROR(INDEX(Movimientos!$D$2:$D$1994,MATCH(A898&amp;"ENTRADA",Movimientos!$R$2:$R$1994,0)),"-")</f>
        <v>-</v>
      </c>
      <c r="D898" s="2" t="str">
        <f>IFERROR(INDEX(Movimientos!$E$2:$E$1994,MATCH(A898&amp;"ENTRADA",Movimientos!$R$2:$R$1994,0)),"-")</f>
        <v>-</v>
      </c>
      <c r="E898" s="2" t="str">
        <f>IFERROR(INDEX(Movimientos!$F$2:$F$1994,MATCH(A898&amp;"ENTRADA",Movimientos!$R$2:$R$1994,0)),"-")</f>
        <v>-</v>
      </c>
      <c r="F898" s="2" t="str">
        <f>IFERROR(INDEX(Movimientos!$G$2:$G$1994,MATCH(A898&amp;"ENTRADA",Movimientos!$R$2:$R$1994,0)),"-")</f>
        <v>-</v>
      </c>
      <c r="G898" s="2" t="str">
        <f>IFERROR(INDEX(Movimientos!$L$2:$L$1994,MATCH(A898&amp;"ENTRADA",Movimientos!$R$2:$R$1994,0)),"-")</f>
        <v>-</v>
      </c>
      <c r="H898" s="17" t="str">
        <f>IFERROR(IF(INDEX(Movimientos!$M$2:$M$1994,MATCH(A898&amp;"ENTRADA",Movimientos!$R$2:$R$1994,0))=0,"S/D",INDEX(Movimientos!$M$2:$M$1994,MATCH(A898&amp;"ENTRADA",Movimientos!$R$2:$R$1994,0))),"S/D")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3174</v>
      </c>
      <c r="B899" s="2" t="str">
        <f>IFERROR(INDEX(Movimientos!$C$2:$C$1994,MATCH(A899&amp;"ENTRADA",Movimientos!$R$2:$R$1994,0)),"-")</f>
        <v>-</v>
      </c>
      <c r="C899" s="2" t="str">
        <f>IFERROR(INDEX(Movimientos!$D$2:$D$1994,MATCH(A899&amp;"ENTRADA",Movimientos!$R$2:$R$1994,0)),"-")</f>
        <v>-</v>
      </c>
      <c r="D899" s="2" t="str">
        <f>IFERROR(INDEX(Movimientos!$E$2:$E$1994,MATCH(A899&amp;"ENTRADA",Movimientos!$R$2:$R$1994,0)),"-")</f>
        <v>-</v>
      </c>
      <c r="E899" s="2" t="str">
        <f>IFERROR(INDEX(Movimientos!$F$2:$F$1994,MATCH(A899&amp;"ENTRADA",Movimientos!$R$2:$R$1994,0)),"-")</f>
        <v>-</v>
      </c>
      <c r="F899" s="2" t="str">
        <f>IFERROR(INDEX(Movimientos!$G$2:$G$1994,MATCH(A899&amp;"ENTRADA",Movimientos!$R$2:$R$1994,0)),"-")</f>
        <v>-</v>
      </c>
      <c r="G899" s="2" t="str">
        <f>IFERROR(INDEX(Movimientos!$L$2:$L$1994,MATCH(A899&amp;"ENTRADA",Movimientos!$R$2:$R$1994,0)),"-")</f>
        <v>-</v>
      </c>
      <c r="H899" s="17" t="str">
        <f>IFERROR(IF(INDEX(Movimientos!$M$2:$M$1994,MATCH(A899&amp;"ENTRADA",Movimientos!$R$2:$R$1994,0))=0,"S/D",INDEX(Movimientos!$M$2:$M$1994,MATCH(A899&amp;"ENTRADA",Movimientos!$R$2:$R$1994,0))),"S/D")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3175</v>
      </c>
      <c r="B900" s="2" t="str">
        <f>IFERROR(INDEX(Movimientos!$C$2:$C$1994,MATCH(A900&amp;"ENTRADA",Movimientos!$R$2:$R$1994,0)),"-")</f>
        <v>-</v>
      </c>
      <c r="C900" s="2" t="str">
        <f>IFERROR(INDEX(Movimientos!$D$2:$D$1994,MATCH(A900&amp;"ENTRADA",Movimientos!$R$2:$R$1994,0)),"-")</f>
        <v>-</v>
      </c>
      <c r="D900" s="2" t="str">
        <f>IFERROR(INDEX(Movimientos!$E$2:$E$1994,MATCH(A900&amp;"ENTRADA",Movimientos!$R$2:$R$1994,0)),"-")</f>
        <v>-</v>
      </c>
      <c r="E900" s="2" t="str">
        <f>IFERROR(INDEX(Movimientos!$F$2:$F$1994,MATCH(A900&amp;"ENTRADA",Movimientos!$R$2:$R$1994,0)),"-")</f>
        <v>-</v>
      </c>
      <c r="F900" s="2" t="str">
        <f>IFERROR(INDEX(Movimientos!$G$2:$G$1994,MATCH(A900&amp;"ENTRADA",Movimientos!$R$2:$R$1994,0)),"-")</f>
        <v>-</v>
      </c>
      <c r="G900" s="2" t="str">
        <f>IFERROR(INDEX(Movimientos!$L$2:$L$1994,MATCH(A900&amp;"ENTRADA",Movimientos!$R$2:$R$1994,0)),"-")</f>
        <v>-</v>
      </c>
      <c r="H900" s="17" t="str">
        <f>IFERROR(IF(INDEX(Movimientos!$M$2:$M$1994,MATCH(A900&amp;"ENTRADA",Movimientos!$R$2:$R$1994,0))=0,"S/D",INDEX(Movimientos!$M$2:$M$1994,MATCH(A900&amp;"ENTRADA",Movimientos!$R$2:$R$1994,0))),"S/D")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3176</v>
      </c>
      <c r="B901" s="2" t="str">
        <f>IFERROR(INDEX(Movimientos!$C$2:$C$1994,MATCH(A901&amp;"ENTRADA",Movimientos!$R$2:$R$1994,0)),"-")</f>
        <v>-</v>
      </c>
      <c r="C901" s="2" t="str">
        <f>IFERROR(INDEX(Movimientos!$D$2:$D$1994,MATCH(A901&amp;"ENTRADA",Movimientos!$R$2:$R$1994,0)),"-")</f>
        <v>-</v>
      </c>
      <c r="D901" s="2" t="str">
        <f>IFERROR(INDEX(Movimientos!$E$2:$E$1994,MATCH(A901&amp;"ENTRADA",Movimientos!$R$2:$R$1994,0)),"-")</f>
        <v>-</v>
      </c>
      <c r="E901" s="2" t="str">
        <f>IFERROR(INDEX(Movimientos!$F$2:$F$1994,MATCH(A901&amp;"ENTRADA",Movimientos!$R$2:$R$1994,0)),"-")</f>
        <v>-</v>
      </c>
      <c r="F901" s="2" t="str">
        <f>IFERROR(INDEX(Movimientos!$G$2:$G$1994,MATCH(A901&amp;"ENTRADA",Movimientos!$R$2:$R$1994,0)),"-")</f>
        <v>-</v>
      </c>
      <c r="G901" s="2" t="str">
        <f>IFERROR(INDEX(Movimientos!$L$2:$L$1994,MATCH(A901&amp;"ENTRADA",Movimientos!$R$2:$R$1994,0)),"-")</f>
        <v>-</v>
      </c>
      <c r="H901" s="17" t="str">
        <f>IFERROR(IF(INDEX(Movimientos!$M$2:$M$1994,MATCH(A901&amp;"ENTRADA",Movimientos!$R$2:$R$1994,0))=0,"S/D",INDEX(Movimientos!$M$2:$M$1994,MATCH(A901&amp;"ENTRADA",Movimientos!$R$2:$R$1994,0))),"S/D")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3177</v>
      </c>
      <c r="B902" s="2" t="str">
        <f>IFERROR(INDEX(Movimientos!$C$2:$C$1994,MATCH(A902&amp;"ENTRADA",Movimientos!$R$2:$R$1994,0)),"-")</f>
        <v>-</v>
      </c>
      <c r="C902" s="2" t="str">
        <f>IFERROR(INDEX(Movimientos!$D$2:$D$1994,MATCH(A902&amp;"ENTRADA",Movimientos!$R$2:$R$1994,0)),"-")</f>
        <v>-</v>
      </c>
      <c r="D902" s="2" t="str">
        <f>IFERROR(INDEX(Movimientos!$E$2:$E$1994,MATCH(A902&amp;"ENTRADA",Movimientos!$R$2:$R$1994,0)),"-")</f>
        <v>-</v>
      </c>
      <c r="E902" s="2" t="str">
        <f>IFERROR(INDEX(Movimientos!$F$2:$F$1994,MATCH(A902&amp;"ENTRADA",Movimientos!$R$2:$R$1994,0)),"-")</f>
        <v>-</v>
      </c>
      <c r="F902" s="2" t="str">
        <f>IFERROR(INDEX(Movimientos!$G$2:$G$1994,MATCH(A902&amp;"ENTRADA",Movimientos!$R$2:$R$1994,0)),"-")</f>
        <v>-</v>
      </c>
      <c r="G902" s="2" t="str">
        <f>IFERROR(INDEX(Movimientos!$L$2:$L$1994,MATCH(A902&amp;"ENTRADA",Movimientos!$R$2:$R$1994,0)),"-")</f>
        <v>-</v>
      </c>
      <c r="H902" s="17" t="str">
        <f>IFERROR(IF(INDEX(Movimientos!$M$2:$M$1994,MATCH(A902&amp;"ENTRADA",Movimientos!$R$2:$R$1994,0))=0,"S/D",INDEX(Movimientos!$M$2:$M$1994,MATCH(A902&amp;"ENTRADA",Movimientos!$R$2:$R$1994,0))),"S/D")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3178</v>
      </c>
      <c r="B903" s="2" t="str">
        <f>IFERROR(INDEX(Movimientos!$C$2:$C$1994,MATCH(A903&amp;"ENTRADA",Movimientos!$R$2:$R$1994,0)),"-")</f>
        <v>-</v>
      </c>
      <c r="C903" s="2" t="str">
        <f>IFERROR(INDEX(Movimientos!$D$2:$D$1994,MATCH(A903&amp;"ENTRADA",Movimientos!$R$2:$R$1994,0)),"-")</f>
        <v>-</v>
      </c>
      <c r="D903" s="2" t="str">
        <f>IFERROR(INDEX(Movimientos!$E$2:$E$1994,MATCH(A903&amp;"ENTRADA",Movimientos!$R$2:$R$1994,0)),"-")</f>
        <v>-</v>
      </c>
      <c r="E903" s="2" t="str">
        <f>IFERROR(INDEX(Movimientos!$F$2:$F$1994,MATCH(A903&amp;"ENTRADA",Movimientos!$R$2:$R$1994,0)),"-")</f>
        <v>-</v>
      </c>
      <c r="F903" s="2" t="str">
        <f>IFERROR(INDEX(Movimientos!$G$2:$G$1994,MATCH(A903&amp;"ENTRADA",Movimientos!$R$2:$R$1994,0)),"-")</f>
        <v>-</v>
      </c>
      <c r="G903" s="2" t="str">
        <f>IFERROR(INDEX(Movimientos!$L$2:$L$1994,MATCH(A903&amp;"ENTRADA",Movimientos!$R$2:$R$1994,0)),"-")</f>
        <v>-</v>
      </c>
      <c r="H903" s="17" t="str">
        <f>IFERROR(IF(INDEX(Movimientos!$M$2:$M$1994,MATCH(A903&amp;"ENTRADA",Movimientos!$R$2:$R$1994,0))=0,"S/D",INDEX(Movimientos!$M$2:$M$1994,MATCH(A903&amp;"ENTRADA",Movimientos!$R$2:$R$1994,0))),"S/D")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3179</v>
      </c>
      <c r="B904" s="2" t="str">
        <f>IFERROR(INDEX(Movimientos!$C$2:$C$1994,MATCH(A904&amp;"ENTRADA",Movimientos!$R$2:$R$1994,0)),"-")</f>
        <v>-</v>
      </c>
      <c r="C904" s="2" t="str">
        <f>IFERROR(INDEX(Movimientos!$D$2:$D$1994,MATCH(A904&amp;"ENTRADA",Movimientos!$R$2:$R$1994,0)),"-")</f>
        <v>-</v>
      </c>
      <c r="D904" s="2" t="str">
        <f>IFERROR(INDEX(Movimientos!$E$2:$E$1994,MATCH(A904&amp;"ENTRADA",Movimientos!$R$2:$R$1994,0)),"-")</f>
        <v>-</v>
      </c>
      <c r="E904" s="2" t="str">
        <f>IFERROR(INDEX(Movimientos!$F$2:$F$1994,MATCH(A904&amp;"ENTRADA",Movimientos!$R$2:$R$1994,0)),"-")</f>
        <v>-</v>
      </c>
      <c r="F904" s="2" t="str">
        <f>IFERROR(INDEX(Movimientos!$G$2:$G$1994,MATCH(A904&amp;"ENTRADA",Movimientos!$R$2:$R$1994,0)),"-")</f>
        <v>-</v>
      </c>
      <c r="G904" s="2" t="str">
        <f>IFERROR(INDEX(Movimientos!$L$2:$L$1994,MATCH(A904&amp;"ENTRADA",Movimientos!$R$2:$R$1994,0)),"-")</f>
        <v>-</v>
      </c>
      <c r="H904" s="17" t="str">
        <f>IFERROR(IF(INDEX(Movimientos!$M$2:$M$1994,MATCH(A904&amp;"ENTRADA",Movimientos!$R$2:$R$1994,0))=0,"S/D",INDEX(Movimientos!$M$2:$M$1994,MATCH(A904&amp;"ENTRADA",Movimientos!$R$2:$R$1994,0))),"S/D")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3180</v>
      </c>
      <c r="B905" s="2" t="str">
        <f>IFERROR(INDEX(Movimientos!$C$2:$C$1994,MATCH(A905&amp;"ENTRADA",Movimientos!$R$2:$R$1994,0)),"-")</f>
        <v>-</v>
      </c>
      <c r="C905" s="2" t="str">
        <f>IFERROR(INDEX(Movimientos!$D$2:$D$1994,MATCH(A905&amp;"ENTRADA",Movimientos!$R$2:$R$1994,0)),"-")</f>
        <v>-</v>
      </c>
      <c r="D905" s="2" t="str">
        <f>IFERROR(INDEX(Movimientos!$E$2:$E$1994,MATCH(A905&amp;"ENTRADA",Movimientos!$R$2:$R$1994,0)),"-")</f>
        <v>-</v>
      </c>
      <c r="E905" s="2" t="str">
        <f>IFERROR(INDEX(Movimientos!$F$2:$F$1994,MATCH(A905&amp;"ENTRADA",Movimientos!$R$2:$R$1994,0)),"-")</f>
        <v>-</v>
      </c>
      <c r="F905" s="2" t="str">
        <f>IFERROR(INDEX(Movimientos!$G$2:$G$1994,MATCH(A905&amp;"ENTRADA",Movimientos!$R$2:$R$1994,0)),"-")</f>
        <v>-</v>
      </c>
      <c r="G905" s="2" t="str">
        <f>IFERROR(INDEX(Movimientos!$L$2:$L$1994,MATCH(A905&amp;"ENTRADA",Movimientos!$R$2:$R$1994,0)),"-")</f>
        <v>-</v>
      </c>
      <c r="H905" s="17" t="str">
        <f>IFERROR(IF(INDEX(Movimientos!$M$2:$M$1994,MATCH(A905&amp;"ENTRADA",Movimientos!$R$2:$R$1994,0))=0,"S/D",INDEX(Movimientos!$M$2:$M$1994,MATCH(A905&amp;"ENTRADA",Movimientos!$R$2:$R$1994,0))),"S/D")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3181</v>
      </c>
      <c r="B906" s="2" t="str">
        <f>IFERROR(INDEX(Movimientos!$C$2:$C$1994,MATCH(A906&amp;"ENTRADA",Movimientos!$R$2:$R$1994,0)),"-")</f>
        <v>-</v>
      </c>
      <c r="C906" s="2" t="str">
        <f>IFERROR(INDEX(Movimientos!$D$2:$D$1994,MATCH(A906&amp;"ENTRADA",Movimientos!$R$2:$R$1994,0)),"-")</f>
        <v>-</v>
      </c>
      <c r="D906" s="2" t="str">
        <f>IFERROR(INDEX(Movimientos!$E$2:$E$1994,MATCH(A906&amp;"ENTRADA",Movimientos!$R$2:$R$1994,0)),"-")</f>
        <v>-</v>
      </c>
      <c r="E906" s="2" t="str">
        <f>IFERROR(INDEX(Movimientos!$F$2:$F$1994,MATCH(A906&amp;"ENTRADA",Movimientos!$R$2:$R$1994,0)),"-")</f>
        <v>-</v>
      </c>
      <c r="F906" s="2" t="str">
        <f>IFERROR(INDEX(Movimientos!$G$2:$G$1994,MATCH(A906&amp;"ENTRADA",Movimientos!$R$2:$R$1994,0)),"-")</f>
        <v>-</v>
      </c>
      <c r="G906" s="2" t="str">
        <f>IFERROR(INDEX(Movimientos!$L$2:$L$1994,MATCH(A906&amp;"ENTRADA",Movimientos!$R$2:$R$1994,0)),"-")</f>
        <v>-</v>
      </c>
      <c r="H906" s="17" t="str">
        <f>IFERROR(IF(INDEX(Movimientos!$M$2:$M$1994,MATCH(A906&amp;"ENTRADA",Movimientos!$R$2:$R$1994,0))=0,"S/D",INDEX(Movimientos!$M$2:$M$1994,MATCH(A906&amp;"ENTRADA",Movimientos!$R$2:$R$1994,0))),"S/D")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3182</v>
      </c>
      <c r="B907" s="2" t="str">
        <f>IFERROR(INDEX(Movimientos!$C$2:$C$1994,MATCH(A907&amp;"ENTRADA",Movimientos!$R$2:$R$1994,0)),"-")</f>
        <v>-</v>
      </c>
      <c r="C907" s="2" t="str">
        <f>IFERROR(INDEX(Movimientos!$D$2:$D$1994,MATCH(A907&amp;"ENTRADA",Movimientos!$R$2:$R$1994,0)),"-")</f>
        <v>-</v>
      </c>
      <c r="D907" s="2" t="str">
        <f>IFERROR(INDEX(Movimientos!$E$2:$E$1994,MATCH(A907&amp;"ENTRADA",Movimientos!$R$2:$R$1994,0)),"-")</f>
        <v>-</v>
      </c>
      <c r="E907" s="2" t="str">
        <f>IFERROR(INDEX(Movimientos!$F$2:$F$1994,MATCH(A907&amp;"ENTRADA",Movimientos!$R$2:$R$1994,0)),"-")</f>
        <v>-</v>
      </c>
      <c r="F907" s="2" t="str">
        <f>IFERROR(INDEX(Movimientos!$G$2:$G$1994,MATCH(A907&amp;"ENTRADA",Movimientos!$R$2:$R$1994,0)),"-")</f>
        <v>-</v>
      </c>
      <c r="G907" s="2" t="str">
        <f>IFERROR(INDEX(Movimientos!$L$2:$L$1994,MATCH(A907&amp;"ENTRADA",Movimientos!$R$2:$R$1994,0)),"-")</f>
        <v>-</v>
      </c>
      <c r="H907" s="17" t="str">
        <f>IFERROR(IF(INDEX(Movimientos!$M$2:$M$1994,MATCH(A907&amp;"ENTRADA",Movimientos!$R$2:$R$1994,0))=0,"S/D",INDEX(Movimientos!$M$2:$M$1994,MATCH(A907&amp;"ENTRADA",Movimientos!$R$2:$R$1994,0))),"S/D")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3183</v>
      </c>
      <c r="B908" s="2" t="str">
        <f>IFERROR(INDEX(Movimientos!$C$2:$C$1994,MATCH(A908&amp;"ENTRADA",Movimientos!$R$2:$R$1994,0)),"-")</f>
        <v>-</v>
      </c>
      <c r="C908" s="2" t="str">
        <f>IFERROR(INDEX(Movimientos!$D$2:$D$1994,MATCH(A908&amp;"ENTRADA",Movimientos!$R$2:$R$1994,0)),"-")</f>
        <v>-</v>
      </c>
      <c r="D908" s="2" t="str">
        <f>IFERROR(INDEX(Movimientos!$E$2:$E$1994,MATCH(A908&amp;"ENTRADA",Movimientos!$R$2:$R$1994,0)),"-")</f>
        <v>-</v>
      </c>
      <c r="E908" s="2" t="str">
        <f>IFERROR(INDEX(Movimientos!$F$2:$F$1994,MATCH(A908&amp;"ENTRADA",Movimientos!$R$2:$R$1994,0)),"-")</f>
        <v>-</v>
      </c>
      <c r="F908" s="2" t="str">
        <f>IFERROR(INDEX(Movimientos!$G$2:$G$1994,MATCH(A908&amp;"ENTRADA",Movimientos!$R$2:$R$1994,0)),"-")</f>
        <v>-</v>
      </c>
      <c r="G908" s="2" t="str">
        <f>IFERROR(INDEX(Movimientos!$L$2:$L$1994,MATCH(A908&amp;"ENTRADA",Movimientos!$R$2:$R$1994,0)),"-")</f>
        <v>-</v>
      </c>
      <c r="H908" s="17" t="str">
        <f>IFERROR(IF(INDEX(Movimientos!$M$2:$M$1994,MATCH(A908&amp;"ENTRADA",Movimientos!$R$2:$R$1994,0))=0,"S/D",INDEX(Movimientos!$M$2:$M$1994,MATCH(A908&amp;"ENTRADA",Movimientos!$R$2:$R$1994,0))),"S/D")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3184</v>
      </c>
      <c r="B909" s="2" t="str">
        <f>IFERROR(INDEX(Movimientos!$C$2:$C$1994,MATCH(A909&amp;"ENTRADA",Movimientos!$R$2:$R$1994,0)),"-")</f>
        <v>-</v>
      </c>
      <c r="C909" s="2" t="str">
        <f>IFERROR(INDEX(Movimientos!$D$2:$D$1994,MATCH(A909&amp;"ENTRADA",Movimientos!$R$2:$R$1994,0)),"-")</f>
        <v>-</v>
      </c>
      <c r="D909" s="2" t="str">
        <f>IFERROR(INDEX(Movimientos!$E$2:$E$1994,MATCH(A909&amp;"ENTRADA",Movimientos!$R$2:$R$1994,0)),"-")</f>
        <v>-</v>
      </c>
      <c r="E909" s="2" t="str">
        <f>IFERROR(INDEX(Movimientos!$F$2:$F$1994,MATCH(A909&amp;"ENTRADA",Movimientos!$R$2:$R$1994,0)),"-")</f>
        <v>-</v>
      </c>
      <c r="F909" s="2" t="str">
        <f>IFERROR(INDEX(Movimientos!$G$2:$G$1994,MATCH(A909&amp;"ENTRADA",Movimientos!$R$2:$R$1994,0)),"-")</f>
        <v>-</v>
      </c>
      <c r="G909" s="2" t="str">
        <f>IFERROR(INDEX(Movimientos!$L$2:$L$1994,MATCH(A909&amp;"ENTRADA",Movimientos!$R$2:$R$1994,0)),"-")</f>
        <v>-</v>
      </c>
      <c r="H909" s="17" t="str">
        <f>IFERROR(IF(INDEX(Movimientos!$M$2:$M$1994,MATCH(A909&amp;"ENTRADA",Movimientos!$R$2:$R$1994,0))=0,"S/D",INDEX(Movimientos!$M$2:$M$1994,MATCH(A909&amp;"ENTRADA",Movimientos!$R$2:$R$1994,0))),"S/D")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3185</v>
      </c>
      <c r="B910" s="2" t="str">
        <f>IFERROR(INDEX(Movimientos!$C$2:$C$1994,MATCH(A910&amp;"ENTRADA",Movimientos!$R$2:$R$1994,0)),"-")</f>
        <v>-</v>
      </c>
      <c r="C910" s="2" t="str">
        <f>IFERROR(INDEX(Movimientos!$D$2:$D$1994,MATCH(A910&amp;"ENTRADA",Movimientos!$R$2:$R$1994,0)),"-")</f>
        <v>-</v>
      </c>
      <c r="D910" s="2" t="str">
        <f>IFERROR(INDEX(Movimientos!$E$2:$E$1994,MATCH(A910&amp;"ENTRADA",Movimientos!$R$2:$R$1994,0)),"-")</f>
        <v>-</v>
      </c>
      <c r="E910" s="2" t="str">
        <f>IFERROR(INDEX(Movimientos!$F$2:$F$1994,MATCH(A910&amp;"ENTRADA",Movimientos!$R$2:$R$1994,0)),"-")</f>
        <v>-</v>
      </c>
      <c r="F910" s="2" t="str">
        <f>IFERROR(INDEX(Movimientos!$G$2:$G$1994,MATCH(A910&amp;"ENTRADA",Movimientos!$R$2:$R$1994,0)),"-")</f>
        <v>-</v>
      </c>
      <c r="G910" s="2" t="str">
        <f>IFERROR(INDEX(Movimientos!$L$2:$L$1994,MATCH(A910&amp;"ENTRADA",Movimientos!$R$2:$R$1994,0)),"-")</f>
        <v>-</v>
      </c>
      <c r="H910" s="17" t="str">
        <f>IFERROR(IF(INDEX(Movimientos!$M$2:$M$1994,MATCH(A910&amp;"ENTRADA",Movimientos!$R$2:$R$1994,0))=0,"S/D",INDEX(Movimientos!$M$2:$M$1994,MATCH(A910&amp;"ENTRADA",Movimientos!$R$2:$R$1994,0))),"S/D")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3186</v>
      </c>
      <c r="B911" s="2" t="str">
        <f>IFERROR(INDEX(Movimientos!$C$2:$C$1994,MATCH(A911&amp;"ENTRADA",Movimientos!$R$2:$R$1994,0)),"-")</f>
        <v>-</v>
      </c>
      <c r="C911" s="2" t="str">
        <f>IFERROR(INDEX(Movimientos!$D$2:$D$1994,MATCH(A911&amp;"ENTRADA",Movimientos!$R$2:$R$1994,0)),"-")</f>
        <v>-</v>
      </c>
      <c r="D911" s="2" t="str">
        <f>IFERROR(INDEX(Movimientos!$E$2:$E$1994,MATCH(A911&amp;"ENTRADA",Movimientos!$R$2:$R$1994,0)),"-")</f>
        <v>-</v>
      </c>
      <c r="E911" s="2" t="str">
        <f>IFERROR(INDEX(Movimientos!$F$2:$F$1994,MATCH(A911&amp;"ENTRADA",Movimientos!$R$2:$R$1994,0)),"-")</f>
        <v>-</v>
      </c>
      <c r="F911" s="2" t="str">
        <f>IFERROR(INDEX(Movimientos!$G$2:$G$1994,MATCH(A911&amp;"ENTRADA",Movimientos!$R$2:$R$1994,0)),"-")</f>
        <v>-</v>
      </c>
      <c r="G911" s="2" t="str">
        <f>IFERROR(INDEX(Movimientos!$L$2:$L$1994,MATCH(A911&amp;"ENTRADA",Movimientos!$R$2:$R$1994,0)),"-")</f>
        <v>-</v>
      </c>
      <c r="H911" s="17" t="str">
        <f>IFERROR(IF(INDEX(Movimientos!$M$2:$M$1994,MATCH(A911&amp;"ENTRADA",Movimientos!$R$2:$R$1994,0))=0,"S/D",INDEX(Movimientos!$M$2:$M$1994,MATCH(A911&amp;"ENTRADA",Movimientos!$R$2:$R$1994,0))),"S/D")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3187</v>
      </c>
      <c r="B912" s="2" t="str">
        <f>IFERROR(INDEX(Movimientos!$C$2:$C$1994,MATCH(A912&amp;"ENTRADA",Movimientos!$R$2:$R$1994,0)),"-")</f>
        <v>-</v>
      </c>
      <c r="C912" s="2" t="str">
        <f>IFERROR(INDEX(Movimientos!$D$2:$D$1994,MATCH(A912&amp;"ENTRADA",Movimientos!$R$2:$R$1994,0)),"-")</f>
        <v>-</v>
      </c>
      <c r="D912" s="2" t="str">
        <f>IFERROR(INDEX(Movimientos!$E$2:$E$1994,MATCH(A912&amp;"ENTRADA",Movimientos!$R$2:$R$1994,0)),"-")</f>
        <v>-</v>
      </c>
      <c r="E912" s="2" t="str">
        <f>IFERROR(INDEX(Movimientos!$F$2:$F$1994,MATCH(A912&amp;"ENTRADA",Movimientos!$R$2:$R$1994,0)),"-")</f>
        <v>-</v>
      </c>
      <c r="F912" s="2" t="str">
        <f>IFERROR(INDEX(Movimientos!$G$2:$G$1994,MATCH(A912&amp;"ENTRADA",Movimientos!$R$2:$R$1994,0)),"-")</f>
        <v>-</v>
      </c>
      <c r="G912" s="2" t="str">
        <f>IFERROR(INDEX(Movimientos!$L$2:$L$1994,MATCH(A912&amp;"ENTRADA",Movimientos!$R$2:$R$1994,0)),"-")</f>
        <v>-</v>
      </c>
      <c r="H912" s="17" t="str">
        <f>IFERROR(IF(INDEX(Movimientos!$M$2:$M$1994,MATCH(A912&amp;"ENTRADA",Movimientos!$R$2:$R$1994,0))=0,"S/D",INDEX(Movimientos!$M$2:$M$1994,MATCH(A912&amp;"ENTRADA",Movimientos!$R$2:$R$1994,0))),"S/D")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3188</v>
      </c>
      <c r="B913" s="2" t="str">
        <f>IFERROR(INDEX(Movimientos!$C$2:$C$1994,MATCH(A913&amp;"ENTRADA",Movimientos!$R$2:$R$1994,0)),"-")</f>
        <v>-</v>
      </c>
      <c r="C913" s="2" t="str">
        <f>IFERROR(INDEX(Movimientos!$D$2:$D$1994,MATCH(A913&amp;"ENTRADA",Movimientos!$R$2:$R$1994,0)),"-")</f>
        <v>-</v>
      </c>
      <c r="D913" s="2" t="str">
        <f>IFERROR(INDEX(Movimientos!$E$2:$E$1994,MATCH(A913&amp;"ENTRADA",Movimientos!$R$2:$R$1994,0)),"-")</f>
        <v>-</v>
      </c>
      <c r="E913" s="2" t="str">
        <f>IFERROR(INDEX(Movimientos!$F$2:$F$1994,MATCH(A913&amp;"ENTRADA",Movimientos!$R$2:$R$1994,0)),"-")</f>
        <v>-</v>
      </c>
      <c r="F913" s="2" t="str">
        <f>IFERROR(INDEX(Movimientos!$G$2:$G$1994,MATCH(A913&amp;"ENTRADA",Movimientos!$R$2:$R$1994,0)),"-")</f>
        <v>-</v>
      </c>
      <c r="G913" s="2" t="str">
        <f>IFERROR(INDEX(Movimientos!$L$2:$L$1994,MATCH(A913&amp;"ENTRADA",Movimientos!$R$2:$R$1994,0)),"-")</f>
        <v>-</v>
      </c>
      <c r="H913" s="17" t="str">
        <f>IFERROR(IF(INDEX(Movimientos!$M$2:$M$1994,MATCH(A913&amp;"ENTRADA",Movimientos!$R$2:$R$1994,0))=0,"S/D",INDEX(Movimientos!$M$2:$M$1994,MATCH(A913&amp;"ENTRADA",Movimientos!$R$2:$R$1994,0))),"S/D")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3189</v>
      </c>
      <c r="B914" s="2" t="str">
        <f>IFERROR(INDEX(Movimientos!$C$2:$C$1994,MATCH(A914&amp;"ENTRADA",Movimientos!$R$2:$R$1994,0)),"-")</f>
        <v>-</v>
      </c>
      <c r="C914" s="2" t="str">
        <f>IFERROR(INDEX(Movimientos!$D$2:$D$1994,MATCH(A914&amp;"ENTRADA",Movimientos!$R$2:$R$1994,0)),"-")</f>
        <v>-</v>
      </c>
      <c r="D914" s="2" t="str">
        <f>IFERROR(INDEX(Movimientos!$E$2:$E$1994,MATCH(A914&amp;"ENTRADA",Movimientos!$R$2:$R$1994,0)),"-")</f>
        <v>-</v>
      </c>
      <c r="E914" s="2" t="str">
        <f>IFERROR(INDEX(Movimientos!$F$2:$F$1994,MATCH(A914&amp;"ENTRADA",Movimientos!$R$2:$R$1994,0)),"-")</f>
        <v>-</v>
      </c>
      <c r="F914" s="2" t="str">
        <f>IFERROR(INDEX(Movimientos!$G$2:$G$1994,MATCH(A914&amp;"ENTRADA",Movimientos!$R$2:$R$1994,0)),"-")</f>
        <v>-</v>
      </c>
      <c r="G914" s="2" t="str">
        <f>IFERROR(INDEX(Movimientos!$L$2:$L$1994,MATCH(A914&amp;"ENTRADA",Movimientos!$R$2:$R$1994,0)),"-")</f>
        <v>-</v>
      </c>
      <c r="H914" s="17" t="str">
        <f>IFERROR(IF(INDEX(Movimientos!$M$2:$M$1994,MATCH(A914&amp;"ENTRADA",Movimientos!$R$2:$R$1994,0))=0,"S/D",INDEX(Movimientos!$M$2:$M$1994,MATCH(A914&amp;"ENTRADA",Movimientos!$R$2:$R$1994,0))),"S/D")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3190</v>
      </c>
      <c r="B915" s="2" t="str">
        <f>IFERROR(INDEX(Movimientos!$C$2:$C$1994,MATCH(A915&amp;"ENTRADA",Movimientos!$R$2:$R$1994,0)),"-")</f>
        <v>-</v>
      </c>
      <c r="C915" s="2" t="str">
        <f>IFERROR(INDEX(Movimientos!$D$2:$D$1994,MATCH(A915&amp;"ENTRADA",Movimientos!$R$2:$R$1994,0)),"-")</f>
        <v>-</v>
      </c>
      <c r="D915" s="2" t="str">
        <f>IFERROR(INDEX(Movimientos!$E$2:$E$1994,MATCH(A915&amp;"ENTRADA",Movimientos!$R$2:$R$1994,0)),"-")</f>
        <v>-</v>
      </c>
      <c r="E915" s="2" t="str">
        <f>IFERROR(INDEX(Movimientos!$F$2:$F$1994,MATCH(A915&amp;"ENTRADA",Movimientos!$R$2:$R$1994,0)),"-")</f>
        <v>-</v>
      </c>
      <c r="F915" s="2" t="str">
        <f>IFERROR(INDEX(Movimientos!$G$2:$G$1994,MATCH(A915&amp;"ENTRADA",Movimientos!$R$2:$R$1994,0)),"-")</f>
        <v>-</v>
      </c>
      <c r="G915" s="2" t="str">
        <f>IFERROR(INDEX(Movimientos!$L$2:$L$1994,MATCH(A915&amp;"ENTRADA",Movimientos!$R$2:$R$1994,0)),"-")</f>
        <v>-</v>
      </c>
      <c r="H915" s="17" t="str">
        <f>IFERROR(IF(INDEX(Movimientos!$M$2:$M$1994,MATCH(A915&amp;"ENTRADA",Movimientos!$R$2:$R$1994,0))=0,"S/D",INDEX(Movimientos!$M$2:$M$1994,MATCH(A915&amp;"ENTRADA",Movimientos!$R$2:$R$1994,0))),"S/D")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3191</v>
      </c>
      <c r="B916" s="2" t="str">
        <f>IFERROR(INDEX(Movimientos!$C$2:$C$1994,MATCH(A916&amp;"ENTRADA",Movimientos!$R$2:$R$1994,0)),"-")</f>
        <v>-</v>
      </c>
      <c r="C916" s="2" t="str">
        <f>IFERROR(INDEX(Movimientos!$D$2:$D$1994,MATCH(A916&amp;"ENTRADA",Movimientos!$R$2:$R$1994,0)),"-")</f>
        <v>-</v>
      </c>
      <c r="D916" s="2" t="str">
        <f>IFERROR(INDEX(Movimientos!$E$2:$E$1994,MATCH(A916&amp;"ENTRADA",Movimientos!$R$2:$R$1994,0)),"-")</f>
        <v>-</v>
      </c>
      <c r="E916" s="2" t="str">
        <f>IFERROR(INDEX(Movimientos!$F$2:$F$1994,MATCH(A916&amp;"ENTRADA",Movimientos!$R$2:$R$1994,0)),"-")</f>
        <v>-</v>
      </c>
      <c r="F916" s="2" t="str">
        <f>IFERROR(INDEX(Movimientos!$G$2:$G$1994,MATCH(A916&amp;"ENTRADA",Movimientos!$R$2:$R$1994,0)),"-")</f>
        <v>-</v>
      </c>
      <c r="G916" s="2" t="str">
        <f>IFERROR(INDEX(Movimientos!$L$2:$L$1994,MATCH(A916&amp;"ENTRADA",Movimientos!$R$2:$R$1994,0)),"-")</f>
        <v>-</v>
      </c>
      <c r="H916" s="17" t="str">
        <f>IFERROR(IF(INDEX(Movimientos!$M$2:$M$1994,MATCH(A916&amp;"ENTRADA",Movimientos!$R$2:$R$1994,0))=0,"S/D",INDEX(Movimientos!$M$2:$M$1994,MATCH(A916&amp;"ENTRADA",Movimientos!$R$2:$R$1994,0))),"S/D")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3192</v>
      </c>
      <c r="B917" s="2" t="str">
        <f>IFERROR(INDEX(Movimientos!$C$2:$C$1994,MATCH(A917&amp;"ENTRADA",Movimientos!$R$2:$R$1994,0)),"-")</f>
        <v>-</v>
      </c>
      <c r="C917" s="2" t="str">
        <f>IFERROR(INDEX(Movimientos!$D$2:$D$1994,MATCH(A917&amp;"ENTRADA",Movimientos!$R$2:$R$1994,0)),"-")</f>
        <v>-</v>
      </c>
      <c r="D917" s="2" t="str">
        <f>IFERROR(INDEX(Movimientos!$E$2:$E$1994,MATCH(A917&amp;"ENTRADA",Movimientos!$R$2:$R$1994,0)),"-")</f>
        <v>-</v>
      </c>
      <c r="E917" s="2" t="str">
        <f>IFERROR(INDEX(Movimientos!$F$2:$F$1994,MATCH(A917&amp;"ENTRADA",Movimientos!$R$2:$R$1994,0)),"-")</f>
        <v>-</v>
      </c>
      <c r="F917" s="2" t="str">
        <f>IFERROR(INDEX(Movimientos!$G$2:$G$1994,MATCH(A917&amp;"ENTRADA",Movimientos!$R$2:$R$1994,0)),"-")</f>
        <v>-</v>
      </c>
      <c r="G917" s="2" t="str">
        <f>IFERROR(INDEX(Movimientos!$L$2:$L$1994,MATCH(A917&amp;"ENTRADA",Movimientos!$R$2:$R$1994,0)),"-")</f>
        <v>-</v>
      </c>
      <c r="H917" s="17" t="str">
        <f>IFERROR(IF(INDEX(Movimientos!$M$2:$M$1994,MATCH(A917&amp;"ENTRADA",Movimientos!$R$2:$R$1994,0))=0,"S/D",INDEX(Movimientos!$M$2:$M$1994,MATCH(A917&amp;"ENTRADA",Movimientos!$R$2:$R$1994,0))),"S/D")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3193</v>
      </c>
      <c r="B918" s="2" t="str">
        <f>IFERROR(INDEX(Movimientos!$C$2:$C$1994,MATCH(A918&amp;"ENTRADA",Movimientos!$R$2:$R$1994,0)),"-")</f>
        <v>-</v>
      </c>
      <c r="C918" s="2" t="str">
        <f>IFERROR(INDEX(Movimientos!$D$2:$D$1994,MATCH(A918&amp;"ENTRADA",Movimientos!$R$2:$R$1994,0)),"-")</f>
        <v>-</v>
      </c>
      <c r="D918" s="2" t="str">
        <f>IFERROR(INDEX(Movimientos!$E$2:$E$1994,MATCH(A918&amp;"ENTRADA",Movimientos!$R$2:$R$1994,0)),"-")</f>
        <v>-</v>
      </c>
      <c r="E918" s="2" t="str">
        <f>IFERROR(INDEX(Movimientos!$F$2:$F$1994,MATCH(A918&amp;"ENTRADA",Movimientos!$R$2:$R$1994,0)),"-")</f>
        <v>-</v>
      </c>
      <c r="F918" s="2" t="str">
        <f>IFERROR(INDEX(Movimientos!$G$2:$G$1994,MATCH(A918&amp;"ENTRADA",Movimientos!$R$2:$R$1994,0)),"-")</f>
        <v>-</v>
      </c>
      <c r="G918" s="2" t="str">
        <f>IFERROR(INDEX(Movimientos!$L$2:$L$1994,MATCH(A918&amp;"ENTRADA",Movimientos!$R$2:$R$1994,0)),"-")</f>
        <v>-</v>
      </c>
      <c r="H918" s="17" t="str">
        <f>IFERROR(IF(INDEX(Movimientos!$M$2:$M$1994,MATCH(A918&amp;"ENTRADA",Movimientos!$R$2:$R$1994,0))=0,"S/D",INDEX(Movimientos!$M$2:$M$1994,MATCH(A918&amp;"ENTRADA",Movimientos!$R$2:$R$1994,0))),"S/D")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3194</v>
      </c>
      <c r="B919" s="2" t="str">
        <f>IFERROR(INDEX(Movimientos!$C$2:$C$1994,MATCH(A919&amp;"ENTRADA",Movimientos!$R$2:$R$1994,0)),"-")</f>
        <v>-</v>
      </c>
      <c r="C919" s="2" t="str">
        <f>IFERROR(INDEX(Movimientos!$D$2:$D$1994,MATCH(A919&amp;"ENTRADA",Movimientos!$R$2:$R$1994,0)),"-")</f>
        <v>-</v>
      </c>
      <c r="D919" s="2" t="str">
        <f>IFERROR(INDEX(Movimientos!$E$2:$E$1994,MATCH(A919&amp;"ENTRADA",Movimientos!$R$2:$R$1994,0)),"-")</f>
        <v>-</v>
      </c>
      <c r="E919" s="2" t="str">
        <f>IFERROR(INDEX(Movimientos!$F$2:$F$1994,MATCH(A919&amp;"ENTRADA",Movimientos!$R$2:$R$1994,0)),"-")</f>
        <v>-</v>
      </c>
      <c r="F919" s="2" t="str">
        <f>IFERROR(INDEX(Movimientos!$G$2:$G$1994,MATCH(A919&amp;"ENTRADA",Movimientos!$R$2:$R$1994,0)),"-")</f>
        <v>-</v>
      </c>
      <c r="G919" s="2" t="str">
        <f>IFERROR(INDEX(Movimientos!$L$2:$L$1994,MATCH(A919&amp;"ENTRADA",Movimientos!$R$2:$R$1994,0)),"-")</f>
        <v>-</v>
      </c>
      <c r="H919" s="17" t="str">
        <f>IFERROR(IF(INDEX(Movimientos!$M$2:$M$1994,MATCH(A919&amp;"ENTRADA",Movimientos!$R$2:$R$1994,0))=0,"S/D",INDEX(Movimientos!$M$2:$M$1994,MATCH(A919&amp;"ENTRADA",Movimientos!$R$2:$R$1994,0))),"S/D")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3195</v>
      </c>
      <c r="B920" s="2" t="str">
        <f>IFERROR(INDEX(Movimientos!$C$2:$C$1994,MATCH(A920&amp;"ENTRADA",Movimientos!$R$2:$R$1994,0)),"-")</f>
        <v>-</v>
      </c>
      <c r="C920" s="2" t="str">
        <f>IFERROR(INDEX(Movimientos!$D$2:$D$1994,MATCH(A920&amp;"ENTRADA",Movimientos!$R$2:$R$1994,0)),"-")</f>
        <v>-</v>
      </c>
      <c r="D920" s="2" t="str">
        <f>IFERROR(INDEX(Movimientos!$E$2:$E$1994,MATCH(A920&amp;"ENTRADA",Movimientos!$R$2:$R$1994,0)),"-")</f>
        <v>-</v>
      </c>
      <c r="E920" s="2" t="str">
        <f>IFERROR(INDEX(Movimientos!$F$2:$F$1994,MATCH(A920&amp;"ENTRADA",Movimientos!$R$2:$R$1994,0)),"-")</f>
        <v>-</v>
      </c>
      <c r="F920" s="2" t="str">
        <f>IFERROR(INDEX(Movimientos!$G$2:$G$1994,MATCH(A920&amp;"ENTRADA",Movimientos!$R$2:$R$1994,0)),"-")</f>
        <v>-</v>
      </c>
      <c r="G920" s="2" t="str">
        <f>IFERROR(INDEX(Movimientos!$L$2:$L$1994,MATCH(A920&amp;"ENTRADA",Movimientos!$R$2:$R$1994,0)),"-")</f>
        <v>-</v>
      </c>
      <c r="H920" s="17" t="str">
        <f>IFERROR(IF(INDEX(Movimientos!$M$2:$M$1994,MATCH(A920&amp;"ENTRADA",Movimientos!$R$2:$R$1994,0))=0,"S/D",INDEX(Movimientos!$M$2:$M$1994,MATCH(A920&amp;"ENTRADA",Movimientos!$R$2:$R$1994,0))),"S/D")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3196</v>
      </c>
      <c r="B921" s="2" t="str">
        <f>IFERROR(INDEX(Movimientos!$C$2:$C$1994,MATCH(A921&amp;"ENTRADA",Movimientos!$R$2:$R$1994,0)),"-")</f>
        <v>-</v>
      </c>
      <c r="C921" s="2" t="str">
        <f>IFERROR(INDEX(Movimientos!$D$2:$D$1994,MATCH(A921&amp;"ENTRADA",Movimientos!$R$2:$R$1994,0)),"-")</f>
        <v>-</v>
      </c>
      <c r="D921" s="2" t="str">
        <f>IFERROR(INDEX(Movimientos!$E$2:$E$1994,MATCH(A921&amp;"ENTRADA",Movimientos!$R$2:$R$1994,0)),"-")</f>
        <v>-</v>
      </c>
      <c r="E921" s="2" t="str">
        <f>IFERROR(INDEX(Movimientos!$F$2:$F$1994,MATCH(A921&amp;"ENTRADA",Movimientos!$R$2:$R$1994,0)),"-")</f>
        <v>-</v>
      </c>
      <c r="F921" s="2" t="str">
        <f>IFERROR(INDEX(Movimientos!$G$2:$G$1994,MATCH(A921&amp;"ENTRADA",Movimientos!$R$2:$R$1994,0)),"-")</f>
        <v>-</v>
      </c>
      <c r="G921" s="2" t="str">
        <f>IFERROR(INDEX(Movimientos!$L$2:$L$1994,MATCH(A921&amp;"ENTRADA",Movimientos!$R$2:$R$1994,0)),"-")</f>
        <v>-</v>
      </c>
      <c r="H921" s="17" t="str">
        <f>IFERROR(IF(INDEX(Movimientos!$M$2:$M$1994,MATCH(A921&amp;"ENTRADA",Movimientos!$R$2:$R$1994,0))=0,"S/D",INDEX(Movimientos!$M$2:$M$1994,MATCH(A921&amp;"ENTRADA",Movimientos!$R$2:$R$1994,0))),"S/D")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3197</v>
      </c>
      <c r="B922" s="2" t="str">
        <f>IFERROR(INDEX(Movimientos!$C$2:$C$1994,MATCH(A922&amp;"ENTRADA",Movimientos!$R$2:$R$1994,0)),"-")</f>
        <v>-</v>
      </c>
      <c r="C922" s="2" t="str">
        <f>IFERROR(INDEX(Movimientos!$D$2:$D$1994,MATCH(A922&amp;"ENTRADA",Movimientos!$R$2:$R$1994,0)),"-")</f>
        <v>-</v>
      </c>
      <c r="D922" s="2" t="str">
        <f>IFERROR(INDEX(Movimientos!$E$2:$E$1994,MATCH(A922&amp;"ENTRADA",Movimientos!$R$2:$R$1994,0)),"-")</f>
        <v>-</v>
      </c>
      <c r="E922" s="2" t="str">
        <f>IFERROR(INDEX(Movimientos!$F$2:$F$1994,MATCH(A922&amp;"ENTRADA",Movimientos!$R$2:$R$1994,0)),"-")</f>
        <v>-</v>
      </c>
      <c r="F922" s="2" t="str">
        <f>IFERROR(INDEX(Movimientos!$G$2:$G$1994,MATCH(A922&amp;"ENTRADA",Movimientos!$R$2:$R$1994,0)),"-")</f>
        <v>-</v>
      </c>
      <c r="G922" s="2" t="str">
        <f>IFERROR(INDEX(Movimientos!$L$2:$L$1994,MATCH(A922&amp;"ENTRADA",Movimientos!$R$2:$R$1994,0)),"-")</f>
        <v>-</v>
      </c>
      <c r="H922" s="17" t="str">
        <f>IFERROR(IF(INDEX(Movimientos!$M$2:$M$1994,MATCH(A922&amp;"ENTRADA",Movimientos!$R$2:$R$1994,0))=0,"S/D",INDEX(Movimientos!$M$2:$M$1994,MATCH(A922&amp;"ENTRADA",Movimientos!$R$2:$R$1994,0))),"S/D")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3198</v>
      </c>
      <c r="B923" s="2" t="str">
        <f>IFERROR(INDEX(Movimientos!$C$2:$C$1994,MATCH(A923&amp;"ENTRADA",Movimientos!$R$2:$R$1994,0)),"-")</f>
        <v>-</v>
      </c>
      <c r="C923" s="2" t="str">
        <f>IFERROR(INDEX(Movimientos!$D$2:$D$1994,MATCH(A923&amp;"ENTRADA",Movimientos!$R$2:$R$1994,0)),"-")</f>
        <v>-</v>
      </c>
      <c r="D923" s="2" t="str">
        <f>IFERROR(INDEX(Movimientos!$E$2:$E$1994,MATCH(A923&amp;"ENTRADA",Movimientos!$R$2:$R$1994,0)),"-")</f>
        <v>-</v>
      </c>
      <c r="E923" s="2" t="str">
        <f>IFERROR(INDEX(Movimientos!$F$2:$F$1994,MATCH(A923&amp;"ENTRADA",Movimientos!$R$2:$R$1994,0)),"-")</f>
        <v>-</v>
      </c>
      <c r="F923" s="2" t="str">
        <f>IFERROR(INDEX(Movimientos!$G$2:$G$1994,MATCH(A923&amp;"ENTRADA",Movimientos!$R$2:$R$1994,0)),"-")</f>
        <v>-</v>
      </c>
      <c r="G923" s="2" t="str">
        <f>IFERROR(INDEX(Movimientos!$L$2:$L$1994,MATCH(A923&amp;"ENTRADA",Movimientos!$R$2:$R$1994,0)),"-")</f>
        <v>-</v>
      </c>
      <c r="H923" s="17" t="str">
        <f>IFERROR(IF(INDEX(Movimientos!$M$2:$M$1994,MATCH(A923&amp;"ENTRADA",Movimientos!$R$2:$R$1994,0))=0,"S/D",INDEX(Movimientos!$M$2:$M$1994,MATCH(A923&amp;"ENTRADA",Movimientos!$R$2:$R$1994,0))),"S/D")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3199</v>
      </c>
      <c r="B924" s="2" t="str">
        <f>IFERROR(INDEX(Movimientos!$C$2:$C$1994,MATCH(A924&amp;"ENTRADA",Movimientos!$R$2:$R$1994,0)),"-")</f>
        <v>-</v>
      </c>
      <c r="C924" s="2" t="str">
        <f>IFERROR(INDEX(Movimientos!$D$2:$D$1994,MATCH(A924&amp;"ENTRADA",Movimientos!$R$2:$R$1994,0)),"-")</f>
        <v>-</v>
      </c>
      <c r="D924" s="2" t="str">
        <f>IFERROR(INDEX(Movimientos!$E$2:$E$1994,MATCH(A924&amp;"ENTRADA",Movimientos!$R$2:$R$1994,0)),"-")</f>
        <v>-</v>
      </c>
      <c r="E924" s="2" t="str">
        <f>IFERROR(INDEX(Movimientos!$F$2:$F$1994,MATCH(A924&amp;"ENTRADA",Movimientos!$R$2:$R$1994,0)),"-")</f>
        <v>-</v>
      </c>
      <c r="F924" s="2" t="str">
        <f>IFERROR(INDEX(Movimientos!$G$2:$G$1994,MATCH(A924&amp;"ENTRADA",Movimientos!$R$2:$R$1994,0)),"-")</f>
        <v>-</v>
      </c>
      <c r="G924" s="2" t="str">
        <f>IFERROR(INDEX(Movimientos!$L$2:$L$1994,MATCH(A924&amp;"ENTRADA",Movimientos!$R$2:$R$1994,0)),"-")</f>
        <v>-</v>
      </c>
      <c r="H924" s="17" t="str">
        <f>IFERROR(IF(INDEX(Movimientos!$M$2:$M$1994,MATCH(A924&amp;"ENTRADA",Movimientos!$R$2:$R$1994,0))=0,"S/D",INDEX(Movimientos!$M$2:$M$1994,MATCH(A924&amp;"ENTRADA",Movimientos!$R$2:$R$1994,0))),"S/D")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3200</v>
      </c>
      <c r="B925" s="2" t="str">
        <f>IFERROR(INDEX(Movimientos!$C$2:$C$1994,MATCH(A925&amp;"ENTRADA",Movimientos!$R$2:$R$1994,0)),"-")</f>
        <v>-</v>
      </c>
      <c r="C925" s="2" t="str">
        <f>IFERROR(INDEX(Movimientos!$D$2:$D$1994,MATCH(A925&amp;"ENTRADA",Movimientos!$R$2:$R$1994,0)),"-")</f>
        <v>-</v>
      </c>
      <c r="D925" s="2" t="str">
        <f>IFERROR(INDEX(Movimientos!$E$2:$E$1994,MATCH(A925&amp;"ENTRADA",Movimientos!$R$2:$R$1994,0)),"-")</f>
        <v>-</v>
      </c>
      <c r="E925" s="2" t="str">
        <f>IFERROR(INDEX(Movimientos!$F$2:$F$1994,MATCH(A925&amp;"ENTRADA",Movimientos!$R$2:$R$1994,0)),"-")</f>
        <v>-</v>
      </c>
      <c r="F925" s="2" t="str">
        <f>IFERROR(INDEX(Movimientos!$G$2:$G$1994,MATCH(A925&amp;"ENTRADA",Movimientos!$R$2:$R$1994,0)),"-")</f>
        <v>-</v>
      </c>
      <c r="G925" s="2" t="str">
        <f>IFERROR(INDEX(Movimientos!$L$2:$L$1994,MATCH(A925&amp;"ENTRADA",Movimientos!$R$2:$R$1994,0)),"-")</f>
        <v>-</v>
      </c>
      <c r="H925" s="17" t="str">
        <f>IFERROR(IF(INDEX(Movimientos!$M$2:$M$1994,MATCH(A925&amp;"ENTRADA",Movimientos!$R$2:$R$1994,0))=0,"S/D",INDEX(Movimientos!$M$2:$M$1994,MATCH(A925&amp;"ENTRADA",Movimientos!$R$2:$R$1994,0))),"S/D")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3201</v>
      </c>
      <c r="B926" s="2" t="str">
        <f>IFERROR(INDEX(Movimientos!$C$2:$C$1994,MATCH(A926&amp;"ENTRADA",Movimientos!$R$2:$R$1994,0)),"-")</f>
        <v>-</v>
      </c>
      <c r="C926" s="2" t="str">
        <f>IFERROR(INDEX(Movimientos!$D$2:$D$1994,MATCH(A926&amp;"ENTRADA",Movimientos!$R$2:$R$1994,0)),"-")</f>
        <v>-</v>
      </c>
      <c r="D926" s="2" t="str">
        <f>IFERROR(INDEX(Movimientos!$E$2:$E$1994,MATCH(A926&amp;"ENTRADA",Movimientos!$R$2:$R$1994,0)),"-")</f>
        <v>-</v>
      </c>
      <c r="E926" s="2" t="str">
        <f>IFERROR(INDEX(Movimientos!$F$2:$F$1994,MATCH(A926&amp;"ENTRADA",Movimientos!$R$2:$R$1994,0)),"-")</f>
        <v>-</v>
      </c>
      <c r="F926" s="2" t="str">
        <f>IFERROR(INDEX(Movimientos!$G$2:$G$1994,MATCH(A926&amp;"ENTRADA",Movimientos!$R$2:$R$1994,0)),"-")</f>
        <v>-</v>
      </c>
      <c r="G926" s="2" t="str">
        <f>IFERROR(INDEX(Movimientos!$L$2:$L$1994,MATCH(A926&amp;"ENTRADA",Movimientos!$R$2:$R$1994,0)),"-")</f>
        <v>-</v>
      </c>
      <c r="H926" s="17" t="str">
        <f>IFERROR(IF(INDEX(Movimientos!$M$2:$M$1994,MATCH(A926&amp;"ENTRADA",Movimientos!$R$2:$R$1994,0))=0,"S/D",INDEX(Movimientos!$M$2:$M$1994,MATCH(A926&amp;"ENTRADA",Movimientos!$R$2:$R$1994,0))),"S/D")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3202</v>
      </c>
      <c r="B927" s="2" t="str">
        <f>IFERROR(INDEX(Movimientos!$C$2:$C$1994,MATCH(A927&amp;"ENTRADA",Movimientos!$R$2:$R$1994,0)),"-")</f>
        <v>-</v>
      </c>
      <c r="C927" s="2" t="str">
        <f>IFERROR(INDEX(Movimientos!$D$2:$D$1994,MATCH(A927&amp;"ENTRADA",Movimientos!$R$2:$R$1994,0)),"-")</f>
        <v>-</v>
      </c>
      <c r="D927" s="2" t="str">
        <f>IFERROR(INDEX(Movimientos!$E$2:$E$1994,MATCH(A927&amp;"ENTRADA",Movimientos!$R$2:$R$1994,0)),"-")</f>
        <v>-</v>
      </c>
      <c r="E927" s="2" t="str">
        <f>IFERROR(INDEX(Movimientos!$F$2:$F$1994,MATCH(A927&amp;"ENTRADA",Movimientos!$R$2:$R$1994,0)),"-")</f>
        <v>-</v>
      </c>
      <c r="F927" s="2" t="str">
        <f>IFERROR(INDEX(Movimientos!$G$2:$G$1994,MATCH(A927&amp;"ENTRADA",Movimientos!$R$2:$R$1994,0)),"-")</f>
        <v>-</v>
      </c>
      <c r="G927" s="2" t="str">
        <f>IFERROR(INDEX(Movimientos!$L$2:$L$1994,MATCH(A927&amp;"ENTRADA",Movimientos!$R$2:$R$1994,0)),"-")</f>
        <v>-</v>
      </c>
      <c r="H927" s="17" t="str">
        <f>IFERROR(IF(INDEX(Movimientos!$M$2:$M$1994,MATCH(A927&amp;"ENTRADA",Movimientos!$R$2:$R$1994,0))=0,"S/D",INDEX(Movimientos!$M$2:$M$1994,MATCH(A927&amp;"ENTRADA",Movimientos!$R$2:$R$1994,0))),"S/D")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3203</v>
      </c>
      <c r="B928" s="2" t="str">
        <f>IFERROR(INDEX(Movimientos!$C$2:$C$1994,MATCH(A928&amp;"ENTRADA",Movimientos!$R$2:$R$1994,0)),"-")</f>
        <v>-</v>
      </c>
      <c r="C928" s="2" t="str">
        <f>IFERROR(INDEX(Movimientos!$D$2:$D$1994,MATCH(A928&amp;"ENTRADA",Movimientos!$R$2:$R$1994,0)),"-")</f>
        <v>-</v>
      </c>
      <c r="D928" s="2" t="str">
        <f>IFERROR(INDEX(Movimientos!$E$2:$E$1994,MATCH(A928&amp;"ENTRADA",Movimientos!$R$2:$R$1994,0)),"-")</f>
        <v>-</v>
      </c>
      <c r="E928" s="2" t="str">
        <f>IFERROR(INDEX(Movimientos!$F$2:$F$1994,MATCH(A928&amp;"ENTRADA",Movimientos!$R$2:$R$1994,0)),"-")</f>
        <v>-</v>
      </c>
      <c r="F928" s="2" t="str">
        <f>IFERROR(INDEX(Movimientos!$G$2:$G$1994,MATCH(A928&amp;"ENTRADA",Movimientos!$R$2:$R$1994,0)),"-")</f>
        <v>-</v>
      </c>
      <c r="G928" s="2" t="str">
        <f>IFERROR(INDEX(Movimientos!$L$2:$L$1994,MATCH(A928&amp;"ENTRADA",Movimientos!$R$2:$R$1994,0)),"-")</f>
        <v>-</v>
      </c>
      <c r="H928" s="17" t="str">
        <f>IFERROR(IF(INDEX(Movimientos!$M$2:$M$1994,MATCH(A928&amp;"ENTRADA",Movimientos!$R$2:$R$1994,0))=0,"S/D",INDEX(Movimientos!$M$2:$M$1994,MATCH(A928&amp;"ENTRADA",Movimientos!$R$2:$R$1994,0))),"S/D")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3204</v>
      </c>
      <c r="B929" s="2" t="str">
        <f>IFERROR(INDEX(Movimientos!$C$2:$C$1994,MATCH(A929&amp;"ENTRADA",Movimientos!$R$2:$R$1994,0)),"-")</f>
        <v>-</v>
      </c>
      <c r="C929" s="2" t="str">
        <f>IFERROR(INDEX(Movimientos!$D$2:$D$1994,MATCH(A929&amp;"ENTRADA",Movimientos!$R$2:$R$1994,0)),"-")</f>
        <v>-</v>
      </c>
      <c r="D929" s="2" t="str">
        <f>IFERROR(INDEX(Movimientos!$E$2:$E$1994,MATCH(A929&amp;"ENTRADA",Movimientos!$R$2:$R$1994,0)),"-")</f>
        <v>-</v>
      </c>
      <c r="E929" s="2" t="str">
        <f>IFERROR(INDEX(Movimientos!$F$2:$F$1994,MATCH(A929&amp;"ENTRADA",Movimientos!$R$2:$R$1994,0)),"-")</f>
        <v>-</v>
      </c>
      <c r="F929" s="2" t="str">
        <f>IFERROR(INDEX(Movimientos!$G$2:$G$1994,MATCH(A929&amp;"ENTRADA",Movimientos!$R$2:$R$1994,0)),"-")</f>
        <v>-</v>
      </c>
      <c r="G929" s="2" t="str">
        <f>IFERROR(INDEX(Movimientos!$L$2:$L$1994,MATCH(A929&amp;"ENTRADA",Movimientos!$R$2:$R$1994,0)),"-")</f>
        <v>-</v>
      </c>
      <c r="H929" s="17" t="str">
        <f>IFERROR(IF(INDEX(Movimientos!$M$2:$M$1994,MATCH(A929&amp;"ENTRADA",Movimientos!$R$2:$R$1994,0))=0,"S/D",INDEX(Movimientos!$M$2:$M$1994,MATCH(A929&amp;"ENTRADA",Movimientos!$R$2:$R$1994,0))),"S/D")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3205</v>
      </c>
      <c r="B930" s="2" t="str">
        <f>IFERROR(INDEX(Movimientos!$C$2:$C$1994,MATCH(A930&amp;"ENTRADA",Movimientos!$R$2:$R$1994,0)),"-")</f>
        <v>-</v>
      </c>
      <c r="C930" s="2" t="str">
        <f>IFERROR(INDEX(Movimientos!$D$2:$D$1994,MATCH(A930&amp;"ENTRADA",Movimientos!$R$2:$R$1994,0)),"-")</f>
        <v>-</v>
      </c>
      <c r="D930" s="2" t="str">
        <f>IFERROR(INDEX(Movimientos!$E$2:$E$1994,MATCH(A930&amp;"ENTRADA",Movimientos!$R$2:$R$1994,0)),"-")</f>
        <v>-</v>
      </c>
      <c r="E930" s="2" t="str">
        <f>IFERROR(INDEX(Movimientos!$F$2:$F$1994,MATCH(A930&amp;"ENTRADA",Movimientos!$R$2:$R$1994,0)),"-")</f>
        <v>-</v>
      </c>
      <c r="F930" s="2" t="str">
        <f>IFERROR(INDEX(Movimientos!$G$2:$G$1994,MATCH(A930&amp;"ENTRADA",Movimientos!$R$2:$R$1994,0)),"-")</f>
        <v>-</v>
      </c>
      <c r="G930" s="2" t="str">
        <f>IFERROR(INDEX(Movimientos!$L$2:$L$1994,MATCH(A930&amp;"ENTRADA",Movimientos!$R$2:$R$1994,0)),"-")</f>
        <v>-</v>
      </c>
      <c r="H930" s="17" t="str">
        <f>IFERROR(IF(INDEX(Movimientos!$M$2:$M$1994,MATCH(A930&amp;"ENTRADA",Movimientos!$R$2:$R$1994,0))=0,"S/D",INDEX(Movimientos!$M$2:$M$1994,MATCH(A930&amp;"ENTRADA",Movimientos!$R$2:$R$1994,0))),"S/D")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3206</v>
      </c>
      <c r="B931" s="2" t="str">
        <f>IFERROR(INDEX(Movimientos!$C$2:$C$1994,MATCH(A931&amp;"ENTRADA",Movimientos!$R$2:$R$1994,0)),"-")</f>
        <v>-</v>
      </c>
      <c r="C931" s="2" t="str">
        <f>IFERROR(INDEX(Movimientos!$D$2:$D$1994,MATCH(A931&amp;"ENTRADA",Movimientos!$R$2:$R$1994,0)),"-")</f>
        <v>-</v>
      </c>
      <c r="D931" s="2" t="str">
        <f>IFERROR(INDEX(Movimientos!$E$2:$E$1994,MATCH(A931&amp;"ENTRADA",Movimientos!$R$2:$R$1994,0)),"-")</f>
        <v>-</v>
      </c>
      <c r="E931" s="2" t="str">
        <f>IFERROR(INDEX(Movimientos!$F$2:$F$1994,MATCH(A931&amp;"ENTRADA",Movimientos!$R$2:$R$1994,0)),"-")</f>
        <v>-</v>
      </c>
      <c r="F931" s="2" t="str">
        <f>IFERROR(INDEX(Movimientos!$G$2:$G$1994,MATCH(A931&amp;"ENTRADA",Movimientos!$R$2:$R$1994,0)),"-")</f>
        <v>-</v>
      </c>
      <c r="G931" s="2" t="str">
        <f>IFERROR(INDEX(Movimientos!$L$2:$L$1994,MATCH(A931&amp;"ENTRADA",Movimientos!$R$2:$R$1994,0)),"-")</f>
        <v>-</v>
      </c>
      <c r="H931" s="17" t="str">
        <f>IFERROR(IF(INDEX(Movimientos!$M$2:$M$1994,MATCH(A931&amp;"ENTRADA",Movimientos!$R$2:$R$1994,0))=0,"S/D",INDEX(Movimientos!$M$2:$M$1994,MATCH(A931&amp;"ENTRADA",Movimientos!$R$2:$R$1994,0))),"S/D")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3207</v>
      </c>
      <c r="B932" s="2" t="str">
        <f>IFERROR(INDEX(Movimientos!$C$2:$C$1994,MATCH(A932&amp;"ENTRADA",Movimientos!$R$2:$R$1994,0)),"-")</f>
        <v>-</v>
      </c>
      <c r="C932" s="2" t="str">
        <f>IFERROR(INDEX(Movimientos!$D$2:$D$1994,MATCH(A932&amp;"ENTRADA",Movimientos!$R$2:$R$1994,0)),"-")</f>
        <v>-</v>
      </c>
      <c r="D932" s="2" t="str">
        <f>IFERROR(INDEX(Movimientos!$E$2:$E$1994,MATCH(A932&amp;"ENTRADA",Movimientos!$R$2:$R$1994,0)),"-")</f>
        <v>-</v>
      </c>
      <c r="E932" s="2" t="str">
        <f>IFERROR(INDEX(Movimientos!$F$2:$F$1994,MATCH(A932&amp;"ENTRADA",Movimientos!$R$2:$R$1994,0)),"-")</f>
        <v>-</v>
      </c>
      <c r="F932" s="2" t="str">
        <f>IFERROR(INDEX(Movimientos!$G$2:$G$1994,MATCH(A932&amp;"ENTRADA",Movimientos!$R$2:$R$1994,0)),"-")</f>
        <v>-</v>
      </c>
      <c r="G932" s="2" t="str">
        <f>IFERROR(INDEX(Movimientos!$L$2:$L$1994,MATCH(A932&amp;"ENTRADA",Movimientos!$R$2:$R$1994,0)),"-")</f>
        <v>-</v>
      </c>
      <c r="H932" s="17" t="str">
        <f>IFERROR(IF(INDEX(Movimientos!$M$2:$M$1994,MATCH(A932&amp;"ENTRADA",Movimientos!$R$2:$R$1994,0))=0,"S/D",INDEX(Movimientos!$M$2:$M$1994,MATCH(A932&amp;"ENTRADA",Movimientos!$R$2:$R$1994,0))),"S/D")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3208</v>
      </c>
      <c r="B933" s="2" t="str">
        <f>IFERROR(INDEX(Movimientos!$C$2:$C$1994,MATCH(A933&amp;"ENTRADA",Movimientos!$R$2:$R$1994,0)),"-")</f>
        <v>-</v>
      </c>
      <c r="C933" s="2" t="str">
        <f>IFERROR(INDEX(Movimientos!$D$2:$D$1994,MATCH(A933&amp;"ENTRADA",Movimientos!$R$2:$R$1994,0)),"-")</f>
        <v>-</v>
      </c>
      <c r="D933" s="2" t="str">
        <f>IFERROR(INDEX(Movimientos!$E$2:$E$1994,MATCH(A933&amp;"ENTRADA",Movimientos!$R$2:$R$1994,0)),"-")</f>
        <v>-</v>
      </c>
      <c r="E933" s="2" t="str">
        <f>IFERROR(INDEX(Movimientos!$F$2:$F$1994,MATCH(A933&amp;"ENTRADA",Movimientos!$R$2:$R$1994,0)),"-")</f>
        <v>-</v>
      </c>
      <c r="F933" s="2" t="str">
        <f>IFERROR(INDEX(Movimientos!$G$2:$G$1994,MATCH(A933&amp;"ENTRADA",Movimientos!$R$2:$R$1994,0)),"-")</f>
        <v>-</v>
      </c>
      <c r="G933" s="2" t="str">
        <f>IFERROR(INDEX(Movimientos!$L$2:$L$1994,MATCH(A933&amp;"ENTRADA",Movimientos!$R$2:$R$1994,0)),"-")</f>
        <v>-</v>
      </c>
      <c r="H933" s="17" t="str">
        <f>IFERROR(IF(INDEX(Movimientos!$M$2:$M$1994,MATCH(A933&amp;"ENTRADA",Movimientos!$R$2:$R$1994,0))=0,"S/D",INDEX(Movimientos!$M$2:$M$1994,MATCH(A933&amp;"ENTRADA",Movimientos!$R$2:$R$1994,0))),"S/D")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3209</v>
      </c>
      <c r="B934" s="2" t="str">
        <f>IFERROR(INDEX(Movimientos!$C$2:$C$1994,MATCH(A934&amp;"ENTRADA",Movimientos!$R$2:$R$1994,0)),"-")</f>
        <v>-</v>
      </c>
      <c r="C934" s="2" t="str">
        <f>IFERROR(INDEX(Movimientos!$D$2:$D$1994,MATCH(A934&amp;"ENTRADA",Movimientos!$R$2:$R$1994,0)),"-")</f>
        <v>-</v>
      </c>
      <c r="D934" s="2" t="str">
        <f>IFERROR(INDEX(Movimientos!$E$2:$E$1994,MATCH(A934&amp;"ENTRADA",Movimientos!$R$2:$R$1994,0)),"-")</f>
        <v>-</v>
      </c>
      <c r="E934" s="2" t="str">
        <f>IFERROR(INDEX(Movimientos!$F$2:$F$1994,MATCH(A934&amp;"ENTRADA",Movimientos!$R$2:$R$1994,0)),"-")</f>
        <v>-</v>
      </c>
      <c r="F934" s="2" t="str">
        <f>IFERROR(INDEX(Movimientos!$G$2:$G$1994,MATCH(A934&amp;"ENTRADA",Movimientos!$R$2:$R$1994,0)),"-")</f>
        <v>-</v>
      </c>
      <c r="G934" s="2" t="str">
        <f>IFERROR(INDEX(Movimientos!$L$2:$L$1994,MATCH(A934&amp;"ENTRADA",Movimientos!$R$2:$R$1994,0)),"-")</f>
        <v>-</v>
      </c>
      <c r="H934" s="17" t="str">
        <f>IFERROR(IF(INDEX(Movimientos!$M$2:$M$1994,MATCH(A934&amp;"ENTRADA",Movimientos!$R$2:$R$1994,0))=0,"S/D",INDEX(Movimientos!$M$2:$M$1994,MATCH(A934&amp;"ENTRADA",Movimientos!$R$2:$R$1994,0))),"S/D")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3210</v>
      </c>
      <c r="B935" s="2" t="str">
        <f>IFERROR(INDEX(Movimientos!$C$2:$C$1994,MATCH(A935&amp;"ENTRADA",Movimientos!$R$2:$R$1994,0)),"-")</f>
        <v>-</v>
      </c>
      <c r="C935" s="2" t="str">
        <f>IFERROR(INDEX(Movimientos!$D$2:$D$1994,MATCH(A935&amp;"ENTRADA",Movimientos!$R$2:$R$1994,0)),"-")</f>
        <v>-</v>
      </c>
      <c r="D935" s="2" t="str">
        <f>IFERROR(INDEX(Movimientos!$E$2:$E$1994,MATCH(A935&amp;"ENTRADA",Movimientos!$R$2:$R$1994,0)),"-")</f>
        <v>-</v>
      </c>
      <c r="E935" s="2" t="str">
        <f>IFERROR(INDEX(Movimientos!$F$2:$F$1994,MATCH(A935&amp;"ENTRADA",Movimientos!$R$2:$R$1994,0)),"-")</f>
        <v>-</v>
      </c>
      <c r="F935" s="2" t="str">
        <f>IFERROR(INDEX(Movimientos!$G$2:$G$1994,MATCH(A935&amp;"ENTRADA",Movimientos!$R$2:$R$1994,0)),"-")</f>
        <v>-</v>
      </c>
      <c r="G935" s="2" t="str">
        <f>IFERROR(INDEX(Movimientos!$L$2:$L$1994,MATCH(A935&amp;"ENTRADA",Movimientos!$R$2:$R$1994,0)),"-")</f>
        <v>-</v>
      </c>
      <c r="H935" s="17" t="str">
        <f>IFERROR(IF(INDEX(Movimientos!$M$2:$M$1994,MATCH(A935&amp;"ENTRADA",Movimientos!$R$2:$R$1994,0))=0,"S/D",INDEX(Movimientos!$M$2:$M$1994,MATCH(A935&amp;"ENTRADA",Movimientos!$R$2:$R$1994,0))),"S/D")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3211</v>
      </c>
      <c r="B936" s="2" t="str">
        <f>IFERROR(INDEX(Movimientos!$C$2:$C$1994,MATCH(A936&amp;"ENTRADA",Movimientos!$R$2:$R$1994,0)),"-")</f>
        <v>-</v>
      </c>
      <c r="C936" s="2" t="str">
        <f>IFERROR(INDEX(Movimientos!$D$2:$D$1994,MATCH(A936&amp;"ENTRADA",Movimientos!$R$2:$R$1994,0)),"-")</f>
        <v>-</v>
      </c>
      <c r="D936" s="2" t="str">
        <f>IFERROR(INDEX(Movimientos!$E$2:$E$1994,MATCH(A936&amp;"ENTRADA",Movimientos!$R$2:$R$1994,0)),"-")</f>
        <v>-</v>
      </c>
      <c r="E936" s="2" t="str">
        <f>IFERROR(INDEX(Movimientos!$F$2:$F$1994,MATCH(A936&amp;"ENTRADA",Movimientos!$R$2:$R$1994,0)),"-")</f>
        <v>-</v>
      </c>
      <c r="F936" s="2" t="str">
        <f>IFERROR(INDEX(Movimientos!$G$2:$G$1994,MATCH(A936&amp;"ENTRADA",Movimientos!$R$2:$R$1994,0)),"-")</f>
        <v>-</v>
      </c>
      <c r="G936" s="2" t="str">
        <f>IFERROR(INDEX(Movimientos!$L$2:$L$1994,MATCH(A936&amp;"ENTRADA",Movimientos!$R$2:$R$1994,0)),"-")</f>
        <v>-</v>
      </c>
      <c r="H936" s="17" t="str">
        <f>IFERROR(IF(INDEX(Movimientos!$M$2:$M$1994,MATCH(A936&amp;"ENTRADA",Movimientos!$R$2:$R$1994,0))=0,"S/D",INDEX(Movimientos!$M$2:$M$1994,MATCH(A936&amp;"ENTRADA",Movimientos!$R$2:$R$1994,0))),"S/D")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3212</v>
      </c>
      <c r="B937" s="2" t="str">
        <f>IFERROR(INDEX(Movimientos!$C$2:$C$1994,MATCH(A937&amp;"ENTRADA",Movimientos!$R$2:$R$1994,0)),"-")</f>
        <v>-</v>
      </c>
      <c r="C937" s="2" t="str">
        <f>IFERROR(INDEX(Movimientos!$D$2:$D$1994,MATCH(A937&amp;"ENTRADA",Movimientos!$R$2:$R$1994,0)),"-")</f>
        <v>-</v>
      </c>
      <c r="D937" s="2" t="str">
        <f>IFERROR(INDEX(Movimientos!$E$2:$E$1994,MATCH(A937&amp;"ENTRADA",Movimientos!$R$2:$R$1994,0)),"-")</f>
        <v>-</v>
      </c>
      <c r="E937" s="2" t="str">
        <f>IFERROR(INDEX(Movimientos!$F$2:$F$1994,MATCH(A937&amp;"ENTRADA",Movimientos!$R$2:$R$1994,0)),"-")</f>
        <v>-</v>
      </c>
      <c r="F937" s="2" t="str">
        <f>IFERROR(INDEX(Movimientos!$G$2:$G$1994,MATCH(A937&amp;"ENTRADA",Movimientos!$R$2:$R$1994,0)),"-")</f>
        <v>-</v>
      </c>
      <c r="G937" s="2" t="str">
        <f>IFERROR(INDEX(Movimientos!$L$2:$L$1994,MATCH(A937&amp;"ENTRADA",Movimientos!$R$2:$R$1994,0)),"-")</f>
        <v>-</v>
      </c>
      <c r="H937" s="17" t="str">
        <f>IFERROR(IF(INDEX(Movimientos!$M$2:$M$1994,MATCH(A937&amp;"ENTRADA",Movimientos!$R$2:$R$1994,0))=0,"S/D",INDEX(Movimientos!$M$2:$M$1994,MATCH(A937&amp;"ENTRADA",Movimientos!$R$2:$R$1994,0))),"S/D")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3213</v>
      </c>
      <c r="B938" s="2" t="str">
        <f>IFERROR(INDEX(Movimientos!$C$2:$C$1994,MATCH(A938&amp;"ENTRADA",Movimientos!$R$2:$R$1994,0)),"-")</f>
        <v>-</v>
      </c>
      <c r="C938" s="2" t="str">
        <f>IFERROR(INDEX(Movimientos!$D$2:$D$1994,MATCH(A938&amp;"ENTRADA",Movimientos!$R$2:$R$1994,0)),"-")</f>
        <v>-</v>
      </c>
      <c r="D938" s="2" t="str">
        <f>IFERROR(INDEX(Movimientos!$E$2:$E$1994,MATCH(A938&amp;"ENTRADA",Movimientos!$R$2:$R$1994,0)),"-")</f>
        <v>-</v>
      </c>
      <c r="E938" s="2" t="str">
        <f>IFERROR(INDEX(Movimientos!$F$2:$F$1994,MATCH(A938&amp;"ENTRADA",Movimientos!$R$2:$R$1994,0)),"-")</f>
        <v>-</v>
      </c>
      <c r="F938" s="2" t="str">
        <f>IFERROR(INDEX(Movimientos!$G$2:$G$1994,MATCH(A938&amp;"ENTRADA",Movimientos!$R$2:$R$1994,0)),"-")</f>
        <v>-</v>
      </c>
      <c r="G938" s="2" t="str">
        <f>IFERROR(INDEX(Movimientos!$L$2:$L$1994,MATCH(A938&amp;"ENTRADA",Movimientos!$R$2:$R$1994,0)),"-")</f>
        <v>-</v>
      </c>
      <c r="H938" s="17" t="str">
        <f>IFERROR(IF(INDEX(Movimientos!$M$2:$M$1994,MATCH(A938&amp;"ENTRADA",Movimientos!$R$2:$R$1994,0))=0,"S/D",INDEX(Movimientos!$M$2:$M$1994,MATCH(A938&amp;"ENTRADA",Movimientos!$R$2:$R$1994,0))),"S/D")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3214</v>
      </c>
      <c r="B939" s="2" t="str">
        <f>IFERROR(INDEX(Movimientos!$C$2:$C$1994,MATCH(A939&amp;"ENTRADA",Movimientos!$R$2:$R$1994,0)),"-")</f>
        <v>-</v>
      </c>
      <c r="C939" s="2" t="str">
        <f>IFERROR(INDEX(Movimientos!$D$2:$D$1994,MATCH(A939&amp;"ENTRADA",Movimientos!$R$2:$R$1994,0)),"-")</f>
        <v>-</v>
      </c>
      <c r="D939" s="2" t="str">
        <f>IFERROR(INDEX(Movimientos!$E$2:$E$1994,MATCH(A939&amp;"ENTRADA",Movimientos!$R$2:$R$1994,0)),"-")</f>
        <v>-</v>
      </c>
      <c r="E939" s="2" t="str">
        <f>IFERROR(INDEX(Movimientos!$F$2:$F$1994,MATCH(A939&amp;"ENTRADA",Movimientos!$R$2:$R$1994,0)),"-")</f>
        <v>-</v>
      </c>
      <c r="F939" s="2" t="str">
        <f>IFERROR(INDEX(Movimientos!$G$2:$G$1994,MATCH(A939&amp;"ENTRADA",Movimientos!$R$2:$R$1994,0)),"-")</f>
        <v>-</v>
      </c>
      <c r="G939" s="2" t="str">
        <f>IFERROR(INDEX(Movimientos!$L$2:$L$1994,MATCH(A939&amp;"ENTRADA",Movimientos!$R$2:$R$1994,0)),"-")</f>
        <v>-</v>
      </c>
      <c r="H939" s="17" t="str">
        <f>IFERROR(IF(INDEX(Movimientos!$M$2:$M$1994,MATCH(A939&amp;"ENTRADA",Movimientos!$R$2:$R$1994,0))=0,"S/D",INDEX(Movimientos!$M$2:$M$1994,MATCH(A939&amp;"ENTRADA",Movimientos!$R$2:$R$1994,0))),"S/D")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3215</v>
      </c>
      <c r="B940" s="2" t="str">
        <f>IFERROR(INDEX(Movimientos!$C$2:$C$1994,MATCH(A940&amp;"ENTRADA",Movimientos!$R$2:$R$1994,0)),"-")</f>
        <v>-</v>
      </c>
      <c r="C940" s="2" t="str">
        <f>IFERROR(INDEX(Movimientos!$D$2:$D$1994,MATCH(A940&amp;"ENTRADA",Movimientos!$R$2:$R$1994,0)),"-")</f>
        <v>-</v>
      </c>
      <c r="D940" s="2" t="str">
        <f>IFERROR(INDEX(Movimientos!$E$2:$E$1994,MATCH(A940&amp;"ENTRADA",Movimientos!$R$2:$R$1994,0)),"-")</f>
        <v>-</v>
      </c>
      <c r="E940" s="2" t="str">
        <f>IFERROR(INDEX(Movimientos!$F$2:$F$1994,MATCH(A940&amp;"ENTRADA",Movimientos!$R$2:$R$1994,0)),"-")</f>
        <v>-</v>
      </c>
      <c r="F940" s="2" t="str">
        <f>IFERROR(INDEX(Movimientos!$G$2:$G$1994,MATCH(A940&amp;"ENTRADA",Movimientos!$R$2:$R$1994,0)),"-")</f>
        <v>-</v>
      </c>
      <c r="G940" s="2" t="str">
        <f>IFERROR(INDEX(Movimientos!$L$2:$L$1994,MATCH(A940&amp;"ENTRADA",Movimientos!$R$2:$R$1994,0)),"-")</f>
        <v>-</v>
      </c>
      <c r="H940" s="17" t="str">
        <f>IFERROR(IF(INDEX(Movimientos!$M$2:$M$1994,MATCH(A940&amp;"ENTRADA",Movimientos!$R$2:$R$1994,0))=0,"S/D",INDEX(Movimientos!$M$2:$M$1994,MATCH(A940&amp;"ENTRADA",Movimientos!$R$2:$R$1994,0))),"S/D")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3216</v>
      </c>
      <c r="B941" s="2" t="str">
        <f>IFERROR(INDEX(Movimientos!$C$2:$C$1994,MATCH(A941&amp;"ENTRADA",Movimientos!$R$2:$R$1994,0)),"-")</f>
        <v>-</v>
      </c>
      <c r="C941" s="2" t="str">
        <f>IFERROR(INDEX(Movimientos!$D$2:$D$1994,MATCH(A941&amp;"ENTRADA",Movimientos!$R$2:$R$1994,0)),"-")</f>
        <v>-</v>
      </c>
      <c r="D941" s="2" t="str">
        <f>IFERROR(INDEX(Movimientos!$E$2:$E$1994,MATCH(A941&amp;"ENTRADA",Movimientos!$R$2:$R$1994,0)),"-")</f>
        <v>-</v>
      </c>
      <c r="E941" s="2" t="str">
        <f>IFERROR(INDEX(Movimientos!$F$2:$F$1994,MATCH(A941&amp;"ENTRADA",Movimientos!$R$2:$R$1994,0)),"-")</f>
        <v>-</v>
      </c>
      <c r="F941" s="2" t="str">
        <f>IFERROR(INDEX(Movimientos!$G$2:$G$1994,MATCH(A941&amp;"ENTRADA",Movimientos!$R$2:$R$1994,0)),"-")</f>
        <v>-</v>
      </c>
      <c r="G941" s="2" t="str">
        <f>IFERROR(INDEX(Movimientos!$L$2:$L$1994,MATCH(A941&amp;"ENTRADA",Movimientos!$R$2:$R$1994,0)),"-")</f>
        <v>-</v>
      </c>
      <c r="H941" s="17" t="str">
        <f>IFERROR(IF(INDEX(Movimientos!$M$2:$M$1994,MATCH(A941&amp;"ENTRADA",Movimientos!$R$2:$R$1994,0))=0,"S/D",INDEX(Movimientos!$M$2:$M$1994,MATCH(A941&amp;"ENTRADA",Movimientos!$R$2:$R$1994,0))),"S/D")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3217</v>
      </c>
      <c r="B942" s="2" t="str">
        <f>IFERROR(INDEX(Movimientos!$C$2:$C$1994,MATCH(A942&amp;"ENTRADA",Movimientos!$R$2:$R$1994,0)),"-")</f>
        <v>-</v>
      </c>
      <c r="C942" s="2" t="str">
        <f>IFERROR(INDEX(Movimientos!$D$2:$D$1994,MATCH(A942&amp;"ENTRADA",Movimientos!$R$2:$R$1994,0)),"-")</f>
        <v>-</v>
      </c>
      <c r="D942" s="2" t="str">
        <f>IFERROR(INDEX(Movimientos!$E$2:$E$1994,MATCH(A942&amp;"ENTRADA",Movimientos!$R$2:$R$1994,0)),"-")</f>
        <v>-</v>
      </c>
      <c r="E942" s="2" t="str">
        <f>IFERROR(INDEX(Movimientos!$F$2:$F$1994,MATCH(A942&amp;"ENTRADA",Movimientos!$R$2:$R$1994,0)),"-")</f>
        <v>-</v>
      </c>
      <c r="F942" s="2" t="str">
        <f>IFERROR(INDEX(Movimientos!$G$2:$G$1994,MATCH(A942&amp;"ENTRADA",Movimientos!$R$2:$R$1994,0)),"-")</f>
        <v>-</v>
      </c>
      <c r="G942" s="2" t="str">
        <f>IFERROR(INDEX(Movimientos!$L$2:$L$1994,MATCH(A942&amp;"ENTRADA",Movimientos!$R$2:$R$1994,0)),"-")</f>
        <v>-</v>
      </c>
      <c r="H942" s="17" t="str">
        <f>IFERROR(IF(INDEX(Movimientos!$M$2:$M$1994,MATCH(A942&amp;"ENTRADA",Movimientos!$R$2:$R$1994,0))=0,"S/D",INDEX(Movimientos!$M$2:$M$1994,MATCH(A942&amp;"ENTRADA",Movimientos!$R$2:$R$1994,0))),"S/D")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3218</v>
      </c>
      <c r="B943" s="2" t="str">
        <f>IFERROR(INDEX(Movimientos!$C$2:$C$1994,MATCH(A943&amp;"ENTRADA",Movimientos!$R$2:$R$1994,0)),"-")</f>
        <v>-</v>
      </c>
      <c r="C943" s="2" t="str">
        <f>IFERROR(INDEX(Movimientos!$D$2:$D$1994,MATCH(A943&amp;"ENTRADA",Movimientos!$R$2:$R$1994,0)),"-")</f>
        <v>-</v>
      </c>
      <c r="D943" s="2" t="str">
        <f>IFERROR(INDEX(Movimientos!$E$2:$E$1994,MATCH(A943&amp;"ENTRADA",Movimientos!$R$2:$R$1994,0)),"-")</f>
        <v>-</v>
      </c>
      <c r="E943" s="2" t="str">
        <f>IFERROR(INDEX(Movimientos!$F$2:$F$1994,MATCH(A943&amp;"ENTRADA",Movimientos!$R$2:$R$1994,0)),"-")</f>
        <v>-</v>
      </c>
      <c r="F943" s="2" t="str">
        <f>IFERROR(INDEX(Movimientos!$G$2:$G$1994,MATCH(A943&amp;"ENTRADA",Movimientos!$R$2:$R$1994,0)),"-")</f>
        <v>-</v>
      </c>
      <c r="G943" s="2" t="str">
        <f>IFERROR(INDEX(Movimientos!$L$2:$L$1994,MATCH(A943&amp;"ENTRADA",Movimientos!$R$2:$R$1994,0)),"-")</f>
        <v>-</v>
      </c>
      <c r="H943" s="17" t="str">
        <f>IFERROR(IF(INDEX(Movimientos!$M$2:$M$1994,MATCH(A943&amp;"ENTRADA",Movimientos!$R$2:$R$1994,0))=0,"S/D",INDEX(Movimientos!$M$2:$M$1994,MATCH(A943&amp;"ENTRADA",Movimientos!$R$2:$R$1994,0))),"S/D")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3219</v>
      </c>
      <c r="B944" s="2" t="str">
        <f>IFERROR(INDEX(Movimientos!$C$2:$C$1994,MATCH(A944&amp;"ENTRADA",Movimientos!$R$2:$R$1994,0)),"-")</f>
        <v>-</v>
      </c>
      <c r="C944" s="2" t="str">
        <f>IFERROR(INDEX(Movimientos!$D$2:$D$1994,MATCH(A944&amp;"ENTRADA",Movimientos!$R$2:$R$1994,0)),"-")</f>
        <v>-</v>
      </c>
      <c r="D944" s="2" t="str">
        <f>IFERROR(INDEX(Movimientos!$E$2:$E$1994,MATCH(A944&amp;"ENTRADA",Movimientos!$R$2:$R$1994,0)),"-")</f>
        <v>-</v>
      </c>
      <c r="E944" s="2" t="str">
        <f>IFERROR(INDEX(Movimientos!$F$2:$F$1994,MATCH(A944&amp;"ENTRADA",Movimientos!$R$2:$R$1994,0)),"-")</f>
        <v>-</v>
      </c>
      <c r="F944" s="2" t="str">
        <f>IFERROR(INDEX(Movimientos!$G$2:$G$1994,MATCH(A944&amp;"ENTRADA",Movimientos!$R$2:$R$1994,0)),"-")</f>
        <v>-</v>
      </c>
      <c r="G944" s="2" t="str">
        <f>IFERROR(INDEX(Movimientos!$L$2:$L$1994,MATCH(A944&amp;"ENTRADA",Movimientos!$R$2:$R$1994,0)),"-")</f>
        <v>-</v>
      </c>
      <c r="H944" s="17" t="str">
        <f>IFERROR(IF(INDEX(Movimientos!$M$2:$M$1994,MATCH(A944&amp;"ENTRADA",Movimientos!$R$2:$R$1994,0))=0,"S/D",INDEX(Movimientos!$M$2:$M$1994,MATCH(A944&amp;"ENTRADA",Movimientos!$R$2:$R$1994,0))),"S/D")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3220</v>
      </c>
      <c r="B945" s="2" t="str">
        <f>IFERROR(INDEX(Movimientos!$C$2:$C$1994,MATCH(A945&amp;"ENTRADA",Movimientos!$R$2:$R$1994,0)),"-")</f>
        <v>-</v>
      </c>
      <c r="C945" s="2" t="str">
        <f>IFERROR(INDEX(Movimientos!$D$2:$D$1994,MATCH(A945&amp;"ENTRADA",Movimientos!$R$2:$R$1994,0)),"-")</f>
        <v>-</v>
      </c>
      <c r="D945" s="2" t="str">
        <f>IFERROR(INDEX(Movimientos!$E$2:$E$1994,MATCH(A945&amp;"ENTRADA",Movimientos!$R$2:$R$1994,0)),"-")</f>
        <v>-</v>
      </c>
      <c r="E945" s="2" t="str">
        <f>IFERROR(INDEX(Movimientos!$F$2:$F$1994,MATCH(A945&amp;"ENTRADA",Movimientos!$R$2:$R$1994,0)),"-")</f>
        <v>-</v>
      </c>
      <c r="F945" s="2" t="str">
        <f>IFERROR(INDEX(Movimientos!$G$2:$G$1994,MATCH(A945&amp;"ENTRADA",Movimientos!$R$2:$R$1994,0)),"-")</f>
        <v>-</v>
      </c>
      <c r="G945" s="2" t="str">
        <f>IFERROR(INDEX(Movimientos!$L$2:$L$1994,MATCH(A945&amp;"ENTRADA",Movimientos!$R$2:$R$1994,0)),"-")</f>
        <v>-</v>
      </c>
      <c r="H945" s="17" t="str">
        <f>IFERROR(IF(INDEX(Movimientos!$M$2:$M$1994,MATCH(A945&amp;"ENTRADA",Movimientos!$R$2:$R$1994,0))=0,"S/D",INDEX(Movimientos!$M$2:$M$1994,MATCH(A945&amp;"ENTRADA",Movimientos!$R$2:$R$1994,0))),"S/D")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3221</v>
      </c>
      <c r="B946" s="2" t="str">
        <f>IFERROR(INDEX(Movimientos!$C$2:$C$1994,MATCH(A946&amp;"ENTRADA",Movimientos!$R$2:$R$1994,0)),"-")</f>
        <v>-</v>
      </c>
      <c r="C946" s="2" t="str">
        <f>IFERROR(INDEX(Movimientos!$D$2:$D$1994,MATCH(A946&amp;"ENTRADA",Movimientos!$R$2:$R$1994,0)),"-")</f>
        <v>-</v>
      </c>
      <c r="D946" s="2" t="str">
        <f>IFERROR(INDEX(Movimientos!$E$2:$E$1994,MATCH(A946&amp;"ENTRADA",Movimientos!$R$2:$R$1994,0)),"-")</f>
        <v>-</v>
      </c>
      <c r="E946" s="2" t="str">
        <f>IFERROR(INDEX(Movimientos!$F$2:$F$1994,MATCH(A946&amp;"ENTRADA",Movimientos!$R$2:$R$1994,0)),"-")</f>
        <v>-</v>
      </c>
      <c r="F946" s="2" t="str">
        <f>IFERROR(INDEX(Movimientos!$G$2:$G$1994,MATCH(A946&amp;"ENTRADA",Movimientos!$R$2:$R$1994,0)),"-")</f>
        <v>-</v>
      </c>
      <c r="G946" s="2" t="str">
        <f>IFERROR(INDEX(Movimientos!$L$2:$L$1994,MATCH(A946&amp;"ENTRADA",Movimientos!$R$2:$R$1994,0)),"-")</f>
        <v>-</v>
      </c>
      <c r="H946" s="17" t="str">
        <f>IFERROR(IF(INDEX(Movimientos!$M$2:$M$1994,MATCH(A946&amp;"ENTRADA",Movimientos!$R$2:$R$1994,0))=0,"S/D",INDEX(Movimientos!$M$2:$M$1994,MATCH(A946&amp;"ENTRADA",Movimientos!$R$2:$R$1994,0))),"S/D")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3222</v>
      </c>
      <c r="B947" s="2" t="str">
        <f>IFERROR(INDEX(Movimientos!$C$2:$C$1994,MATCH(A947&amp;"ENTRADA",Movimientos!$R$2:$R$1994,0)),"-")</f>
        <v>-</v>
      </c>
      <c r="C947" s="2" t="str">
        <f>IFERROR(INDEX(Movimientos!$D$2:$D$1994,MATCH(A947&amp;"ENTRADA",Movimientos!$R$2:$R$1994,0)),"-")</f>
        <v>-</v>
      </c>
      <c r="D947" s="2" t="str">
        <f>IFERROR(INDEX(Movimientos!$E$2:$E$1994,MATCH(A947&amp;"ENTRADA",Movimientos!$R$2:$R$1994,0)),"-")</f>
        <v>-</v>
      </c>
      <c r="E947" s="2" t="str">
        <f>IFERROR(INDEX(Movimientos!$F$2:$F$1994,MATCH(A947&amp;"ENTRADA",Movimientos!$R$2:$R$1994,0)),"-")</f>
        <v>-</v>
      </c>
      <c r="F947" s="2" t="str">
        <f>IFERROR(INDEX(Movimientos!$G$2:$G$1994,MATCH(A947&amp;"ENTRADA",Movimientos!$R$2:$R$1994,0)),"-")</f>
        <v>-</v>
      </c>
      <c r="G947" s="2" t="str">
        <f>IFERROR(INDEX(Movimientos!$L$2:$L$1994,MATCH(A947&amp;"ENTRADA",Movimientos!$R$2:$R$1994,0)),"-")</f>
        <v>-</v>
      </c>
      <c r="H947" s="17" t="str">
        <f>IFERROR(IF(INDEX(Movimientos!$M$2:$M$1994,MATCH(A947&amp;"ENTRADA",Movimientos!$R$2:$R$1994,0))=0,"S/D",INDEX(Movimientos!$M$2:$M$1994,MATCH(A947&amp;"ENTRADA",Movimientos!$R$2:$R$1994,0))),"S/D")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3223</v>
      </c>
      <c r="B948" s="2" t="str">
        <f>IFERROR(INDEX(Movimientos!$C$2:$C$1994,MATCH(A948&amp;"ENTRADA",Movimientos!$R$2:$R$1994,0)),"-")</f>
        <v>-</v>
      </c>
      <c r="C948" s="2" t="str">
        <f>IFERROR(INDEX(Movimientos!$D$2:$D$1994,MATCH(A948&amp;"ENTRADA",Movimientos!$R$2:$R$1994,0)),"-")</f>
        <v>-</v>
      </c>
      <c r="D948" s="2" t="str">
        <f>IFERROR(INDEX(Movimientos!$E$2:$E$1994,MATCH(A948&amp;"ENTRADA",Movimientos!$R$2:$R$1994,0)),"-")</f>
        <v>-</v>
      </c>
      <c r="E948" s="2" t="str">
        <f>IFERROR(INDEX(Movimientos!$F$2:$F$1994,MATCH(A948&amp;"ENTRADA",Movimientos!$R$2:$R$1994,0)),"-")</f>
        <v>-</v>
      </c>
      <c r="F948" s="2" t="str">
        <f>IFERROR(INDEX(Movimientos!$G$2:$G$1994,MATCH(A948&amp;"ENTRADA",Movimientos!$R$2:$R$1994,0)),"-")</f>
        <v>-</v>
      </c>
      <c r="G948" s="2" t="str">
        <f>IFERROR(INDEX(Movimientos!$L$2:$L$1994,MATCH(A948&amp;"ENTRADA",Movimientos!$R$2:$R$1994,0)),"-")</f>
        <v>-</v>
      </c>
      <c r="H948" s="17" t="str">
        <f>IFERROR(IF(INDEX(Movimientos!$M$2:$M$1994,MATCH(A948&amp;"ENTRADA",Movimientos!$R$2:$R$1994,0))=0,"S/D",INDEX(Movimientos!$M$2:$M$1994,MATCH(A948&amp;"ENTRADA",Movimientos!$R$2:$R$1994,0))),"S/D")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3224</v>
      </c>
      <c r="B949" s="2" t="str">
        <f>IFERROR(INDEX(Movimientos!$C$2:$C$1994,MATCH(A949&amp;"ENTRADA",Movimientos!$R$2:$R$1994,0)),"-")</f>
        <v>-</v>
      </c>
      <c r="C949" s="2" t="str">
        <f>IFERROR(INDEX(Movimientos!$D$2:$D$1994,MATCH(A949&amp;"ENTRADA",Movimientos!$R$2:$R$1994,0)),"-")</f>
        <v>-</v>
      </c>
      <c r="D949" s="2" t="str">
        <f>IFERROR(INDEX(Movimientos!$E$2:$E$1994,MATCH(A949&amp;"ENTRADA",Movimientos!$R$2:$R$1994,0)),"-")</f>
        <v>-</v>
      </c>
      <c r="E949" s="2" t="str">
        <f>IFERROR(INDEX(Movimientos!$F$2:$F$1994,MATCH(A949&amp;"ENTRADA",Movimientos!$R$2:$R$1994,0)),"-")</f>
        <v>-</v>
      </c>
      <c r="F949" s="2" t="str">
        <f>IFERROR(INDEX(Movimientos!$G$2:$G$1994,MATCH(A949&amp;"ENTRADA",Movimientos!$R$2:$R$1994,0)),"-")</f>
        <v>-</v>
      </c>
      <c r="G949" s="2" t="str">
        <f>IFERROR(INDEX(Movimientos!$L$2:$L$1994,MATCH(A949&amp;"ENTRADA",Movimientos!$R$2:$R$1994,0)),"-")</f>
        <v>-</v>
      </c>
      <c r="H949" s="17" t="str">
        <f>IFERROR(IF(INDEX(Movimientos!$M$2:$M$1994,MATCH(A949&amp;"ENTRADA",Movimientos!$R$2:$R$1994,0))=0,"S/D",INDEX(Movimientos!$M$2:$M$1994,MATCH(A949&amp;"ENTRADA",Movimientos!$R$2:$R$1994,0))),"S/D")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3225</v>
      </c>
      <c r="B950" s="2" t="str">
        <f>IFERROR(INDEX(Movimientos!$C$2:$C$1994,MATCH(A950&amp;"ENTRADA",Movimientos!$R$2:$R$1994,0)),"-")</f>
        <v>-</v>
      </c>
      <c r="C950" s="2" t="str">
        <f>IFERROR(INDEX(Movimientos!$D$2:$D$1994,MATCH(A950&amp;"ENTRADA",Movimientos!$R$2:$R$1994,0)),"-")</f>
        <v>-</v>
      </c>
      <c r="D950" s="2" t="str">
        <f>IFERROR(INDEX(Movimientos!$E$2:$E$1994,MATCH(A950&amp;"ENTRADA",Movimientos!$R$2:$R$1994,0)),"-")</f>
        <v>-</v>
      </c>
      <c r="E950" s="2" t="str">
        <f>IFERROR(INDEX(Movimientos!$F$2:$F$1994,MATCH(A950&amp;"ENTRADA",Movimientos!$R$2:$R$1994,0)),"-")</f>
        <v>-</v>
      </c>
      <c r="F950" s="2" t="str">
        <f>IFERROR(INDEX(Movimientos!$G$2:$G$1994,MATCH(A950&amp;"ENTRADA",Movimientos!$R$2:$R$1994,0)),"-")</f>
        <v>-</v>
      </c>
      <c r="G950" s="2" t="str">
        <f>IFERROR(INDEX(Movimientos!$L$2:$L$1994,MATCH(A950&amp;"ENTRADA",Movimientos!$R$2:$R$1994,0)),"-")</f>
        <v>-</v>
      </c>
      <c r="H950" s="17" t="str">
        <f>IFERROR(IF(INDEX(Movimientos!$M$2:$M$1994,MATCH(A950&amp;"ENTRADA",Movimientos!$R$2:$R$1994,0))=0,"S/D",INDEX(Movimientos!$M$2:$M$1994,MATCH(A950&amp;"ENTRADA",Movimientos!$R$2:$R$1994,0))),"S/D")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3226</v>
      </c>
      <c r="B951" s="2" t="str">
        <f>IFERROR(INDEX(Movimientos!$C$2:$C$1994,MATCH(A951&amp;"ENTRADA",Movimientos!$R$2:$R$1994,0)),"-")</f>
        <v>-</v>
      </c>
      <c r="C951" s="2" t="str">
        <f>IFERROR(INDEX(Movimientos!$D$2:$D$1994,MATCH(A951&amp;"ENTRADA",Movimientos!$R$2:$R$1994,0)),"-")</f>
        <v>-</v>
      </c>
      <c r="D951" s="2" t="str">
        <f>IFERROR(INDEX(Movimientos!$E$2:$E$1994,MATCH(A951&amp;"ENTRADA",Movimientos!$R$2:$R$1994,0)),"-")</f>
        <v>-</v>
      </c>
      <c r="E951" s="2" t="str">
        <f>IFERROR(INDEX(Movimientos!$F$2:$F$1994,MATCH(A951&amp;"ENTRADA",Movimientos!$R$2:$R$1994,0)),"-")</f>
        <v>-</v>
      </c>
      <c r="F951" s="2" t="str">
        <f>IFERROR(INDEX(Movimientos!$G$2:$G$1994,MATCH(A951&amp;"ENTRADA",Movimientos!$R$2:$R$1994,0)),"-")</f>
        <v>-</v>
      </c>
      <c r="G951" s="2" t="str">
        <f>IFERROR(INDEX(Movimientos!$L$2:$L$1994,MATCH(A951&amp;"ENTRADA",Movimientos!$R$2:$R$1994,0)),"-")</f>
        <v>-</v>
      </c>
      <c r="H951" s="17" t="str">
        <f>IFERROR(IF(INDEX(Movimientos!$M$2:$M$1994,MATCH(A951&amp;"ENTRADA",Movimientos!$R$2:$R$1994,0))=0,"S/D",INDEX(Movimientos!$M$2:$M$1994,MATCH(A951&amp;"ENTRADA",Movimientos!$R$2:$R$1994,0))),"S/D")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3227</v>
      </c>
      <c r="B952" s="2" t="str">
        <f>IFERROR(INDEX(Movimientos!$C$2:$C$1994,MATCH(A952&amp;"ENTRADA",Movimientos!$R$2:$R$1994,0)),"-")</f>
        <v>-</v>
      </c>
      <c r="C952" s="2" t="str">
        <f>IFERROR(INDEX(Movimientos!$D$2:$D$1994,MATCH(A952&amp;"ENTRADA",Movimientos!$R$2:$R$1994,0)),"-")</f>
        <v>-</v>
      </c>
      <c r="D952" s="2" t="str">
        <f>IFERROR(INDEX(Movimientos!$E$2:$E$1994,MATCH(A952&amp;"ENTRADA",Movimientos!$R$2:$R$1994,0)),"-")</f>
        <v>-</v>
      </c>
      <c r="E952" s="2" t="str">
        <f>IFERROR(INDEX(Movimientos!$F$2:$F$1994,MATCH(A952&amp;"ENTRADA",Movimientos!$R$2:$R$1994,0)),"-")</f>
        <v>-</v>
      </c>
      <c r="F952" s="2" t="str">
        <f>IFERROR(INDEX(Movimientos!$G$2:$G$1994,MATCH(A952&amp;"ENTRADA",Movimientos!$R$2:$R$1994,0)),"-")</f>
        <v>-</v>
      </c>
      <c r="G952" s="2" t="str">
        <f>IFERROR(INDEX(Movimientos!$L$2:$L$1994,MATCH(A952&amp;"ENTRADA",Movimientos!$R$2:$R$1994,0)),"-")</f>
        <v>-</v>
      </c>
      <c r="H952" s="17" t="str">
        <f>IFERROR(IF(INDEX(Movimientos!$M$2:$M$1994,MATCH(A952&amp;"ENTRADA",Movimientos!$R$2:$R$1994,0))=0,"S/D",INDEX(Movimientos!$M$2:$M$1994,MATCH(A952&amp;"ENTRADA",Movimientos!$R$2:$R$1994,0))),"S/D")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3228</v>
      </c>
      <c r="B953" s="2" t="str">
        <f>IFERROR(INDEX(Movimientos!$C$2:$C$1994,MATCH(A953&amp;"ENTRADA",Movimientos!$R$2:$R$1994,0)),"-")</f>
        <v>-</v>
      </c>
      <c r="C953" s="2" t="str">
        <f>IFERROR(INDEX(Movimientos!$D$2:$D$1994,MATCH(A953&amp;"ENTRADA",Movimientos!$R$2:$R$1994,0)),"-")</f>
        <v>-</v>
      </c>
      <c r="D953" s="2" t="str">
        <f>IFERROR(INDEX(Movimientos!$E$2:$E$1994,MATCH(A953&amp;"ENTRADA",Movimientos!$R$2:$R$1994,0)),"-")</f>
        <v>-</v>
      </c>
      <c r="E953" s="2" t="str">
        <f>IFERROR(INDEX(Movimientos!$F$2:$F$1994,MATCH(A953&amp;"ENTRADA",Movimientos!$R$2:$R$1994,0)),"-")</f>
        <v>-</v>
      </c>
      <c r="F953" s="2" t="str">
        <f>IFERROR(INDEX(Movimientos!$G$2:$G$1994,MATCH(A953&amp;"ENTRADA",Movimientos!$R$2:$R$1994,0)),"-")</f>
        <v>-</v>
      </c>
      <c r="G953" s="2" t="str">
        <f>IFERROR(INDEX(Movimientos!$L$2:$L$1994,MATCH(A953&amp;"ENTRADA",Movimientos!$R$2:$R$1994,0)),"-")</f>
        <v>-</v>
      </c>
      <c r="H953" s="17" t="str">
        <f>IFERROR(IF(INDEX(Movimientos!$M$2:$M$1994,MATCH(A953&amp;"ENTRADA",Movimientos!$R$2:$R$1994,0))=0,"S/D",INDEX(Movimientos!$M$2:$M$1994,MATCH(A953&amp;"ENTRADA",Movimientos!$R$2:$R$1994,0))),"S/D")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3229</v>
      </c>
      <c r="B954" s="2" t="str">
        <f>IFERROR(INDEX(Movimientos!$C$2:$C$1994,MATCH(A954&amp;"ENTRADA",Movimientos!$R$2:$R$1994,0)),"-")</f>
        <v>-</v>
      </c>
      <c r="C954" s="2" t="str">
        <f>IFERROR(INDEX(Movimientos!$D$2:$D$1994,MATCH(A954&amp;"ENTRADA",Movimientos!$R$2:$R$1994,0)),"-")</f>
        <v>-</v>
      </c>
      <c r="D954" s="2" t="str">
        <f>IFERROR(INDEX(Movimientos!$E$2:$E$1994,MATCH(A954&amp;"ENTRADA",Movimientos!$R$2:$R$1994,0)),"-")</f>
        <v>-</v>
      </c>
      <c r="E954" s="2" t="str">
        <f>IFERROR(INDEX(Movimientos!$F$2:$F$1994,MATCH(A954&amp;"ENTRADA",Movimientos!$R$2:$R$1994,0)),"-")</f>
        <v>-</v>
      </c>
      <c r="F954" s="2" t="str">
        <f>IFERROR(INDEX(Movimientos!$G$2:$G$1994,MATCH(A954&amp;"ENTRADA",Movimientos!$R$2:$R$1994,0)),"-")</f>
        <v>-</v>
      </c>
      <c r="G954" s="2" t="str">
        <f>IFERROR(INDEX(Movimientos!$L$2:$L$1994,MATCH(A954&amp;"ENTRADA",Movimientos!$R$2:$R$1994,0)),"-")</f>
        <v>-</v>
      </c>
      <c r="H954" s="17" t="str">
        <f>IFERROR(IF(INDEX(Movimientos!$M$2:$M$1994,MATCH(A954&amp;"ENTRADA",Movimientos!$R$2:$R$1994,0))=0,"S/D",INDEX(Movimientos!$M$2:$M$1994,MATCH(A954&amp;"ENTRADA",Movimientos!$R$2:$R$1994,0))),"S/D")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3230</v>
      </c>
      <c r="B955" s="2" t="str">
        <f>IFERROR(INDEX(Movimientos!$C$2:$C$1994,MATCH(A955&amp;"ENTRADA",Movimientos!$R$2:$R$1994,0)),"-")</f>
        <v>-</v>
      </c>
      <c r="C955" s="2" t="str">
        <f>IFERROR(INDEX(Movimientos!$D$2:$D$1994,MATCH(A955&amp;"ENTRADA",Movimientos!$R$2:$R$1994,0)),"-")</f>
        <v>-</v>
      </c>
      <c r="D955" s="2" t="str">
        <f>IFERROR(INDEX(Movimientos!$E$2:$E$1994,MATCH(A955&amp;"ENTRADA",Movimientos!$R$2:$R$1994,0)),"-")</f>
        <v>-</v>
      </c>
      <c r="E955" s="2" t="str">
        <f>IFERROR(INDEX(Movimientos!$F$2:$F$1994,MATCH(A955&amp;"ENTRADA",Movimientos!$R$2:$R$1994,0)),"-")</f>
        <v>-</v>
      </c>
      <c r="F955" s="2" t="str">
        <f>IFERROR(INDEX(Movimientos!$G$2:$G$1994,MATCH(A955&amp;"ENTRADA",Movimientos!$R$2:$R$1994,0)),"-")</f>
        <v>-</v>
      </c>
      <c r="G955" s="2" t="str">
        <f>IFERROR(INDEX(Movimientos!$L$2:$L$1994,MATCH(A955&amp;"ENTRADA",Movimientos!$R$2:$R$1994,0)),"-")</f>
        <v>-</v>
      </c>
      <c r="H955" s="17" t="str">
        <f>IFERROR(IF(INDEX(Movimientos!$M$2:$M$1994,MATCH(A955&amp;"ENTRADA",Movimientos!$R$2:$R$1994,0))=0,"S/D",INDEX(Movimientos!$M$2:$M$1994,MATCH(A955&amp;"ENTRADA",Movimientos!$R$2:$R$1994,0))),"S/D")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3231</v>
      </c>
      <c r="B956" s="2" t="str">
        <f>IFERROR(INDEX(Movimientos!$C$2:$C$1994,MATCH(A956&amp;"ENTRADA",Movimientos!$R$2:$R$1994,0)),"-")</f>
        <v>-</v>
      </c>
      <c r="C956" s="2" t="str">
        <f>IFERROR(INDEX(Movimientos!$D$2:$D$1994,MATCH(A956&amp;"ENTRADA",Movimientos!$R$2:$R$1994,0)),"-")</f>
        <v>-</v>
      </c>
      <c r="D956" s="2" t="str">
        <f>IFERROR(INDEX(Movimientos!$E$2:$E$1994,MATCH(A956&amp;"ENTRADA",Movimientos!$R$2:$R$1994,0)),"-")</f>
        <v>-</v>
      </c>
      <c r="E956" s="2" t="str">
        <f>IFERROR(INDEX(Movimientos!$F$2:$F$1994,MATCH(A956&amp;"ENTRADA",Movimientos!$R$2:$R$1994,0)),"-")</f>
        <v>-</v>
      </c>
      <c r="F956" s="2" t="str">
        <f>IFERROR(INDEX(Movimientos!$G$2:$G$1994,MATCH(A956&amp;"ENTRADA",Movimientos!$R$2:$R$1994,0)),"-")</f>
        <v>-</v>
      </c>
      <c r="G956" s="2" t="str">
        <f>IFERROR(INDEX(Movimientos!$L$2:$L$1994,MATCH(A956&amp;"ENTRADA",Movimientos!$R$2:$R$1994,0)),"-")</f>
        <v>-</v>
      </c>
      <c r="H956" s="17" t="str">
        <f>IFERROR(IF(INDEX(Movimientos!$M$2:$M$1994,MATCH(A956&amp;"ENTRADA",Movimientos!$R$2:$R$1994,0))=0,"S/D",INDEX(Movimientos!$M$2:$M$1994,MATCH(A956&amp;"ENTRADA",Movimientos!$R$2:$R$1994,0))),"S/D")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3232</v>
      </c>
      <c r="B957" s="2" t="str">
        <f>IFERROR(INDEX(Movimientos!$C$2:$C$1994,MATCH(A957&amp;"ENTRADA",Movimientos!$R$2:$R$1994,0)),"-")</f>
        <v>-</v>
      </c>
      <c r="C957" s="2" t="str">
        <f>IFERROR(INDEX(Movimientos!$D$2:$D$1994,MATCH(A957&amp;"ENTRADA",Movimientos!$R$2:$R$1994,0)),"-")</f>
        <v>-</v>
      </c>
      <c r="D957" s="2" t="str">
        <f>IFERROR(INDEX(Movimientos!$E$2:$E$1994,MATCH(A957&amp;"ENTRADA",Movimientos!$R$2:$R$1994,0)),"-")</f>
        <v>-</v>
      </c>
      <c r="E957" s="2" t="str">
        <f>IFERROR(INDEX(Movimientos!$F$2:$F$1994,MATCH(A957&amp;"ENTRADA",Movimientos!$R$2:$R$1994,0)),"-")</f>
        <v>-</v>
      </c>
      <c r="F957" s="2" t="str">
        <f>IFERROR(INDEX(Movimientos!$G$2:$G$1994,MATCH(A957&amp;"ENTRADA",Movimientos!$R$2:$R$1994,0)),"-")</f>
        <v>-</v>
      </c>
      <c r="G957" s="2" t="str">
        <f>IFERROR(INDEX(Movimientos!$L$2:$L$1994,MATCH(A957&amp;"ENTRADA",Movimientos!$R$2:$R$1994,0)),"-")</f>
        <v>-</v>
      </c>
      <c r="H957" s="17" t="str">
        <f>IFERROR(IF(INDEX(Movimientos!$M$2:$M$1994,MATCH(A957&amp;"ENTRADA",Movimientos!$R$2:$R$1994,0))=0,"S/D",INDEX(Movimientos!$M$2:$M$1994,MATCH(A957&amp;"ENTRADA",Movimientos!$R$2:$R$1994,0))),"S/D")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3233</v>
      </c>
      <c r="B958" s="2" t="str">
        <f>IFERROR(INDEX(Movimientos!$C$2:$C$1994,MATCH(A958&amp;"ENTRADA",Movimientos!$R$2:$R$1994,0)),"-")</f>
        <v>-</v>
      </c>
      <c r="C958" s="2" t="str">
        <f>IFERROR(INDEX(Movimientos!$D$2:$D$1994,MATCH(A958&amp;"ENTRADA",Movimientos!$R$2:$R$1994,0)),"-")</f>
        <v>-</v>
      </c>
      <c r="D958" s="2" t="str">
        <f>IFERROR(INDEX(Movimientos!$E$2:$E$1994,MATCH(A958&amp;"ENTRADA",Movimientos!$R$2:$R$1994,0)),"-")</f>
        <v>-</v>
      </c>
      <c r="E958" s="2" t="str">
        <f>IFERROR(INDEX(Movimientos!$F$2:$F$1994,MATCH(A958&amp;"ENTRADA",Movimientos!$R$2:$R$1994,0)),"-")</f>
        <v>-</v>
      </c>
      <c r="F958" s="2" t="str">
        <f>IFERROR(INDEX(Movimientos!$G$2:$G$1994,MATCH(A958&amp;"ENTRADA",Movimientos!$R$2:$R$1994,0)),"-")</f>
        <v>-</v>
      </c>
      <c r="G958" s="2" t="str">
        <f>IFERROR(INDEX(Movimientos!$L$2:$L$1994,MATCH(A958&amp;"ENTRADA",Movimientos!$R$2:$R$1994,0)),"-")</f>
        <v>-</v>
      </c>
      <c r="H958" s="17" t="str">
        <f>IFERROR(IF(INDEX(Movimientos!$M$2:$M$1994,MATCH(A958&amp;"ENTRADA",Movimientos!$R$2:$R$1994,0))=0,"S/D",INDEX(Movimientos!$M$2:$M$1994,MATCH(A958&amp;"ENTRADA",Movimientos!$R$2:$R$1994,0))),"S/D")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3234</v>
      </c>
      <c r="B959" s="2" t="str">
        <f>IFERROR(INDEX(Movimientos!$C$2:$C$1994,MATCH(A959&amp;"ENTRADA",Movimientos!$R$2:$R$1994,0)),"-")</f>
        <v>-</v>
      </c>
      <c r="C959" s="2" t="str">
        <f>IFERROR(INDEX(Movimientos!$D$2:$D$1994,MATCH(A959&amp;"ENTRADA",Movimientos!$R$2:$R$1994,0)),"-")</f>
        <v>-</v>
      </c>
      <c r="D959" s="2" t="str">
        <f>IFERROR(INDEX(Movimientos!$E$2:$E$1994,MATCH(A959&amp;"ENTRADA",Movimientos!$R$2:$R$1994,0)),"-")</f>
        <v>-</v>
      </c>
      <c r="E959" s="2" t="str">
        <f>IFERROR(INDEX(Movimientos!$F$2:$F$1994,MATCH(A959&amp;"ENTRADA",Movimientos!$R$2:$R$1994,0)),"-")</f>
        <v>-</v>
      </c>
      <c r="F959" s="2" t="str">
        <f>IFERROR(INDEX(Movimientos!$G$2:$G$1994,MATCH(A959&amp;"ENTRADA",Movimientos!$R$2:$R$1994,0)),"-")</f>
        <v>-</v>
      </c>
      <c r="G959" s="2" t="str">
        <f>IFERROR(INDEX(Movimientos!$L$2:$L$1994,MATCH(A959&amp;"ENTRADA",Movimientos!$R$2:$R$1994,0)),"-")</f>
        <v>-</v>
      </c>
      <c r="H959" s="17" t="str">
        <f>IFERROR(IF(INDEX(Movimientos!$M$2:$M$1994,MATCH(A959&amp;"ENTRADA",Movimientos!$R$2:$R$1994,0))=0,"S/D",INDEX(Movimientos!$M$2:$M$1994,MATCH(A959&amp;"ENTRADA",Movimientos!$R$2:$R$1994,0))),"S/D")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3235</v>
      </c>
      <c r="B960" s="2" t="str">
        <f>IFERROR(INDEX(Movimientos!$C$2:$C$1994,MATCH(A960&amp;"ENTRADA",Movimientos!$R$2:$R$1994,0)),"-")</f>
        <v>-</v>
      </c>
      <c r="C960" s="2" t="str">
        <f>IFERROR(INDEX(Movimientos!$D$2:$D$1994,MATCH(A960&amp;"ENTRADA",Movimientos!$R$2:$R$1994,0)),"-")</f>
        <v>-</v>
      </c>
      <c r="D960" s="2" t="str">
        <f>IFERROR(INDEX(Movimientos!$E$2:$E$1994,MATCH(A960&amp;"ENTRADA",Movimientos!$R$2:$R$1994,0)),"-")</f>
        <v>-</v>
      </c>
      <c r="E960" s="2" t="str">
        <f>IFERROR(INDEX(Movimientos!$F$2:$F$1994,MATCH(A960&amp;"ENTRADA",Movimientos!$R$2:$R$1994,0)),"-")</f>
        <v>-</v>
      </c>
      <c r="F960" s="2" t="str">
        <f>IFERROR(INDEX(Movimientos!$G$2:$G$1994,MATCH(A960&amp;"ENTRADA",Movimientos!$R$2:$R$1994,0)),"-")</f>
        <v>-</v>
      </c>
      <c r="G960" s="2" t="str">
        <f>IFERROR(INDEX(Movimientos!$L$2:$L$1994,MATCH(A960&amp;"ENTRADA",Movimientos!$R$2:$R$1994,0)),"-")</f>
        <v>-</v>
      </c>
      <c r="H960" s="17" t="str">
        <f>IFERROR(IF(INDEX(Movimientos!$M$2:$M$1994,MATCH(A960&amp;"ENTRADA",Movimientos!$R$2:$R$1994,0))=0,"S/D",INDEX(Movimientos!$M$2:$M$1994,MATCH(A960&amp;"ENTRADA",Movimientos!$R$2:$R$1994,0))),"S/D")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3236</v>
      </c>
      <c r="B961" s="2" t="str">
        <f>IFERROR(INDEX(Movimientos!$C$2:$C$1994,MATCH(A961&amp;"ENTRADA",Movimientos!$R$2:$R$1994,0)),"-")</f>
        <v>-</v>
      </c>
      <c r="C961" s="2" t="str">
        <f>IFERROR(INDEX(Movimientos!$D$2:$D$1994,MATCH(A961&amp;"ENTRADA",Movimientos!$R$2:$R$1994,0)),"-")</f>
        <v>-</v>
      </c>
      <c r="D961" s="2" t="str">
        <f>IFERROR(INDEX(Movimientos!$E$2:$E$1994,MATCH(A961&amp;"ENTRADA",Movimientos!$R$2:$R$1994,0)),"-")</f>
        <v>-</v>
      </c>
      <c r="E961" s="2" t="str">
        <f>IFERROR(INDEX(Movimientos!$F$2:$F$1994,MATCH(A961&amp;"ENTRADA",Movimientos!$R$2:$R$1994,0)),"-")</f>
        <v>-</v>
      </c>
      <c r="F961" s="2" t="str">
        <f>IFERROR(INDEX(Movimientos!$G$2:$G$1994,MATCH(A961&amp;"ENTRADA",Movimientos!$R$2:$R$1994,0)),"-")</f>
        <v>-</v>
      </c>
      <c r="G961" s="2" t="str">
        <f>IFERROR(INDEX(Movimientos!$L$2:$L$1994,MATCH(A961&amp;"ENTRADA",Movimientos!$R$2:$R$1994,0)),"-")</f>
        <v>-</v>
      </c>
      <c r="H961" s="17" t="str">
        <f>IFERROR(IF(INDEX(Movimientos!$M$2:$M$1994,MATCH(A961&amp;"ENTRADA",Movimientos!$R$2:$R$1994,0))=0,"S/D",INDEX(Movimientos!$M$2:$M$1994,MATCH(A961&amp;"ENTRADA",Movimientos!$R$2:$R$1994,0))),"S/D")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3237</v>
      </c>
      <c r="B962" s="2" t="str">
        <f>IFERROR(INDEX(Movimientos!$C$2:$C$1994,MATCH(A962&amp;"ENTRADA",Movimientos!$R$2:$R$1994,0)),"-")</f>
        <v>-</v>
      </c>
      <c r="C962" s="2" t="str">
        <f>IFERROR(INDEX(Movimientos!$D$2:$D$1994,MATCH(A962&amp;"ENTRADA",Movimientos!$R$2:$R$1994,0)),"-")</f>
        <v>-</v>
      </c>
      <c r="D962" s="2" t="str">
        <f>IFERROR(INDEX(Movimientos!$E$2:$E$1994,MATCH(A962&amp;"ENTRADA",Movimientos!$R$2:$R$1994,0)),"-")</f>
        <v>-</v>
      </c>
      <c r="E962" s="2" t="str">
        <f>IFERROR(INDEX(Movimientos!$F$2:$F$1994,MATCH(A962&amp;"ENTRADA",Movimientos!$R$2:$R$1994,0)),"-")</f>
        <v>-</v>
      </c>
      <c r="F962" s="2" t="str">
        <f>IFERROR(INDEX(Movimientos!$G$2:$G$1994,MATCH(A962&amp;"ENTRADA",Movimientos!$R$2:$R$1994,0)),"-")</f>
        <v>-</v>
      </c>
      <c r="G962" s="2" t="str">
        <f>IFERROR(INDEX(Movimientos!$L$2:$L$1994,MATCH(A962&amp;"ENTRADA",Movimientos!$R$2:$R$1994,0)),"-")</f>
        <v>-</v>
      </c>
      <c r="H962" s="17" t="str">
        <f>IFERROR(IF(INDEX(Movimientos!$M$2:$M$1994,MATCH(A962&amp;"ENTRADA",Movimientos!$R$2:$R$1994,0))=0,"S/D",INDEX(Movimientos!$M$2:$M$1994,MATCH(A962&amp;"ENTRADA",Movimientos!$R$2:$R$1994,0))),"S/D")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3238</v>
      </c>
      <c r="B963" s="2" t="str">
        <f>IFERROR(INDEX(Movimientos!$C$2:$C$1994,MATCH(A963&amp;"ENTRADA",Movimientos!$R$2:$R$1994,0)),"-")</f>
        <v>-</v>
      </c>
      <c r="C963" s="2" t="str">
        <f>IFERROR(INDEX(Movimientos!$D$2:$D$1994,MATCH(A963&amp;"ENTRADA",Movimientos!$R$2:$R$1994,0)),"-")</f>
        <v>-</v>
      </c>
      <c r="D963" s="2" t="str">
        <f>IFERROR(INDEX(Movimientos!$E$2:$E$1994,MATCH(A963&amp;"ENTRADA",Movimientos!$R$2:$R$1994,0)),"-")</f>
        <v>-</v>
      </c>
      <c r="E963" s="2" t="str">
        <f>IFERROR(INDEX(Movimientos!$F$2:$F$1994,MATCH(A963&amp;"ENTRADA",Movimientos!$R$2:$R$1994,0)),"-")</f>
        <v>-</v>
      </c>
      <c r="F963" s="2" t="str">
        <f>IFERROR(INDEX(Movimientos!$G$2:$G$1994,MATCH(A963&amp;"ENTRADA",Movimientos!$R$2:$R$1994,0)),"-")</f>
        <v>-</v>
      </c>
      <c r="G963" s="2" t="str">
        <f>IFERROR(INDEX(Movimientos!$L$2:$L$1994,MATCH(A963&amp;"ENTRADA",Movimientos!$R$2:$R$1994,0)),"-")</f>
        <v>-</v>
      </c>
      <c r="H963" s="17" t="str">
        <f>IFERROR(IF(INDEX(Movimientos!$M$2:$M$1994,MATCH(A963&amp;"ENTRADA",Movimientos!$R$2:$R$1994,0))=0,"S/D",INDEX(Movimientos!$M$2:$M$1994,MATCH(A963&amp;"ENTRADA",Movimientos!$R$2:$R$1994,0))),"S/D")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3239</v>
      </c>
      <c r="B964" s="2" t="str">
        <f>IFERROR(INDEX(Movimientos!$C$2:$C$1994,MATCH(A964&amp;"ENTRADA",Movimientos!$R$2:$R$1994,0)),"-")</f>
        <v>-</v>
      </c>
      <c r="C964" s="2" t="str">
        <f>IFERROR(INDEX(Movimientos!$D$2:$D$1994,MATCH(A964&amp;"ENTRADA",Movimientos!$R$2:$R$1994,0)),"-")</f>
        <v>-</v>
      </c>
      <c r="D964" s="2" t="str">
        <f>IFERROR(INDEX(Movimientos!$E$2:$E$1994,MATCH(A964&amp;"ENTRADA",Movimientos!$R$2:$R$1994,0)),"-")</f>
        <v>-</v>
      </c>
      <c r="E964" s="2" t="str">
        <f>IFERROR(INDEX(Movimientos!$F$2:$F$1994,MATCH(A964&amp;"ENTRADA",Movimientos!$R$2:$R$1994,0)),"-")</f>
        <v>-</v>
      </c>
      <c r="F964" s="2" t="str">
        <f>IFERROR(INDEX(Movimientos!$G$2:$G$1994,MATCH(A964&amp;"ENTRADA",Movimientos!$R$2:$R$1994,0)),"-")</f>
        <v>-</v>
      </c>
      <c r="G964" s="2" t="str">
        <f>IFERROR(INDEX(Movimientos!$L$2:$L$1994,MATCH(A964&amp;"ENTRADA",Movimientos!$R$2:$R$1994,0)),"-")</f>
        <v>-</v>
      </c>
      <c r="H964" s="17" t="str">
        <f>IFERROR(IF(INDEX(Movimientos!$M$2:$M$1994,MATCH(A964&amp;"ENTRADA",Movimientos!$R$2:$R$1994,0))=0,"S/D",INDEX(Movimientos!$M$2:$M$1994,MATCH(A964&amp;"ENTRADA",Movimientos!$R$2:$R$1994,0))),"S/D")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3240</v>
      </c>
      <c r="B965" s="2" t="str">
        <f>IFERROR(INDEX(Movimientos!$C$2:$C$1994,MATCH(A965&amp;"ENTRADA",Movimientos!$R$2:$R$1994,0)),"-")</f>
        <v>-</v>
      </c>
      <c r="C965" s="2" t="str">
        <f>IFERROR(INDEX(Movimientos!$D$2:$D$1994,MATCH(A965&amp;"ENTRADA",Movimientos!$R$2:$R$1994,0)),"-")</f>
        <v>-</v>
      </c>
      <c r="D965" s="2" t="str">
        <f>IFERROR(INDEX(Movimientos!$E$2:$E$1994,MATCH(A965&amp;"ENTRADA",Movimientos!$R$2:$R$1994,0)),"-")</f>
        <v>-</v>
      </c>
      <c r="E965" s="2" t="str">
        <f>IFERROR(INDEX(Movimientos!$F$2:$F$1994,MATCH(A965&amp;"ENTRADA",Movimientos!$R$2:$R$1994,0)),"-")</f>
        <v>-</v>
      </c>
      <c r="F965" s="2" t="str">
        <f>IFERROR(INDEX(Movimientos!$G$2:$G$1994,MATCH(A965&amp;"ENTRADA",Movimientos!$R$2:$R$1994,0)),"-")</f>
        <v>-</v>
      </c>
      <c r="G965" s="2" t="str">
        <f>IFERROR(INDEX(Movimientos!$L$2:$L$1994,MATCH(A965&amp;"ENTRADA",Movimientos!$R$2:$R$1994,0)),"-")</f>
        <v>-</v>
      </c>
      <c r="H965" s="17" t="str">
        <f>IFERROR(IF(INDEX(Movimientos!$M$2:$M$1994,MATCH(A965&amp;"ENTRADA",Movimientos!$R$2:$R$1994,0))=0,"S/D",INDEX(Movimientos!$M$2:$M$1994,MATCH(A965&amp;"ENTRADA",Movimientos!$R$2:$R$1994,0))),"S/D")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3241</v>
      </c>
      <c r="B966" s="2" t="str">
        <f>IFERROR(INDEX(Movimientos!$C$2:$C$1994,MATCH(A966&amp;"ENTRADA",Movimientos!$R$2:$R$1994,0)),"-")</f>
        <v>-</v>
      </c>
      <c r="C966" s="2" t="str">
        <f>IFERROR(INDEX(Movimientos!$D$2:$D$1994,MATCH(A966&amp;"ENTRADA",Movimientos!$R$2:$R$1994,0)),"-")</f>
        <v>-</v>
      </c>
      <c r="D966" s="2" t="str">
        <f>IFERROR(INDEX(Movimientos!$E$2:$E$1994,MATCH(A966&amp;"ENTRADA",Movimientos!$R$2:$R$1994,0)),"-")</f>
        <v>-</v>
      </c>
      <c r="E966" s="2" t="str">
        <f>IFERROR(INDEX(Movimientos!$F$2:$F$1994,MATCH(A966&amp;"ENTRADA",Movimientos!$R$2:$R$1994,0)),"-")</f>
        <v>-</v>
      </c>
      <c r="F966" s="2" t="str">
        <f>IFERROR(INDEX(Movimientos!$G$2:$G$1994,MATCH(A966&amp;"ENTRADA",Movimientos!$R$2:$R$1994,0)),"-")</f>
        <v>-</v>
      </c>
      <c r="G966" s="2" t="str">
        <f>IFERROR(INDEX(Movimientos!$L$2:$L$1994,MATCH(A966&amp;"ENTRADA",Movimientos!$R$2:$R$1994,0)),"-")</f>
        <v>-</v>
      </c>
      <c r="H966" s="17" t="str">
        <f>IFERROR(IF(INDEX(Movimientos!$M$2:$M$1994,MATCH(A966&amp;"ENTRADA",Movimientos!$R$2:$R$1994,0))=0,"S/D",INDEX(Movimientos!$M$2:$M$1994,MATCH(A966&amp;"ENTRADA",Movimientos!$R$2:$R$1994,0))),"S/D")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3242</v>
      </c>
      <c r="B967" s="2" t="str">
        <f>IFERROR(INDEX(Movimientos!$C$2:$C$1994,MATCH(A967&amp;"ENTRADA",Movimientos!$R$2:$R$1994,0)),"-")</f>
        <v>-</v>
      </c>
      <c r="C967" s="2" t="str">
        <f>IFERROR(INDEX(Movimientos!$D$2:$D$1994,MATCH(A967&amp;"ENTRADA",Movimientos!$R$2:$R$1994,0)),"-")</f>
        <v>-</v>
      </c>
      <c r="D967" s="2" t="str">
        <f>IFERROR(INDEX(Movimientos!$E$2:$E$1994,MATCH(A967&amp;"ENTRADA",Movimientos!$R$2:$R$1994,0)),"-")</f>
        <v>-</v>
      </c>
      <c r="E967" s="2" t="str">
        <f>IFERROR(INDEX(Movimientos!$F$2:$F$1994,MATCH(A967&amp;"ENTRADA",Movimientos!$R$2:$R$1994,0)),"-")</f>
        <v>-</v>
      </c>
      <c r="F967" s="2" t="str">
        <f>IFERROR(INDEX(Movimientos!$G$2:$G$1994,MATCH(A967&amp;"ENTRADA",Movimientos!$R$2:$R$1994,0)),"-")</f>
        <v>-</v>
      </c>
      <c r="G967" s="2" t="str">
        <f>IFERROR(INDEX(Movimientos!$L$2:$L$1994,MATCH(A967&amp;"ENTRADA",Movimientos!$R$2:$R$1994,0)),"-")</f>
        <v>-</v>
      </c>
      <c r="H967" s="17" t="str">
        <f>IFERROR(IF(INDEX(Movimientos!$M$2:$M$1994,MATCH(A967&amp;"ENTRADA",Movimientos!$R$2:$R$1994,0))=0,"S/D",INDEX(Movimientos!$M$2:$M$1994,MATCH(A967&amp;"ENTRADA",Movimientos!$R$2:$R$1994,0))),"S/D")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3243</v>
      </c>
      <c r="B968" s="2" t="str">
        <f>IFERROR(INDEX(Movimientos!$C$2:$C$1994,MATCH(A968&amp;"ENTRADA",Movimientos!$R$2:$R$1994,0)),"-")</f>
        <v>-</v>
      </c>
      <c r="C968" s="2" t="str">
        <f>IFERROR(INDEX(Movimientos!$D$2:$D$1994,MATCH(A968&amp;"ENTRADA",Movimientos!$R$2:$R$1994,0)),"-")</f>
        <v>-</v>
      </c>
      <c r="D968" s="2" t="str">
        <f>IFERROR(INDEX(Movimientos!$E$2:$E$1994,MATCH(A968&amp;"ENTRADA",Movimientos!$R$2:$R$1994,0)),"-")</f>
        <v>-</v>
      </c>
      <c r="E968" s="2" t="str">
        <f>IFERROR(INDEX(Movimientos!$F$2:$F$1994,MATCH(A968&amp;"ENTRADA",Movimientos!$R$2:$R$1994,0)),"-")</f>
        <v>-</v>
      </c>
      <c r="F968" s="2" t="str">
        <f>IFERROR(INDEX(Movimientos!$G$2:$G$1994,MATCH(A968&amp;"ENTRADA",Movimientos!$R$2:$R$1994,0)),"-")</f>
        <v>-</v>
      </c>
      <c r="G968" s="2" t="str">
        <f>IFERROR(INDEX(Movimientos!$L$2:$L$1994,MATCH(A968&amp;"ENTRADA",Movimientos!$R$2:$R$1994,0)),"-")</f>
        <v>-</v>
      </c>
      <c r="H968" s="17" t="str">
        <f>IFERROR(IF(INDEX(Movimientos!$M$2:$M$1994,MATCH(A968&amp;"ENTRADA",Movimientos!$R$2:$R$1994,0))=0,"S/D",INDEX(Movimientos!$M$2:$M$1994,MATCH(A968&amp;"ENTRADA",Movimientos!$R$2:$R$1994,0))),"S/D")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3244</v>
      </c>
      <c r="B969" s="2" t="str">
        <f>IFERROR(INDEX(Movimientos!$C$2:$C$1994,MATCH(A969&amp;"ENTRADA",Movimientos!$R$2:$R$1994,0)),"-")</f>
        <v>-</v>
      </c>
      <c r="C969" s="2" t="str">
        <f>IFERROR(INDEX(Movimientos!$D$2:$D$1994,MATCH(A969&amp;"ENTRADA",Movimientos!$R$2:$R$1994,0)),"-")</f>
        <v>-</v>
      </c>
      <c r="D969" s="2" t="str">
        <f>IFERROR(INDEX(Movimientos!$E$2:$E$1994,MATCH(A969&amp;"ENTRADA",Movimientos!$R$2:$R$1994,0)),"-")</f>
        <v>-</v>
      </c>
      <c r="E969" s="2" t="str">
        <f>IFERROR(INDEX(Movimientos!$F$2:$F$1994,MATCH(A969&amp;"ENTRADA",Movimientos!$R$2:$R$1994,0)),"-")</f>
        <v>-</v>
      </c>
      <c r="F969" s="2" t="str">
        <f>IFERROR(INDEX(Movimientos!$G$2:$G$1994,MATCH(A969&amp;"ENTRADA",Movimientos!$R$2:$R$1994,0)),"-")</f>
        <v>-</v>
      </c>
      <c r="G969" s="2" t="str">
        <f>IFERROR(INDEX(Movimientos!$L$2:$L$1994,MATCH(A969&amp;"ENTRADA",Movimientos!$R$2:$R$1994,0)),"-")</f>
        <v>-</v>
      </c>
      <c r="H969" s="17" t="str">
        <f>IFERROR(IF(INDEX(Movimientos!$M$2:$M$1994,MATCH(A969&amp;"ENTRADA",Movimientos!$R$2:$R$1994,0))=0,"S/D",INDEX(Movimientos!$M$2:$M$1994,MATCH(A969&amp;"ENTRADA",Movimientos!$R$2:$R$1994,0))),"S/D")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3245</v>
      </c>
      <c r="B970" s="2" t="str">
        <f>IFERROR(INDEX(Movimientos!$C$2:$C$1994,MATCH(A970&amp;"ENTRADA",Movimientos!$R$2:$R$1994,0)),"-")</f>
        <v>-</v>
      </c>
      <c r="C970" s="2" t="str">
        <f>IFERROR(INDEX(Movimientos!$D$2:$D$1994,MATCH(A970&amp;"ENTRADA",Movimientos!$R$2:$R$1994,0)),"-")</f>
        <v>-</v>
      </c>
      <c r="D970" s="2" t="str">
        <f>IFERROR(INDEX(Movimientos!$E$2:$E$1994,MATCH(A970&amp;"ENTRADA",Movimientos!$R$2:$R$1994,0)),"-")</f>
        <v>-</v>
      </c>
      <c r="E970" s="2" t="str">
        <f>IFERROR(INDEX(Movimientos!$F$2:$F$1994,MATCH(A970&amp;"ENTRADA",Movimientos!$R$2:$R$1994,0)),"-")</f>
        <v>-</v>
      </c>
      <c r="F970" s="2" t="str">
        <f>IFERROR(INDEX(Movimientos!$G$2:$G$1994,MATCH(A970&amp;"ENTRADA",Movimientos!$R$2:$R$1994,0)),"-")</f>
        <v>-</v>
      </c>
      <c r="G970" s="2" t="str">
        <f>IFERROR(INDEX(Movimientos!$L$2:$L$1994,MATCH(A970&amp;"ENTRADA",Movimientos!$R$2:$R$1994,0)),"-")</f>
        <v>-</v>
      </c>
      <c r="H970" s="17" t="str">
        <f>IFERROR(IF(INDEX(Movimientos!$M$2:$M$1994,MATCH(A970&amp;"ENTRADA",Movimientos!$R$2:$R$1994,0))=0,"S/D",INDEX(Movimientos!$M$2:$M$1994,MATCH(A970&amp;"ENTRADA",Movimientos!$R$2:$R$1994,0))),"S/D")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3246</v>
      </c>
      <c r="B971" s="2" t="str">
        <f>IFERROR(INDEX(Movimientos!$C$2:$C$1994,MATCH(A971&amp;"ENTRADA",Movimientos!$R$2:$R$1994,0)),"-")</f>
        <v>-</v>
      </c>
      <c r="C971" s="2" t="str">
        <f>IFERROR(INDEX(Movimientos!$D$2:$D$1994,MATCH(A971&amp;"ENTRADA",Movimientos!$R$2:$R$1994,0)),"-")</f>
        <v>-</v>
      </c>
      <c r="D971" s="2" t="str">
        <f>IFERROR(INDEX(Movimientos!$E$2:$E$1994,MATCH(A971&amp;"ENTRADA",Movimientos!$R$2:$R$1994,0)),"-")</f>
        <v>-</v>
      </c>
      <c r="E971" s="2" t="str">
        <f>IFERROR(INDEX(Movimientos!$F$2:$F$1994,MATCH(A971&amp;"ENTRADA",Movimientos!$R$2:$R$1994,0)),"-")</f>
        <v>-</v>
      </c>
      <c r="F971" s="2" t="str">
        <f>IFERROR(INDEX(Movimientos!$G$2:$G$1994,MATCH(A971&amp;"ENTRADA",Movimientos!$R$2:$R$1994,0)),"-")</f>
        <v>-</v>
      </c>
      <c r="G971" s="2" t="str">
        <f>IFERROR(INDEX(Movimientos!$L$2:$L$1994,MATCH(A971&amp;"ENTRADA",Movimientos!$R$2:$R$1994,0)),"-")</f>
        <v>-</v>
      </c>
      <c r="H971" s="17" t="str">
        <f>IFERROR(IF(INDEX(Movimientos!$M$2:$M$1994,MATCH(A971&amp;"ENTRADA",Movimientos!$R$2:$R$1994,0))=0,"S/D",INDEX(Movimientos!$M$2:$M$1994,MATCH(A971&amp;"ENTRADA",Movimientos!$R$2:$R$1994,0))),"S/D")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3247</v>
      </c>
      <c r="B972" s="2" t="str">
        <f>IFERROR(INDEX(Movimientos!$C$2:$C$1994,MATCH(A972&amp;"ENTRADA",Movimientos!$R$2:$R$1994,0)),"-")</f>
        <v>-</v>
      </c>
      <c r="C972" s="2" t="str">
        <f>IFERROR(INDEX(Movimientos!$D$2:$D$1994,MATCH(A972&amp;"ENTRADA",Movimientos!$R$2:$R$1994,0)),"-")</f>
        <v>-</v>
      </c>
      <c r="D972" s="2" t="str">
        <f>IFERROR(INDEX(Movimientos!$E$2:$E$1994,MATCH(A972&amp;"ENTRADA",Movimientos!$R$2:$R$1994,0)),"-")</f>
        <v>-</v>
      </c>
      <c r="E972" s="2" t="str">
        <f>IFERROR(INDEX(Movimientos!$F$2:$F$1994,MATCH(A972&amp;"ENTRADA",Movimientos!$R$2:$R$1994,0)),"-")</f>
        <v>-</v>
      </c>
      <c r="F972" s="2" t="str">
        <f>IFERROR(INDEX(Movimientos!$G$2:$G$1994,MATCH(A972&amp;"ENTRADA",Movimientos!$R$2:$R$1994,0)),"-")</f>
        <v>-</v>
      </c>
      <c r="G972" s="2" t="str">
        <f>IFERROR(INDEX(Movimientos!$L$2:$L$1994,MATCH(A972&amp;"ENTRADA",Movimientos!$R$2:$R$1994,0)),"-")</f>
        <v>-</v>
      </c>
      <c r="H972" s="17" t="str">
        <f>IFERROR(IF(INDEX(Movimientos!$M$2:$M$1994,MATCH(A972&amp;"ENTRADA",Movimientos!$R$2:$R$1994,0))=0,"S/D",INDEX(Movimientos!$M$2:$M$1994,MATCH(A972&amp;"ENTRADA",Movimientos!$R$2:$R$1994,0))),"S/D")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3248</v>
      </c>
      <c r="B973" s="2" t="str">
        <f>IFERROR(INDEX(Movimientos!$C$2:$C$1994,MATCH(A973&amp;"ENTRADA",Movimientos!$R$2:$R$1994,0)),"-")</f>
        <v>-</v>
      </c>
      <c r="C973" s="2" t="str">
        <f>IFERROR(INDEX(Movimientos!$D$2:$D$1994,MATCH(A973&amp;"ENTRADA",Movimientos!$R$2:$R$1994,0)),"-")</f>
        <v>-</v>
      </c>
      <c r="D973" s="2" t="str">
        <f>IFERROR(INDEX(Movimientos!$E$2:$E$1994,MATCH(A973&amp;"ENTRADA",Movimientos!$R$2:$R$1994,0)),"-")</f>
        <v>-</v>
      </c>
      <c r="E973" s="2" t="str">
        <f>IFERROR(INDEX(Movimientos!$F$2:$F$1994,MATCH(A973&amp;"ENTRADA",Movimientos!$R$2:$R$1994,0)),"-")</f>
        <v>-</v>
      </c>
      <c r="F973" s="2" t="str">
        <f>IFERROR(INDEX(Movimientos!$G$2:$G$1994,MATCH(A973&amp;"ENTRADA",Movimientos!$R$2:$R$1994,0)),"-")</f>
        <v>-</v>
      </c>
      <c r="G973" s="2" t="str">
        <f>IFERROR(INDEX(Movimientos!$L$2:$L$1994,MATCH(A973&amp;"ENTRADA",Movimientos!$R$2:$R$1994,0)),"-")</f>
        <v>-</v>
      </c>
      <c r="H973" s="17" t="str">
        <f>IFERROR(IF(INDEX(Movimientos!$M$2:$M$1994,MATCH(A973&amp;"ENTRADA",Movimientos!$R$2:$R$1994,0))=0,"S/D",INDEX(Movimientos!$M$2:$M$1994,MATCH(A973&amp;"ENTRADA",Movimientos!$R$2:$R$1994,0))),"S/D")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3249</v>
      </c>
      <c r="B974" s="2" t="str">
        <f>IFERROR(INDEX(Movimientos!$C$2:$C$1994,MATCH(A974&amp;"ENTRADA",Movimientos!$R$2:$R$1994,0)),"-")</f>
        <v>-</v>
      </c>
      <c r="C974" s="2" t="str">
        <f>IFERROR(INDEX(Movimientos!$D$2:$D$1994,MATCH(A974&amp;"ENTRADA",Movimientos!$R$2:$R$1994,0)),"-")</f>
        <v>-</v>
      </c>
      <c r="D974" s="2" t="str">
        <f>IFERROR(INDEX(Movimientos!$E$2:$E$1994,MATCH(A974&amp;"ENTRADA",Movimientos!$R$2:$R$1994,0)),"-")</f>
        <v>-</v>
      </c>
      <c r="E974" s="2" t="str">
        <f>IFERROR(INDEX(Movimientos!$F$2:$F$1994,MATCH(A974&amp;"ENTRADA",Movimientos!$R$2:$R$1994,0)),"-")</f>
        <v>-</v>
      </c>
      <c r="F974" s="2" t="str">
        <f>IFERROR(INDEX(Movimientos!$G$2:$G$1994,MATCH(A974&amp;"ENTRADA",Movimientos!$R$2:$R$1994,0)),"-")</f>
        <v>-</v>
      </c>
      <c r="G974" s="2" t="str">
        <f>IFERROR(INDEX(Movimientos!$L$2:$L$1994,MATCH(A974&amp;"ENTRADA",Movimientos!$R$2:$R$1994,0)),"-")</f>
        <v>-</v>
      </c>
      <c r="H974" s="17" t="str">
        <f>IFERROR(IF(INDEX(Movimientos!$M$2:$M$1994,MATCH(A974&amp;"ENTRADA",Movimientos!$R$2:$R$1994,0))=0,"S/D",INDEX(Movimientos!$M$2:$M$1994,MATCH(A974&amp;"ENTRADA",Movimientos!$R$2:$R$1994,0))),"S/D")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3250</v>
      </c>
      <c r="B975" s="2" t="str">
        <f>IFERROR(INDEX(Movimientos!$C$2:$C$1994,MATCH(A975&amp;"ENTRADA",Movimientos!$R$2:$R$1994,0)),"-")</f>
        <v>-</v>
      </c>
      <c r="C975" s="2" t="str">
        <f>IFERROR(INDEX(Movimientos!$D$2:$D$1994,MATCH(A975&amp;"ENTRADA",Movimientos!$R$2:$R$1994,0)),"-")</f>
        <v>-</v>
      </c>
      <c r="D975" s="2" t="str">
        <f>IFERROR(INDEX(Movimientos!$E$2:$E$1994,MATCH(A975&amp;"ENTRADA",Movimientos!$R$2:$R$1994,0)),"-")</f>
        <v>-</v>
      </c>
      <c r="E975" s="2" t="str">
        <f>IFERROR(INDEX(Movimientos!$F$2:$F$1994,MATCH(A975&amp;"ENTRADA",Movimientos!$R$2:$R$1994,0)),"-")</f>
        <v>-</v>
      </c>
      <c r="F975" s="2" t="str">
        <f>IFERROR(INDEX(Movimientos!$G$2:$G$1994,MATCH(A975&amp;"ENTRADA",Movimientos!$R$2:$R$1994,0)),"-")</f>
        <v>-</v>
      </c>
      <c r="G975" s="2" t="str">
        <f>IFERROR(INDEX(Movimientos!$L$2:$L$1994,MATCH(A975&amp;"ENTRADA",Movimientos!$R$2:$R$1994,0)),"-")</f>
        <v>-</v>
      </c>
      <c r="H975" s="17" t="str">
        <f>IFERROR(IF(INDEX(Movimientos!$M$2:$M$1994,MATCH(A975&amp;"ENTRADA",Movimientos!$R$2:$R$1994,0))=0,"S/D",INDEX(Movimientos!$M$2:$M$1994,MATCH(A975&amp;"ENTRADA",Movimientos!$R$2:$R$1994,0))),"S/D")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3251</v>
      </c>
      <c r="B976" s="2" t="str">
        <f>IFERROR(INDEX(Movimientos!$C$2:$C$1994,MATCH(A976&amp;"ENTRADA",Movimientos!$R$2:$R$1994,0)),"-")</f>
        <v>-</v>
      </c>
      <c r="C976" s="2" t="str">
        <f>IFERROR(INDEX(Movimientos!$D$2:$D$1994,MATCH(A976&amp;"ENTRADA",Movimientos!$R$2:$R$1994,0)),"-")</f>
        <v>-</v>
      </c>
      <c r="D976" s="2" t="str">
        <f>IFERROR(INDEX(Movimientos!$E$2:$E$1994,MATCH(A976&amp;"ENTRADA",Movimientos!$R$2:$R$1994,0)),"-")</f>
        <v>-</v>
      </c>
      <c r="E976" s="2" t="str">
        <f>IFERROR(INDEX(Movimientos!$F$2:$F$1994,MATCH(A976&amp;"ENTRADA",Movimientos!$R$2:$R$1994,0)),"-")</f>
        <v>-</v>
      </c>
      <c r="F976" s="2" t="str">
        <f>IFERROR(INDEX(Movimientos!$G$2:$G$1994,MATCH(A976&amp;"ENTRADA",Movimientos!$R$2:$R$1994,0)),"-")</f>
        <v>-</v>
      </c>
      <c r="G976" s="2" t="str">
        <f>IFERROR(INDEX(Movimientos!$L$2:$L$1994,MATCH(A976&amp;"ENTRADA",Movimientos!$R$2:$R$1994,0)),"-")</f>
        <v>-</v>
      </c>
      <c r="H976" s="17" t="str">
        <f>IFERROR(IF(INDEX(Movimientos!$M$2:$M$1994,MATCH(A976&amp;"ENTRADA",Movimientos!$R$2:$R$1994,0))=0,"S/D",INDEX(Movimientos!$M$2:$M$1994,MATCH(A976&amp;"ENTRADA",Movimientos!$R$2:$R$1994,0))),"S/D")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3252</v>
      </c>
      <c r="B977" s="2" t="str">
        <f>IFERROR(INDEX(Movimientos!$C$2:$C$1994,MATCH(A977&amp;"ENTRADA",Movimientos!$R$2:$R$1994,0)),"-")</f>
        <v>-</v>
      </c>
      <c r="C977" s="2" t="str">
        <f>IFERROR(INDEX(Movimientos!$D$2:$D$1994,MATCH(A977&amp;"ENTRADA",Movimientos!$R$2:$R$1994,0)),"-")</f>
        <v>-</v>
      </c>
      <c r="D977" s="2" t="str">
        <f>IFERROR(INDEX(Movimientos!$E$2:$E$1994,MATCH(A977&amp;"ENTRADA",Movimientos!$R$2:$R$1994,0)),"-")</f>
        <v>-</v>
      </c>
      <c r="E977" s="2" t="str">
        <f>IFERROR(INDEX(Movimientos!$F$2:$F$1994,MATCH(A977&amp;"ENTRADA",Movimientos!$R$2:$R$1994,0)),"-")</f>
        <v>-</v>
      </c>
      <c r="F977" s="2" t="str">
        <f>IFERROR(INDEX(Movimientos!$G$2:$G$1994,MATCH(A977&amp;"ENTRADA",Movimientos!$R$2:$R$1994,0)),"-")</f>
        <v>-</v>
      </c>
      <c r="G977" s="2" t="str">
        <f>IFERROR(INDEX(Movimientos!$L$2:$L$1994,MATCH(A977&amp;"ENTRADA",Movimientos!$R$2:$R$1994,0)),"-")</f>
        <v>-</v>
      </c>
      <c r="H977" s="17" t="str">
        <f>IFERROR(IF(INDEX(Movimientos!$M$2:$M$1994,MATCH(A977&amp;"ENTRADA",Movimientos!$R$2:$R$1994,0))=0,"S/D",INDEX(Movimientos!$M$2:$M$1994,MATCH(A977&amp;"ENTRADA",Movimientos!$R$2:$R$1994,0))),"S/D")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3253</v>
      </c>
      <c r="B978" s="2" t="str">
        <f>IFERROR(INDEX(Movimientos!$C$2:$C$1994,MATCH(A978&amp;"ENTRADA",Movimientos!$R$2:$R$1994,0)),"-")</f>
        <v>-</v>
      </c>
      <c r="C978" s="2" t="str">
        <f>IFERROR(INDEX(Movimientos!$D$2:$D$1994,MATCH(A978&amp;"ENTRADA",Movimientos!$R$2:$R$1994,0)),"-")</f>
        <v>-</v>
      </c>
      <c r="D978" s="2" t="str">
        <f>IFERROR(INDEX(Movimientos!$E$2:$E$1994,MATCH(A978&amp;"ENTRADA",Movimientos!$R$2:$R$1994,0)),"-")</f>
        <v>-</v>
      </c>
      <c r="E978" s="2" t="str">
        <f>IFERROR(INDEX(Movimientos!$F$2:$F$1994,MATCH(A978&amp;"ENTRADA",Movimientos!$R$2:$R$1994,0)),"-")</f>
        <v>-</v>
      </c>
      <c r="F978" s="2" t="str">
        <f>IFERROR(INDEX(Movimientos!$G$2:$G$1994,MATCH(A978&amp;"ENTRADA",Movimientos!$R$2:$R$1994,0)),"-")</f>
        <v>-</v>
      </c>
      <c r="G978" s="2" t="str">
        <f>IFERROR(INDEX(Movimientos!$L$2:$L$1994,MATCH(A978&amp;"ENTRADA",Movimientos!$R$2:$R$1994,0)),"-")</f>
        <v>-</v>
      </c>
      <c r="H978" s="17" t="str">
        <f>IFERROR(IF(INDEX(Movimientos!$M$2:$M$1994,MATCH(A978&amp;"ENTRADA",Movimientos!$R$2:$R$1994,0))=0,"S/D",INDEX(Movimientos!$M$2:$M$1994,MATCH(A978&amp;"ENTRADA",Movimientos!$R$2:$R$1994,0))),"S/D")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3254</v>
      </c>
      <c r="B979" s="2" t="str">
        <f>IFERROR(INDEX(Movimientos!$C$2:$C$1994,MATCH(A979&amp;"ENTRADA",Movimientos!$R$2:$R$1994,0)),"-")</f>
        <v>-</v>
      </c>
      <c r="C979" s="2" t="str">
        <f>IFERROR(INDEX(Movimientos!$D$2:$D$1994,MATCH(A979&amp;"ENTRADA",Movimientos!$R$2:$R$1994,0)),"-")</f>
        <v>-</v>
      </c>
      <c r="D979" s="2" t="str">
        <f>IFERROR(INDEX(Movimientos!$E$2:$E$1994,MATCH(A979&amp;"ENTRADA",Movimientos!$R$2:$R$1994,0)),"-")</f>
        <v>-</v>
      </c>
      <c r="E979" s="2" t="str">
        <f>IFERROR(INDEX(Movimientos!$F$2:$F$1994,MATCH(A979&amp;"ENTRADA",Movimientos!$R$2:$R$1994,0)),"-")</f>
        <v>-</v>
      </c>
      <c r="F979" s="2" t="str">
        <f>IFERROR(INDEX(Movimientos!$G$2:$G$1994,MATCH(A979&amp;"ENTRADA",Movimientos!$R$2:$R$1994,0)),"-")</f>
        <v>-</v>
      </c>
      <c r="G979" s="2" t="str">
        <f>IFERROR(INDEX(Movimientos!$L$2:$L$1994,MATCH(A979&amp;"ENTRADA",Movimientos!$R$2:$R$1994,0)),"-")</f>
        <v>-</v>
      </c>
      <c r="H979" s="17" t="str">
        <f>IFERROR(IF(INDEX(Movimientos!$M$2:$M$1994,MATCH(A979&amp;"ENTRADA",Movimientos!$R$2:$R$1994,0))=0,"S/D",INDEX(Movimientos!$M$2:$M$1994,MATCH(A979&amp;"ENTRADA",Movimientos!$R$2:$R$1994,0))),"S/D")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3255</v>
      </c>
      <c r="B980" s="2" t="str">
        <f>IFERROR(INDEX(Movimientos!$C$2:$C$1994,MATCH(A980&amp;"ENTRADA",Movimientos!$R$2:$R$1994,0)),"-")</f>
        <v>-</v>
      </c>
      <c r="C980" s="2" t="str">
        <f>IFERROR(INDEX(Movimientos!$D$2:$D$1994,MATCH(A980&amp;"ENTRADA",Movimientos!$R$2:$R$1994,0)),"-")</f>
        <v>-</v>
      </c>
      <c r="D980" s="2" t="str">
        <f>IFERROR(INDEX(Movimientos!$E$2:$E$1994,MATCH(A980&amp;"ENTRADA",Movimientos!$R$2:$R$1994,0)),"-")</f>
        <v>-</v>
      </c>
      <c r="E980" s="2" t="str">
        <f>IFERROR(INDEX(Movimientos!$F$2:$F$1994,MATCH(A980&amp;"ENTRADA",Movimientos!$R$2:$R$1994,0)),"-")</f>
        <v>-</v>
      </c>
      <c r="F980" s="2" t="str">
        <f>IFERROR(INDEX(Movimientos!$G$2:$G$1994,MATCH(A980&amp;"ENTRADA",Movimientos!$R$2:$R$1994,0)),"-")</f>
        <v>-</v>
      </c>
      <c r="G980" s="2" t="str">
        <f>IFERROR(INDEX(Movimientos!$L$2:$L$1994,MATCH(A980&amp;"ENTRADA",Movimientos!$R$2:$R$1994,0)),"-")</f>
        <v>-</v>
      </c>
      <c r="H980" s="17" t="str">
        <f>IFERROR(IF(INDEX(Movimientos!$M$2:$M$1994,MATCH(A980&amp;"ENTRADA",Movimientos!$R$2:$R$1994,0))=0,"S/D",INDEX(Movimientos!$M$2:$M$1994,MATCH(A980&amp;"ENTRADA",Movimientos!$R$2:$R$1994,0))),"S/D")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3256</v>
      </c>
      <c r="B981" s="2" t="str">
        <f>IFERROR(INDEX(Movimientos!$C$2:$C$1994,MATCH(A981&amp;"ENTRADA",Movimientos!$R$2:$R$1994,0)),"-")</f>
        <v>-</v>
      </c>
      <c r="C981" s="2" t="str">
        <f>IFERROR(INDEX(Movimientos!$D$2:$D$1994,MATCH(A981&amp;"ENTRADA",Movimientos!$R$2:$R$1994,0)),"-")</f>
        <v>-</v>
      </c>
      <c r="D981" s="2" t="str">
        <f>IFERROR(INDEX(Movimientos!$E$2:$E$1994,MATCH(A981&amp;"ENTRADA",Movimientos!$R$2:$R$1994,0)),"-")</f>
        <v>-</v>
      </c>
      <c r="E981" s="2" t="str">
        <f>IFERROR(INDEX(Movimientos!$F$2:$F$1994,MATCH(A981&amp;"ENTRADA",Movimientos!$R$2:$R$1994,0)),"-")</f>
        <v>-</v>
      </c>
      <c r="F981" s="2" t="str">
        <f>IFERROR(INDEX(Movimientos!$G$2:$G$1994,MATCH(A981&amp;"ENTRADA",Movimientos!$R$2:$R$1994,0)),"-")</f>
        <v>-</v>
      </c>
      <c r="G981" s="2" t="str">
        <f>IFERROR(INDEX(Movimientos!$L$2:$L$1994,MATCH(A981&amp;"ENTRADA",Movimientos!$R$2:$R$1994,0)),"-")</f>
        <v>-</v>
      </c>
      <c r="H981" s="17" t="str">
        <f>IFERROR(IF(INDEX(Movimientos!$M$2:$M$1994,MATCH(A981&amp;"ENTRADA",Movimientos!$R$2:$R$1994,0))=0,"S/D",INDEX(Movimientos!$M$2:$M$1994,MATCH(A981&amp;"ENTRADA",Movimientos!$R$2:$R$1994,0))),"S/D")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3257</v>
      </c>
      <c r="B982" s="2" t="str">
        <f>IFERROR(INDEX(Movimientos!$C$2:$C$1994,MATCH(A982&amp;"ENTRADA",Movimientos!$R$2:$R$1994,0)),"-")</f>
        <v>-</v>
      </c>
      <c r="C982" s="2" t="str">
        <f>IFERROR(INDEX(Movimientos!$D$2:$D$1994,MATCH(A982&amp;"ENTRADA",Movimientos!$R$2:$R$1994,0)),"-")</f>
        <v>-</v>
      </c>
      <c r="D982" s="2" t="str">
        <f>IFERROR(INDEX(Movimientos!$E$2:$E$1994,MATCH(A982&amp;"ENTRADA",Movimientos!$R$2:$R$1994,0)),"-")</f>
        <v>-</v>
      </c>
      <c r="E982" s="2" t="str">
        <f>IFERROR(INDEX(Movimientos!$F$2:$F$1994,MATCH(A982&amp;"ENTRADA",Movimientos!$R$2:$R$1994,0)),"-")</f>
        <v>-</v>
      </c>
      <c r="F982" s="2" t="str">
        <f>IFERROR(INDEX(Movimientos!$G$2:$G$1994,MATCH(A982&amp;"ENTRADA",Movimientos!$R$2:$R$1994,0)),"-")</f>
        <v>-</v>
      </c>
      <c r="G982" s="2" t="str">
        <f>IFERROR(INDEX(Movimientos!$L$2:$L$1994,MATCH(A982&amp;"ENTRADA",Movimientos!$R$2:$R$1994,0)),"-")</f>
        <v>-</v>
      </c>
      <c r="H982" s="17" t="str">
        <f>IFERROR(IF(INDEX(Movimientos!$M$2:$M$1994,MATCH(A982&amp;"ENTRADA",Movimientos!$R$2:$R$1994,0))=0,"S/D",INDEX(Movimientos!$M$2:$M$1994,MATCH(A982&amp;"ENTRADA",Movimientos!$R$2:$R$1994,0))),"S/D")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3258</v>
      </c>
      <c r="B983" s="2" t="str">
        <f>IFERROR(INDEX(Movimientos!$C$2:$C$1994,MATCH(A983&amp;"ENTRADA",Movimientos!$R$2:$R$1994,0)),"-")</f>
        <v>-</v>
      </c>
      <c r="C983" s="2" t="str">
        <f>IFERROR(INDEX(Movimientos!$D$2:$D$1994,MATCH(A983&amp;"ENTRADA",Movimientos!$R$2:$R$1994,0)),"-")</f>
        <v>-</v>
      </c>
      <c r="D983" s="2" t="str">
        <f>IFERROR(INDEX(Movimientos!$E$2:$E$1994,MATCH(A983&amp;"ENTRADA",Movimientos!$R$2:$R$1994,0)),"-")</f>
        <v>-</v>
      </c>
      <c r="E983" s="2" t="str">
        <f>IFERROR(INDEX(Movimientos!$F$2:$F$1994,MATCH(A983&amp;"ENTRADA",Movimientos!$R$2:$R$1994,0)),"-")</f>
        <v>-</v>
      </c>
      <c r="F983" s="2" t="str">
        <f>IFERROR(INDEX(Movimientos!$G$2:$G$1994,MATCH(A983&amp;"ENTRADA",Movimientos!$R$2:$R$1994,0)),"-")</f>
        <v>-</v>
      </c>
      <c r="G983" s="2" t="str">
        <f>IFERROR(INDEX(Movimientos!$L$2:$L$1994,MATCH(A983&amp;"ENTRADA",Movimientos!$R$2:$R$1994,0)),"-")</f>
        <v>-</v>
      </c>
      <c r="H983" s="17" t="str">
        <f>IFERROR(IF(INDEX(Movimientos!$M$2:$M$1994,MATCH(A983&amp;"ENTRADA",Movimientos!$R$2:$R$1994,0))=0,"S/D",INDEX(Movimientos!$M$2:$M$1994,MATCH(A983&amp;"ENTRADA",Movimientos!$R$2:$R$1994,0))),"S/D")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3259</v>
      </c>
      <c r="B984" s="2" t="str">
        <f>IFERROR(INDEX(Movimientos!$C$2:$C$1994,MATCH(A984&amp;"ENTRADA",Movimientos!$R$2:$R$1994,0)),"-")</f>
        <v>-</v>
      </c>
      <c r="C984" s="2" t="str">
        <f>IFERROR(INDEX(Movimientos!$D$2:$D$1994,MATCH(A984&amp;"ENTRADA",Movimientos!$R$2:$R$1994,0)),"-")</f>
        <v>-</v>
      </c>
      <c r="D984" s="2" t="str">
        <f>IFERROR(INDEX(Movimientos!$E$2:$E$1994,MATCH(A984&amp;"ENTRADA",Movimientos!$R$2:$R$1994,0)),"-")</f>
        <v>-</v>
      </c>
      <c r="E984" s="2" t="str">
        <f>IFERROR(INDEX(Movimientos!$F$2:$F$1994,MATCH(A984&amp;"ENTRADA",Movimientos!$R$2:$R$1994,0)),"-")</f>
        <v>-</v>
      </c>
      <c r="F984" s="2" t="str">
        <f>IFERROR(INDEX(Movimientos!$G$2:$G$1994,MATCH(A984&amp;"ENTRADA",Movimientos!$R$2:$R$1994,0)),"-")</f>
        <v>-</v>
      </c>
      <c r="G984" s="2" t="str">
        <f>IFERROR(INDEX(Movimientos!$L$2:$L$1994,MATCH(A984&amp;"ENTRADA",Movimientos!$R$2:$R$1994,0)),"-")</f>
        <v>-</v>
      </c>
      <c r="H984" s="17" t="str">
        <f>IFERROR(IF(INDEX(Movimientos!$M$2:$M$1994,MATCH(A984&amp;"ENTRADA",Movimientos!$R$2:$R$1994,0))=0,"S/D",INDEX(Movimientos!$M$2:$M$1994,MATCH(A984&amp;"ENTRADA",Movimientos!$R$2:$R$1994,0))),"S/D")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3260</v>
      </c>
      <c r="B985" s="2" t="str">
        <f>IFERROR(INDEX(Movimientos!$C$2:$C$1994,MATCH(A985&amp;"ENTRADA",Movimientos!$R$2:$R$1994,0)),"-")</f>
        <v>-</v>
      </c>
      <c r="C985" s="2" t="str">
        <f>IFERROR(INDEX(Movimientos!$D$2:$D$1994,MATCH(A985&amp;"ENTRADA",Movimientos!$R$2:$R$1994,0)),"-")</f>
        <v>-</v>
      </c>
      <c r="D985" s="2" t="str">
        <f>IFERROR(INDEX(Movimientos!$E$2:$E$1994,MATCH(A985&amp;"ENTRADA",Movimientos!$R$2:$R$1994,0)),"-")</f>
        <v>-</v>
      </c>
      <c r="E985" s="2" t="str">
        <f>IFERROR(INDEX(Movimientos!$F$2:$F$1994,MATCH(A985&amp;"ENTRADA",Movimientos!$R$2:$R$1994,0)),"-")</f>
        <v>-</v>
      </c>
      <c r="F985" s="2" t="str">
        <f>IFERROR(INDEX(Movimientos!$G$2:$G$1994,MATCH(A985&amp;"ENTRADA",Movimientos!$R$2:$R$1994,0)),"-")</f>
        <v>-</v>
      </c>
      <c r="G985" s="2" t="str">
        <f>IFERROR(INDEX(Movimientos!$L$2:$L$1994,MATCH(A985&amp;"ENTRADA",Movimientos!$R$2:$R$1994,0)),"-")</f>
        <v>-</v>
      </c>
      <c r="H985" s="17" t="str">
        <f>IFERROR(IF(INDEX(Movimientos!$M$2:$M$1994,MATCH(A985&amp;"ENTRADA",Movimientos!$R$2:$R$1994,0))=0,"S/D",INDEX(Movimientos!$M$2:$M$1994,MATCH(A985&amp;"ENTRADA",Movimientos!$R$2:$R$1994,0))),"S/D")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3261</v>
      </c>
      <c r="B986" s="2" t="str">
        <f>IFERROR(INDEX(Movimientos!$C$2:$C$1994,MATCH(A986&amp;"ENTRADA",Movimientos!$R$2:$R$1994,0)),"-")</f>
        <v>-</v>
      </c>
      <c r="C986" s="2" t="str">
        <f>IFERROR(INDEX(Movimientos!$D$2:$D$1994,MATCH(A986&amp;"ENTRADA",Movimientos!$R$2:$R$1994,0)),"-")</f>
        <v>-</v>
      </c>
      <c r="D986" s="2" t="str">
        <f>IFERROR(INDEX(Movimientos!$E$2:$E$1994,MATCH(A986&amp;"ENTRADA",Movimientos!$R$2:$R$1994,0)),"-")</f>
        <v>-</v>
      </c>
      <c r="E986" s="2" t="str">
        <f>IFERROR(INDEX(Movimientos!$F$2:$F$1994,MATCH(A986&amp;"ENTRADA",Movimientos!$R$2:$R$1994,0)),"-")</f>
        <v>-</v>
      </c>
      <c r="F986" s="2" t="str">
        <f>IFERROR(INDEX(Movimientos!$G$2:$G$1994,MATCH(A986&amp;"ENTRADA",Movimientos!$R$2:$R$1994,0)),"-")</f>
        <v>-</v>
      </c>
      <c r="G986" s="2" t="str">
        <f>IFERROR(INDEX(Movimientos!$L$2:$L$1994,MATCH(A986&amp;"ENTRADA",Movimientos!$R$2:$R$1994,0)),"-")</f>
        <v>-</v>
      </c>
      <c r="H986" s="17" t="str">
        <f>IFERROR(IF(INDEX(Movimientos!$M$2:$M$1994,MATCH(A986&amp;"ENTRADA",Movimientos!$R$2:$R$1994,0))=0,"S/D",INDEX(Movimientos!$M$2:$M$1994,MATCH(A986&amp;"ENTRADA",Movimientos!$R$2:$R$1994,0))),"S/D")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3262</v>
      </c>
      <c r="B987" s="2" t="str">
        <f>IFERROR(INDEX(Movimientos!$C$2:$C$1994,MATCH(A987&amp;"ENTRADA",Movimientos!$R$2:$R$1994,0)),"-")</f>
        <v>-</v>
      </c>
      <c r="C987" s="2" t="str">
        <f>IFERROR(INDEX(Movimientos!$D$2:$D$1994,MATCH(A987&amp;"ENTRADA",Movimientos!$R$2:$R$1994,0)),"-")</f>
        <v>-</v>
      </c>
      <c r="D987" s="2" t="str">
        <f>IFERROR(INDEX(Movimientos!$E$2:$E$1994,MATCH(A987&amp;"ENTRADA",Movimientos!$R$2:$R$1994,0)),"-")</f>
        <v>-</v>
      </c>
      <c r="E987" s="2" t="str">
        <f>IFERROR(INDEX(Movimientos!$F$2:$F$1994,MATCH(A987&amp;"ENTRADA",Movimientos!$R$2:$R$1994,0)),"-")</f>
        <v>-</v>
      </c>
      <c r="F987" s="2" t="str">
        <f>IFERROR(INDEX(Movimientos!$G$2:$G$1994,MATCH(A987&amp;"ENTRADA",Movimientos!$R$2:$R$1994,0)),"-")</f>
        <v>-</v>
      </c>
      <c r="G987" s="2" t="str">
        <f>IFERROR(INDEX(Movimientos!$L$2:$L$1994,MATCH(A987&amp;"ENTRADA",Movimientos!$R$2:$R$1994,0)),"-")</f>
        <v>-</v>
      </c>
      <c r="H987" s="17" t="str">
        <f>IFERROR(IF(INDEX(Movimientos!$M$2:$M$1994,MATCH(A987&amp;"ENTRADA",Movimientos!$R$2:$R$1994,0))=0,"S/D",INDEX(Movimientos!$M$2:$M$1994,MATCH(A987&amp;"ENTRADA",Movimientos!$R$2:$R$1994,0))),"S/D")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3263</v>
      </c>
      <c r="B988" s="2" t="str">
        <f>IFERROR(INDEX(Movimientos!$C$2:$C$1994,MATCH(A988&amp;"ENTRADA",Movimientos!$R$2:$R$1994,0)),"-")</f>
        <v>-</v>
      </c>
      <c r="C988" s="2" t="str">
        <f>IFERROR(INDEX(Movimientos!$D$2:$D$1994,MATCH(A988&amp;"ENTRADA",Movimientos!$R$2:$R$1994,0)),"-")</f>
        <v>-</v>
      </c>
      <c r="D988" s="2" t="str">
        <f>IFERROR(INDEX(Movimientos!$E$2:$E$1994,MATCH(A988&amp;"ENTRADA",Movimientos!$R$2:$R$1994,0)),"-")</f>
        <v>-</v>
      </c>
      <c r="E988" s="2" t="str">
        <f>IFERROR(INDEX(Movimientos!$F$2:$F$1994,MATCH(A988&amp;"ENTRADA",Movimientos!$R$2:$R$1994,0)),"-")</f>
        <v>-</v>
      </c>
      <c r="F988" s="2" t="str">
        <f>IFERROR(INDEX(Movimientos!$G$2:$G$1994,MATCH(A988&amp;"ENTRADA",Movimientos!$R$2:$R$1994,0)),"-")</f>
        <v>-</v>
      </c>
      <c r="G988" s="2" t="str">
        <f>IFERROR(INDEX(Movimientos!$L$2:$L$1994,MATCH(A988&amp;"ENTRADA",Movimientos!$R$2:$R$1994,0)),"-")</f>
        <v>-</v>
      </c>
      <c r="H988" s="17" t="str">
        <f>IFERROR(IF(INDEX(Movimientos!$M$2:$M$1994,MATCH(A988&amp;"ENTRADA",Movimientos!$R$2:$R$1994,0))=0,"S/D",INDEX(Movimientos!$M$2:$M$1994,MATCH(A988&amp;"ENTRADA",Movimientos!$R$2:$R$1994,0))),"S/D")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3264</v>
      </c>
      <c r="B989" s="2" t="str">
        <f>IFERROR(INDEX(Movimientos!$C$2:$C$1994,MATCH(A989&amp;"ENTRADA",Movimientos!$R$2:$R$1994,0)),"-")</f>
        <v>-</v>
      </c>
      <c r="C989" s="2" t="str">
        <f>IFERROR(INDEX(Movimientos!$D$2:$D$1994,MATCH(A989&amp;"ENTRADA",Movimientos!$R$2:$R$1994,0)),"-")</f>
        <v>-</v>
      </c>
      <c r="D989" s="2" t="str">
        <f>IFERROR(INDEX(Movimientos!$E$2:$E$1994,MATCH(A989&amp;"ENTRADA",Movimientos!$R$2:$R$1994,0)),"-")</f>
        <v>-</v>
      </c>
      <c r="E989" s="2" t="str">
        <f>IFERROR(INDEX(Movimientos!$F$2:$F$1994,MATCH(A989&amp;"ENTRADA",Movimientos!$R$2:$R$1994,0)),"-")</f>
        <v>-</v>
      </c>
      <c r="F989" s="2" t="str">
        <f>IFERROR(INDEX(Movimientos!$G$2:$G$1994,MATCH(A989&amp;"ENTRADA",Movimientos!$R$2:$R$1994,0)),"-")</f>
        <v>-</v>
      </c>
      <c r="G989" s="2" t="str">
        <f>IFERROR(INDEX(Movimientos!$L$2:$L$1994,MATCH(A989&amp;"ENTRADA",Movimientos!$R$2:$R$1994,0)),"-")</f>
        <v>-</v>
      </c>
      <c r="H989" s="17" t="str">
        <f>IFERROR(IF(INDEX(Movimientos!$M$2:$M$1994,MATCH(A989&amp;"ENTRADA",Movimientos!$R$2:$R$1994,0))=0,"S/D",INDEX(Movimientos!$M$2:$M$1994,MATCH(A989&amp;"ENTRADA",Movimientos!$R$2:$R$1994,0))),"S/D")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3265</v>
      </c>
      <c r="B990" s="2" t="str">
        <f>IFERROR(INDEX(Movimientos!$C$2:$C$1994,MATCH(A990&amp;"ENTRADA",Movimientos!$R$2:$R$1994,0)),"-")</f>
        <v>-</v>
      </c>
      <c r="C990" s="2" t="str">
        <f>IFERROR(INDEX(Movimientos!$D$2:$D$1994,MATCH(A990&amp;"ENTRADA",Movimientos!$R$2:$R$1994,0)),"-")</f>
        <v>-</v>
      </c>
      <c r="D990" s="2" t="str">
        <f>IFERROR(INDEX(Movimientos!$E$2:$E$1994,MATCH(A990&amp;"ENTRADA",Movimientos!$R$2:$R$1994,0)),"-")</f>
        <v>-</v>
      </c>
      <c r="E990" s="2" t="str">
        <f>IFERROR(INDEX(Movimientos!$F$2:$F$1994,MATCH(A990&amp;"ENTRADA",Movimientos!$R$2:$R$1994,0)),"-")</f>
        <v>-</v>
      </c>
      <c r="F990" s="2" t="str">
        <f>IFERROR(INDEX(Movimientos!$G$2:$G$1994,MATCH(A990&amp;"ENTRADA",Movimientos!$R$2:$R$1994,0)),"-")</f>
        <v>-</v>
      </c>
      <c r="G990" s="2" t="str">
        <f>IFERROR(INDEX(Movimientos!$L$2:$L$1994,MATCH(A990&amp;"ENTRADA",Movimientos!$R$2:$R$1994,0)),"-")</f>
        <v>-</v>
      </c>
      <c r="H990" s="17" t="str">
        <f>IFERROR(IF(INDEX(Movimientos!$M$2:$M$1994,MATCH(A990&amp;"ENTRADA",Movimientos!$R$2:$R$1994,0))=0,"S/D",INDEX(Movimientos!$M$2:$M$1994,MATCH(A990&amp;"ENTRADA",Movimientos!$R$2:$R$1994,0))),"S/D")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3266</v>
      </c>
      <c r="B991" s="2" t="str">
        <f>IFERROR(INDEX(Movimientos!$C$2:$C$1994,MATCH(A991&amp;"ENTRADA",Movimientos!$R$2:$R$1994,0)),"-")</f>
        <v>-</v>
      </c>
      <c r="C991" s="2" t="str">
        <f>IFERROR(INDEX(Movimientos!$D$2:$D$1994,MATCH(A991&amp;"ENTRADA",Movimientos!$R$2:$R$1994,0)),"-")</f>
        <v>-</v>
      </c>
      <c r="D991" s="2" t="str">
        <f>IFERROR(INDEX(Movimientos!$E$2:$E$1994,MATCH(A991&amp;"ENTRADA",Movimientos!$R$2:$R$1994,0)),"-")</f>
        <v>-</v>
      </c>
      <c r="E991" s="2" t="str">
        <f>IFERROR(INDEX(Movimientos!$F$2:$F$1994,MATCH(A991&amp;"ENTRADA",Movimientos!$R$2:$R$1994,0)),"-")</f>
        <v>-</v>
      </c>
      <c r="F991" s="2" t="str">
        <f>IFERROR(INDEX(Movimientos!$G$2:$G$1994,MATCH(A991&amp;"ENTRADA",Movimientos!$R$2:$R$1994,0)),"-")</f>
        <v>-</v>
      </c>
      <c r="G991" s="2" t="str">
        <f>IFERROR(INDEX(Movimientos!$L$2:$L$1994,MATCH(A991&amp;"ENTRADA",Movimientos!$R$2:$R$1994,0)),"-")</f>
        <v>-</v>
      </c>
      <c r="H991" s="17" t="str">
        <f>IFERROR(IF(INDEX(Movimientos!$M$2:$M$1994,MATCH(A991&amp;"ENTRADA",Movimientos!$R$2:$R$1994,0))=0,"S/D",INDEX(Movimientos!$M$2:$M$1994,MATCH(A991&amp;"ENTRADA",Movimientos!$R$2:$R$1994,0))),"S/D")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3267</v>
      </c>
      <c r="B992" s="2" t="str">
        <f>IFERROR(INDEX(Movimientos!$C$2:$C$1994,MATCH(A992&amp;"ENTRADA",Movimientos!$R$2:$R$1994,0)),"-")</f>
        <v>-</v>
      </c>
      <c r="C992" s="2" t="str">
        <f>IFERROR(INDEX(Movimientos!$D$2:$D$1994,MATCH(A992&amp;"ENTRADA",Movimientos!$R$2:$R$1994,0)),"-")</f>
        <v>-</v>
      </c>
      <c r="D992" s="2" t="str">
        <f>IFERROR(INDEX(Movimientos!$E$2:$E$1994,MATCH(A992&amp;"ENTRADA",Movimientos!$R$2:$R$1994,0)),"-")</f>
        <v>-</v>
      </c>
      <c r="E992" s="2" t="str">
        <f>IFERROR(INDEX(Movimientos!$F$2:$F$1994,MATCH(A992&amp;"ENTRADA",Movimientos!$R$2:$R$1994,0)),"-")</f>
        <v>-</v>
      </c>
      <c r="F992" s="2" t="str">
        <f>IFERROR(INDEX(Movimientos!$G$2:$G$1994,MATCH(A992&amp;"ENTRADA",Movimientos!$R$2:$R$1994,0)),"-")</f>
        <v>-</v>
      </c>
      <c r="G992" s="2" t="str">
        <f>IFERROR(INDEX(Movimientos!$L$2:$L$1994,MATCH(A992&amp;"ENTRADA",Movimientos!$R$2:$R$1994,0)),"-")</f>
        <v>-</v>
      </c>
      <c r="H992" s="17" t="str">
        <f>IFERROR(IF(INDEX(Movimientos!$M$2:$M$1994,MATCH(A992&amp;"ENTRADA",Movimientos!$R$2:$R$1994,0))=0,"S/D",INDEX(Movimientos!$M$2:$M$1994,MATCH(A992&amp;"ENTRADA",Movimientos!$R$2:$R$1994,0))),"S/D")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3268</v>
      </c>
      <c r="B993" s="2" t="str">
        <f>IFERROR(INDEX(Movimientos!$C$2:$C$1994,MATCH(A993&amp;"ENTRADA",Movimientos!$R$2:$R$1994,0)),"-")</f>
        <v>-</v>
      </c>
      <c r="C993" s="2" t="str">
        <f>IFERROR(INDEX(Movimientos!$D$2:$D$1994,MATCH(A993&amp;"ENTRADA",Movimientos!$R$2:$R$1994,0)),"-")</f>
        <v>-</v>
      </c>
      <c r="D993" s="2" t="str">
        <f>IFERROR(INDEX(Movimientos!$E$2:$E$1994,MATCH(A993&amp;"ENTRADA",Movimientos!$R$2:$R$1994,0)),"-")</f>
        <v>-</v>
      </c>
      <c r="E993" s="2" t="str">
        <f>IFERROR(INDEX(Movimientos!$F$2:$F$1994,MATCH(A993&amp;"ENTRADA",Movimientos!$R$2:$R$1994,0)),"-")</f>
        <v>-</v>
      </c>
      <c r="F993" s="2" t="str">
        <f>IFERROR(INDEX(Movimientos!$G$2:$G$1994,MATCH(A993&amp;"ENTRADA",Movimientos!$R$2:$R$1994,0)),"-")</f>
        <v>-</v>
      </c>
      <c r="G993" s="2" t="str">
        <f>IFERROR(INDEX(Movimientos!$L$2:$L$1994,MATCH(A993&amp;"ENTRADA",Movimientos!$R$2:$R$1994,0)),"-")</f>
        <v>-</v>
      </c>
      <c r="H993" s="17" t="str">
        <f>IFERROR(IF(INDEX(Movimientos!$M$2:$M$1994,MATCH(A993&amp;"ENTRADA",Movimientos!$R$2:$R$1994,0))=0,"S/D",INDEX(Movimientos!$M$2:$M$1994,MATCH(A993&amp;"ENTRADA",Movimientos!$R$2:$R$1994,0))),"S/D")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3269</v>
      </c>
      <c r="B994" s="2" t="str">
        <f>IFERROR(INDEX(Movimientos!$C$2:$C$1994,MATCH(A994&amp;"ENTRADA",Movimientos!$R$2:$R$1994,0)),"-")</f>
        <v>-</v>
      </c>
      <c r="C994" s="2" t="str">
        <f>IFERROR(INDEX(Movimientos!$D$2:$D$1994,MATCH(A994&amp;"ENTRADA",Movimientos!$R$2:$R$1994,0)),"-")</f>
        <v>-</v>
      </c>
      <c r="D994" s="2" t="str">
        <f>IFERROR(INDEX(Movimientos!$E$2:$E$1994,MATCH(A994&amp;"ENTRADA",Movimientos!$R$2:$R$1994,0)),"-")</f>
        <v>-</v>
      </c>
      <c r="E994" s="2" t="str">
        <f>IFERROR(INDEX(Movimientos!$F$2:$F$1994,MATCH(A994&amp;"ENTRADA",Movimientos!$R$2:$R$1994,0)),"-")</f>
        <v>-</v>
      </c>
      <c r="F994" s="2" t="str">
        <f>IFERROR(INDEX(Movimientos!$G$2:$G$1994,MATCH(A994&amp;"ENTRADA",Movimientos!$R$2:$R$1994,0)),"-")</f>
        <v>-</v>
      </c>
      <c r="G994" s="2" t="str">
        <f>IFERROR(INDEX(Movimientos!$L$2:$L$1994,MATCH(A994&amp;"ENTRADA",Movimientos!$R$2:$R$1994,0)),"-")</f>
        <v>-</v>
      </c>
      <c r="H994" s="17" t="str">
        <f>IFERROR(IF(INDEX(Movimientos!$M$2:$M$1994,MATCH(A994&amp;"ENTRADA",Movimientos!$R$2:$R$1994,0))=0,"S/D",INDEX(Movimientos!$M$2:$M$1994,MATCH(A994&amp;"ENTRADA",Movimientos!$R$2:$R$1994,0))),"S/D")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3270</v>
      </c>
      <c r="B995" s="2" t="str">
        <f>IFERROR(INDEX(Movimientos!$C$2:$C$1994,MATCH(A995&amp;"ENTRADA",Movimientos!$R$2:$R$1994,0)),"-")</f>
        <v>-</v>
      </c>
      <c r="C995" s="2" t="str">
        <f>IFERROR(INDEX(Movimientos!$D$2:$D$1994,MATCH(A995&amp;"ENTRADA",Movimientos!$R$2:$R$1994,0)),"-")</f>
        <v>-</v>
      </c>
      <c r="D995" s="2" t="str">
        <f>IFERROR(INDEX(Movimientos!$E$2:$E$1994,MATCH(A995&amp;"ENTRADA",Movimientos!$R$2:$R$1994,0)),"-")</f>
        <v>-</v>
      </c>
      <c r="E995" s="2" t="str">
        <f>IFERROR(INDEX(Movimientos!$F$2:$F$1994,MATCH(A995&amp;"ENTRADA",Movimientos!$R$2:$R$1994,0)),"-")</f>
        <v>-</v>
      </c>
      <c r="F995" s="2" t="str">
        <f>IFERROR(INDEX(Movimientos!$G$2:$G$1994,MATCH(A995&amp;"ENTRADA",Movimientos!$R$2:$R$1994,0)),"-")</f>
        <v>-</v>
      </c>
      <c r="G995" s="2" t="str">
        <f>IFERROR(INDEX(Movimientos!$L$2:$L$1994,MATCH(A995&amp;"ENTRADA",Movimientos!$R$2:$R$1994,0)),"-")</f>
        <v>-</v>
      </c>
      <c r="H995" s="17" t="str">
        <f>IFERROR(IF(INDEX(Movimientos!$M$2:$M$1994,MATCH(A995&amp;"ENTRADA",Movimientos!$R$2:$R$1994,0))=0,"S/D",INDEX(Movimientos!$M$2:$M$1994,MATCH(A995&amp;"ENTRADA",Movimientos!$R$2:$R$1994,0))),"S/D")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3271</v>
      </c>
      <c r="B996" s="2" t="str">
        <f>IFERROR(INDEX(Movimientos!$C$2:$C$1994,MATCH(A996&amp;"ENTRADA",Movimientos!$R$2:$R$1994,0)),"-")</f>
        <v>-</v>
      </c>
      <c r="C996" s="2" t="str">
        <f>IFERROR(INDEX(Movimientos!$D$2:$D$1994,MATCH(A996&amp;"ENTRADA",Movimientos!$R$2:$R$1994,0)),"-")</f>
        <v>-</v>
      </c>
      <c r="D996" s="2" t="str">
        <f>IFERROR(INDEX(Movimientos!$E$2:$E$1994,MATCH(A996&amp;"ENTRADA",Movimientos!$R$2:$R$1994,0)),"-")</f>
        <v>-</v>
      </c>
      <c r="E996" s="2" t="str">
        <f>IFERROR(INDEX(Movimientos!$F$2:$F$1994,MATCH(A996&amp;"ENTRADA",Movimientos!$R$2:$R$1994,0)),"-")</f>
        <v>-</v>
      </c>
      <c r="F996" s="2" t="str">
        <f>IFERROR(INDEX(Movimientos!$G$2:$G$1994,MATCH(A996&amp;"ENTRADA",Movimientos!$R$2:$R$1994,0)),"-")</f>
        <v>-</v>
      </c>
      <c r="G996" s="2" t="str">
        <f>IFERROR(INDEX(Movimientos!$L$2:$L$1994,MATCH(A996&amp;"ENTRADA",Movimientos!$R$2:$R$1994,0)),"-")</f>
        <v>-</v>
      </c>
      <c r="H996" s="17" t="str">
        <f>IFERROR(IF(INDEX(Movimientos!$M$2:$M$1994,MATCH(A996&amp;"ENTRADA",Movimientos!$R$2:$R$1994,0))=0,"S/D",INDEX(Movimientos!$M$2:$M$1994,MATCH(A996&amp;"ENTRADA",Movimientos!$R$2:$R$1994,0))),"S/D")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8"/>
  <sheetViews>
    <sheetView showGridLines="0" topLeftCell="A10" workbookViewId="0">
      <selection activeCell="B69" sqref="B6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2334</v>
      </c>
      <c r="B1" s="23" t="s">
        <v>3272</v>
      </c>
      <c r="C1" s="23" t="s">
        <v>4</v>
      </c>
      <c r="D1" s="23" t="s">
        <v>5</v>
      </c>
      <c r="E1" s="23" t="s">
        <v>6</v>
      </c>
      <c r="F1" s="23" t="s">
        <v>3273</v>
      </c>
      <c r="G1" s="23" t="s">
        <v>11</v>
      </c>
      <c r="H1" s="23" t="s">
        <v>3274</v>
      </c>
    </row>
    <row r="2" spans="1:8">
      <c r="A2" t="s">
        <v>22</v>
      </c>
      <c r="B2" t="s">
        <v>23</v>
      </c>
      <c r="C2" s="24" t="s">
        <v>3275</v>
      </c>
      <c r="D2" s="24" t="s">
        <v>3276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3277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3278</v>
      </c>
      <c r="E4" s="24" t="s">
        <v>76</v>
      </c>
      <c r="G4" s="24" t="s">
        <v>3279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3280</v>
      </c>
      <c r="E5" s="10" t="s">
        <v>26</v>
      </c>
      <c r="G5" s="24" t="s">
        <v>3281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3282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3283</v>
      </c>
      <c r="E9" s="24" t="s">
        <v>157</v>
      </c>
      <c r="G9" s="10" t="s">
        <v>3284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3285</v>
      </c>
      <c r="E13" t="s">
        <v>3286</v>
      </c>
      <c r="H13" t="s">
        <v>1022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3287</v>
      </c>
    </row>
    <row r="15" spans="1:8">
      <c r="A15" t="s">
        <v>107</v>
      </c>
      <c r="B15" t="s">
        <v>108</v>
      </c>
      <c r="C15" s="24"/>
      <c r="D15" s="24" t="s">
        <v>3288</v>
      </c>
      <c r="E15" t="s">
        <v>258</v>
      </c>
    </row>
    <row r="16" spans="1:8">
      <c r="A16" t="s">
        <v>114</v>
      </c>
      <c r="B16" t="s">
        <v>115</v>
      </c>
      <c r="D16" s="24" t="s">
        <v>3289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769</v>
      </c>
    </row>
    <row r="18" spans="1:5">
      <c r="A18" t="s">
        <v>129</v>
      </c>
      <c r="B18" t="s">
        <v>130</v>
      </c>
      <c r="D18" t="s">
        <v>127</v>
      </c>
      <c r="E18" t="s">
        <v>775</v>
      </c>
    </row>
    <row r="19" spans="1:5">
      <c r="A19" t="s">
        <v>136</v>
      </c>
      <c r="B19" t="s">
        <v>137</v>
      </c>
      <c r="D19" t="s">
        <v>164</v>
      </c>
      <c r="E19" t="s">
        <v>1031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3290</v>
      </c>
    </row>
    <row r="29" spans="1:5">
      <c r="A29" t="s">
        <v>185</v>
      </c>
      <c r="B29" t="s">
        <v>186</v>
      </c>
      <c r="D29" t="s">
        <v>3291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3292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718</v>
      </c>
    </row>
    <row r="55" spans="1:2">
      <c r="A55" t="s">
        <v>628</v>
      </c>
      <c r="B55" t="s">
        <v>749</v>
      </c>
    </row>
    <row r="56" spans="1:2">
      <c r="A56" t="s">
        <v>635</v>
      </c>
      <c r="B56" t="s">
        <v>756</v>
      </c>
    </row>
    <row r="57" spans="1:2">
      <c r="A57" t="s">
        <v>655</v>
      </c>
      <c r="B57" t="s">
        <v>759</v>
      </c>
    </row>
    <row r="58" spans="1:2">
      <c r="A58" t="s">
        <v>717</v>
      </c>
      <c r="B58" t="s">
        <v>762</v>
      </c>
    </row>
    <row r="59" spans="1:2">
      <c r="A59" t="s">
        <v>748</v>
      </c>
      <c r="B59" t="s">
        <v>765</v>
      </c>
    </row>
    <row r="60" spans="1:2">
      <c r="A60" t="s">
        <v>755</v>
      </c>
      <c r="B60" t="s">
        <v>768</v>
      </c>
    </row>
    <row r="61" spans="1:2">
      <c r="A61" t="s">
        <v>758</v>
      </c>
      <c r="B61" t="s">
        <v>774</v>
      </c>
    </row>
    <row r="62" spans="1:2">
      <c r="A62" t="s">
        <v>761</v>
      </c>
      <c r="B62" t="s">
        <v>778</v>
      </c>
    </row>
    <row r="63" spans="1:2">
      <c r="A63" t="s">
        <v>764</v>
      </c>
      <c r="B63" t="s">
        <v>781</v>
      </c>
    </row>
    <row r="64" spans="1:2">
      <c r="A64" t="s">
        <v>767</v>
      </c>
      <c r="B64" t="s">
        <v>784</v>
      </c>
    </row>
    <row r="65" spans="1:2">
      <c r="A65" t="s">
        <v>773</v>
      </c>
      <c r="B65" t="s">
        <v>787</v>
      </c>
    </row>
    <row r="66" spans="1:2">
      <c r="A66" t="s">
        <v>777</v>
      </c>
      <c r="B66" t="s">
        <v>3293</v>
      </c>
    </row>
    <row r="67" spans="1:2">
      <c r="A67" t="s">
        <v>780</v>
      </c>
      <c r="B67" t="s">
        <v>3293</v>
      </c>
    </row>
    <row r="68" spans="1:2">
      <c r="A68" t="s">
        <v>783</v>
      </c>
      <c r="B68" t="s">
        <v>932</v>
      </c>
    </row>
    <row r="69" spans="1:2">
      <c r="A69" t="s">
        <v>786</v>
      </c>
      <c r="B69" t="s">
        <v>939</v>
      </c>
    </row>
    <row r="70" spans="1:2">
      <c r="A70" t="s">
        <v>836</v>
      </c>
      <c r="B70" t="s">
        <v>942</v>
      </c>
    </row>
    <row r="71" spans="1:2">
      <c r="A71" t="s">
        <v>838</v>
      </c>
      <c r="B71" t="s">
        <v>949</v>
      </c>
    </row>
    <row r="72" spans="1:2">
      <c r="A72" t="s">
        <v>907</v>
      </c>
      <c r="B72" t="s">
        <v>990</v>
      </c>
    </row>
    <row r="73" spans="1:2">
      <c r="A73" t="s">
        <v>931</v>
      </c>
      <c r="B73" t="s">
        <v>1030</v>
      </c>
    </row>
    <row r="74" spans="1:2">
      <c r="A74" t="s">
        <v>951</v>
      </c>
    </row>
    <row r="75" spans="1:2">
      <c r="A75" t="s">
        <v>941</v>
      </c>
    </row>
    <row r="76" spans="1:2">
      <c r="A76" t="s">
        <v>948</v>
      </c>
    </row>
    <row r="77" spans="1:2">
      <c r="A77" t="s">
        <v>989</v>
      </c>
    </row>
    <row r="78" spans="1:2">
      <c r="A78" t="s">
        <v>1029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3294</v>
      </c>
    </row>
    <row r="2" spans="1:2">
      <c r="B2" t="s">
        <v>3295</v>
      </c>
    </row>
    <row r="3" spans="1:2" ht="18" customHeight="1">
      <c r="A3" s="11" t="s">
        <v>3296</v>
      </c>
      <c r="B3" s="12"/>
    </row>
    <row r="4" spans="1:2" ht="30" customHeight="1">
      <c r="A4" s="25" t="s">
        <v>3297</v>
      </c>
      <c r="B4" s="26" t="s">
        <v>3298</v>
      </c>
    </row>
    <row r="5" spans="1:2" ht="30" customHeight="1">
      <c r="A5" s="25" t="s">
        <v>3299</v>
      </c>
      <c r="B5" s="26" t="s">
        <v>3300</v>
      </c>
    </row>
    <row r="6" spans="1:2" ht="30" customHeight="1">
      <c r="A6" s="25" t="s">
        <v>3301</v>
      </c>
      <c r="B6" s="26" t="s">
        <v>3302</v>
      </c>
    </row>
    <row r="7" spans="1:2" ht="18" customHeight="1">
      <c r="A7" s="27"/>
      <c r="B7" s="27"/>
    </row>
    <row r="8" spans="1:2" ht="18" customHeight="1">
      <c r="A8" s="11" t="s">
        <v>3303</v>
      </c>
      <c r="B8" s="12"/>
    </row>
    <row r="9" spans="1:2" ht="30" customHeight="1">
      <c r="A9" s="25" t="s">
        <v>3304</v>
      </c>
      <c r="B9" s="26" t="s">
        <v>3305</v>
      </c>
    </row>
    <row r="10" spans="1:2" ht="30" customHeight="1">
      <c r="A10" s="25" t="s">
        <v>3306</v>
      </c>
      <c r="B10" s="26" t="s">
        <v>3307</v>
      </c>
    </row>
    <row r="11" spans="1:2" ht="30" customHeight="1">
      <c r="A11" s="25" t="s">
        <v>3308</v>
      </c>
      <c r="B11" s="26" t="s">
        <v>3309</v>
      </c>
    </row>
    <row r="12" spans="1:2" ht="30" customHeight="1">
      <c r="A12" s="25" t="s">
        <v>3310</v>
      </c>
      <c r="B12" s="26" t="s">
        <v>3311</v>
      </c>
    </row>
    <row r="13" spans="1:2" ht="30" customHeight="1">
      <c r="A13" s="25" t="s">
        <v>3312</v>
      </c>
      <c r="B13" s="26" t="s">
        <v>3313</v>
      </c>
    </row>
    <row r="14" spans="1:2" ht="18" customHeight="1">
      <c r="A14" s="27"/>
      <c r="B14" s="27"/>
    </row>
    <row r="15" spans="1:2" ht="18" customHeight="1">
      <c r="A15" s="11" t="s">
        <v>3314</v>
      </c>
      <c r="B15" s="12"/>
    </row>
    <row r="16" spans="1:2" ht="30" customHeight="1">
      <c r="A16" s="25" t="s">
        <v>3315</v>
      </c>
      <c r="B16" s="26" t="s">
        <v>3316</v>
      </c>
    </row>
    <row r="17" spans="1:2" ht="18" customHeight="1">
      <c r="A17" s="27"/>
      <c r="B17" s="27"/>
    </row>
    <row r="18" spans="1:2" ht="18" customHeight="1">
      <c r="A18" s="11" t="s">
        <v>3317</v>
      </c>
      <c r="B18" s="12"/>
    </row>
    <row r="19" spans="1:2" ht="30" customHeight="1">
      <c r="A19" s="25" t="s">
        <v>3318</v>
      </c>
      <c r="B19" s="26" t="s">
        <v>3319</v>
      </c>
    </row>
    <row r="20" spans="1:2" ht="30" customHeight="1">
      <c r="A20" s="25" t="s">
        <v>3320</v>
      </c>
      <c r="B20" s="26" t="s">
        <v>3321</v>
      </c>
    </row>
    <row r="21" spans="1:2" ht="30" customHeight="1">
      <c r="A21" s="25" t="s">
        <v>3322</v>
      </c>
      <c r="B21" s="26" t="s">
        <v>3323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2026-09-29T18:02:30Z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