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C87A3CB6-B634-49FA-B1C3-62679DAC544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1" i="1" l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8" i="1"/>
  <c r="T11999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2" i="1"/>
  <c r="R212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H208" i="1"/>
  <c r="R208" i="1"/>
  <c r="R209" i="1"/>
  <c r="R210" i="1"/>
  <c r="R211" i="1"/>
  <c r="H213" i="1"/>
  <c r="R213" i="1"/>
  <c r="R214" i="1"/>
  <c r="R215" i="1"/>
  <c r="R216" i="1"/>
  <c r="R217" i="1"/>
  <c r="R218" i="1"/>
  <c r="R219" i="1"/>
  <c r="R220" i="1"/>
  <c r="R221" i="1"/>
  <c r="R222" i="1"/>
  <c r="R224" i="1"/>
  <c r="R225" i="1"/>
  <c r="R226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J18" i="2" l="1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<sst xmlns="http://schemas.openxmlformats.org/spreadsheetml/2006/main" count="5157" uniqueCount="3244">
  <si>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</si>
  <si>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</si>
  <si>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</si>
  <si>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</si>
  <si>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</si>
  <si>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</si>
  <si>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</si>
  <si>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</si>
  <si>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</si>
  <si>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</si>
  <si>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</si>
  <si>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</si>
  <si>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</si>
  <si>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</si>
  <si>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</si>
  <si>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</si>
  <si>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</si>
  <si>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</si>
  <si>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</si>
  <si>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</si>
  <si>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</si>
  <si>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</si>
  <si>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</si>
  <si>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</si>
  <si>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</si>
  <si>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</si>
  <si>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</si>
  <si>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</si>
  <si>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</si>
  <si>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</si>
  <si>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</si>
  <si>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</si>
  <si>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</si>
  <si>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</si>
  <si>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</si>
  <si>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</si>
  <si>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</si>
  <si>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</si>
  <si>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</si>
  <si>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</si>
  <si>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</si>
  <si>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</si>
  <si>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</si>
  <si>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</si>
  <si>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</si>
  <si>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</si>
  <si>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</si>
  <si>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</si>
  <si>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</si>
  <si>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</si>
  <si>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</si>
  <si>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</si>
  <si>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</si>
  <si>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</si>
  <si>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</si>
  <si>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</si>
  <si>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</si>
  <si>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</si>
  <si>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</si>
  <si>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</si>
  <si>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</si>
  <si>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</si>
  <si>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</si>
  <si>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</si>
  <si>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</si>
  <si>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</si>
  <si>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</si>
  <si>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</si>
  <si>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</si>
  <si>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</si>
  <si>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</si>
  <si>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</si>
  <si>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</si>
  <si>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</si>
  <si>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</si>
  <si>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</si>
  <si>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</si>
  <si>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</si>
  <si>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</si>
  <si>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</si>
  <si>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</si>
  <si>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</si>
  <si>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</si>
  <si>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</si>
  <si>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</si>
  <si>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</si>
  <si>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</si>
  <si>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</si>
  <si>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</si>
  <si>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</si>
  <si>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</si>
  <si>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</si>
  <si>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</si>
  <si>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</si>
  <si>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</si>
  <si>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</si>
  <si>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</si>
  <si>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</si>
  <si>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</si>
  <si>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</si>
  <si>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</si>
  <si>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</si>
  <si>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</si>
  <si>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</si>
  <si>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</si>
  <si>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</si>
  <si>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</si>
  <si>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</si>
  <si>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</si>
  <si>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</si>
  <si>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</si>
  <si>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</si>
  <si>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</si>
  <si>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</si>
  <si>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</si>
  <si>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</si>
  <si>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</si>
  <si>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</si>
  <si>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</si>
  <si>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</si>
  <si>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</si>
  <si>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</si>
  <si>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</si>
  <si>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</si>
  <si>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</si>
  <si>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</si>
  <si>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</si>
  <si>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</si>
  <si>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</si>
  <si>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</si>
  <si>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</si>
  <si>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</si>
  <si>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</si>
  <si>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</si>
  <si>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</si>
  <si>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</si>
  <si>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</si>
  <si>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</si>
  <si>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</si>
  <si>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</si>
  <si>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</si>
  <si>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</si>
  <si>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</si>
  <si>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</si>
  <si>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</si>
  <si>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</si>
  <si>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</si>
  <si>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</si>
  <si>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</si>
  <si>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</si>
  <si>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</si>
  <si>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</si>
  <si>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</si>
  <si>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</si>
  <si>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</si>
  <si>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</si>
  <si>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</si>
  <si>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</si>
  <si>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</si>
  <si>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</si>
  <si>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</si>
  <si>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</si>
  <si>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</si>
  <si>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</si>
  <si>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</si>
  <si>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</si>
  <si>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</si>
  <si>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</si>
  <si>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</si>
  <si>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</si>
  <si>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</si>
  <si>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</si>
  <si>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</si>
  <si>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</si>
  <si>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</si>
  <si>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</si>
  <si>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</si>
  <si>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</si>
  <si>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</si>
  <si>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</si>
  <si>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</si>
  <si>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</si>
  <si>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</si>
  <si>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</si>
  <si>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</si>
  <si>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</si>
  <si>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</si>
  <si>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</si>
  <si>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</si>
  <si>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</si>
  <si>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</si>
  <si>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</si>
  <si>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</si>
  <si>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</si>
  <si>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</si>
  <si>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</si>
  <si>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</si>
  <si>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</si>
  <si>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</si>
  <si>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</si>
  <si>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</si>
  <si>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</si>
  <si>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</si>
  <si>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</si>
  <si>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</si>
  <si>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</si>
  <si>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</si>
  <si>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</si>
  <si>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</si>
  <si>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</si>
  <si>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</si>
  <si>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</si>
  <si>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</si>
  <si>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</si>
  <si>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</si>
  <si>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</si>
  <si>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</si>
  <si>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</si>
  <si>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</si>
  <si>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</si>
  <si>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</si>
  <si>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</si>
  <si>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</si>
  <si>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</si>
  <si>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</si>
  <si>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</si>
  <si>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</si>
  <si>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</si>
  <si>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</si>
  <si>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</si>
  <si>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</si>
  <si>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</si>
  <si>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</si>
  <si>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</si>
  <si>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</si>
  <si>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</si>
  <si>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</si>
  <si>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</si>
  <si>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</si>
  <si>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</si>
  <si>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</si>
  <si>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</si>
  <si>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</si>
  <si>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</si>
  <si>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</si>
  <si>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</si>
  <si>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</si>
  <si>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</si>
  <si>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</si>
  <si>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</si>
  <si>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</si>
  <si>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</si>
  <si>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</si>
  <si>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</si>
  <si>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</si>
  <si>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</si>
  <si>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</si>
  <si>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</si>
  <si>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</si>
  <si>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</si>
  <si>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</si>
  <si>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</si>
  <si>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</si>
  <si>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</si>
  <si>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</si>
  <si>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</si>
  <si>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</si>
  <si>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</si>
  <si>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</si>
  <si>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</si>
  <si>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</si>
  <si>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</si>
  <si>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</si>
  <si>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</si>
  <si>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</si>
  <si>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</si>
  <si>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</si>
  <si>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</si>
  <si>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</si>
  <si>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</si>
  <si>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</si>
  <si>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</si>
  <si>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</si>
  <si>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</si>
  <si>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</si>
  <si>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</si>
  <si>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</si>
  <si>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</si>
  <si>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</si>
  <si>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</si>
  <si>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</si>
  <si>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</si>
  <si>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</si>
  <si>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</si>
  <si>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</si>
  <si>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</si>
  <si>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</si>
  <si>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</si>
  <si>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</si>
  <si>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</si>
  <si>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</si>
  <si>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</si>
  <si>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</si>
  <si>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</si>
  <si>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</si>
  <si>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</si>
  <si>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</si>
  <si>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</si>
  <si>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</si>
  <si>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</si>
  <si>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</si>
  <si>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</si>
  <si>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</si>
  <si>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</si>
  <si>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</si>
  <si>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</si>
  <si>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</si>
  <si>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</si>
  <si>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</si>
  <si>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</si>
  <si>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</si>
  <si>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</si>
  <si>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</si>
  <si>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</si>
  <si>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</si>
  <si>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</si>
  <si>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</si>
  <si>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</si>
  <si>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</si>
  <si>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</si>
  <si>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</si>
  <si>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</si>
  <si>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</si>
  <si>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</si>
  <si>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</si>
  <si>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</si>
  <si>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</si>
  <si>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</si>
  <si>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</si>
  <si>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</si>
  <si>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</si>
  <si>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</si>
  <si>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</si>
  <si>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</si>
  <si>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</si>
  <si>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</si>
  <si>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</si>
  <si>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</si>
  <si>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</si>
  <si>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</si>
  <si>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</si>
  <si>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</si>
  <si>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</si>
  <si>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</si>
  <si>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</si>
  <si>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</si>
  <si>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</si>
  <si>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</si>
  <si>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</si>
  <si>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</si>
  <si>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</si>
  <si>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</si>
  <si>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</si>
  <si>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</si>
  <si>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</si>
  <si>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</si>
  <si>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</si>
  <si>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</si>
  <si>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</si>
  <si>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</si>
  <si>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</si>
  <si>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</si>
  <si>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</si>
  <si>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</si>
  <si>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</si>
  <si>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</si>
  <si>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</si>
  <si>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</si>
  <si>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</si>
  <si>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</si>
  <si>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</si>
  <si>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</si>
  <si>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</si>
  <si>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</si>
  <si>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</si>
  <si>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</si>
  <si>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</si>
  <si>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</si>
  <si>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</si>
  <si>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</si>
  <si>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</si>
  <si>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</si>
  <si>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</si>
  <si>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</si>
  <si>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</si>
  <si>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</si>
  <si>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</si>
  <si>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</si>
  <si>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</si>
  <si>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</si>
  <si>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</si>
  <si>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</si>
  <si>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</si>
  <si>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</si>
  <si>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</si>
  <si>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</si>
  <si>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</si>
  <si>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</si>
  <si>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</si>
  <si>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</si>
  <si>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</si>
  <si>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</si>
  <si>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</si>
  <si>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</si>
  <si>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</si>
  <si>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</si>
  <si>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</si>
  <si>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</si>
  <si>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</si>
  <si>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</si>
  <si>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A 7165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</si>
  <si>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</si>
  <si>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</si>
  <si>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</si>
  <si>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</si>
  <si>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</si>
  <si>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</si>
  <si>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</si>
  <si>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</si>
  <si>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</si>
  <si>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</si>
  <si>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</si>
  <si>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</si>
  <si>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</si>
  <si>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MOV-216</t>
  </si>
  <si>
    <t>260521-206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</si>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</sst>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9" totalsRowShown="0">
  <autoFilter ref="A1:U11999" xr:uid="{AB419160-9C2F-4406-84A3-963E72448A76}">
    <filterColumn colId="2">
      <filters>
        <filter val="Festuca Carape"/>
        <filter val="Festuca elodie curada"/>
        <filter val="Festuca Sortija C2"/>
      </filters>
    </filterColumn>
  </autoFilter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9"/>
  <sheetViews>
    <sheetView showGridLines="0" tabSelected="1" topLeftCell="A130" workbookViewId="0">
      <selection activeCell="E217" sqref="E21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 hidden="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 hidden="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 hidden="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 hidden="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 hidden="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 hidden="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 hidden="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 hidden="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 hidden="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 hidden="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 hidden="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 hidden="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 hidden="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 hidden="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 hidden="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 hidden="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 hidden="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 hidden="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 hidden="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 hidden="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 hidden="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 hidden="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 hidden="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 hidden="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 hidden="1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 hidden="1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 hidden="1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 hidden="1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 hidden="1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 hidden="1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 hidden="1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 hidden="1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 hidden="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 hidden="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 hidden="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 hidden="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 hidden="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 hidden="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 hidden="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 hidden="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 hidden="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 hidden="1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 hidden="1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 hidden="1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 hidden="1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 hidden="1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 hidden="1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 hidden="1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 hidden="1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 hidden="1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 hidden="1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 hidden="1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 hidden="1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5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419</v>
      </c>
      <c r="B208" s="48">
        <v>46163</v>
      </c>
      <c r="C208" t="s">
        <v>154</v>
      </c>
      <c r="D208" t="s">
        <v>155</v>
      </c>
      <c r="E208" t="s">
        <v>24</v>
      </c>
      <c r="F208" t="s">
        <v>25</v>
      </c>
      <c r="G208" t="s">
        <v>299</v>
      </c>
      <c r="H208" s="20" t="str">
        <f>+T208</f>
        <v>260521-206</v>
      </c>
      <c r="I208" t="s">
        <v>27</v>
      </c>
      <c r="J208" s="30">
        <v>500</v>
      </c>
      <c r="K208" s="22">
        <f t="shared" si="0"/>
        <v>500</v>
      </c>
      <c r="L208" t="s">
        <v>28</v>
      </c>
      <c r="N208" t="s">
        <v>420</v>
      </c>
      <c r="Q208" s="34"/>
      <c r="R208" s="22" t="str">
        <f>IF(H208="","",H208&amp;I208)</f>
        <v>260521-206ENTRADA</v>
      </c>
      <c r="S208" s="22" t="str">
        <f>IF(C208="","",C208&amp;I208)</f>
        <v>Colza Nuola 300ENTRADA</v>
      </c>
      <c r="T208" t="str">
        <f>IF(OR(C208="",I208&lt;&gt;"ENTRADA"),"",TEXT(B208,"AAMMDD")&amp;"-"&amp;TEXT(VALUE(SUBSTITUTE(A208,"MOV-","")),"000"))</f>
        <v>260521-206</v>
      </c>
    </row>
    <row r="209" spans="1:20" hidden="1">
      <c r="A209" s="20" t="s">
        <v>421</v>
      </c>
      <c r="B209" s="48">
        <v>46164</v>
      </c>
      <c r="C209" t="s">
        <v>114</v>
      </c>
      <c r="D209" t="s">
        <v>115</v>
      </c>
      <c r="E209" t="s">
        <v>33</v>
      </c>
      <c r="F209" t="s">
        <v>34</v>
      </c>
      <c r="G209" t="s">
        <v>116</v>
      </c>
      <c r="H209" s="20" t="s">
        <v>119</v>
      </c>
      <c r="I209" t="s">
        <v>64</v>
      </c>
      <c r="J209" s="30">
        <v>500</v>
      </c>
      <c r="K209" s="22">
        <f t="shared" si="0"/>
        <v>-500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260410-025SALIDA</v>
      </c>
      <c r="S209" s="22" t="str">
        <f>IF(C209="","",C209&amp;I209)</f>
        <v>AzukaSALIDA</v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422</v>
      </c>
      <c r="B210" s="48">
        <v>46164</v>
      </c>
      <c r="C210" t="s">
        <v>135</v>
      </c>
      <c r="D210" t="s">
        <v>136</v>
      </c>
      <c r="E210" t="s">
        <v>130</v>
      </c>
      <c r="G210" t="s">
        <v>131</v>
      </c>
      <c r="H210" s="20" t="s">
        <v>209</v>
      </c>
      <c r="I210" t="s">
        <v>64</v>
      </c>
      <c r="J210" s="30">
        <v>15</v>
      </c>
      <c r="K210" s="22">
        <f t="shared" si="0"/>
        <v>-15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260414-030SALIDA</v>
      </c>
      <c r="S210" s="22" t="str">
        <f>IF(C210="","",C210&amp;I210)</f>
        <v>Full controlSALIDA</v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423</v>
      </c>
      <c r="B211" s="48">
        <v>46164</v>
      </c>
      <c r="C211" t="s">
        <v>128</v>
      </c>
      <c r="D211" t="s">
        <v>129</v>
      </c>
      <c r="E211" t="s">
        <v>130</v>
      </c>
      <c r="G211" t="s">
        <v>131</v>
      </c>
      <c r="H211" s="20" t="s">
        <v>219</v>
      </c>
      <c r="I211" t="s">
        <v>64</v>
      </c>
      <c r="J211" s="30">
        <v>20</v>
      </c>
      <c r="K211" s="22">
        <f t="shared" si="0"/>
        <v>-20</v>
      </c>
      <c r="L211" t="s">
        <v>36</v>
      </c>
      <c r="N211">
        <v>65071</v>
      </c>
      <c r="O211" t="s">
        <v>380</v>
      </c>
      <c r="P211">
        <v>1701</v>
      </c>
      <c r="Q211" s="43">
        <v>46167</v>
      </c>
      <c r="R211" s="22" t="str">
        <f>IF(H211="","",H211&amp;I211)</f>
        <v>260414-029SALIDA</v>
      </c>
      <c r="S211" s="22" t="str">
        <f>IF(C211="","",C211&amp;I211)</f>
        <v>HarrierSALIDA</v>
      </c>
      <c r="T211" t="str">
        <f>IF(OR(C211="",I211&lt;&gt;"ENTRADA"),"",TEXT(B211,"AAMMDD")&amp;"-"&amp;TEXT(VALUE(SUBSTITUTE(A211,"MOV-","")),"000"))</f>
        <v/>
      </c>
    </row>
    <row r="212" spans="1:20" hidden="1">
      <c r="A212" s="20" t="s">
        <v>424</v>
      </c>
      <c r="B212" s="48">
        <v>46164</v>
      </c>
      <c r="C212" s="35" t="s">
        <v>425</v>
      </c>
      <c r="D212" s="35" t="s">
        <v>426</v>
      </c>
      <c r="E212" s="35" t="s">
        <v>24</v>
      </c>
      <c r="F212" s="35"/>
      <c r="G212" s="35" t="s">
        <v>26</v>
      </c>
      <c r="H212" s="20" t="str">
        <f>+T212</f>
        <v>260522-210</v>
      </c>
      <c r="I212" s="35" t="s">
        <v>27</v>
      </c>
      <c r="J212" s="37">
        <v>12000</v>
      </c>
      <c r="K212" s="22">
        <f t="shared" si="0"/>
        <v>12000</v>
      </c>
      <c r="L212" s="35" t="s">
        <v>28</v>
      </c>
      <c r="M212" s="35"/>
      <c r="N212" s="35">
        <v>48489</v>
      </c>
      <c r="O212" s="35"/>
      <c r="P212" s="35"/>
      <c r="Q212" s="21"/>
      <c r="R212" s="22" t="str">
        <f>IF(H212="","",H212&amp;I212)</f>
        <v>260522-210ENTRADA</v>
      </c>
      <c r="S212" s="22" t="str">
        <f>IF(C212="","",C212&amp;I212)</f>
        <v>Semilla trigo tipa ENTRADA</v>
      </c>
      <c r="T212" t="str">
        <f>IF(OR(C212="",I212&lt;&gt;"ENTRADA"),"",TEXT(B212,"AAMMDD")&amp;"-"&amp;TEXT(VALUE(SUBSTITUTE(A212,"MOV-","")),"000"))</f>
        <v>260522-210</v>
      </c>
    </row>
    <row r="213" spans="1:20" hidden="1">
      <c r="A213" s="20" t="s">
        <v>427</v>
      </c>
      <c r="B213" s="48">
        <v>46164</v>
      </c>
      <c r="C213" t="s">
        <v>428</v>
      </c>
      <c r="D213" t="s">
        <v>429</v>
      </c>
      <c r="E213" t="s">
        <v>24</v>
      </c>
      <c r="G213" t="s">
        <v>26</v>
      </c>
      <c r="H213" s="20" t="str">
        <f>+T213</f>
        <v>260522-211</v>
      </c>
      <c r="I213" t="s">
        <v>27</v>
      </c>
      <c r="J213" s="30">
        <v>600</v>
      </c>
      <c r="K213" s="22">
        <f t="shared" si="0"/>
        <v>600</v>
      </c>
      <c r="L213" t="s">
        <v>28</v>
      </c>
      <c r="N213" s="35">
        <v>48489</v>
      </c>
      <c r="Q213" s="34"/>
      <c r="R213" s="22" t="str">
        <f>IF(H213="","",H213&amp;I213)</f>
        <v>260522-211ENTRADA</v>
      </c>
      <c r="S213" s="22" t="str">
        <f>IF(C213="","",C213&amp;I213)</f>
        <v>Semilla trigo aromoENTRADA</v>
      </c>
      <c r="T213" t="str">
        <f>IF(OR(C213="",I213&lt;&gt;"ENTRADA"),"",TEXT(B213,"AAMMDD")&amp;"-"&amp;TEXT(VALUE(SUBSTITUTE(A213,"MOV-","")),"000"))</f>
        <v>260522-211</v>
      </c>
    </row>
    <row r="214" spans="1:20" hidden="1">
      <c r="A214" s="20" t="s">
        <v>430</v>
      </c>
      <c r="B214" s="48">
        <v>46164</v>
      </c>
      <c r="C214" t="s">
        <v>121</v>
      </c>
      <c r="D214" t="s">
        <v>122</v>
      </c>
      <c r="E214" t="s">
        <v>33</v>
      </c>
      <c r="F214" t="s">
        <v>34</v>
      </c>
      <c r="G214" t="s">
        <v>116</v>
      </c>
      <c r="H214" s="20" t="s">
        <v>201</v>
      </c>
      <c r="I214" t="s">
        <v>64</v>
      </c>
      <c r="J214" s="30">
        <v>110</v>
      </c>
      <c r="K214" s="22">
        <f t="shared" si="0"/>
        <v>-110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260410-027SALIDA</v>
      </c>
      <c r="S214" s="22" t="str">
        <f>IF(C214="","",C214&amp;I214)</f>
        <v>PardoSALIDA</v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431</v>
      </c>
      <c r="B215" s="48">
        <v>46164</v>
      </c>
      <c r="C215" t="s">
        <v>114</v>
      </c>
      <c r="D215" t="s">
        <v>115</v>
      </c>
      <c r="E215" t="s">
        <v>33</v>
      </c>
      <c r="F215" t="s">
        <v>34</v>
      </c>
      <c r="G215" t="s">
        <v>116</v>
      </c>
      <c r="H215" s="20" t="s">
        <v>119</v>
      </c>
      <c r="I215" t="s">
        <v>64</v>
      </c>
      <c r="J215" s="30">
        <v>500</v>
      </c>
      <c r="K215" s="22">
        <f t="shared" si="0"/>
        <v>-500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260410-025SALIDA</v>
      </c>
      <c r="S215" s="22" t="str">
        <f>IF(C215="","",C215&amp;I215)</f>
        <v>AzukaSALIDA</v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432</v>
      </c>
      <c r="B216" s="48">
        <v>46164</v>
      </c>
      <c r="C216" t="s">
        <v>135</v>
      </c>
      <c r="D216" t="s">
        <v>136</v>
      </c>
      <c r="E216" t="s">
        <v>130</v>
      </c>
      <c r="G216" t="s">
        <v>131</v>
      </c>
      <c r="H216" s="20" t="s">
        <v>209</v>
      </c>
      <c r="I216" t="s">
        <v>64</v>
      </c>
      <c r="J216" s="30">
        <v>15</v>
      </c>
      <c r="K216" s="22">
        <f t="shared" si="0"/>
        <v>-15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260414-030SALIDA</v>
      </c>
      <c r="S216" s="22" t="str">
        <f>IF(C216="","",C216&amp;I216)</f>
        <v>Full controlSALIDA</v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433</v>
      </c>
      <c r="B217" s="48">
        <v>46164</v>
      </c>
      <c r="C217" t="s">
        <v>128</v>
      </c>
      <c r="D217" t="s">
        <v>129</v>
      </c>
      <c r="E217" t="s">
        <v>130</v>
      </c>
      <c r="G217" t="s">
        <v>131</v>
      </c>
      <c r="H217" s="20" t="s">
        <v>219</v>
      </c>
      <c r="I217" t="s">
        <v>64</v>
      </c>
      <c r="J217" s="30">
        <v>60</v>
      </c>
      <c r="K217" s="22">
        <f t="shared" si="0"/>
        <v>-60</v>
      </c>
      <c r="N217">
        <v>65073</v>
      </c>
      <c r="O217" t="s">
        <v>216</v>
      </c>
      <c r="P217">
        <v>1702</v>
      </c>
      <c r="Q217" s="43">
        <v>46167</v>
      </c>
      <c r="R217" s="22" t="str">
        <f>IF(H217="","",H217&amp;I217)</f>
        <v>260414-029SALIDA</v>
      </c>
      <c r="S217" s="22" t="str">
        <f>IF(C217="","",C217&amp;I217)</f>
        <v>HarrierSALIDA</v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434</v>
      </c>
      <c r="B218" s="48">
        <v>46164</v>
      </c>
      <c r="C218" t="s">
        <v>154</v>
      </c>
      <c r="D218" t="s">
        <v>155</v>
      </c>
      <c r="E218" t="s">
        <v>24</v>
      </c>
      <c r="F218" t="s">
        <v>25</v>
      </c>
      <c r="G218" t="s">
        <v>299</v>
      </c>
      <c r="H218" s="20" t="s">
        <v>435</v>
      </c>
      <c r="I218" t="s">
        <v>64</v>
      </c>
      <c r="J218" s="30">
        <v>500</v>
      </c>
      <c r="K218" s="22">
        <f t="shared" si="0"/>
        <v>-500</v>
      </c>
      <c r="L218" t="s">
        <v>28</v>
      </c>
      <c r="N218">
        <v>65074</v>
      </c>
      <c r="O218" t="s">
        <v>380</v>
      </c>
      <c r="Q218" s="34"/>
      <c r="R218" s="22" t="str">
        <f>IF(H218="","",H218&amp;I218)</f>
        <v>260521-206SALIDA</v>
      </c>
      <c r="S218" s="22" t="str">
        <f>IF(C218="","",C218&amp;I218)</f>
        <v>Colza Nuola 300SALIDA</v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436</v>
      </c>
      <c r="B219" s="48">
        <v>46165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300</v>
      </c>
      <c r="K219" s="22">
        <f t="shared" si="0"/>
        <v>-300</v>
      </c>
      <c r="L219" t="s">
        <v>36</v>
      </c>
      <c r="N219">
        <v>65076</v>
      </c>
      <c r="O219" t="s">
        <v>329</v>
      </c>
      <c r="P219">
        <v>1704</v>
      </c>
      <c r="Q219" s="43">
        <v>46167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 hidden="1">
      <c r="A220" s="20" t="s">
        <v>437</v>
      </c>
      <c r="B220" s="48">
        <v>46103</v>
      </c>
      <c r="C220" t="s">
        <v>79</v>
      </c>
      <c r="D220" t="s">
        <v>80</v>
      </c>
      <c r="E220" t="s">
        <v>24</v>
      </c>
      <c r="G220" t="s">
        <v>82</v>
      </c>
      <c r="H220" s="20" t="s">
        <v>149</v>
      </c>
      <c r="I220" t="s">
        <v>64</v>
      </c>
      <c r="J220" s="30">
        <v>2500</v>
      </c>
      <c r="K220" s="22">
        <f t="shared" si="0"/>
        <v>-2500</v>
      </c>
      <c r="L220" t="s">
        <v>28</v>
      </c>
      <c r="N220">
        <v>65075</v>
      </c>
      <c r="O220" t="s">
        <v>385</v>
      </c>
      <c r="P220">
        <v>1703</v>
      </c>
      <c r="Q220" s="43">
        <v>46167</v>
      </c>
      <c r="R220" s="22" t="str">
        <f>IF(H220="","",H220&amp;I220)</f>
        <v>260408-013SALIDA</v>
      </c>
      <c r="S220" s="22" t="str">
        <f>IF(C220="","",C220&amp;I220)</f>
        <v>Raigrás E284SALIDA</v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438</v>
      </c>
      <c r="B221" s="48">
        <v>46167</v>
      </c>
      <c r="C221" t="s">
        <v>89</v>
      </c>
      <c r="D221" t="s">
        <v>90</v>
      </c>
      <c r="E221" t="s">
        <v>33</v>
      </c>
      <c r="F221" t="s">
        <v>34</v>
      </c>
      <c r="G221" t="s">
        <v>35</v>
      </c>
      <c r="H221" s="20" t="s">
        <v>373</v>
      </c>
      <c r="I221" t="s">
        <v>64</v>
      </c>
      <c r="J221" s="30">
        <v>10</v>
      </c>
      <c r="K221" s="22">
        <f t="shared" si="0"/>
        <v>-10</v>
      </c>
      <c r="L221" t="s">
        <v>36</v>
      </c>
      <c r="N221">
        <v>65077</v>
      </c>
      <c r="O221" t="s">
        <v>380</v>
      </c>
      <c r="Q221" s="34"/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439</v>
      </c>
      <c r="B222" s="48">
        <v>46167</v>
      </c>
      <c r="C222" t="s">
        <v>89</v>
      </c>
      <c r="D222" t="s">
        <v>90</v>
      </c>
      <c r="E222" t="s">
        <v>33</v>
      </c>
      <c r="F222" t="s">
        <v>34</v>
      </c>
      <c r="G222" t="s">
        <v>35</v>
      </c>
      <c r="H222" s="20" t="s">
        <v>373</v>
      </c>
      <c r="I222" t="s">
        <v>64</v>
      </c>
      <c r="J222" s="30">
        <v>50</v>
      </c>
      <c r="K222" s="22">
        <f t="shared" si="0"/>
        <v>-50</v>
      </c>
      <c r="L222" t="s">
        <v>36</v>
      </c>
      <c r="N222">
        <v>65078</v>
      </c>
      <c r="O222" t="s">
        <v>235</v>
      </c>
      <c r="Q222" s="34"/>
      <c r="R222" s="22" t="str">
        <f>IF(H222="","",H222&amp;I222)</f>
        <v>260405-132SALIDA</v>
      </c>
      <c r="S222" s="22" t="str">
        <f>IF(C222="","",C222&amp;I222)</f>
        <v>PixxaroSALIDA</v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440</v>
      </c>
      <c r="B223" s="48">
        <v>46167</v>
      </c>
      <c r="C223" s="35" t="s">
        <v>89</v>
      </c>
      <c r="D223" s="35" t="s">
        <v>90</v>
      </c>
      <c r="E223" s="35" t="s">
        <v>33</v>
      </c>
      <c r="F223" s="35" t="s">
        <v>34</v>
      </c>
      <c r="G223" s="35" t="s">
        <v>35</v>
      </c>
      <c r="H223" s="20" t="s">
        <v>373</v>
      </c>
      <c r="I223" s="35" t="s">
        <v>64</v>
      </c>
      <c r="J223" s="37">
        <v>80</v>
      </c>
      <c r="K223" s="22">
        <f t="shared" si="0"/>
        <v>-80</v>
      </c>
      <c r="L223" s="35" t="s">
        <v>36</v>
      </c>
      <c r="M223" s="35"/>
      <c r="N223" s="35">
        <v>65079</v>
      </c>
      <c r="O223" s="35" t="s">
        <v>216</v>
      </c>
      <c r="P223" s="35"/>
      <c r="Q223" s="21"/>
      <c r="R223" s="22" t="str">
        <f>IF(H223="","",H223&amp;I223)</f>
        <v>260405-132SALIDA</v>
      </c>
      <c r="S223" s="22" t="str">
        <f>IF(C223="","",C223&amp;I223)</f>
        <v>PixxaroSALIDA</v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441</v>
      </c>
      <c r="B224" s="48">
        <v>46167</v>
      </c>
      <c r="C224" t="s">
        <v>114</v>
      </c>
      <c r="D224" t="s">
        <v>115</v>
      </c>
      <c r="E224" t="s">
        <v>33</v>
      </c>
      <c r="F224" t="s">
        <v>34</v>
      </c>
      <c r="G224" t="s">
        <v>116</v>
      </c>
      <c r="H224" s="20" t="s">
        <v>119</v>
      </c>
      <c r="I224" t="s">
        <v>64</v>
      </c>
      <c r="J224" s="30">
        <v>500</v>
      </c>
      <c r="K224" s="22">
        <f t="shared" si="0"/>
        <v>-500</v>
      </c>
      <c r="L224" t="s">
        <v>36</v>
      </c>
      <c r="N224">
        <v>65079</v>
      </c>
      <c r="O224" t="s">
        <v>216</v>
      </c>
      <c r="Q224" s="34"/>
      <c r="R224" s="22" t="str">
        <f>IF(H224="","",H224&amp;I224)</f>
        <v>260410-025SALIDA</v>
      </c>
      <c r="S224" s="22" t="str">
        <f>IF(C224="","",C224&amp;I224)</f>
        <v>AzukaSALIDA</v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442</v>
      </c>
      <c r="B225" s="48">
        <v>46167</v>
      </c>
      <c r="C225" t="s">
        <v>135</v>
      </c>
      <c r="D225" t="s">
        <v>136</v>
      </c>
      <c r="E225" t="s">
        <v>130</v>
      </c>
      <c r="G225" t="s">
        <v>131</v>
      </c>
      <c r="H225" s="20" t="s">
        <v>209</v>
      </c>
      <c r="I225" t="s">
        <v>64</v>
      </c>
      <c r="J225" s="30">
        <v>15</v>
      </c>
      <c r="K225" s="22">
        <f t="shared" si="0"/>
        <v>-15</v>
      </c>
      <c r="L225" t="s">
        <v>36</v>
      </c>
      <c r="N225">
        <v>65079</v>
      </c>
      <c r="O225" t="s">
        <v>216</v>
      </c>
      <c r="Q225" s="34"/>
      <c r="R225" s="22" t="str">
        <f>IF(H225="","",H225&amp;I225)</f>
        <v>260414-030SALIDA</v>
      </c>
      <c r="S225" s="22" t="str">
        <f>IF(C225="","",C225&amp;I225)</f>
        <v>Full controlSALIDA</v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443</v>
      </c>
      <c r="B226" s="48">
        <v>46167</v>
      </c>
      <c r="C226" t="s">
        <v>128</v>
      </c>
      <c r="D226" t="s">
        <v>129</v>
      </c>
      <c r="E226" t="s">
        <v>130</v>
      </c>
      <c r="G226" t="s">
        <v>131</v>
      </c>
      <c r="H226" s="20" t="s">
        <v>219</v>
      </c>
      <c r="I226" t="s">
        <v>64</v>
      </c>
      <c r="J226" s="30">
        <v>60</v>
      </c>
      <c r="K226" s="22">
        <f t="shared" si="0"/>
        <v>-60</v>
      </c>
      <c r="L226" t="s">
        <v>36</v>
      </c>
      <c r="N226">
        <v>65079</v>
      </c>
      <c r="O226" t="s">
        <v>216</v>
      </c>
      <c r="Q226" s="34"/>
      <c r="R226" s="22" t="str">
        <f>IF(H226="","",H226&amp;I226)</f>
        <v>260414-029SALIDA</v>
      </c>
      <c r="S226" s="22" t="str">
        <f>IF(C226="","",C226&amp;I226)</f>
        <v>HarrierSALIDA</v>
      </c>
      <c r="T226" t="str">
        <f>IF(OR(C226="",I226&lt;&gt;"ENTRADA"),"",TEXT(B226,"AAMMDD")&amp;"-"&amp;TEXT(VALUE(SUBSTITUTE(A226,"MOV-","")),"000"))</f>
        <v/>
      </c>
    </row>
    <row r="227" spans="1:20" hidden="1">
      <c r="A227" s="20" t="s">
        <v>444</v>
      </c>
      <c r="B227" s="48">
        <v>46167</v>
      </c>
      <c r="C227" t="s">
        <v>114</v>
      </c>
      <c r="D227" t="s">
        <v>115</v>
      </c>
      <c r="E227" t="s">
        <v>33</v>
      </c>
      <c r="F227" t="s">
        <v>34</v>
      </c>
      <c r="G227" t="s">
        <v>116</v>
      </c>
      <c r="H227" s="20" t="s">
        <v>119</v>
      </c>
      <c r="I227" t="s">
        <v>64</v>
      </c>
      <c r="J227" s="30">
        <v>2880</v>
      </c>
      <c r="K227" s="22">
        <f t="shared" si="0"/>
        <v>-2880</v>
      </c>
      <c r="L227" t="s">
        <v>36</v>
      </c>
      <c r="N227">
        <v>65080</v>
      </c>
      <c r="O227" t="s">
        <v>211</v>
      </c>
      <c r="Q227" s="34"/>
      <c r="R227" s="22" t="str">
        <f>IF(H227="","",H227&amp;I227)</f>
        <v>260410-025SALIDA</v>
      </c>
      <c r="S227" s="22" t="str">
        <f>IF(C227="","",C227&amp;I227)</f>
        <v>AzukaSALIDA</v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445</v>
      </c>
      <c r="H228" s="20" t="str">
        <f>+T228</f>
        <v/>
      </c>
      <c r="J228" s="30"/>
      <c r="K228" s="22" t="str">
        <f t="shared" si="0"/>
        <v/>
      </c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446</v>
      </c>
      <c r="H229" s="20" t="str">
        <f>+T229</f>
        <v/>
      </c>
      <c r="J229" s="30"/>
      <c r="K229" s="22" t="str">
        <f t="shared" si="0"/>
        <v/>
      </c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447</v>
      </c>
      <c r="H230" s="20" t="str">
        <f>+T230</f>
        <v/>
      </c>
      <c r="J230" s="30"/>
      <c r="K230" s="22" t="str">
        <f t="shared" si="0"/>
        <v/>
      </c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448</v>
      </c>
      <c r="H231" s="20" t="str">
        <f>+T231</f>
        <v/>
      </c>
      <c r="J231" s="30"/>
      <c r="K231" s="22" t="str">
        <f t="shared" si="0"/>
        <v/>
      </c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449</v>
      </c>
      <c r="H232" s="20" t="str">
        <f>+T232</f>
        <v/>
      </c>
      <c r="J232" s="30"/>
      <c r="K232" s="22" t="str">
        <f t="shared" si="0"/>
        <v/>
      </c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450</v>
      </c>
      <c r="H233" s="20" t="str">
        <f>+T233</f>
        <v/>
      </c>
      <c r="J233" s="30"/>
      <c r="K233" s="22" t="str">
        <f t="shared" si="0"/>
        <v/>
      </c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451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 t="shared" si="0"/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452</v>
      </c>
      <c r="H235" s="20" t="str">
        <f>+T235</f>
        <v/>
      </c>
      <c r="J235" s="30"/>
      <c r="K235" s="22" t="str">
        <f t="shared" si="0"/>
        <v/>
      </c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453</v>
      </c>
      <c r="H236" s="20" t="str">
        <f>+T236</f>
        <v/>
      </c>
      <c r="J236" s="30"/>
      <c r="K236" s="22" t="str">
        <f t="shared" si="0"/>
        <v/>
      </c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454</v>
      </c>
      <c r="H237" s="20" t="str">
        <f>+T237</f>
        <v/>
      </c>
      <c r="J237" s="30"/>
      <c r="K237" s="22" t="str">
        <f t="shared" si="0"/>
        <v/>
      </c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455</v>
      </c>
      <c r="H238" s="20" t="str">
        <f>+T238</f>
        <v/>
      </c>
      <c r="J238" s="30"/>
      <c r="K238" s="22" t="str">
        <f t="shared" si="0"/>
        <v/>
      </c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456</v>
      </c>
      <c r="H239" s="20" t="str">
        <f>+T239</f>
        <v/>
      </c>
      <c r="J239" s="30"/>
      <c r="K239" s="22" t="str">
        <f t="shared" si="0"/>
        <v/>
      </c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457</v>
      </c>
      <c r="H240" s="20" t="str">
        <f>+T240</f>
        <v/>
      </c>
      <c r="J240" s="30"/>
      <c r="K240" s="22" t="str">
        <f t="shared" si="0"/>
        <v/>
      </c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458</v>
      </c>
      <c r="H241" s="20" t="str">
        <f>+T241</f>
        <v/>
      </c>
      <c r="J241" s="30"/>
      <c r="K241" s="22" t="str">
        <f t="shared" si="0"/>
        <v/>
      </c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459</v>
      </c>
      <c r="H242" s="20" t="str">
        <f>+T242</f>
        <v/>
      </c>
      <c r="J242" s="30"/>
      <c r="K242" s="22" t="str">
        <f t="shared" si="0"/>
        <v/>
      </c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460</v>
      </c>
      <c r="H243" s="20" t="str">
        <f>+T243</f>
        <v/>
      </c>
      <c r="J243" s="30"/>
      <c r="K243" s="22" t="str">
        <f t="shared" si="0"/>
        <v/>
      </c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461</v>
      </c>
      <c r="H244" s="20" t="str">
        <f>+T244</f>
        <v/>
      </c>
      <c r="J244" s="30"/>
      <c r="K244" s="22" t="str">
        <f t="shared" si="0"/>
        <v/>
      </c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462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 t="shared" si="0"/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463</v>
      </c>
      <c r="H246" s="20" t="str">
        <f>+T246</f>
        <v/>
      </c>
      <c r="J246" s="30"/>
      <c r="K246" s="22" t="str">
        <f t="shared" si="0"/>
        <v/>
      </c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464</v>
      </c>
      <c r="H247" s="20" t="str">
        <f>+T247</f>
        <v/>
      </c>
      <c r="J247" s="30"/>
      <c r="K247" s="22" t="str">
        <f t="shared" si="0"/>
        <v/>
      </c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465</v>
      </c>
      <c r="H248" s="20" t="str">
        <f>+T248</f>
        <v/>
      </c>
      <c r="J248" s="30"/>
      <c r="K248" s="22" t="str">
        <f t="shared" si="0"/>
        <v/>
      </c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466</v>
      </c>
      <c r="H249" s="20" t="str">
        <f>+T249</f>
        <v/>
      </c>
      <c r="J249" s="30"/>
      <c r="K249" s="22" t="str">
        <f t="shared" si="0"/>
        <v/>
      </c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467</v>
      </c>
      <c r="H250" s="20" t="str">
        <f>+T250</f>
        <v/>
      </c>
      <c r="J250" s="30"/>
      <c r="K250" s="22" t="str">
        <f t="shared" si="0"/>
        <v/>
      </c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468</v>
      </c>
      <c r="H251" s="20" t="str">
        <f>+T251</f>
        <v/>
      </c>
      <c r="J251" s="30"/>
      <c r="K251" s="22" t="str">
        <f t="shared" si="0"/>
        <v/>
      </c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469</v>
      </c>
      <c r="H252" s="20" t="str">
        <f>+T252</f>
        <v/>
      </c>
      <c r="J252" s="30"/>
      <c r="K252" s="22" t="str">
        <f t="shared" si="0"/>
        <v/>
      </c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 hidden="1">
      <c r="A253" s="20" t="s">
        <v>470</v>
      </c>
      <c r="H253" s="20" t="str">
        <f>+T253</f>
        <v/>
      </c>
      <c r="J253" s="30"/>
      <c r="K253" s="22" t="str">
        <f t="shared" si="0"/>
        <v/>
      </c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471</v>
      </c>
      <c r="H254" s="20" t="str">
        <f>+T254</f>
        <v/>
      </c>
      <c r="J254" s="30"/>
      <c r="K254" s="22" t="str">
        <f t="shared" si="0"/>
        <v/>
      </c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472</v>
      </c>
      <c r="H255" s="20" t="str">
        <f>+T255</f>
        <v/>
      </c>
      <c r="J255" s="30"/>
      <c r="K255" s="22" t="str">
        <f t="shared" si="0"/>
        <v/>
      </c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473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 t="shared" ref="K256:K319" si="1"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474</v>
      </c>
      <c r="H257" s="20" t="str">
        <f>+T257</f>
        <v/>
      </c>
      <c r="J257" s="30"/>
      <c r="K257" s="22" t="str">
        <f t="shared" si="1"/>
        <v/>
      </c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475</v>
      </c>
      <c r="H258" s="20" t="str">
        <f>+T258</f>
        <v/>
      </c>
      <c r="J258" s="30"/>
      <c r="K258" s="22" t="str">
        <f t="shared" si="1"/>
        <v/>
      </c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476</v>
      </c>
      <c r="H259" s="20" t="str">
        <f>+T259</f>
        <v/>
      </c>
      <c r="J259" s="30"/>
      <c r="K259" s="22" t="str">
        <f t="shared" si="1"/>
        <v/>
      </c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477</v>
      </c>
      <c r="H260" s="20" t="str">
        <f>+T260</f>
        <v/>
      </c>
      <c r="J260" s="30"/>
      <c r="K260" s="22" t="str">
        <f t="shared" si="1"/>
        <v/>
      </c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478</v>
      </c>
      <c r="H261" s="20" t="str">
        <f>+T261</f>
        <v/>
      </c>
      <c r="J261" s="30"/>
      <c r="K261" s="22" t="str">
        <f t="shared" si="1"/>
        <v/>
      </c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479</v>
      </c>
      <c r="H262" s="20" t="str">
        <f>+T262</f>
        <v/>
      </c>
      <c r="J262" s="30"/>
      <c r="K262" s="22" t="str">
        <f t="shared" si="1"/>
        <v/>
      </c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480</v>
      </c>
      <c r="H263" s="20" t="str">
        <f>+T263</f>
        <v/>
      </c>
      <c r="J263" s="30"/>
      <c r="K263" s="22" t="str">
        <f t="shared" si="1"/>
        <v/>
      </c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481</v>
      </c>
      <c r="H264" s="20" t="str">
        <f>+T264</f>
        <v/>
      </c>
      <c r="J264" s="30"/>
      <c r="K264" s="22" t="str">
        <f t="shared" si="1"/>
        <v/>
      </c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482</v>
      </c>
      <c r="H265" s="20" t="str">
        <f>+T265</f>
        <v/>
      </c>
      <c r="J265" s="30"/>
      <c r="K265" s="22" t="str">
        <f t="shared" si="1"/>
        <v/>
      </c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 hidden="1">
      <c r="A266" s="20" t="s">
        <v>483</v>
      </c>
      <c r="H266" s="20" t="str">
        <f>+T266</f>
        <v/>
      </c>
      <c r="J266" s="30"/>
      <c r="K266" s="22" t="str">
        <f t="shared" si="1"/>
        <v/>
      </c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484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 t="shared" si="1"/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485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486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487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 hidden="1">
      <c r="A271" s="20" t="s">
        <v>488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 hidden="1">
      <c r="A272" s="20" t="s">
        <v>489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 hidden="1">
      <c r="A273" s="20" t="s">
        <v>490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491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 hidden="1">
      <c r="A275" s="20" t="s">
        <v>492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493</v>
      </c>
      <c r="H276" s="20" t="str">
        <f>+T276</f>
        <v/>
      </c>
      <c r="J276" s="30"/>
      <c r="K276" s="22" t="str">
        <f t="shared" si="1"/>
        <v/>
      </c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494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495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 t="shared" si="1"/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496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497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498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499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500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 hidden="1">
      <c r="A284" s="20" t="s">
        <v>501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502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503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504</v>
      </c>
      <c r="H287" s="20" t="str">
        <f>+T287</f>
        <v/>
      </c>
      <c r="J287" s="30"/>
      <c r="K287" s="22" t="str">
        <f t="shared" si="1"/>
        <v/>
      </c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505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506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 t="shared" si="1"/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 hidden="1">
      <c r="A290" s="20" t="s">
        <v>507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 hidden="1">
      <c r="A291" s="20" t="s">
        <v>508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 hidden="1">
      <c r="A292" s="20" t="s">
        <v>509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 hidden="1">
      <c r="A293" s="20" t="s">
        <v>510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 hidden="1">
      <c r="A294" s="20" t="s">
        <v>511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 hidden="1">
      <c r="A295" s="20" t="s">
        <v>512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 hidden="1">
      <c r="A296" s="20" t="s">
        <v>513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514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515</v>
      </c>
      <c r="H298" s="20" t="str">
        <f>+T298</f>
        <v/>
      </c>
      <c r="J298" s="30"/>
      <c r="K298" s="22" t="str">
        <f t="shared" si="1"/>
        <v/>
      </c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516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517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 t="shared" si="1"/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518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519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520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521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522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523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524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525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526</v>
      </c>
      <c r="H309" s="20" t="str">
        <f>+T309</f>
        <v/>
      </c>
      <c r="J309" s="30"/>
      <c r="K309" s="22" t="str">
        <f t="shared" si="1"/>
        <v/>
      </c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527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528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 t="shared" si="1"/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529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530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 hidden="1">
      <c r="A314" s="20" t="s">
        <v>531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532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533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534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535</v>
      </c>
      <c r="H318" s="20" t="str">
        <f>+T318</f>
        <v/>
      </c>
      <c r="J318" s="30"/>
      <c r="K318" s="22" t="str">
        <f t="shared" si="1"/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536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537</v>
      </c>
      <c r="H320" s="20" t="str">
        <f>+T320</f>
        <v/>
      </c>
      <c r="J320" s="30"/>
      <c r="K320" s="22" t="str">
        <f t="shared" ref="K320:K383" si="2">IF(I320="","",IF(I320="ENTRADA",ABS(J320),-ABS(J320)))</f>
        <v/>
      </c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538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539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 t="shared" si="2"/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540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541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542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543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544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 hidden="1">
      <c r="A328" s="20" t="s">
        <v>545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 hidden="1">
      <c r="A329" s="20" t="s">
        <v>546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 hidden="1">
      <c r="A330" s="20" t="s">
        <v>547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548</v>
      </c>
      <c r="H331" s="20" t="str">
        <f>+T331</f>
        <v/>
      </c>
      <c r="J331" s="30"/>
      <c r="K331" s="22" t="str">
        <f t="shared" si="2"/>
        <v/>
      </c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549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550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 t="shared" si="2"/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551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552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553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554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555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556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557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558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559</v>
      </c>
      <c r="H342" s="20" t="str">
        <f>+T342</f>
        <v/>
      </c>
      <c r="J342" s="30"/>
      <c r="K342" s="22" t="str">
        <f t="shared" si="2"/>
        <v/>
      </c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560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 hidden="1">
      <c r="A344" s="20" t="s">
        <v>561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 t="shared" si="2"/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562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563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564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565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566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567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568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569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570</v>
      </c>
      <c r="H353" s="20" t="str">
        <f>+T353</f>
        <v/>
      </c>
      <c r="J353" s="30"/>
      <c r="K353" s="22" t="str">
        <f t="shared" si="2"/>
        <v/>
      </c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571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572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 t="shared" si="2"/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573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574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575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576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577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578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579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580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581</v>
      </c>
      <c r="H364" s="20" t="str">
        <f>+T364</f>
        <v/>
      </c>
      <c r="J364" s="30"/>
      <c r="K364" s="22" t="str">
        <f t="shared" si="2"/>
        <v/>
      </c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582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583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 t="shared" si="2"/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584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585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586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587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 hidden="1">
      <c r="A371" s="20" t="s">
        <v>588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 hidden="1">
      <c r="A372" s="20" t="s">
        <v>589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590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 hidden="1">
      <c r="A374" s="20" t="s">
        <v>591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 hidden="1">
      <c r="A375" s="20" t="s">
        <v>592</v>
      </c>
      <c r="H375" s="20" t="str">
        <f>+T375</f>
        <v/>
      </c>
      <c r="J375" s="30"/>
      <c r="K375" s="22" t="str">
        <f t="shared" si="2"/>
        <v/>
      </c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 hidden="1">
      <c r="A376" s="20" t="s">
        <v>593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 hidden="1">
      <c r="A377" s="20" t="s">
        <v>594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 t="shared" si="2"/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595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596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597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 hidden="1">
      <c r="A381" s="20" t="s">
        <v>598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 hidden="1">
      <c r="A382" s="20" t="s">
        <v>599</v>
      </c>
      <c r="H382" s="20" t="str">
        <f>+T382</f>
        <v/>
      </c>
      <c r="J382" s="30"/>
      <c r="K382" s="22" t="str">
        <f t="shared" si="2"/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600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601</v>
      </c>
      <c r="H384" s="20" t="str">
        <f>+T384</f>
        <v/>
      </c>
      <c r="J384" s="30"/>
      <c r="K384" s="22" t="str">
        <f t="shared" ref="K384:K447" si="3">IF(I384="","",IF(I384="ENTRADA",ABS(J384),-ABS(J384)))</f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602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603</v>
      </c>
      <c r="H386" s="20" t="str">
        <f>+T386</f>
        <v/>
      </c>
      <c r="J386" s="30"/>
      <c r="K386" s="22" t="str">
        <f t="shared" si="3"/>
        <v/>
      </c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604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605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 t="shared" si="3"/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606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 hidden="1">
      <c r="A390" s="20" t="s">
        <v>607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608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609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610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 hidden="1">
      <c r="A394" s="20" t="s">
        <v>611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612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613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 hidden="1">
      <c r="A397" s="20" t="s">
        <v>614</v>
      </c>
      <c r="H397" s="20" t="str">
        <f>+T397</f>
        <v/>
      </c>
      <c r="J397" s="30"/>
      <c r="K397" s="22" t="str">
        <f t="shared" si="3"/>
        <v/>
      </c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615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616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 t="shared" si="3"/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 hidden="1">
      <c r="A400" s="20" t="s">
        <v>617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618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619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620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621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622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623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624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625</v>
      </c>
      <c r="H408" s="20" t="str">
        <f>+T408</f>
        <v/>
      </c>
      <c r="J408" s="30"/>
      <c r="K408" s="22" t="str">
        <f t="shared" si="3"/>
        <v/>
      </c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626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627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 t="shared" si="3"/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628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629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630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631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632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633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634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635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636</v>
      </c>
      <c r="H419" s="20" t="str">
        <f>+T419</f>
        <v/>
      </c>
      <c r="J419" s="30"/>
      <c r="K419" s="22" t="str">
        <f t="shared" si="3"/>
        <v/>
      </c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637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638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 t="shared" si="3"/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639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640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641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642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643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644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645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646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647</v>
      </c>
      <c r="H430" s="20" t="str">
        <f>+T430</f>
        <v/>
      </c>
      <c r="J430" s="30"/>
      <c r="K430" s="22" t="str">
        <f t="shared" si="3"/>
        <v/>
      </c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648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649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 t="shared" si="3"/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650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651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652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653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654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655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656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657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658</v>
      </c>
      <c r="H441" s="20" t="str">
        <f>+T441</f>
        <v/>
      </c>
      <c r="J441" s="30"/>
      <c r="K441" s="22" t="str">
        <f t="shared" si="3"/>
        <v/>
      </c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659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660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 t="shared" si="3"/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 hidden="1">
      <c r="A444" s="20" t="s">
        <v>661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 hidden="1">
      <c r="A445" s="20" t="s">
        <v>662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 hidden="1">
      <c r="A446" s="20" t="s">
        <v>663</v>
      </c>
      <c r="H446" s="20" t="str">
        <f>+T446</f>
        <v/>
      </c>
      <c r="J446" s="30"/>
      <c r="K446" s="22" t="str">
        <f t="shared" si="3"/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 hidden="1">
      <c r="A447" s="20" t="s">
        <v>664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 hidden="1">
      <c r="A448" s="20" t="s">
        <v>665</v>
      </c>
      <c r="H448" s="20" t="str">
        <f>+T448</f>
        <v/>
      </c>
      <c r="J448" s="30"/>
      <c r="K448" s="22" t="str">
        <f t="shared" ref="K448:K511" si="4"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666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 hidden="1">
      <c r="A450" s="20" t="s">
        <v>667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668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669</v>
      </c>
      <c r="H452" s="20" t="str">
        <f>+T452</f>
        <v/>
      </c>
      <c r="J452" s="30"/>
      <c r="K452" s="22" t="str">
        <f t="shared" si="4"/>
        <v/>
      </c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670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671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 t="shared" si="4"/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672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673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674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675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676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677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678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679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680</v>
      </c>
      <c r="H463" s="20" t="str">
        <f>+T463</f>
        <v/>
      </c>
      <c r="J463" s="30"/>
      <c r="K463" s="22" t="str">
        <f t="shared" si="4"/>
        <v/>
      </c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681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682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 t="shared" si="4"/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683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 hidden="1">
      <c r="A467" s="20" t="s">
        <v>684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 hidden="1">
      <c r="A468" s="20" t="s">
        <v>685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 hidden="1">
      <c r="A469" s="20" t="s">
        <v>686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687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688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 hidden="1">
      <c r="A472" s="20" t="s">
        <v>689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 hidden="1">
      <c r="A473" s="20" t="s">
        <v>690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 hidden="1">
      <c r="A474" s="20" t="s">
        <v>691</v>
      </c>
      <c r="H474" s="20" t="str">
        <f>+T474</f>
        <v/>
      </c>
      <c r="J474" s="30"/>
      <c r="K474" s="22" t="str">
        <f t="shared" si="4"/>
        <v/>
      </c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 hidden="1">
      <c r="A475" s="20" t="s">
        <v>692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 hidden="1">
      <c r="A476" s="20" t="s">
        <v>693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 t="shared" si="4"/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 hidden="1">
      <c r="A477" s="20" t="s">
        <v>694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695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696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697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 hidden="1">
      <c r="A481" s="20" t="s">
        <v>698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 hidden="1">
      <c r="A482" s="20" t="s">
        <v>699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 hidden="1">
      <c r="A483" s="20" t="s">
        <v>700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 hidden="1">
      <c r="A484" s="20" t="s">
        <v>701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 hidden="1">
      <c r="A485" s="20" t="s">
        <v>702</v>
      </c>
      <c r="H485" s="20" t="str">
        <f>+T485</f>
        <v/>
      </c>
      <c r="J485" s="30"/>
      <c r="K485" s="22" t="str">
        <f t="shared" si="4"/>
        <v/>
      </c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703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704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 t="shared" si="4"/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 hidden="1">
      <c r="A488" s="20" t="s">
        <v>705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 hidden="1">
      <c r="A489" s="20" t="s">
        <v>706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 hidden="1">
      <c r="A490" s="20" t="s">
        <v>707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 hidden="1">
      <c r="A491" s="20" t="s">
        <v>708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 hidden="1">
      <c r="A492" s="20" t="s">
        <v>709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710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711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712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713</v>
      </c>
      <c r="H496" s="20" t="str">
        <f>+T496</f>
        <v/>
      </c>
      <c r="J496" s="30"/>
      <c r="K496" s="22" t="str">
        <f t="shared" si="4"/>
        <v/>
      </c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714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715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 t="shared" si="4"/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716</v>
      </c>
      <c r="H499" s="20" t="str">
        <f>+T499</f>
        <v/>
      </c>
      <c r="J499" s="30"/>
      <c r="K499" s="22" t="str">
        <f t="shared" si="4"/>
        <v/>
      </c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717</v>
      </c>
      <c r="H500" s="20" t="str">
        <f>+T500</f>
        <v/>
      </c>
      <c r="J500" s="30"/>
      <c r="K500" s="22" t="str">
        <f t="shared" si="4"/>
        <v/>
      </c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718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719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720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721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722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723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724</v>
      </c>
      <c r="H507" s="20" t="str">
        <f>+T507</f>
        <v/>
      </c>
      <c r="J507" s="30"/>
      <c r="K507" s="22" t="str">
        <f t="shared" si="4"/>
        <v/>
      </c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725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726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 t="shared" si="4"/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727</v>
      </c>
      <c r="H510" s="20" t="str">
        <f>+T510</f>
        <v/>
      </c>
      <c r="J510" s="30"/>
      <c r="K510" s="22" t="str">
        <f t="shared" si="4"/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728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729</v>
      </c>
      <c r="H512" s="20" t="str">
        <f>+T512</f>
        <v/>
      </c>
      <c r="J512" s="30"/>
      <c r="K512" s="22" t="str">
        <f t="shared" ref="K512:K575" si="5"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730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731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732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733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734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735</v>
      </c>
      <c r="H518" s="20" t="str">
        <f>+T518</f>
        <v/>
      </c>
      <c r="J518" s="30"/>
      <c r="K518" s="22" t="str">
        <f t="shared" si="5"/>
        <v/>
      </c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 hidden="1">
      <c r="A519" s="20" t="s">
        <v>736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 hidden="1">
      <c r="A520" s="20" t="s">
        <v>737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 t="shared" si="5"/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 hidden="1">
      <c r="A521" s="20" t="s">
        <v>738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 hidden="1">
      <c r="A522" s="20" t="s">
        <v>739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 hidden="1">
      <c r="A523" s="20" t="s">
        <v>740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741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742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743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744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745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746</v>
      </c>
      <c r="H529" s="20" t="str">
        <f>+T529</f>
        <v/>
      </c>
      <c r="J529" s="30"/>
      <c r="K529" s="22" t="str">
        <f t="shared" si="5"/>
        <v/>
      </c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 hidden="1">
      <c r="A530" s="20" t="s">
        <v>747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 hidden="1">
      <c r="A531" s="20" t="s">
        <v>748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 t="shared" si="5"/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 hidden="1">
      <c r="A532" s="20" t="s">
        <v>749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 hidden="1">
      <c r="A533" s="20" t="s">
        <v>750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751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752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753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754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755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756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757</v>
      </c>
      <c r="H540" s="20" t="str">
        <f>+T540</f>
        <v/>
      </c>
      <c r="J540" s="30"/>
      <c r="K540" s="22" t="str">
        <f t="shared" si="5"/>
        <v/>
      </c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758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759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 t="shared" si="5"/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760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761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762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763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764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765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766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767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768</v>
      </c>
      <c r="H551" s="20" t="str">
        <f>+T551</f>
        <v/>
      </c>
      <c r="J551" s="30"/>
      <c r="K551" s="22" t="str">
        <f t="shared" si="5"/>
        <v/>
      </c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769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770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 t="shared" si="5"/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771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772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773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774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775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776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777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778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779</v>
      </c>
      <c r="H562" s="20" t="str">
        <f>+T562</f>
        <v/>
      </c>
      <c r="J562" s="30"/>
      <c r="K562" s="22" t="str">
        <f t="shared" si="5"/>
        <v/>
      </c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780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781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 t="shared" si="5"/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782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783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784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785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786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787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788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789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790</v>
      </c>
      <c r="H573" s="20" t="str">
        <f>+T573</f>
        <v/>
      </c>
      <c r="J573" s="30"/>
      <c r="K573" s="22" t="str">
        <f t="shared" si="5"/>
        <v/>
      </c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791</v>
      </c>
      <c r="H574" s="20" t="str">
        <f>+T574</f>
        <v/>
      </c>
      <c r="J574" s="30"/>
      <c r="K574" s="22" t="str">
        <f t="shared" si="5"/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792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 t="shared" si="5"/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793</v>
      </c>
      <c r="H576" s="20" t="str">
        <f>+T576</f>
        <v/>
      </c>
      <c r="J576" s="30"/>
      <c r="K576" s="22" t="str">
        <f t="shared" ref="K576:K639" si="6"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794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795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796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797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798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799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800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801</v>
      </c>
      <c r="H584" s="20" t="str">
        <f>+T584</f>
        <v/>
      </c>
      <c r="J584" s="30"/>
      <c r="K584" s="22" t="str">
        <f t="shared" si="6"/>
        <v/>
      </c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802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 hidden="1">
      <c r="A586" s="20" t="s">
        <v>803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 t="shared" si="6"/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 hidden="1">
      <c r="A587" s="20" t="s">
        <v>804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 hidden="1">
      <c r="A588" s="20" t="s">
        <v>805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 hidden="1">
      <c r="A589" s="20" t="s">
        <v>806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 hidden="1">
      <c r="A590" s="20" t="s">
        <v>807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 hidden="1">
      <c r="A591" s="20" t="s">
        <v>808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809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810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811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812</v>
      </c>
      <c r="H595" s="20" t="str">
        <f>+T595</f>
        <v/>
      </c>
      <c r="J595" s="30"/>
      <c r="K595" s="22" t="str">
        <f t="shared" si="6"/>
        <v/>
      </c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813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814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 t="shared" si="6"/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 hidden="1">
      <c r="A598" s="20" t="s">
        <v>815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816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817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818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819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820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821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822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823</v>
      </c>
      <c r="H606" s="20" t="str">
        <f>+T606</f>
        <v/>
      </c>
      <c r="J606" s="30"/>
      <c r="K606" s="22" t="str">
        <f t="shared" si="6"/>
        <v/>
      </c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824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825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 t="shared" si="6"/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826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827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828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829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830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831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832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833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834</v>
      </c>
      <c r="H617" s="20" t="str">
        <f>+T617</f>
        <v/>
      </c>
      <c r="J617" s="30"/>
      <c r="K617" s="22" t="str">
        <f t="shared" si="6"/>
        <v/>
      </c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835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836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 t="shared" si="6"/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 hidden="1">
      <c r="A620" s="20" t="s">
        <v>837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 hidden="1">
      <c r="A621" s="20" t="s">
        <v>838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 hidden="1">
      <c r="A622" s="20" t="s">
        <v>839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 hidden="1">
      <c r="A623" s="20" t="s">
        <v>840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 hidden="1">
      <c r="A624" s="20" t="s">
        <v>841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 hidden="1">
      <c r="A625" s="20" t="s">
        <v>842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 hidden="1">
      <c r="A626" s="20" t="s">
        <v>843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 hidden="1">
      <c r="A627" s="20" t="s">
        <v>844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 hidden="1">
      <c r="A628" s="20" t="s">
        <v>845</v>
      </c>
      <c r="H628" s="20" t="str">
        <f>+T628</f>
        <v/>
      </c>
      <c r="J628" s="30"/>
      <c r="K628" s="22" t="str">
        <f t="shared" si="6"/>
        <v/>
      </c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 hidden="1">
      <c r="A629" s="20" t="s">
        <v>846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 hidden="1">
      <c r="A630" s="20" t="s">
        <v>847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 t="shared" si="6"/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848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849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850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851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852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853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854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855</v>
      </c>
      <c r="H638" s="20" t="str">
        <f>+T638</f>
        <v/>
      </c>
      <c r="J638" s="30"/>
      <c r="K638" s="22" t="str">
        <f t="shared" si="6"/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856</v>
      </c>
      <c r="H639" s="20" t="str">
        <f>+T639</f>
        <v/>
      </c>
      <c r="J639" s="30"/>
      <c r="K639" s="22" t="str">
        <f t="shared" si="6"/>
        <v/>
      </c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 hidden="1">
      <c r="A640" s="20" t="s">
        <v>857</v>
      </c>
      <c r="H640" s="20" t="str">
        <f>+T640</f>
        <v/>
      </c>
      <c r="J640" s="30"/>
      <c r="K640" s="22" t="str">
        <f t="shared" ref="K640:K703" si="7"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 hidden="1">
      <c r="A641" s="20" t="s">
        <v>858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 t="shared" si="7"/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 hidden="1">
      <c r="A642" s="20" t="s">
        <v>859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 hidden="1">
      <c r="A643" s="20" t="s">
        <v>860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861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862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863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864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865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866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 hidden="1">
      <c r="A650" s="20" t="s">
        <v>867</v>
      </c>
      <c r="H650" s="20" t="str">
        <f>+T650</f>
        <v/>
      </c>
      <c r="J650" s="30"/>
      <c r="K650" s="22" t="str">
        <f t="shared" si="7"/>
        <v/>
      </c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 hidden="1">
      <c r="A651" s="20" t="s">
        <v>868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 hidden="1">
      <c r="A652" s="20" t="s">
        <v>869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 t="shared" si="7"/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870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871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872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873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874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875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876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877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 hidden="1">
      <c r="A661" s="20" t="s">
        <v>878</v>
      </c>
      <c r="H661" s="20" t="str">
        <f>+T661</f>
        <v/>
      </c>
      <c r="J661" s="30"/>
      <c r="K661" s="22" t="str">
        <f t="shared" si="7"/>
        <v/>
      </c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 hidden="1">
      <c r="A662" s="20" t="s">
        <v>879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 hidden="1">
      <c r="A663" s="20" t="s">
        <v>880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 t="shared" si="7"/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 hidden="1">
      <c r="A664" s="20" t="s">
        <v>881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882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883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884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 hidden="1">
      <c r="A668" s="20" t="s">
        <v>885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886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887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888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889</v>
      </c>
      <c r="H672" s="20" t="str">
        <f>+T672</f>
        <v/>
      </c>
      <c r="J672" s="30"/>
      <c r="K672" s="22" t="str">
        <f t="shared" si="7"/>
        <v/>
      </c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890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891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 t="shared" si="7"/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892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893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894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895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896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897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898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899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900</v>
      </c>
      <c r="H683" s="20" t="str">
        <f>+T683</f>
        <v/>
      </c>
      <c r="J683" s="30"/>
      <c r="K683" s="22" t="str">
        <f t="shared" si="7"/>
        <v/>
      </c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901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902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 t="shared" si="7"/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903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904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905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906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907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908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909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910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911</v>
      </c>
      <c r="H694" s="20" t="str">
        <f>+T694</f>
        <v/>
      </c>
      <c r="J694" s="30"/>
      <c r="K694" s="22" t="str">
        <f t="shared" si="7"/>
        <v/>
      </c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912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913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 t="shared" si="7"/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 hidden="1">
      <c r="A697" s="20" t="s">
        <v>914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915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916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917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918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919</v>
      </c>
      <c r="H702" s="20" t="str">
        <f>+T702</f>
        <v/>
      </c>
      <c r="J702" s="30"/>
      <c r="K702" s="22" t="str">
        <f t="shared" si="7"/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920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921</v>
      </c>
      <c r="H704" s="20" t="str">
        <f>+T704</f>
        <v/>
      </c>
      <c r="J704" s="30"/>
      <c r="K704" s="22" t="str">
        <f t="shared" ref="K704:K767" si="8"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922</v>
      </c>
      <c r="H705" s="20" t="str">
        <f>+T705</f>
        <v/>
      </c>
      <c r="J705" s="30"/>
      <c r="K705" s="22" t="str">
        <f t="shared" si="8"/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923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924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 t="shared" si="8"/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 hidden="1">
      <c r="A708" s="20" t="s">
        <v>925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926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927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928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929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930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931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932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 hidden="1">
      <c r="A716" s="20" t="s">
        <v>933</v>
      </c>
      <c r="H716" s="20" t="str">
        <f>+T716</f>
        <v/>
      </c>
      <c r="J716" s="30"/>
      <c r="K716" s="22" t="str">
        <f t="shared" si="8"/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 hidden="1">
      <c r="A717" s="20" t="s">
        <v>934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 hidden="1">
      <c r="A718" s="20" t="s">
        <v>935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 t="shared" si="8"/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 hidden="1">
      <c r="A719" s="20" t="s">
        <v>936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937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 hidden="1">
      <c r="A721" s="20" t="s">
        <v>938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 hidden="1">
      <c r="A722" s="20" t="s">
        <v>939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 hidden="1">
      <c r="A723" s="20" t="s">
        <v>940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 hidden="1">
      <c r="A724" s="20" t="s">
        <v>941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 hidden="1">
      <c r="A725" s="20" t="s">
        <v>942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 hidden="1">
      <c r="A726" s="20" t="s">
        <v>943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 hidden="1">
      <c r="A727" s="20" t="s">
        <v>944</v>
      </c>
      <c r="H727" s="20" t="str">
        <f>+T727</f>
        <v/>
      </c>
      <c r="J727" s="30"/>
      <c r="K727" s="22" t="str">
        <f t="shared" si="8"/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 hidden="1">
      <c r="A728" s="20" t="s">
        <v>945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 hidden="1">
      <c r="A729" s="20" t="s">
        <v>946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 t="shared" si="8"/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 hidden="1">
      <c r="A730" s="20" t="s">
        <v>947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 hidden="1">
      <c r="A731" s="20" t="s">
        <v>948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 hidden="1">
      <c r="A732" s="20" t="s">
        <v>949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 hidden="1">
      <c r="A733" s="20" t="s">
        <v>950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 hidden="1">
      <c r="A734" s="20" t="s">
        <v>951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 hidden="1">
      <c r="A735" s="20" t="s">
        <v>952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 hidden="1">
      <c r="A736" s="20" t="s">
        <v>953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 hidden="1">
      <c r="A737" s="20" t="s">
        <v>954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 hidden="1">
      <c r="A738" s="20" t="s">
        <v>955</v>
      </c>
      <c r="H738" s="20" t="str">
        <f>+T738</f>
        <v/>
      </c>
      <c r="J738" s="30"/>
      <c r="K738" s="22" t="str">
        <f t="shared" si="8"/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 hidden="1">
      <c r="A739" s="20" t="s">
        <v>956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 hidden="1">
      <c r="A740" s="20" t="s">
        <v>957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 t="shared" si="8"/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 hidden="1">
      <c r="A741" s="20" t="s">
        <v>958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 hidden="1">
      <c r="A742" s="20" t="s">
        <v>959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 hidden="1">
      <c r="A743" s="20" t="s">
        <v>960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 hidden="1">
      <c r="A744" s="20" t="s">
        <v>961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 hidden="1">
      <c r="A745" s="20" t="s">
        <v>962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 hidden="1">
      <c r="A746" s="20" t="s">
        <v>963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 hidden="1">
      <c r="A747" s="20" t="s">
        <v>964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 hidden="1">
      <c r="A748" s="20" t="s">
        <v>965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 hidden="1">
      <c r="A749" s="20" t="s">
        <v>966</v>
      </c>
      <c r="H749" s="20" t="str">
        <f>+T749</f>
        <v/>
      </c>
      <c r="J749" s="30"/>
      <c r="K749" s="22" t="str">
        <f t="shared" si="8"/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 hidden="1">
      <c r="A750" s="20" t="s">
        <v>967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 hidden="1">
      <c r="A751" s="20" t="s">
        <v>968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 t="shared" si="8"/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 hidden="1">
      <c r="A752" s="20" t="s">
        <v>969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 hidden="1">
      <c r="A753" s="20" t="s">
        <v>970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 hidden="1">
      <c r="A754" s="20" t="s">
        <v>971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 hidden="1">
      <c r="A755" s="20" t="s">
        <v>972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 hidden="1">
      <c r="A756" s="20" t="s">
        <v>973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 hidden="1">
      <c r="A757" s="20" t="s">
        <v>974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 hidden="1">
      <c r="A758" s="20" t="s">
        <v>975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 hidden="1">
      <c r="A759" s="20" t="s">
        <v>976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 hidden="1">
      <c r="A760" s="20" t="s">
        <v>977</v>
      </c>
      <c r="H760" s="20" t="str">
        <f>+T760</f>
        <v/>
      </c>
      <c r="J760" s="30"/>
      <c r="K760" s="22" t="str">
        <f t="shared" si="8"/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 hidden="1">
      <c r="A761" s="20" t="s">
        <v>978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 hidden="1">
      <c r="A762" s="20" t="s">
        <v>979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 t="shared" si="8"/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 hidden="1">
      <c r="A763" s="20" t="s">
        <v>980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 hidden="1">
      <c r="A764" s="20" t="s">
        <v>981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 hidden="1">
      <c r="A765" s="20" t="s">
        <v>982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 hidden="1">
      <c r="A766" s="20" t="s">
        <v>983</v>
      </c>
      <c r="H766" s="20" t="str">
        <f>+T766</f>
        <v/>
      </c>
      <c r="J766" s="30"/>
      <c r="K766" s="22" t="str">
        <f t="shared" si="8"/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 hidden="1">
      <c r="A767" s="20" t="s">
        <v>984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 hidden="1">
      <c r="A768" s="20" t="s">
        <v>985</v>
      </c>
      <c r="H768" s="20" t="str">
        <f>+T768</f>
        <v/>
      </c>
      <c r="J768" s="30"/>
      <c r="K768" s="22" t="str">
        <f t="shared" ref="K768:K831" si="9"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986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987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988</v>
      </c>
      <c r="H771" s="20" t="str">
        <f>+T771</f>
        <v/>
      </c>
      <c r="J771" s="30"/>
      <c r="K771" s="22" t="str">
        <f t="shared" si="9"/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989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990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 t="shared" si="9"/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991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992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993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994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995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996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997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998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999</v>
      </c>
      <c r="H782" s="20" t="str">
        <f>+T782</f>
        <v/>
      </c>
      <c r="J782" s="30"/>
      <c r="K782" s="22" t="str">
        <f t="shared" si="9"/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1000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1001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 t="shared" si="9"/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1002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1003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1004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1005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1006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1007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1008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1009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1010</v>
      </c>
      <c r="H793" s="20" t="str">
        <f>+T793</f>
        <v/>
      </c>
      <c r="J793" s="30"/>
      <c r="K793" s="22" t="str">
        <f t="shared" si="9"/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1011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1012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 t="shared" si="9"/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1013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1014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1015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1016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1017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1018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1019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1020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1021</v>
      </c>
      <c r="H804" s="20" t="str">
        <f>+T804</f>
        <v/>
      </c>
      <c r="J804" s="30"/>
      <c r="K804" s="22" t="str">
        <f t="shared" si="9"/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1022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1023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 t="shared" si="9"/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1024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1025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1026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1027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1028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1029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1030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1031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1032</v>
      </c>
      <c r="H815" s="20" t="str">
        <f>+T815</f>
        <v/>
      </c>
      <c r="J815" s="30"/>
      <c r="K815" s="22" t="str">
        <f t="shared" si="9"/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1033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1034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 t="shared" si="9"/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1035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1036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1037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1038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1039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1040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1041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1042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1043</v>
      </c>
      <c r="H826" s="20" t="str">
        <f>+T826</f>
        <v/>
      </c>
      <c r="J826" s="30"/>
      <c r="K826" s="22" t="str">
        <f t="shared" si="9"/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1044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1045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 t="shared" si="9"/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1046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1047</v>
      </c>
      <c r="H830" s="20" t="str">
        <f>+T830</f>
        <v/>
      </c>
      <c r="J830" s="30"/>
      <c r="K830" s="22" t="str">
        <f t="shared" si="9"/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1048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1049</v>
      </c>
      <c r="H832" s="20" t="str">
        <f>+T832</f>
        <v/>
      </c>
      <c r="J832" s="30"/>
      <c r="K832" s="22" t="str">
        <f t="shared" ref="K832:K895" si="10"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1050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1051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1052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1053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1054</v>
      </c>
      <c r="H837" s="20" t="str">
        <f>+T837</f>
        <v/>
      </c>
      <c r="J837" s="30"/>
      <c r="K837" s="22" t="str">
        <f t="shared" si="10"/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1055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1056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 t="shared" si="10"/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1057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1058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1059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1060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1061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1062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1063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1064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1065</v>
      </c>
      <c r="H848" s="20" t="str">
        <f>+T848</f>
        <v/>
      </c>
      <c r="J848" s="30"/>
      <c r="K848" s="22" t="str">
        <f t="shared" si="10"/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1066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1067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 t="shared" si="10"/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1068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1069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1070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1071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1072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1073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1074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1075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1076</v>
      </c>
      <c r="H859" s="20" t="str">
        <f>+T859</f>
        <v/>
      </c>
      <c r="J859" s="30"/>
      <c r="K859" s="22" t="str">
        <f t="shared" si="10"/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1077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1078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 t="shared" si="10"/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1079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1080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1081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1082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1083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1084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1085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1086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1087</v>
      </c>
      <c r="H870" s="20" t="str">
        <f>+T870</f>
        <v/>
      </c>
      <c r="J870" s="30"/>
      <c r="K870" s="22" t="str">
        <f t="shared" si="10"/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1088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1089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 t="shared" si="10"/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1090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1091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1092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1093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1094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1095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1096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1097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1098</v>
      </c>
      <c r="H881" s="20" t="str">
        <f>+T881</f>
        <v/>
      </c>
      <c r="J881" s="30"/>
      <c r="K881" s="22" t="str">
        <f t="shared" si="10"/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1099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1100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 t="shared" si="10"/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1101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1102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1103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1104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1105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1106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1107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1108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1109</v>
      </c>
      <c r="H892" s="20" t="str">
        <f>+T892</f>
        <v/>
      </c>
      <c r="J892" s="30"/>
      <c r="K892" s="22" t="str">
        <f t="shared" si="10"/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1110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1111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 t="shared" si="10"/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1112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1113</v>
      </c>
      <c r="H896" s="20" t="str">
        <f>+T896</f>
        <v/>
      </c>
      <c r="J896" s="30"/>
      <c r="K896" s="22" t="str">
        <f t="shared" ref="K896:K959" si="11"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1114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1115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1116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1117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1118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1119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1120</v>
      </c>
      <c r="H903" s="20" t="str">
        <f>+T903</f>
        <v/>
      </c>
      <c r="J903" s="30"/>
      <c r="K903" s="22" t="str">
        <f t="shared" si="11"/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1121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1122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 t="shared" si="11"/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1123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1124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1125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1126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1127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1128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1129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1130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1131</v>
      </c>
      <c r="H914" s="20" t="str">
        <f>+T914</f>
        <v/>
      </c>
      <c r="J914" s="30"/>
      <c r="K914" s="22" t="str">
        <f t="shared" si="11"/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1132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1133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 t="shared" si="11"/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1134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1135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1136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1137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1138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1139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1140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1141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1142</v>
      </c>
      <c r="H925" s="20" t="str">
        <f>+T925</f>
        <v/>
      </c>
      <c r="J925" s="30"/>
      <c r="K925" s="22" t="str">
        <f t="shared" si="11"/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1143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1144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 t="shared" si="11"/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1145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1146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1147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1148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1149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1150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1151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1152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1153</v>
      </c>
      <c r="H936" s="20" t="str">
        <f>+T936</f>
        <v/>
      </c>
      <c r="J936" s="30"/>
      <c r="K936" s="22" t="str">
        <f t="shared" si="11"/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1154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1155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 t="shared" si="11"/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1156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1157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1158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1159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1160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1161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1162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1163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1164</v>
      </c>
      <c r="H947" s="20" t="str">
        <f>+T947</f>
        <v/>
      </c>
      <c r="J947" s="30"/>
      <c r="K947" s="22" t="str">
        <f t="shared" si="11"/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1165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1166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 t="shared" si="11"/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1167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1168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1169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1170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1171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1172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1173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1174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1175</v>
      </c>
      <c r="H958" s="20" t="str">
        <f>+T958</f>
        <v/>
      </c>
      <c r="J958" s="30"/>
      <c r="K958" s="22" t="str">
        <f t="shared" si="11"/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1176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1177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 t="shared" ref="K960:K1023" si="12"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1178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1179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1180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1181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1182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1183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1184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1185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1186</v>
      </c>
      <c r="H969" s="20" t="str">
        <f>+T969</f>
        <v/>
      </c>
      <c r="J969" s="30"/>
      <c r="K969" s="22" t="str">
        <f t="shared" si="12"/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1187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1188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 t="shared" si="12"/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1189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1190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1191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1192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1193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1194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1195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1196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1197</v>
      </c>
      <c r="H980" s="20" t="str">
        <f>+T980</f>
        <v/>
      </c>
      <c r="J980" s="30"/>
      <c r="K980" s="22" t="str">
        <f t="shared" si="12"/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1198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1199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 t="shared" si="12"/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1200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1201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1202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1203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1204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1205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1206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1207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1208</v>
      </c>
      <c r="H991" s="20" t="str">
        <f>+T991</f>
        <v/>
      </c>
      <c r="J991" s="30"/>
      <c r="K991" s="22" t="str">
        <f t="shared" si="12"/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1209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1210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 t="shared" si="12"/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1211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1212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1213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1214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1215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1216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1217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1218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1219</v>
      </c>
      <c r="H1002" s="20" t="str">
        <f>+T1002</f>
        <v/>
      </c>
      <c r="J1002" s="30"/>
      <c r="K1002" s="22" t="str">
        <f t="shared" si="12"/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1220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1221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 t="shared" si="12"/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1222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1223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1224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1225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1226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1227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1228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1229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1230</v>
      </c>
      <c r="H1013" s="20" t="str">
        <f>+T1013</f>
        <v/>
      </c>
      <c r="J1013" s="30"/>
      <c r="K1013" s="22" t="str">
        <f t="shared" si="12"/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1231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1232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 t="shared" si="12"/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1233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1234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1235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1236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1237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1238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1239</v>
      </c>
      <c r="H1022" s="20" t="str">
        <f>+T1022</f>
        <v/>
      </c>
      <c r="J1022" s="30"/>
      <c r="K1022" s="22" t="str">
        <f t="shared" si="12"/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1240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1241</v>
      </c>
      <c r="H1024" s="20" t="str">
        <f>+T1024</f>
        <v/>
      </c>
      <c r="J1024" s="30"/>
      <c r="K1024" s="22" t="str">
        <f t="shared" ref="K1024:K1087" si="13"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1242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1243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 t="shared" si="13"/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1244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1245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1246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1247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1248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1249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1250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1251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1252</v>
      </c>
      <c r="H1035" s="20" t="str">
        <f>+T1035</f>
        <v/>
      </c>
      <c r="J1035" s="30"/>
      <c r="K1035" s="22" t="str">
        <f t="shared" si="13"/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1253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1254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 t="shared" si="13"/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1255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1256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1257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1258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1259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1260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1261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1262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1263</v>
      </c>
      <c r="H1046" s="20" t="str">
        <f>+T1046</f>
        <v/>
      </c>
      <c r="J1046" s="30"/>
      <c r="K1046" s="22" t="str">
        <f t="shared" si="13"/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1264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1265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 t="shared" si="13"/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1266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1267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1268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1269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1270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1271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1272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1273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1274</v>
      </c>
      <c r="H1057" s="20" t="str">
        <f>+T1057</f>
        <v/>
      </c>
      <c r="J1057" s="30"/>
      <c r="K1057" s="22" t="str">
        <f t="shared" si="13"/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1275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1276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 t="shared" si="13"/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1277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1278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1279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1280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1281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1282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1283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1284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1285</v>
      </c>
      <c r="H1068" s="20" t="str">
        <f>+T1068</f>
        <v/>
      </c>
      <c r="J1068" s="30"/>
      <c r="K1068" s="22" t="str">
        <f t="shared" si="13"/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1286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1287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 t="shared" si="13"/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1288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1289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1290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1291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1292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1293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1294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1295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1296</v>
      </c>
      <c r="H1079" s="20" t="str">
        <f>+T1079</f>
        <v/>
      </c>
      <c r="J1079" s="30"/>
      <c r="K1079" s="22" t="str">
        <f t="shared" si="13"/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1297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1298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22" t="str">
        <f t="shared" si="13"/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1299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1300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1301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1302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1303</v>
      </c>
      <c r="H1086" s="20" t="str">
        <f>+T1086</f>
        <v/>
      </c>
      <c r="J1086" s="30"/>
      <c r="K1086" s="22" t="str">
        <f t="shared" si="13"/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1304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1305</v>
      </c>
      <c r="H1088" s="20" t="str">
        <f>+T1088</f>
        <v/>
      </c>
      <c r="J1088" s="30"/>
      <c r="K1088" s="22" t="str">
        <f t="shared" ref="K1088:K1151" si="14"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1306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1307</v>
      </c>
      <c r="H1090" s="20" t="str">
        <f>+T1090</f>
        <v/>
      </c>
      <c r="J1090" s="30"/>
      <c r="K1090" s="22" t="str">
        <f t="shared" si="14"/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1308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1309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22" t="str">
        <f t="shared" si="14"/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1310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1311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1312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1313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1314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1315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1316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1317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1318</v>
      </c>
      <c r="H1101" s="20" t="str">
        <f>+T1101</f>
        <v/>
      </c>
      <c r="J1101" s="30"/>
      <c r="K1101" s="22" t="str">
        <f t="shared" si="14"/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1319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1320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22" t="str">
        <f t="shared" si="14"/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1321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1322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1323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1324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1325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1326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1327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1328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1329</v>
      </c>
      <c r="H1112" s="20" t="str">
        <f>+T1112</f>
        <v/>
      </c>
      <c r="J1112" s="30"/>
      <c r="K1112" s="22" t="str">
        <f t="shared" si="14"/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1330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1331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22" t="str">
        <f t="shared" si="14"/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1332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1333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1334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1335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1336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1337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1338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1339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1340</v>
      </c>
      <c r="H1123" s="20" t="str">
        <f>+T1123</f>
        <v/>
      </c>
      <c r="J1123" s="30"/>
      <c r="K1123" s="22" t="str">
        <f t="shared" si="14"/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1341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1342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22" t="str">
        <f t="shared" si="14"/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1343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1344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1345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1346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1347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1348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1349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1350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1351</v>
      </c>
      <c r="H1134" s="20" t="str">
        <f>+T1134</f>
        <v/>
      </c>
      <c r="J1134" s="30"/>
      <c r="K1134" s="22" t="str">
        <f t="shared" si="14"/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1352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1353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22" t="str">
        <f t="shared" si="14"/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1354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1355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1356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1357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1358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1359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1360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1361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1362</v>
      </c>
      <c r="H1145" s="20" t="str">
        <f>+T1145</f>
        <v/>
      </c>
      <c r="J1145" s="30"/>
      <c r="K1145" s="22" t="str">
        <f t="shared" si="14"/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1363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1364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22" t="str">
        <f t="shared" si="14"/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1365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1366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1367</v>
      </c>
      <c r="H1150" s="20" t="str">
        <f>+T1150</f>
        <v/>
      </c>
      <c r="J1150" s="30"/>
      <c r="K1150" s="22" t="str">
        <f t="shared" si="14"/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1368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1369</v>
      </c>
      <c r="H1152" s="20" t="str">
        <f>+T1152</f>
        <v/>
      </c>
      <c r="J1152" s="30"/>
      <c r="K1152" s="22" t="str">
        <f t="shared" ref="K1152:K1215" si="15"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1370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1371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1372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1373</v>
      </c>
      <c r="H1156" s="20" t="str">
        <f>+T1156</f>
        <v/>
      </c>
      <c r="J1156" s="30"/>
      <c r="K1156" s="22" t="str">
        <f t="shared" si="15"/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1374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1375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22" t="str">
        <f t="shared" si="15"/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1376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1377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1378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1379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1380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1381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1382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1383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1384</v>
      </c>
      <c r="H1167" s="20" t="str">
        <f>+T1167</f>
        <v/>
      </c>
      <c r="J1167" s="30"/>
      <c r="K1167" s="22" t="str">
        <f t="shared" si="15"/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1385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1386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22" t="str">
        <f t="shared" si="15"/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1387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1388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1389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1390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1391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1392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1393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1394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1395</v>
      </c>
      <c r="H1178" s="20" t="str">
        <f>+T1178</f>
        <v/>
      </c>
      <c r="J1178" s="30"/>
      <c r="K1178" s="22" t="str">
        <f t="shared" si="15"/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1396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1397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22" t="str">
        <f t="shared" si="15"/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1398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1399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1400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1401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1402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1403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1404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1405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1406</v>
      </c>
      <c r="H1189" s="20" t="str">
        <f>+T1189</f>
        <v/>
      </c>
      <c r="J1189" s="30"/>
      <c r="K1189" s="22" t="str">
        <f t="shared" si="15"/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1407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1408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22" t="str">
        <f t="shared" si="15"/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1409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1410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1411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1412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1413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1414</v>
      </c>
      <c r="H1197" s="20" t="str">
        <f>+T1197</f>
        <v/>
      </c>
      <c r="J1197" s="30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1415</v>
      </c>
      <c r="H1198" s="20" t="str">
        <f>+T1198</f>
        <v/>
      </c>
      <c r="J1198" s="30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1416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1417</v>
      </c>
      <c r="H1200" s="34"/>
      <c r="K1200" s="22" t="str">
        <f t="shared" si="15"/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1418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1419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22" t="str">
        <f t="shared" si="15"/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1420</v>
      </c>
      <c r="H1203" s="34"/>
      <c r="K1203" s="22" t="str">
        <f t="shared" si="15"/>
        <v/>
      </c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1421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1422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1423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1424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1425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1426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1427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1428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1429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1430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1431</v>
      </c>
      <c r="H1214" s="20" t="str">
        <f>+T1214</f>
        <v/>
      </c>
      <c r="J1214" s="30"/>
      <c r="K1214" s="22" t="str">
        <f t="shared" si="15"/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1432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1433</v>
      </c>
      <c r="H1216" s="20" t="str">
        <f>+T1216</f>
        <v/>
      </c>
      <c r="J1216" s="30"/>
      <c r="K1216" s="22" t="str">
        <f t="shared" ref="K1216:K1279" si="16"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1434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1435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1436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1437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1438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1439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1440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1441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1442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1443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1444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1445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1446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1447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1448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1449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1450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1451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1452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1453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1454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1455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1456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1457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1458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1459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1460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1461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1462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1463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1464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1465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1466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1467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1468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1469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1470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1471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1472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1473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1474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1475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1476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1477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1478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1479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1480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1481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1482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1483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1484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1485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1486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1487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1488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1489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1490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1491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1492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1493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1494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1495</v>
      </c>
      <c r="H1278" s="20" t="str">
        <f>+T1278</f>
        <v/>
      </c>
      <c r="J1278" s="30"/>
      <c r="K1278" s="22" t="str">
        <f t="shared" si="16"/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1496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1497</v>
      </c>
      <c r="H1280" s="20" t="str">
        <f>+T1280</f>
        <v/>
      </c>
      <c r="J1280" s="30"/>
      <c r="K1280" s="22" t="str">
        <f t="shared" ref="K1280:K1343" si="17"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1498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1499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1500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1501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1502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1503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1504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1505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1506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1507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1508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1509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1510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1511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1512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1513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1514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1515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1516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1517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1518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1519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1520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1521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1522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1523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1524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1525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1526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1527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1528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1529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1530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1531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1532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1533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1534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1535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1536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1537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1538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1539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1540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1541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1542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1543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1544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1545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1546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1547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1548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1549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1550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1551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1552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1553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1554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1555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1556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1557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1558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1559</v>
      </c>
      <c r="H1342" s="20" t="str">
        <f>+T1342</f>
        <v/>
      </c>
      <c r="J1342" s="30"/>
      <c r="K1342" s="22" t="str">
        <f t="shared" si="17"/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1560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1561</v>
      </c>
      <c r="H1344" s="20" t="str">
        <f>+T1344</f>
        <v/>
      </c>
      <c r="J1344" s="30"/>
      <c r="K1344" s="22" t="str">
        <f t="shared" ref="K1344:K1407" si="18"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1562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1563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1564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1565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1566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1567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1568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1569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1570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1571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1572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1573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1574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1575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1576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1577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1578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1579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1580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1581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1582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1583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1584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1585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1586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1587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1588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1589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1590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1591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1592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1593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1594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1595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1596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1597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1598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1599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1600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1601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1602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1603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1604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1605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1606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1607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1608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1609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1610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1611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1612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1613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1614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1615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1616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1617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1618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1619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1620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1621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1622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1623</v>
      </c>
      <c r="H1406" s="20" t="str">
        <f>+T1406</f>
        <v/>
      </c>
      <c r="J1406" s="30"/>
      <c r="K1406" s="22" t="str">
        <f t="shared" si="18"/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1624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1625</v>
      </c>
      <c r="H1408" s="20" t="str">
        <f>+T1408</f>
        <v/>
      </c>
      <c r="J1408" s="30"/>
      <c r="K1408" s="22" t="str">
        <f t="shared" ref="K1408:K1471" si="19"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1626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1627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1628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1629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1630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1631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1632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1633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1634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1635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1636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1637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1638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1639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1640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1641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1642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1643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1644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1645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1646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1647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1648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1649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1650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1651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1652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1653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1654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1655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1656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1657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1658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1659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1660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1661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1662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1663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1664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1665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1666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1667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1668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1669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1670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1671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1672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1673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1674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1675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1676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1677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1678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1679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1680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1681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1682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1683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1684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1685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1686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1687</v>
      </c>
      <c r="H1470" s="20" t="str">
        <f>+T1470</f>
        <v/>
      </c>
      <c r="J1470" s="30"/>
      <c r="K1470" s="22" t="str">
        <f t="shared" si="19"/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1688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1689</v>
      </c>
      <c r="H1472" s="20" t="str">
        <f>+T1472</f>
        <v/>
      </c>
      <c r="J1472" s="30"/>
      <c r="K1472" s="22" t="str">
        <f t="shared" ref="K1472:K1535" si="20"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1690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1691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1692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1693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1694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1695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1696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1697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1698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1699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1700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1701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1702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1703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1704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1705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1706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1707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1708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1709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1710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1711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1712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1713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1714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1715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1716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1717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1718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1719</v>
      </c>
      <c r="H1502" s="20" t="str">
        <f>+T1502</f>
        <v/>
      </c>
      <c r="J1502" s="30"/>
      <c r="K1502" s="22" t="str">
        <f t="shared" si="20"/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1720</v>
      </c>
      <c r="H1503" s="20" t="str">
        <f>+T1503</f>
        <v/>
      </c>
      <c r="J1503" s="30"/>
      <c r="K1503" s="22" t="str">
        <f t="shared" si="20"/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1721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1722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1723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1724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1725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1726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1727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1728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1729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1730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1731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1732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1733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1734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1735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1736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1737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1738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1739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1740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1741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1742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1743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1744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1745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1746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1747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1748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1749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1750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1751</v>
      </c>
      <c r="H1534" s="20" t="str">
        <f>+T1534</f>
        <v/>
      </c>
      <c r="J1534" s="30"/>
      <c r="K1534" s="22" t="str">
        <f t="shared" si="20"/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1752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1753</v>
      </c>
      <c r="H1536" s="20" t="str">
        <f>+T1536</f>
        <v/>
      </c>
      <c r="J1536" s="30"/>
      <c r="K1536" s="22" t="str">
        <f t="shared" ref="K1536:K1599" si="21"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1754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1755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1756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1757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1758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1759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1760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1761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1762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1763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1764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1765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1766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1767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1768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1769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1770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1771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1772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1773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1774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1775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1776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1777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1778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1779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1780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1781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1782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1783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1784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1785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1786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1787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1788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1789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1790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1791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1792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1793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1794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1795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1796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1797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1798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1799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1800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1801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1802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1803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1804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1805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1806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1807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1808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1809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1810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1811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1812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1813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1814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1815</v>
      </c>
      <c r="H1598" s="20" t="str">
        <f>+T1598</f>
        <v/>
      </c>
      <c r="J1598" s="30"/>
      <c r="K1598" s="22" t="str">
        <f t="shared" si="21"/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1816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1817</v>
      </c>
      <c r="H1600" s="20" t="str">
        <f>+T1600</f>
        <v/>
      </c>
      <c r="J1600" s="30"/>
      <c r="K1600" s="22" t="str">
        <f t="shared" ref="K1600:K1663" si="22"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1818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1819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1820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1821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1822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1823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1824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1825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1826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1827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1828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1829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1830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1831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1832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1833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1834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1835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1836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1837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1838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1839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1840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1841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1842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1843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1844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1845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1846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1847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1848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1849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1850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1851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1852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1853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1854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1855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1856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1857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1858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1859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1860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1861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1862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1863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1864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1865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1866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1867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1868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1869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1870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1871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1872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1873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1874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1875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1876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1877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1878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1879</v>
      </c>
      <c r="H1662" s="20" t="str">
        <f>+T1662</f>
        <v/>
      </c>
      <c r="J1662" s="30"/>
      <c r="K1662" s="22" t="str">
        <f t="shared" si="22"/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1880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1881</v>
      </c>
      <c r="H1664" s="20" t="str">
        <f>+T1664</f>
        <v/>
      </c>
      <c r="J1664" s="30"/>
      <c r="K1664" s="22" t="str">
        <f t="shared" ref="K1664:K1727" si="23"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1882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1883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1884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1885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1886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1887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1888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1889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1890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1891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1892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1893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1894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1895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1896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1897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1898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1899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1900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1901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1902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1903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1904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1905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1906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1907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1908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1909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1910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1911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1912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1913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1914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1915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1916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1917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1918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1919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1920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1921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1922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1923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1924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1925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1926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1927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1928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1929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1930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1931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1932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1933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1934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1935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1936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1937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1938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1939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1940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1941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1942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1943</v>
      </c>
      <c r="H1726" s="20" t="str">
        <f>+T1726</f>
        <v/>
      </c>
      <c r="J1726" s="30"/>
      <c r="K1726" s="22" t="str">
        <f t="shared" si="23"/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1944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1945</v>
      </c>
      <c r="H1728" s="20" t="str">
        <f>+T1728</f>
        <v/>
      </c>
      <c r="J1728" s="30"/>
      <c r="K1728" s="22" t="str">
        <f t="shared" ref="K1728:K1791" si="24"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1946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1947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1948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1949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1950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1951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1952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1953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1954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1955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1956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1957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1958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1959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1960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1961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1962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1963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1964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1965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1966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1967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1968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1969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1970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1971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1972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1973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1974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1975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1976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1977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1978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1979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1980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1981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1982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1983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1984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1985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1986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1987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1988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1989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1990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1991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1992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1993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1994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1995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1996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1997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1998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1999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2000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2001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2002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2003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2004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2005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2006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2007</v>
      </c>
      <c r="H1790" s="20" t="str">
        <f>+T1790</f>
        <v/>
      </c>
      <c r="J1790" s="30"/>
      <c r="K1790" s="22" t="str">
        <f t="shared" si="24"/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2008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2009</v>
      </c>
      <c r="H1792" s="20" t="str">
        <f>+T1792</f>
        <v/>
      </c>
      <c r="J1792" s="30"/>
      <c r="K1792" s="22" t="str">
        <f t="shared" ref="K1792:K1855" si="25"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2010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2011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2012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2013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2014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2015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2016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2017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2018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2019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2020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2021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2022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2023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2024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2025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2026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2027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2028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2029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2030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2031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2032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2033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2034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2035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2036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2037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2038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2039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2040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2041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2042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2043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2044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2045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2046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2047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2048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2049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2050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2051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2052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2053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2054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2055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2056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2057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2058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2059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2060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2061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2062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2063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2064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2065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2066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2067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2068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2069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2070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2071</v>
      </c>
      <c r="H1854" s="20" t="str">
        <f>+T1854</f>
        <v/>
      </c>
      <c r="J1854" s="30"/>
      <c r="K1854" s="22" t="str">
        <f t="shared" si="25"/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2072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2073</v>
      </c>
      <c r="H1856" s="20" t="str">
        <f>+T1856</f>
        <v/>
      </c>
      <c r="J1856" s="30"/>
      <c r="K1856" s="22" t="str">
        <f t="shared" ref="K1856:K1919" si="26"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2074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2075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2076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2077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2078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2079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2080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2081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2082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2083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2084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2085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2086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2087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2088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2089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2090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2091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2092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2093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2094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2095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2096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2097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2098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2099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2100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2101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2102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2103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2104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2105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2106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2107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2108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2109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2110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2111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2112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2113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2114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2115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2116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2117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2118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2119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2120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2121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2122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2123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2124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2125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2126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2127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2128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2129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2130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2131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2132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2133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2134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2135</v>
      </c>
      <c r="H1918" s="20" t="str">
        <f>+T1918</f>
        <v/>
      </c>
      <c r="J1918" s="30"/>
      <c r="K1918" s="22" t="str">
        <f t="shared" si="26"/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2136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2137</v>
      </c>
      <c r="H1920" s="20" t="str">
        <f>+T1920</f>
        <v/>
      </c>
      <c r="J1920" s="30"/>
      <c r="K1920" s="22" t="str">
        <f t="shared" ref="K1920:K1983" si="27"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2138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2139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2140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2141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2142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2143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2144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2145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2146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2147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2148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2149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2150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2151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2152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2153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2154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2155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2156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2157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2158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2159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2160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2161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2162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2163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2164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2165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2166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2167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2168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2169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2170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2171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2172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2173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2174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2175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2176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2177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2178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2179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2180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2181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2182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2183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2184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2185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2186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2187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2188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2189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2190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2191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2192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2193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2194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2195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2196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2197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2198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2199</v>
      </c>
      <c r="H1982" s="20" t="str">
        <f>+T1982</f>
        <v/>
      </c>
      <c r="J1982" s="30"/>
      <c r="K1982" s="22" t="str">
        <f t="shared" si="27"/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2200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2201</v>
      </c>
      <c r="H1984" s="20" t="str">
        <f>+T1984</f>
        <v/>
      </c>
      <c r="J1984" s="30"/>
      <c r="K1984" s="22" t="str">
        <f t="shared" ref="K1984:K2022" si="28"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2202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2203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2204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2205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2206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2207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2208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2209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2210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2211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2212</v>
      </c>
      <c r="H1995" s="20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2213</v>
      </c>
      <c r="H1996" s="20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2214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2215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A1999" s="20" t="s">
        <v>2216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 hidden="1">
      <c r="A2000" s="20" t="s">
        <v>2217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 hidden="1">
      <c r="A2001" s="20" t="s">
        <v>2218</v>
      </c>
      <c r="H2001" s="42" t="str">
        <f>+T2001</f>
        <v/>
      </c>
      <c r="J2001" s="30"/>
      <c r="K2001" s="22" t="str">
        <f t="shared" si="28"/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 hidden="1">
      <c r="A2002" s="20" t="s">
        <v>2219</v>
      </c>
      <c r="H2002" s="42" t="str">
        <f>+T2002</f>
        <v/>
      </c>
      <c r="J2002" s="30"/>
      <c r="K2002" s="22" t="str">
        <f t="shared" si="28"/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 hidden="1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:20" hidden="1">
      <c r="K2004" s="22" t="str">
        <f t="shared" si="28"/>
        <v/>
      </c>
      <c r="R2004" s="34"/>
      <c r="S2004" s="34"/>
      <c r="T2004" t="str">
        <f>IF(C2004="","",UPPER(LEFT(SUBSTITUTE(C2004," ",""),3))&amp;"-"&amp;TEXT(B2004,"AAMMDD")&amp;"-1")</f>
        <v/>
      </c>
    </row>
    <row r="2005" spans="1:20" hidden="1">
      <c r="K2005" s="22" t="str">
        <f t="shared" si="28"/>
        <v/>
      </c>
      <c r="R2005" s="34"/>
      <c r="S2005" s="34"/>
      <c r="T2005" t="str">
        <f>IF(C2005="","",UPPER(LEFT(SUBSTITUTE(C2005," ",""),3))&amp;"-"&amp;TEXT(B2005,"AAMMDD")&amp;"-1")</f>
        <v/>
      </c>
    </row>
    <row r="2006" spans="1:20" hidden="1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 hidden="1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 hidden="1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 hidden="1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 hidden="1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 hidden="1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 hidden="1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 hidden="1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 hidden="1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 hidden="1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 hidden="1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 hidden="1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 hidden="1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 hidden="1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 hidden="1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 hidden="1">
      <c r="K2021" s="22" t="str">
        <f t="shared" si="28"/>
        <v/>
      </c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 hidden="1">
      <c r="K2022" s="22" t="str">
        <f t="shared" si="28"/>
        <v/>
      </c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 hidden="1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 hidden="1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 hidden="1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 hidden="1">
      <c r="R6004" s="34"/>
      <c r="S6004" s="34"/>
      <c r="T6004" t="str">
        <f>IF(C6004="","",UPPER(LEFT(SUBSTITUTE(C6004," ",""),3))&amp;"-"&amp;TEXT(B6004,"AAMMDD")&amp;"-1")</f>
        <v/>
      </c>
    </row>
    <row r="6005" spans="18:20" hidden="1">
      <c r="R6005" s="34"/>
      <c r="S6005" s="34"/>
      <c r="T6005" t="str">
        <f>IF(C6005="","",UPPER(LEFT(SUBSTITUTE(C6005," ",""),3))&amp;"-"&amp;TEXT(B6005,"AAMMDD")&amp;"-1")</f>
        <v/>
      </c>
    </row>
    <row r="6006" spans="18:20" hidden="1">
      <c r="R6006" s="34"/>
      <c r="S6006" s="34"/>
      <c r="T6006" t="str">
        <f>IF(C6006="","",UPPER(LEFT(SUBSTITUTE(C6006," ",""),3))&amp;"-"&amp;TEXT(B6006,"AAMMDD")&amp;"-1")</f>
        <v/>
      </c>
    </row>
    <row r="6007" spans="18:20" hidden="1">
      <c r="R6007" s="34"/>
      <c r="S6007" s="34"/>
      <c r="T6007" t="str">
        <f>IF(C6007="","",UPPER(LEFT(SUBSTITUTE(C6007," ",""),3))&amp;"-"&amp;TEXT(B6007,"AAMMDD")&amp;"-1")</f>
        <v/>
      </c>
    </row>
    <row r="6008" spans="18:20" hidden="1">
      <c r="R6008" s="34"/>
      <c r="S6008" s="34"/>
      <c r="T6008" t="str">
        <f>IF(C6008="","",UPPER(LEFT(SUBSTITUTE(C6008," ",""),3))&amp;"-"&amp;TEXT(B6008,"AAMMDD")&amp;"-1")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 hidden="1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 hidden="1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34"/>
      <c r="S6186" s="34"/>
      <c r="T6186" t="str">
        <f>IF(C6186="","",UPPER(LEFT(SUBSTITUTE(C6186," ",""),3))&amp;"-"&amp;TEXT(B6186,"AAMMDD")&amp;"-1")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 hidden="1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 hidden="1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 hidden="1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:20" hidden="1">
      <c r="T11985" t="str">
        <f>IF(C11985="","",UPPER(LEFT(SUBSTITUTE(C11985," ",""),3))&amp;"-"&amp;TEXT(B11985,"AAMMDD")&amp;"-1")</f>
        <v/>
      </c>
    </row>
    <row r="11986" spans="2:20" hidden="1">
      <c r="T11986" t="str">
        <f>IF(C11986="","",UPPER(LEFT(SUBSTITUTE(C11986," ",""),3))&amp;"-"&amp;TEXT(B11986,"AAMMDD")&amp;"-1")</f>
        <v/>
      </c>
    </row>
    <row r="11987" spans="2:20" hidden="1">
      <c r="T11987" t="str">
        <f>IF(C11987="","",UPPER(LEFT(SUBSTITUTE(C11987," ",""),3))&amp;"-"&amp;TEXT(B11987,"AAMMDD")&amp;"-1")</f>
        <v/>
      </c>
    </row>
    <row r="11988" spans="2:20" hidden="1">
      <c r="T11988" t="str">
        <f>IF(C11988="","",UPPER(LEFT(SUBSTITUTE(C11988," ",""),3))&amp;"-"&amp;TEXT(B11988,"AAMMDD")&amp;"-1")</f>
        <v/>
      </c>
    </row>
    <row r="11989" spans="2:20" hidden="1">
      <c r="T11989" t="str">
        <f>IF(C11989="","",UPPER(LEFT(SUBSTITUTE(C11989," ",""),3))&amp;"-"&amp;TEXT(B11989,"AAMMDD")&amp;"-1")</f>
        <v/>
      </c>
    </row>
    <row r="11990" spans="2:20" hidden="1">
      <c r="T11990" t="str">
        <f>IF(C11990="","",UPPER(LEFT(SUBSTITUTE(C11990," ",""),3))&amp;"-"&amp;TEXT(B11990,"AAMMDD")&amp;"-1")</f>
        <v/>
      </c>
    </row>
    <row r="11991" spans="2:20" hidden="1">
      <c r="T11991" t="str">
        <f>IF(C11991="","",UPPER(LEFT(SUBSTITUTE(C11991," ",""),3))&amp;"-"&amp;TEXT(B11991,"AAMMDD")&amp;"-1")</f>
        <v/>
      </c>
    </row>
    <row r="11992" spans="2:20" hidden="1">
      <c r="T11992" t="str">
        <f>IF(C11992="","",UPPER(LEFT(SUBSTITUTE(C11992," ",""),3))&amp;"-"&amp;TEXT(B11992,"AAMMDD")&amp;"-1")</f>
        <v/>
      </c>
    </row>
    <row r="11993" spans="2:20" hidden="1">
      <c r="T11993" t="str">
        <f>IF(C11993="","",UPPER(LEFT(SUBSTITUTE(C11993," ",""),3))&amp;"-"&amp;TEXT(B11993,"AAMMDD")&amp;"-1")</f>
        <v/>
      </c>
    </row>
    <row r="11994" spans="2:20" hidden="1">
      <c r="T11994" t="str">
        <f>IF(C11994="","",UPPER(LEFT(SUBSTITUTE(C11994," ",""),3))&amp;"-"&amp;TEXT(B11994,"AAMMDD")&amp;"-1")</f>
        <v/>
      </c>
    </row>
    <row r="11995" spans="2:20" hidden="1">
      <c r="T11995" t="str">
        <f>IF(C11995="","",UPPER(LEFT(SUBSTITUTE(C11995," ",""),3))&amp;"-"&amp;TEXT(B11995,"AAMMDD")&amp;"-1")</f>
        <v/>
      </c>
    </row>
    <row r="11996" spans="2:20" hidden="1">
      <c r="T11996" t="str">
        <f>IF(C11996="","",UPPER(LEFT(SUBSTITUTE(C11996," ",""),3))&amp;"-"&amp;TEXT(B11996,"AAMMDD")&amp;"-1")</f>
        <v/>
      </c>
    </row>
    <row r="11997" spans="2:20" hidden="1">
      <c r="T11997" t="str">
        <f>IF(C11997="","",UPPER(LEFT(SUBSTITUTE(C11997," ",""),3))&amp;"-"&amp;TEXT(B11997,"AAMMDD")&amp;"-1")</f>
        <v/>
      </c>
    </row>
    <row r="11998" spans="2:20" hidden="1">
      <c r="B11998" s="48"/>
      <c r="T11998" t="str">
        <f t="shared" ref="T11998:T11999" si="29">IF(C11998="","",UPPER(LEFT(SUBSTITUTE(C11998," ",""),3))&amp;"-"&amp;TEXT(B11998,"AAMMDD")&amp;"-1")</f>
        <v/>
      </c>
    </row>
    <row r="11999" spans="2:20" hidden="1">
      <c r="B11999" s="48"/>
      <c r="T11999" t="str">
        <f t="shared" si="29"/>
        <v/>
      </c>
    </row>
  </sheetData>
  <phoneticPr fontId="9" type="noConversion"/>
  <conditionalFormatting sqref="A2:Q2 A3:P11 A12:A2002 N11998:N11999 B11998:B11999 Q3:Q500 B12:P220 L221:P500 L501:Q1997 K221:K2022 B221:J1997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" activePane="bottomLeft" state="frozen"/>
      <selection pane="bottomLeft" activeCell="J8" sqref="J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2220</v>
      </c>
      <c r="B1" s="23" t="s">
        <v>2221</v>
      </c>
      <c r="C1" s="23" t="s">
        <v>2222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2223</v>
      </c>
      <c r="I1" s="18" t="s">
        <v>2224</v>
      </c>
      <c r="J1" s="18" t="s">
        <v>2225</v>
      </c>
      <c r="K1" s="18" t="s">
        <v>2226</v>
      </c>
    </row>
    <row r="2" spans="1:1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540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2227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330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358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2228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591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347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273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567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555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625</v>
      </c>
      <c r="K12" s="13" t="str">
        <f t="shared" ca="1" si="1"/>
        <v>OK</v>
      </c>
    </row>
    <row r="13" spans="1:1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339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227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522</v>
      </c>
      <c r="J17" s="5">
        <f>IF(A17="","",SUMIFS(Movimientos!$K:$K,Movimientos!$H:$H,A17))</f>
        <v>45840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583</v>
      </c>
      <c r="J18" s="5">
        <f>IF(A18="","",SUMIFS(Movimientos!$K:$K,Movimientos!$H:$H,A18))</f>
        <v>13910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491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643</v>
      </c>
      <c r="J20" s="5">
        <f>IF(A20="","",SUMIFS(Movimientos!$K:$K,Movimientos!$H:$H,A20))</f>
        <v>4480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491</v>
      </c>
      <c r="J21" s="5">
        <f>IF(A21="","",SUMIFS(Movimientos!$K:$K,Movimientos!$H:$H,A21))</f>
        <v>1020</v>
      </c>
      <c r="K21" s="13" t="str">
        <f t="shared" ca="1" si="1"/>
        <v>OK</v>
      </c>
    </row>
    <row r="22" spans="1:11">
      <c r="A22" s="16" t="s">
        <v>2229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218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>
      <c r="A23" s="16" t="s">
        <v>2230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249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2231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4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>
      <c r="A39" s="16" t="s">
        <v>2232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1404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631</v>
      </c>
      <c r="J40" s="5">
        <f>IF(A40="","",SUMIFS(Movimientos!$K:$K,Movimientos!$H:$H,A40))</f>
        <v>3260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2233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>
      <c r="A45" s="16" t="s">
        <v>363</v>
      </c>
      <c r="B45" s="2" t="str">
        <f>IFERROR(INDEX(Movimientos!$C$2:$C$1997,MATCH(A45&amp;"ENTRADA",Movimientos!$R$2:$R$1997,0)),"-")</f>
        <v>Festuca elodie curada</v>
      </c>
      <c r="C45" s="2" t="str">
        <f>IFERROR(INDEX(Movimientos!$D$2:$D$1997,MATCH(A45&amp;"ENTRADA",Movimientos!$R$2:$R$1997,0)),"-")</f>
        <v xml:space="preserve">festuca elodie </v>
      </c>
      <c r="D45" s="2" t="str">
        <f>IFERROR(INDEX(Movimientos!$E$2:$E$1997,MATCH(A45&amp;"ENTRADA",Movimientos!$R$2:$R$1997,0)),"-")</f>
        <v>Semilla</v>
      </c>
      <c r="E45" s="2" t="str">
        <f>IFERROR(INDEX(Movimientos!$F$2:$F$1997,MATCH(A45&amp;"ENTRADA",Movimientos!$R$2:$R$1997,0)),"-")</f>
        <v>Festuca</v>
      </c>
      <c r="F45" s="2" t="str">
        <f>IFERROR(INDEX(Movimientos!$G$2:$G$1997,MATCH(A45&amp;"ENTRADA",Movimientos!$R$2:$R$1997,0)),"-")</f>
        <v xml:space="preserve">Biosfer </v>
      </c>
      <c r="G45" s="2" t="str">
        <f>IFERROR(INDEX(Movimientos!$L$2:$L$1997,MATCH(A45&amp;"ENTRADA",Movimientos!$R$2:$R$1997,0)),"-")</f>
        <v>kg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IFERROR(INDEX(Movimientos!$C$2:$C$1997,MATCH(A46&amp;"ENTRADA",Movimientos!$R$2:$R$1997,0)),"-")</f>
        <v xml:space="preserve">Trebol blanco Zapican inoculado </v>
      </c>
      <c r="C46" s="2" t="str">
        <f>IFERROR(INDEX(Movimientos!$D$2:$D$1997,MATCH(A46&amp;"ENTRADA",Movimientos!$R$2:$R$1997,0)),"-")</f>
        <v xml:space="preserve">trebol blanco zapican </v>
      </c>
      <c r="D46" s="2" t="str">
        <f>IFERROR(INDEX(Movimientos!$E$2:$E$1997,MATCH(A46&amp;"ENTRADA",Movimientos!$R$2:$R$1997,0)),"-")</f>
        <v>Semilla</v>
      </c>
      <c r="E46" s="2" t="str">
        <f>IFERROR(INDEX(Movimientos!$F$2:$F$1997,MATCH(A46&amp;"ENTRADA",Movimientos!$R$2:$R$1997,0)),"-")</f>
        <v>Trebol Blanco</v>
      </c>
      <c r="F46" s="2" t="str">
        <f>IFERROR(INDEX(Movimientos!$G$2:$G$1997,MATCH(A46&amp;"ENTRADA",Movimientos!$R$2:$R$1997,0)),"-")</f>
        <v xml:space="preserve">Biosfer </v>
      </c>
      <c r="G46" s="2" t="str">
        <f>IFERROR(INDEX(Movimientos!$L$2:$L$1997,MATCH(A46&amp;"ENTRADA",Movimientos!$R$2:$R$1997,0)),"-")</f>
        <v>kg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275</v>
      </c>
      <c r="K46" s="13" t="str">
        <f t="shared" ca="1" si="1"/>
        <v>OK</v>
      </c>
    </row>
    <row r="47" spans="1:11">
      <c r="A47" s="16" t="s">
        <v>435</v>
      </c>
      <c r="B47" s="2" t="str">
        <f>IFERROR(INDEX(Movimientos!$C$2:$C$1997,MATCH(A47&amp;"ENTRADA",Movimientos!$R$2:$R$1997,0)),"-")</f>
        <v>Colza Nuola 300</v>
      </c>
      <c r="C47" s="2" t="str">
        <f>IFERROR(INDEX(Movimientos!$D$2:$D$1997,MATCH(A47&amp;"ENTRADA",Movimientos!$R$2:$R$1997,0)),"-")</f>
        <v>Nuola 300</v>
      </c>
      <c r="D47" s="2" t="str">
        <f>IFERROR(INDEX(Movimientos!$E$2:$E$1997,MATCH(A47&amp;"ENTRADA",Movimientos!$R$2:$R$1997,0)),"-")</f>
        <v>Semilla</v>
      </c>
      <c r="E47" s="2" t="str">
        <f>IFERROR(INDEX(Movimientos!$F$2:$F$1997,MATCH(A47&amp;"ENTRADA",Movimientos!$R$2:$R$1997,0)),"-")</f>
        <v>Colza</v>
      </c>
      <c r="F47" s="2" t="str">
        <f>IFERROR(INDEX(Movimientos!$G$2:$G$1997,MATCH(A47&amp;"ENTRADA",Movimientos!$R$2:$R$1997,0)),"-")</f>
        <v xml:space="preserve">Biosfer </v>
      </c>
      <c r="G47" s="2" t="str">
        <f>IFERROR(INDEX(Movimientos!$L$2:$L$1997,MATCH(A47&amp;"ENTRADA",Movimientos!$R$2:$R$1997,0)),"-")</f>
        <v>kg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2234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2235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2236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2237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2238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2239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2240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2241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2242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2243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2244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2245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2246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2247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2248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2249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2250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2251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2252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2253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2254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2255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2256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2257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2258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2259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2260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2261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2262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2263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2264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2265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2266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2267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2268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2269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2270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2271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2272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2273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2274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2275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2276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2277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2278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2279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2280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2281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2282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2283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2284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2285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2286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2287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2288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2289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2290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2291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2292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2293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2294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2295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2296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2297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2298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2299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2300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2301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2302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2303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2304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2305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2306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2307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2308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2309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2310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2311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2312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2313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2314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2315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2316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2317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2318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2319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2320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2321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2322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2323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2324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2325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2326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2327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2328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2329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2330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2331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2332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2333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2334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2335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2336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2337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2338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2339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2340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2341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2342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2343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2344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2345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2346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2347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2348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2349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2350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2351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2352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2353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2354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2355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2356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2357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2358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2359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2360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2361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2362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2363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2364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2365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2366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2367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2368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2369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2370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2371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2372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2373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2374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2375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2376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2377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2378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2379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2380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2381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2382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2383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2384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2385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2386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2387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2388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2389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2390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2391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2392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2393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2394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2395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2396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2397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2398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2399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2400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2401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2402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2403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2404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2405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2406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2407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2408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2409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2410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2411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2412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2413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2414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2415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2416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2417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2418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2419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2420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2421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2422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2423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2424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2425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2426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2427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2428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2429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2430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2431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2432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2433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2434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2435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2436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2437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2438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2439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2440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2441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2442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2443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2444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2445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2446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2447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2448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2449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2450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2451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2452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2453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2454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2455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2456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2457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2458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2459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2460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2461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2462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2463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2464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2465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2466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2467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2468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2469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2470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2471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2472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2473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2474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2475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2476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2477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2478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2479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2480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2481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2482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2483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2484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2485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2486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2487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2488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2489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2490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2491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2492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2493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2494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2495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2496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2497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2498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2499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2500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2501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2502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2503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2504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2505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2506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2507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2508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2509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2510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2511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2512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2513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2514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2515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2516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2517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2518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2519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2520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2521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2522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2523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2524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2525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2526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2527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2528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2529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2530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2531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2532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2533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2534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2535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2536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2537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2538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2539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2540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2541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2542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2543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2544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2545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2546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2547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2548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2549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2550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2551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2552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2553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2554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2555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2556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2557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2558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2559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2560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2561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2562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2563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2564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2565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2566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2567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2568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2569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2570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2571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2572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2573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2574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2575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2576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2577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2578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2579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2580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2581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2582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2583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2584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2585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2586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2587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2588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2589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2590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2591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2592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2593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2594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2595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2596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2597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2598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2599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2600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2601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2602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2603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2604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2605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2606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2607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2608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2609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2610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2611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2612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2613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2614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2615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2616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2617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2618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2619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2620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2621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2622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2623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2624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2625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2626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2627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2628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2629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2630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2631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2632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2633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2634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2635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2636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2637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2638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2639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2640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2641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2642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2643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2644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2645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2646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2647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2648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2649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2650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2651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2652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2653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2654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2655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2656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2657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2658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2659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2660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2661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2662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2663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2664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2665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2666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2667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2668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2669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2670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2671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2672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2673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2674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2675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2676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2677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2678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2679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2680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2681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2682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2683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2684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2685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2686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2687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2688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2689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2690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2691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2692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2693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2694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2695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2696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2697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2698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2699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2700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2701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2702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2703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2704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2705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2706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2707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2708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2709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2710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2711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2712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2713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2714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2715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2716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2717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2718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2719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2720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2721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2722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2723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2724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2725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2726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2727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2728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2729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2730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2731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2732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2733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2734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2735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2736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2737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2738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2739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2740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2741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2742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2743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2744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2745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2746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2747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2748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2749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2750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2751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2752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2753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2754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2755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2756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2757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2758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2759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2760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2761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2762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2763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2764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2765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2766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2767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2768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2769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2770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2771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2772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2773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2774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2775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2776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2777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2778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2779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2780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2781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2782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2783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2784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2785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2786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2787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2788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2789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2790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2791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2792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2793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2794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2795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2796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2797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2798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2799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2800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2801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2802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2803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2804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2805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2806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2807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2808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2809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2810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2811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2812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2813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2814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2815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2816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2817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2818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2819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2820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2821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2822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2823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2824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2825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2826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2827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2828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2829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2830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2831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2832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2833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2834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2835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2836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2837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2838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2839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2840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2841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2842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2843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2844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2845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2846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2847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2848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2849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2850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2851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2852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2853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2854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2855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2856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2857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2858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2859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2860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2861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2862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2863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2864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2865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2866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2867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2868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2869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2870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2871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2872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2873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2874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2875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2876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2877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2878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2879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2880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2881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2882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2883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2884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2885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2886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2887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2888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2889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2890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2891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2892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2893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2894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2895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2896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2897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2898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2899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2900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2901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2902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2903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2904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2905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2906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2907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2908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2909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2910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2911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2912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2913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2914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2915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2916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2917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2918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2919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2920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2921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2922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2923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2924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2925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2926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2927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2928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2929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2930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2931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2932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2933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2934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2935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2936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2937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2938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2939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2940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2941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2942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2943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2944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2945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2946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2947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2948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2949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2950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2951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2952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2953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2954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2955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2956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2957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2958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2959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2960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2961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2962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2963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2964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2965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2966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2967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2968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2969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2970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2971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2972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2973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2974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2975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2976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2977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2978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2979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2980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2981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2982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2983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2984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2985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2986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2987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2988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2989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2990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2991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2992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2993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2994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2995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2996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2997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2998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2999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3000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3001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3002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3003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3004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3005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3006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3007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3008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3009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3010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3011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3012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3013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3014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3015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3016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3017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3018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3019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3020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3021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3022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3023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3024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3025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3026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3027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3028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3029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3030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3031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3032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3033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3034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3035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3036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3037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3038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3039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3040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3041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3042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3043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3044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3045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3046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3047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3048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3049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3050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3051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3052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3053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3054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3055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3056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3057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3058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3059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3060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3061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3062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3063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3064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3065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3066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3067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3068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3069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3070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3071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3072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3073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3074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3075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3076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3077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3078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3079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3080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3081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3082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3083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3084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3085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3086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3087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3088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3089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3090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3091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3092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3093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3094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3095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3096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3097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3098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3099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3100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3101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3102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3103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3104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3105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3106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3107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3108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3109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3110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3111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3112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3113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3114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3115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3116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3117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3118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3119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3120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3121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3122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3123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3124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3125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3126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3127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3128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3129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3130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3131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3132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3133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3134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3135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3136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3137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3138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3139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3140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3141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3142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3143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3144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3145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3146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3147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3148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3149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3150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3151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3152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3153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3154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3155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3156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3157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3158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3159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3160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3161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3162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3163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3164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3165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3166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3167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3168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3169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3170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3171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3172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3173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3174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3175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3176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3177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3178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3179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3180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3181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3182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2221</v>
      </c>
      <c r="B1" s="18" t="s">
        <v>3183</v>
      </c>
      <c r="C1" s="18" t="s">
        <v>4</v>
      </c>
      <c r="D1" s="18" t="s">
        <v>5</v>
      </c>
      <c r="E1" s="18" t="s">
        <v>11</v>
      </c>
      <c r="F1" s="18" t="s">
        <v>3184</v>
      </c>
      <c r="G1" s="18" t="s">
        <v>3185</v>
      </c>
      <c r="H1" s="18" t="s">
        <v>3186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625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3260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45840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13910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5160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1020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5"/>
  <sheetViews>
    <sheetView showGridLines="0" topLeftCell="B1" workbookViewId="0">
      <selection activeCell="D29" sqref="D2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2221</v>
      </c>
      <c r="B1" s="23" t="s">
        <v>3187</v>
      </c>
      <c r="C1" s="23" t="s">
        <v>4</v>
      </c>
      <c r="D1" s="23" t="s">
        <v>5</v>
      </c>
      <c r="E1" s="23" t="s">
        <v>6</v>
      </c>
      <c r="F1" s="23" t="s">
        <v>3188</v>
      </c>
      <c r="G1" s="23" t="s">
        <v>11</v>
      </c>
      <c r="H1" s="23" t="s">
        <v>3189</v>
      </c>
    </row>
    <row r="2" spans="1:8">
      <c r="A2" t="s">
        <v>22</v>
      </c>
      <c r="B2" t="s">
        <v>23</v>
      </c>
      <c r="C2" s="24" t="s">
        <v>3190</v>
      </c>
      <c r="D2" s="24" t="s">
        <v>3191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3192</v>
      </c>
      <c r="D3" s="24" t="s">
        <v>3193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3194</v>
      </c>
      <c r="E4" s="24" t="s">
        <v>76</v>
      </c>
      <c r="G4" s="24" t="s">
        <v>3195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3196</v>
      </c>
      <c r="E5" s="10" t="s">
        <v>26</v>
      </c>
      <c r="G5" s="24" t="s">
        <v>3197</v>
      </c>
      <c r="H5" s="10" t="s">
        <v>380</v>
      </c>
    </row>
    <row r="6" spans="1:8">
      <c r="A6" t="s">
        <v>49</v>
      </c>
      <c r="B6" t="s">
        <v>278</v>
      </c>
      <c r="C6" s="24" t="s">
        <v>3198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3199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3200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3201</v>
      </c>
      <c r="E9" s="24" t="s">
        <v>156</v>
      </c>
      <c r="G9" s="10" t="s">
        <v>3202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3203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3204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3205</v>
      </c>
      <c r="E13" t="s">
        <v>3206</v>
      </c>
    </row>
    <row r="14" spans="1:8">
      <c r="A14" t="s">
        <v>111</v>
      </c>
      <c r="B14" t="s">
        <v>112</v>
      </c>
      <c r="C14" s="24"/>
      <c r="D14" s="24" t="s">
        <v>3207</v>
      </c>
      <c r="E14" t="s">
        <v>3208</v>
      </c>
    </row>
    <row r="15" spans="1:8">
      <c r="A15" t="s">
        <v>107</v>
      </c>
      <c r="B15" t="s">
        <v>108</v>
      </c>
      <c r="C15" s="24"/>
      <c r="D15" s="24" t="s">
        <v>3209</v>
      </c>
      <c r="E15" t="s">
        <v>257</v>
      </c>
    </row>
    <row r="16" spans="1:8">
      <c r="A16" t="s">
        <v>114</v>
      </c>
      <c r="B16" t="s">
        <v>115</v>
      </c>
      <c r="D16" s="24" t="s">
        <v>3210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3211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3212</v>
      </c>
    </row>
    <row r="29" spans="1:4">
      <c r="A29" t="s">
        <v>184</v>
      </c>
      <c r="B29" t="s">
        <v>185</v>
      </c>
      <c r="D29" t="s">
        <v>3213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425</v>
      </c>
      <c r="B44" t="s">
        <v>426</v>
      </c>
    </row>
    <row r="45" spans="1:2">
      <c r="A45" t="s">
        <v>428</v>
      </c>
      <c r="B45" t="s">
        <v>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3214</v>
      </c>
    </row>
    <row r="2" spans="1:2">
      <c r="B2" t="s">
        <v>3215</v>
      </c>
    </row>
    <row r="3" spans="1:2" ht="18" customHeight="1">
      <c r="A3" s="11" t="s">
        <v>3216</v>
      </c>
      <c r="B3" s="12"/>
    </row>
    <row r="4" spans="1:2" ht="30" customHeight="1">
      <c r="A4" s="25" t="s">
        <v>3217</v>
      </c>
      <c r="B4" s="26" t="s">
        <v>3218</v>
      </c>
    </row>
    <row r="5" spans="1:2" ht="30" customHeight="1">
      <c r="A5" s="25" t="s">
        <v>3219</v>
      </c>
      <c r="B5" s="26" t="s">
        <v>3220</v>
      </c>
    </row>
    <row r="6" spans="1:2" ht="30" customHeight="1">
      <c r="A6" s="25" t="s">
        <v>3221</v>
      </c>
      <c r="B6" s="26" t="s">
        <v>3222</v>
      </c>
    </row>
    <row r="7" spans="1:2" ht="18" customHeight="1">
      <c r="A7" s="27"/>
      <c r="B7" s="27"/>
    </row>
    <row r="8" spans="1:2" ht="18" customHeight="1">
      <c r="A8" s="11" t="s">
        <v>3223</v>
      </c>
      <c r="B8" s="12"/>
    </row>
    <row r="9" spans="1:2" ht="30" customHeight="1">
      <c r="A9" s="25" t="s">
        <v>3224</v>
      </c>
      <c r="B9" s="26" t="s">
        <v>3225</v>
      </c>
    </row>
    <row r="10" spans="1:2" ht="30" customHeight="1">
      <c r="A10" s="25" t="s">
        <v>3226</v>
      </c>
      <c r="B10" s="26" t="s">
        <v>3227</v>
      </c>
    </row>
    <row r="11" spans="1:2" ht="30" customHeight="1">
      <c r="A11" s="25" t="s">
        <v>3228</v>
      </c>
      <c r="B11" s="26" t="s">
        <v>3229</v>
      </c>
    </row>
    <row r="12" spans="1:2" ht="30" customHeight="1">
      <c r="A12" s="25" t="s">
        <v>3230</v>
      </c>
      <c r="B12" s="26" t="s">
        <v>3231</v>
      </c>
    </row>
    <row r="13" spans="1:2" ht="30" customHeight="1">
      <c r="A13" s="25" t="s">
        <v>3232</v>
      </c>
      <c r="B13" s="26" t="s">
        <v>3233</v>
      </c>
    </row>
    <row r="14" spans="1:2" ht="18" customHeight="1">
      <c r="A14" s="27"/>
      <c r="B14" s="27"/>
    </row>
    <row r="15" spans="1:2" ht="18" customHeight="1">
      <c r="A15" s="11" t="s">
        <v>3234</v>
      </c>
      <c r="B15" s="12"/>
    </row>
    <row r="16" spans="1:2" ht="30" customHeight="1">
      <c r="A16" s="25" t="s">
        <v>3235</v>
      </c>
      <c r="B16" s="26" t="s">
        <v>3236</v>
      </c>
    </row>
    <row r="17" spans="1:2" ht="18" customHeight="1">
      <c r="A17" s="27"/>
      <c r="B17" s="27"/>
    </row>
    <row r="18" spans="1:2" ht="18" customHeight="1">
      <c r="A18" s="11" t="s">
        <v>3237</v>
      </c>
      <c r="B18" s="12"/>
    </row>
    <row r="19" spans="1:2" ht="30" customHeight="1">
      <c r="A19" s="25" t="s">
        <v>3238</v>
      </c>
      <c r="B19" s="26" t="s">
        <v>3239</v>
      </c>
    </row>
    <row r="20" spans="1:2" ht="30" customHeight="1">
      <c r="A20" s="25" t="s">
        <v>3240</v>
      </c>
      <c r="B20" s="26" t="s">
        <v>3241</v>
      </c>
    </row>
    <row r="21" spans="1:2" ht="30" customHeight="1">
      <c r="A21" s="25" t="s">
        <v>3242</v>
      </c>
      <c r="B21" s="26" t="s">
        <v>3243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2026-05-28T10:34:19Z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