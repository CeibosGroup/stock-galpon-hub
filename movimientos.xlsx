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E84E9180-C205-415D-8A0A-AC2B5CCD022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" i="1" l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 s="1"/>
  <c r="R30" i="1" s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6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1" i="1"/>
  <c r="T31" i="1"/>
  <c r="H31" i="1" s="1"/>
  <c r="S32" i="1"/>
  <c r="T32" i="1"/>
  <c r="H32" i="1" s="1"/>
  <c r="S33" i="1"/>
  <c r="T33" i="1"/>
  <c r="H33" i="1" s="1"/>
  <c r="S35" i="1"/>
  <c r="T35" i="1"/>
  <c r="H35" i="1" s="1"/>
  <c r="S36" i="1"/>
  <c r="T36" i="1"/>
  <c r="S37" i="1"/>
  <c r="T37" i="1"/>
  <c r="S38" i="1"/>
  <c r="T38" i="1"/>
  <c r="H38" i="1" s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68" i="1"/>
  <c r="T16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1" i="1"/>
  <c r="R32" i="1"/>
  <c r="R33" i="1"/>
  <c r="R35" i="1"/>
  <c r="R36" i="1"/>
  <c r="R37" i="1"/>
  <c r="R38" i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 s="1"/>
  <c r="H73" i="1"/>
  <c r="R73" i="1" s="1"/>
  <c r="R74" i="1"/>
  <c r="R49" i="1"/>
  <c r="R76" i="1"/>
  <c r="R78" i="1"/>
  <c r="R79" i="1"/>
  <c r="R80" i="1"/>
  <c r="R81" i="1"/>
  <c r="R82" i="1"/>
  <c r="H29" i="1"/>
  <c r="R29" i="1" s="1"/>
  <c r="R83" i="1"/>
  <c r="H84" i="1"/>
  <c r="R84" i="1" s="1"/>
  <c r="R34" i="1"/>
  <c r="R77" i="1"/>
  <c r="H85" i="1"/>
  <c r="R85" i="1" s="1"/>
  <c r="R86" i="1"/>
  <c r="R87" i="1"/>
  <c r="R88" i="1"/>
  <c r="R89" i="1"/>
  <c r="H90" i="1"/>
  <c r="R90" i="1" s="1"/>
  <c r="H91" i="1"/>
  <c r="R91" i="1" s="1"/>
  <c r="H92" i="1"/>
  <c r="R92" i="1" s="1"/>
  <c r="H93" i="1"/>
  <c r="R93" i="1" s="1"/>
  <c r="R94" i="1"/>
  <c r="R95" i="1"/>
  <c r="R96" i="1"/>
  <c r="R97" i="1"/>
  <c r="R98" i="1"/>
  <c r="R99" i="1"/>
  <c r="R100" i="1"/>
  <c r="R101" i="1"/>
  <c r="R102" i="1"/>
  <c r="R103" i="1"/>
  <c r="H104" i="1"/>
  <c r="R104" i="1" s="1"/>
  <c r="R105" i="1"/>
  <c r="R106" i="1"/>
  <c r="H107" i="1"/>
  <c r="R107" i="1" s="1"/>
  <c r="H168" i="1"/>
  <c r="R168" i="1" s="1"/>
  <c r="H179" i="1"/>
  <c r="R179" i="1" s="1"/>
  <c r="H190" i="1"/>
  <c r="R190" i="1" s="1"/>
  <c r="H201" i="1"/>
  <c r="R201" i="1" s="1"/>
  <c r="H212" i="1"/>
  <c r="R212" i="1" s="1"/>
  <c r="H223" i="1"/>
  <c r="R223" i="1" s="1"/>
  <c r="H234" i="1"/>
  <c r="R234" i="1" s="1"/>
  <c r="H245" i="1"/>
  <c r="R245" i="1" s="1"/>
  <c r="H256" i="1"/>
  <c r="R256" i="1" s="1"/>
  <c r="H267" i="1"/>
  <c r="R267" i="1" s="1"/>
  <c r="H278" i="1"/>
  <c r="R278" i="1" s="1"/>
  <c r="H289" i="1"/>
  <c r="R289" i="1" s="1"/>
  <c r="H300" i="1"/>
  <c r="R300" i="1" s="1"/>
  <c r="H311" i="1"/>
  <c r="R311" i="1" s="1"/>
  <c r="H322" i="1"/>
  <c r="R322" i="1" s="1"/>
  <c r="H333" i="1"/>
  <c r="R333" i="1" s="1"/>
  <c r="H344" i="1"/>
  <c r="R344" i="1" s="1"/>
  <c r="H355" i="1"/>
  <c r="R355" i="1" s="1"/>
  <c r="H366" i="1"/>
  <c r="R366" i="1" s="1"/>
  <c r="H377" i="1"/>
  <c r="R377" i="1" s="1"/>
  <c r="H388" i="1"/>
  <c r="R388" i="1" s="1"/>
  <c r="H399" i="1"/>
  <c r="R399" i="1" s="1"/>
  <c r="H410" i="1"/>
  <c r="R410" i="1" s="1"/>
  <c r="H421" i="1"/>
  <c r="R421" i="1" s="1"/>
  <c r="H432" i="1"/>
  <c r="R432" i="1" s="1"/>
  <c r="H443" i="1"/>
  <c r="R443" i="1" s="1"/>
  <c r="H454" i="1"/>
  <c r="R454" i="1" s="1"/>
  <c r="H465" i="1"/>
  <c r="R465" i="1" s="1"/>
  <c r="H476" i="1"/>
  <c r="R476" i="1" s="1"/>
  <c r="H487" i="1"/>
  <c r="R487" i="1" s="1"/>
  <c r="H498" i="1"/>
  <c r="R498" i="1" s="1"/>
  <c r="H509" i="1"/>
  <c r="R509" i="1" s="1"/>
  <c r="H520" i="1"/>
  <c r="R520" i="1" s="1"/>
  <c r="H531" i="1"/>
  <c r="R531" i="1" s="1"/>
  <c r="H542" i="1"/>
  <c r="R542" i="1" s="1"/>
  <c r="H553" i="1"/>
  <c r="R553" i="1" s="1"/>
  <c r="H564" i="1"/>
  <c r="R564" i="1" s="1"/>
  <c r="H575" i="1"/>
  <c r="R575" i="1" s="1"/>
  <c r="H586" i="1"/>
  <c r="R586" i="1" s="1"/>
  <c r="H597" i="1"/>
  <c r="R597" i="1" s="1"/>
  <c r="H608" i="1"/>
  <c r="R608" i="1" s="1"/>
  <c r="H619" i="1"/>
  <c r="R619" i="1" s="1"/>
  <c r="H630" i="1"/>
  <c r="R630" i="1" s="1"/>
  <c r="H641" i="1"/>
  <c r="R641" i="1" s="1"/>
  <c r="H652" i="1"/>
  <c r="R652" i="1" s="1"/>
  <c r="H663" i="1"/>
  <c r="R663" i="1" s="1"/>
  <c r="H674" i="1"/>
  <c r="R674" i="1" s="1"/>
  <c r="H685" i="1"/>
  <c r="R685" i="1" s="1"/>
  <c r="H696" i="1"/>
  <c r="R696" i="1" s="1"/>
  <c r="H707" i="1"/>
  <c r="R707" i="1" s="1"/>
  <c r="H718" i="1"/>
  <c r="R718" i="1" s="1"/>
  <c r="H729" i="1"/>
  <c r="R729" i="1" s="1"/>
  <c r="H740" i="1"/>
  <c r="R740" i="1" s="1"/>
  <c r="H751" i="1"/>
  <c r="R751" i="1" s="1"/>
  <c r="H762" i="1"/>
  <c r="R762" i="1" s="1"/>
  <c r="H773" i="1"/>
  <c r="R773" i="1" s="1"/>
  <c r="H784" i="1"/>
  <c r="R784" i="1" s="1"/>
  <c r="H795" i="1"/>
  <c r="R795" i="1" s="1"/>
  <c r="H806" i="1"/>
  <c r="R806" i="1" s="1"/>
  <c r="H817" i="1"/>
  <c r="R817" i="1" s="1"/>
  <c r="H828" i="1"/>
  <c r="R828" i="1" s="1"/>
  <c r="H839" i="1"/>
  <c r="R839" i="1" s="1"/>
  <c r="H850" i="1"/>
  <c r="R850" i="1" s="1"/>
  <c r="H861" i="1"/>
  <c r="R861" i="1" s="1"/>
  <c r="H872" i="1"/>
  <c r="R872" i="1" s="1"/>
  <c r="H883" i="1"/>
  <c r="R883" i="1" s="1"/>
  <c r="H894" i="1"/>
  <c r="R894" i="1" s="1"/>
  <c r="H905" i="1"/>
  <c r="R905" i="1" s="1"/>
  <c r="H916" i="1"/>
  <c r="R916" i="1" s="1"/>
  <c r="H927" i="1"/>
  <c r="R927" i="1" s="1"/>
  <c r="H938" i="1"/>
  <c r="R938" i="1" s="1"/>
  <c r="H949" i="1"/>
  <c r="R949" i="1" s="1"/>
  <c r="H960" i="1"/>
  <c r="R960" i="1" s="1"/>
  <c r="H971" i="1"/>
  <c r="R971" i="1" s="1"/>
  <c r="H982" i="1"/>
  <c r="R982" i="1" s="1"/>
  <c r="H993" i="1"/>
  <c r="R993" i="1" s="1"/>
  <c r="H1004" i="1"/>
  <c r="R1004" i="1" s="1"/>
  <c r="H1015" i="1"/>
  <c r="R1015" i="1" s="1"/>
  <c r="H1026" i="1"/>
  <c r="R1026" i="1" s="1"/>
  <c r="H1037" i="1"/>
  <c r="R1037" i="1" s="1"/>
  <c r="H1048" i="1"/>
  <c r="R1048" i="1" s="1"/>
  <c r="H1059" i="1"/>
  <c r="R1059" i="1" s="1"/>
  <c r="H1070" i="1"/>
  <c r="R1070" i="1" s="1"/>
  <c r="H1081" i="1"/>
  <c r="R1081" i="1" s="1"/>
  <c r="H1092" i="1"/>
  <c r="R1092" i="1" s="1"/>
  <c r="H1103" i="1"/>
  <c r="R1103" i="1" s="1"/>
  <c r="H1114" i="1"/>
  <c r="R1114" i="1" s="1"/>
  <c r="H1125" i="1"/>
  <c r="R1125" i="1" s="1"/>
  <c r="H1136" i="1"/>
  <c r="R1136" i="1" s="1"/>
  <c r="H1147" i="1"/>
  <c r="R1147" i="1" s="1"/>
  <c r="H1158" i="1"/>
  <c r="R1158" i="1" s="1"/>
  <c r="H1169" i="1"/>
  <c r="R1169" i="1" s="1"/>
  <c r="H1180" i="1"/>
  <c r="R1180" i="1" s="1"/>
  <c r="H1191" i="1"/>
  <c r="R1191" i="1" s="1"/>
  <c r="H1202" i="1"/>
  <c r="R1202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3" i="1"/>
  <c r="H4" i="1"/>
  <c r="H5" i="1"/>
  <c r="H6" i="1"/>
  <c r="H7" i="1"/>
  <c r="H8" i="1"/>
  <c r="H2" i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H2001" i="1"/>
  <c r="R2001" i="1" s="1"/>
  <c r="H2002" i="1"/>
  <c r="R2002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9" i="1"/>
  <c r="R499" i="1" s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905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6178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2" i="3" l="1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J8" i="2"/>
  <c r="C3" i="2"/>
  <c r="F5" i="2"/>
  <c r="F3" i="2"/>
  <c r="F2" i="2"/>
  <c r="E4" i="2"/>
  <c r="E3" i="2"/>
  <c r="B5" i="2"/>
  <c r="D6" i="2"/>
  <c r="E2" i="2"/>
  <c r="G6" i="2"/>
  <c r="B4" i="2"/>
  <c r="C2" i="2"/>
  <c r="E5" i="2"/>
  <c r="D5" i="2"/>
  <c r="G5" i="2"/>
  <c r="B3" i="2"/>
  <c r="D4" i="2"/>
  <c r="G4" i="2"/>
  <c r="H6" i="2"/>
  <c r="I6" i="2" s="1"/>
  <c r="K6" i="2" s="1"/>
  <c r="B2" i="2"/>
  <c r="E6" i="2"/>
  <c r="D3" i="2"/>
  <c r="G3" i="2"/>
  <c r="H5" i="2"/>
  <c r="I5" i="2" s="1"/>
  <c r="H4" i="2"/>
  <c r="I4" i="2" s="1"/>
  <c r="K4" i="2" s="1"/>
  <c r="H3" i="2"/>
  <c r="I3" i="2" s="1"/>
  <c r="K3" i="2" s="1"/>
  <c r="C6" i="2"/>
  <c r="D2" i="2"/>
  <c r="F6" i="2"/>
  <c r="G2" i="2"/>
  <c r="C5" i="2"/>
  <c r="C4" i="2"/>
  <c r="F4" i="2"/>
  <c r="H2" i="2"/>
  <c r="I2" i="2" s="1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 l="1"/>
  <c r="J27" i="2"/>
  <c r="J28" i="2"/>
  <c r="J29" i="2"/>
  <c r="J30" i="2"/>
  <c r="J31" i="2"/>
  <c r="J32" i="2"/>
  <c r="J33" i="2"/>
  <c r="J34" i="2"/>
  <c r="J12" i="2"/>
  <c r="J16" i="2"/>
  <c r="K16" i="2" s="1"/>
  <c r="K10" i="2"/>
  <c r="K2" i="2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5" i="2"/>
  <c r="K5" i="2" s="1"/>
  <c r="R15" i="1"/>
  <c r="J11" i="2"/>
  <c r="K11" i="2" s="1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K40" i="2" s="1"/>
  <c r="J41" i="2"/>
  <c r="K41" i="2" s="1"/>
  <c r="J42" i="2"/>
  <c r="K42" i="2" s="1"/>
  <c r="J43" i="2"/>
  <c r="K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I10" i="2"/>
  <c r="B9" i="2" l="1"/>
  <c r="C9" i="2"/>
  <c r="D9" i="2"/>
  <c r="E9" i="2"/>
  <c r="F9" i="2"/>
  <c r="G9" i="2"/>
  <c r="H9" i="2"/>
  <c r="I9" i="2" s="1"/>
  <c r="K9" i="2" s="1"/>
  <c r="E7" i="2"/>
  <c r="D8" i="2"/>
  <c r="G8" i="2"/>
  <c r="D7" i="2"/>
  <c r="G7" i="2"/>
  <c r="H8" i="2"/>
  <c r="I8" i="2" s="1"/>
  <c r="K8" i="2" s="1"/>
  <c r="H7" i="2"/>
  <c r="I7" i="2" s="1"/>
  <c r="K7" i="2" s="1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 s="1"/>
  <c r="K13" i="2" s="1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 s="1"/>
  <c r="K19" i="2" s="1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K23" i="2" s="1"/>
  <c r="B24" i="2"/>
  <c r="C24" i="2"/>
  <c r="D24" i="2"/>
  <c r="E24" i="2"/>
  <c r="F24" i="2"/>
  <c r="G24" i="2"/>
  <c r="H24" i="2"/>
  <c r="K24" i="2" s="1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K37" i="2" s="1"/>
  <c r="B38" i="2"/>
  <c r="C38" i="2"/>
  <c r="D38" i="2"/>
  <c r="E38" i="2"/>
  <c r="F38" i="2"/>
  <c r="G38" i="2"/>
  <c r="H38" i="2"/>
  <c r="K38" i="2" s="1"/>
  <c r="B39" i="2"/>
  <c r="C39" i="2"/>
  <c r="D39" i="2"/>
  <c r="E39" i="2"/>
  <c r="F39" i="2"/>
  <c r="G39" i="2"/>
  <c r="H39" i="2"/>
  <c r="K39" i="2" s="1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2" i="3" l="1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I35" i="2"/>
  <c r="I24" i="2"/>
  <c r="I21" i="2"/>
  <c r="K21" i="2" s="1"/>
  <c r="I18" i="2"/>
  <c r="K18" i="2" s="1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I37" i="2"/>
  <c r="I23" i="2"/>
  <c r="I20" i="2"/>
  <c r="K20" i="2" s="1"/>
  <c r="I17" i="2"/>
  <c r="K17" i="2" s="1"/>
  <c r="I14" i="2"/>
  <c r="K14" i="2" s="1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I36" i="2"/>
  <c r="I25" i="2"/>
  <c r="I22" i="2"/>
  <c r="K22" i="2" s="1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<sst xmlns="http://schemas.openxmlformats.org/spreadsheetml/2006/main" count="4087" uniqueCount="3222">
  <si>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</si>
  <si>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</si>
  <si>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</si>
  <si>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</si>
  <si>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</si>
  <si>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</si>
  <si>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</si>
  <si>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</si>
  <si>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</si>
  <si>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</si>
  <si>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</si>
  <si>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</si>
  <si>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</si>
  <si>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</si>
  <si>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</si>
  <si>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</si>
  <si>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</si>
  <si>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</si>
  <si>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</si>
  <si>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</si>
  <si>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</si>
  <si>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</si>
  <si>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</si>
  <si>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</si>
  <si>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</si>
  <si>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</si>
  <si>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</si>
  <si>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</si>
  <si>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</si>
  <si>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</si>
  <si>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</si>
  <si>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</si>
  <si>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</si>
  <si>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</si>
  <si>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</si>
  <si>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</si>
  <si>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</si>
  <si>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</si>
  <si>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</si>
  <si>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</si>
  <si>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</si>
  <si>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</si>
  <si>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</si>
  <si>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</si>
  <si>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</si>
  <si>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</si>
  <si>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</si>
  <si>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</si>
  <si>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</si>
  <si>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</si>
  <si>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</si>
  <si>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</si>
  <si>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</si>
  <si>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</si>
  <si>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</si>
  <si>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</si>
  <si>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</si>
  <si>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</si>
  <si>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</si>
  <si>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</si>
  <si>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</si>
  <si>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</si>
  <si>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</si>
  <si>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</si>
  <si>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</si>
  <si>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</si>
  <si>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</si>
  <si>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</si>
  <si>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</si>
  <si>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</si>
  <si>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</si>
  <si>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</si>
  <si>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</si>
  <si>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</si>
  <si>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</si>
  <si>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</si>
  <si>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</si>
  <si>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</si>
  <si>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</si>
  <si>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</si>
  <si>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</si>
  <si>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</si>
  <si>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</si>
  <si>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</si>
  <si>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</si>
  <si>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</si>
  <si>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</si>
  <si>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</si>
  <si>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</si>
  <si>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</si>
  <si>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</si>
  <si>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</si>
  <si>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</si>
  <si>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</si>
  <si>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</si>
  <si>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</si>
  <si>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</si>
  <si>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</si>
  <si>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</si>
  <si>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</si>
  <si>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</si>
  <si>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</si>
  <si>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</si>
  <si>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</si>
  <si>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</si>
  <si>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</si>
  <si>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</si>
  <si>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</si>
  <si>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</si>
  <si>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</si>
  <si>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</si>
  <si>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</si>
  <si>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</si>
  <si>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</si>
  <si>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</si>
  <si>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</si>
  <si>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</si>
  <si>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</si>
  <si>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</si>
  <si>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</si>
  <si>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</si>
  <si>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</si>
  <si>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</si>
  <si>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</si>
  <si>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</si>
  <si>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</si>
  <si>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</si>
  <si>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</si>
  <si>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</si>
  <si>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</si>
  <si>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</si>
  <si>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</si>
  <si>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</si>
  <si>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</si>
  <si>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</si>
  <si>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</si>
  <si>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</si>
  <si>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</si>
  <si>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</si>
  <si>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</si>
  <si>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</si>
  <si>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</si>
  <si>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</si>
  <si>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</si>
  <si>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</si>
  <si>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</si>
  <si>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</si>
  <si>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</si>
  <si>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</si>
  <si>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</si>
  <si>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</si>
  <si>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</si>
  <si>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</si>
  <si>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</si>
  <si>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</si>
  <si>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</si>
  <si>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</si>
  <si>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</si>
  <si>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</si>
  <si>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</si>
  <si>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</si>
  <si>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</si>
  <si>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</si>
  <si>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</si>
  <si>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</si>
  <si>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</si>
  <si>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</si>
  <si>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</si>
  <si>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</si>
  <si>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</si>
  <si>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</si>
  <si>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</si>
  <si>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</si>
  <si>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</si>
  <si>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</si>
  <si>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</si>
  <si>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</si>
  <si>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</si>
  <si>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</si>
  <si>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</si>
  <si>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</si>
  <si>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</si>
  <si>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</si>
  <si>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</si>
  <si>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</si>
  <si>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</si>
  <si>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</si>
  <si>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</si>
  <si>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</si>
  <si>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</si>
  <si>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</si>
  <si>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</si>
  <si>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</si>
  <si>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</si>
  <si>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</si>
  <si>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</si>
  <si>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</si>
  <si>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</si>
  <si>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</si>
  <si>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</si>
  <si>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</si>
  <si>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</si>
  <si>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</si>
  <si>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</si>
  <si>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</si>
  <si>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</si>
  <si>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</si>
  <si>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</si>
  <si>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</si>
  <si>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</si>
  <si>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</si>
  <si>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MOV-059</t>
  </si>
  <si>
    <t>260410-024</t>
  </si>
  <si>
    <t>MOV-056</t>
  </si>
  <si>
    <t>MOV-057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</si>
  <si>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</si>
  <si>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</si>
  <si>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</si>
  <si>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</si>
  <si>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</si>
  <si>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</si>
  <si>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</si>
  <si>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</si>
  <si>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</si>
  <si>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</si>
  <si>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</si>
  <si>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</si>
  <si>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</si>
  <si>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</si>
  <si>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</si>
  <si>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</si>
  <si>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</si>
  <si>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</si>
  <si>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</si>
  <si>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</si>
  <si>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</si>
  <si>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</si>
  <si>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</si>
  <si>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</si>
  <si>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</si>
  <si>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</si>
  <si>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</si>
  <si>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</si>
  <si>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</si>
  <si>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</si>
  <si>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</si>
  <si>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</si>
  <si>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</si>
  <si>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</si>
  <si>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</si>
  <si>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</si>
  <si>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</si>
  <si>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</si>
  <si>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</si>
  <si>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Gentos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</si>
  <si>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</si>
  <si>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</si>
  <si>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</si>
  <si>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</si>
  <si>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</si>
  <si>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</si>
  <si>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</si>
  <si>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</si>
  <si>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</si>
  <si>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</si>
  <si>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</si>
  <si>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</si>
  <si>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</si>
  <si>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</si>
  <si>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</si>
  <si>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</si>
  <si>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</si>
  <si>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</si>
  <si>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</si>
  <si>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</si>
  <si>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</si>
  <si>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</si>
  <si>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</si>
  <si>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</si>
  <si>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</si>
  <si>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</si>
  <si>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</si>
  <si>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</si>
  <si>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</si>
  <si>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</si>
  <si>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</si>
  <si>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</si>
  <si>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</si>
  <si>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</si>
  <si>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</si>
  <si>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</si>
  <si>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</si>
  <si>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</si>
  <si>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</si>
  <si>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</si>
  <si>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</si>
  <si>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</si>
  <si>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</si>
  <si>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</si>
  <si>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</si>
  <si>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</si>
  <si>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</si>
  <si>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</si>
  <si>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</si>
  <si>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</si>
  <si>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</si>
  <si>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</si>
  <si>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</si>
  <si>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</si>
  <si>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</si>
  <si>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</si>
  <si>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</si>
  <si>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</si>
  <si>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</si>
  <si>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</si>
  <si>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</si>
  <si>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</si>
  <si>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</si>
  <si>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</si>
  <si>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</si>
  <si>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</si>
  <si>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</si>
  <si>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</si>
  <si>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</si>
  <si>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</si>
  <si>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</si>
  <si>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</si>
  <si>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</si>
  <si>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</si>
  <si>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</si>
  <si>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</si>
  <si>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</si>
  <si>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</si>
  <si>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</si>
  <si>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</si>
  <si>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</si>
  <si>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</si>
  <si>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</si>
  <si>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</si>
  <si>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</si>
  <si>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</si>
  <si>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</si>
  <si>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</si>
  <si>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</si>
  <si>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</si>
  <si>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</si>
  <si>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</si>
  <si>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</si>
  <si>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</si>
  <si>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</si>
  <si>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</si>
  <si>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</si>
  <si>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</si>
  <si>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</si>
  <si>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</si>
  <si>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</si>
  <si>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</si>
  <si>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</si>
  <si>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</si>
  <si>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</si>
  <si>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</si>
  <si>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</si>
  <si>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</si>
  <si>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</si>
  <si>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</si>
  <si>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</si>
  <si>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</si>
  <si>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</si>
  <si>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</si>
  <si>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</si>
  <si>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</si>
  <si>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</si>
  <si>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</si>
  <si>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</si>
  <si>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</si>
  <si>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</si>
  <si>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</si>
  <si>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</si>
  <si>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</si>
  <si>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</si>
  <si>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</si>
  <si>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</si>
  <si>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</si>
  <si>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</si>
  <si>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</si>
  <si>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</si>
  <si>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</si>
  <si>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</si>
  <si>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</si>
  <si>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</si>
  <si>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</si>
  <si>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</si>
  <si>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</si>
  <si>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</si>
  <si>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</si>
  <si>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</si>
  <si>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</si>
  <si>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</si>
  <si>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</si>
  <si>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</si>
  <si>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</si>
  <si>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</si>
  <si>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</si>
  <si>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</si>
  <si>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</si>
  <si>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</si>
  <si>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</si>
  <si>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</si>
  <si>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</si>
  <si>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</si>
  <si>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</si>
  <si>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</si>
  <si>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</si>
  <si>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</si>
  <si>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</si>
  <si>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</si>
  <si>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</si>
  <si>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</si>
  <si>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</si>
  <si>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</si>
  <si>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</si>
  <si>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</si>
  <si>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</si>
  <si>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</si>
  <si>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</si>
  <si>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</si>
  <si>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</si>
  <si>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</si>
  <si>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</si>
  <si>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</si>
  <si>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</si>
  <si>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</si>
  <si>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</si>
  <si>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</si>
  <si>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</si>
  <si>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</si>
  <si>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</si>
  <si>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</si>
  <si>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</si>
  <si>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</si>
  <si>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</si>
  <si>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</si>
  <si>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</si>
  <si>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</si>
  <si>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</si>
  <si>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</si>
  <si>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</si>
  <si>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</si>
  <si>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</si>
  <si>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</si>
  <si>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</si>
  <si>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</si>
  <si>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</si>
  <si>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</si>
  <si>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</si>
  <si>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</si>
  <si>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</si>
  <si>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</si>
  <si>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</si>
  <si>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</si>
  <si>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</si>
  <si>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</si>
  <si>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</si>
  <si>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</si>
  <si>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</si>
  <si>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</si>
  <si>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</si>
  <si>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</si>
  <si>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</si>
  <si>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</si>
  <si>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</si>
  <si>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</si>
  <si>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</si>
  <si>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</si>
  <si>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</si>
  <si>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</si>
  <si>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</si>
  <si>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</si>
  <si>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</si>
  <si>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</si>
  <si>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</si>
  <si>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</si>
  <si>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</si>
  <si>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</si>
  <si>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</si>
  <si>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</si>
  <si>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</si>
  <si>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</si>
  <si>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</si>
  <si>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</si>
  <si>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</si>
  <si>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</si>
  <si>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</si>
  <si>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</si>
  <si>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</si>
  <si>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</si>
  <si>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</si>
  <si>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</si>
  <si>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</si>
  <si>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</si>
  <si>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</si>
  <si>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</si>
  <si>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</si>
  <si>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</si>
  <si>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</si>
  <si>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</si>
  <si>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</si>
  <si>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</si>
  <si>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</si>
  <si>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</si>
  <si>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</si>
  <si>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</si>
  <si>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</si>
  <si>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</si>
  <si>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</si>
  <si>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</si>
  <si>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</si>
  <si>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</si>
  <si>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</si>
  <si>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</si>
  <si>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</si>
  <si>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</si>
  <si>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</si>
  <si>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</si>
  <si>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</si>
  <si>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</si>
  <si>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</si>
  <si>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</si>
  <si>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</si>
  <si>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</si>
  <si>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</si>
  <si>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</si>
  <si>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</si>
  <si>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</si>
  <si>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</si>
  <si>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</si>
  <si>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</si>
  <si>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</si>
  <si>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</si>
  <si>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</si>
  <si>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</si>
  <si>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</si>
  <si>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</si>
  <si>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</si>
  <si>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</si>
  <si>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</si>
  <si>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</si>
  <si>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</si>
  <si>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</si>
  <si>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</si>
  <si>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</si>
  <si>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</si>
  <si>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</si>
  <si>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</si>
  <si>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</si>
  <si>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</si>
  <si>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</si>
  <si>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</si>
  <si>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</si>
  <si>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</si>
  <si>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</si>
  <si>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</si>
  <si>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</si>
  <si>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</si>
  <si>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</si>
  <si>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</si>
  <si>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</si>
  <si>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</si>
  <si>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</si>
  <si>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</si>
  <si>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</si>
  <si>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</si>
  <si>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</si>
  <si>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</si>
  <si>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</si>
  <si>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</si>
  <si>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</si>
  <si>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</si>
  <si>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</si>
  <si>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</si>
  <si>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</si>
  <si>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</si>
  <si>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</si>
  <si>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</si>
  <si>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</si>
  <si>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</si>
  <si>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</si>
  <si>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</si>
  <si>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</si>
  <si>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</si>
  <si>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</si>
  <si>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</si>
  <si>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</si>
  <si>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</si>
  <si>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</si>
  <si>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</si>
  <si>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</si>
  <si>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</si>
  <si>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</si>
  <si>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</si>
  <si>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</si>
  <si>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</si>
  <si>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</si>
  <si>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</si>
  <si>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</si>
  <si>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</si>
  <si>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</si>
  <si>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</si>
  <si>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</si>
  <si>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</si>
  <si>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</si>
  <si>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</si>
  <si>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</si>
  <si>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</si>
  <si>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</si>
  <si>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</si>
  <si>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</si>
  <si>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</si>
  <si>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</si>
  <si>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</si>
  <si>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</si>
  <si>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</si>
  <si>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</si>
  <si>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</si>
  <si>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</si>
  <si>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</si>
  <si>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</si>
  <si>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</si>
  <si>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</si>
  <si>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</si>
  <si>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</si>
  <si>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</si>
  <si>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</si>
  <si>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</si>
  <si>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</si>
  <si>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</si>
  <si>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</si>
  <si>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</si>
  <si>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</si>
  <si>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</si>
  <si>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</si>
  <si>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</si>
  <si>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</si>
  <si>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</si>
  <si>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</si>
  <si>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</si>
  <si>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</si>
  <si>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</si>
  <si>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</si>
  <si>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</si>
  <si>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</si>
  <si>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</si>
  <si>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</si>
  <si>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</si>
  <si>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</si>
  <si>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</si>
  <si>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</si>
  <si>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</si>
  <si>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</si>
  <si>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</si>
  <si>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</si>
  <si>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</si>
  <si>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</si>
  <si>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</si>
  <si>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</si>
  <si>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</si>
  <si>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</si>
  <si>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</si>
  <si>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</si>
  <si>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</si>
  <si>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</si>
  <si>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</si>
  <si>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</si>
  <si>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</si>
  <si>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</si>
  <si>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</si>
  <si>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</si>
  <si>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</si>
  <si>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</si>
  <si>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</si>
  <si>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</si>
  <si>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</si>
  <si>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</si>
  <si>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</si>
  <si>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</si>
  <si>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</si>
  <si>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</si>
  <si>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</si>
  <si>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</si>
  <si>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</si>
  <si>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</si>
  <si>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</si>
  <si>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</si>
  <si>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</si>
  <si>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</si>
  <si>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</si>
  <si>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</si>
  <si>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</si>
  <si>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</si>
  <si>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</si>
  <si>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</si>
  <si>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</si>
  <si>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</si>
  <si>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</si>
  <si>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</si>
  <si>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</si>
  <si>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</si>
  <si>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</si>
  <si>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</si>
  <si>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</si>
  <si>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</si>
  <si>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</si>
  <si>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</si>
  <si>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</si>
  <si>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</si>
  <si>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</si>
  <si>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</si>
  <si>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</si>
  <si>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</si>
  <si>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</si>
  <si>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</si>
  <si>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</si>
  <si>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</si>
  <si>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</si>
  <si>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</si>
  <si>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</si>
  <si>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</si>
  <si>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</si>
  <si>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</si>
  <si>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</si>
  <si>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</si>
  <si>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</si>
  <si>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</si>
  <si>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</si>
  <si>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</si>
  <si>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</si>
  <si>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</si>
  <si>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</si>
  <si>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</si>
  <si>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</si>
  <si>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</si>
  <si>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</si>
  <si>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</si>
  <si>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</si>
  <si>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</si>
  <si>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</si>
  <si>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</si>
  <si>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</si>
  <si>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</si>
  <si>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</si>
  <si>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</si>
  <si>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</si>
  <si>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</si>
  <si>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</si>
  <si>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</si>
  <si>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</si>
  <si>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</si>
  <si>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</si>
  <si>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</si>
  <si>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</si>
  <si>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</si>
  <si>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</si>
  <si>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</si>
  <si>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</si>
  <si>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</si>
  <si>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</si>
  <si>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</si>
  <si>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</si>
  <si>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</si>
  <si>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</si>
  <si>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</si>
  <si>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</si>
  <si>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</si>
  <si>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</si>
  <si>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</si>
  <si>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</si>
  <si>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</si>
  <si>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</si>
  <si>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</si>
  <si>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</si>
  <si>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</si>
  <si>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</si>
  <si>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</si>
  <si>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</si>
  <si>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</si>
  <si>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</si>
  <si>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</si>
  <si>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</si>
  <si>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</si>
  <si>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</si>
  <si>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</si>
  <si>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</si>
  <si>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</si>
  <si>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</si>
  <si>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</si>
  <si>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</si>
  <si>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</si>
  <si>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</si>
  <si>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</si>
  <si>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</si>
  <si>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</si>
  <si>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</si>
  <si>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</si>
  <si>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</si>
  <si>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</si>
  <si>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</si>
  <si>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</si>
  <si>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</si>
  <si>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</si>
  <si>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</si>
  <si>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</si>
  <si>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</si>
  <si>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</si>
  <si>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</si>
  <si>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</si>
  <si>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</si>
  <si>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</si>
  <si>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</si>
  <si>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</si>
  <si>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</si>
  <si>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</si>
  <si>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</si>
  <si>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</si>
  <si>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</si>
  <si>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</si>
  <si>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</si>
  <si>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</si>
  <si>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</si>
  <si>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</si>
  <si>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</si>
  <si>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</si>
  <si>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</si>
  <si>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</si>
  <si>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</si>
  <si>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</si>
  <si>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</si>
  <si>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</si>
  <si>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</si>
  <si>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</si>
  <si>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</si>
  <si>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</si>
  <si>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</si>
  <si>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</si>
  <si>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</si>
  <si>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</si>
  <si>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</si>
  <si>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</si>
  <si>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</si>
  <si>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</si>
  <si>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</si>
  <si>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</si>
  <si>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</si>
  <si>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</si>
  <si>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</si>
  <si>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</si>
  <si>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</si>
  <si>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</si>
  <si>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</si>
  <si>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</si>
  <si>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</si>
  <si>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</si>
  <si>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</si>
  <si>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</si>
  <si>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</si>
  <si>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</si>
  <si>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</si>
  <si>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</si>
  <si>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</si>
  <si>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</si>
  <si>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</si>
  <si>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</si>
  <si>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</si>
  <si>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</si>
  <si>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</si>
  <si>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</si>
  <si>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</si>
  <si>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</si>
  <si>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</si>
  <si>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</si>
  <si>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</si>
  <si>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</si>
  <si>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</si>
  <si>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</si>
  <si>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</si>
  <si>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</si>
  <si>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</si>
  <si>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</si>
  <si>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</si>
  <si>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</si>
  <si>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</si>
  <si>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</si>
  <si>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</si>
  <si>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</si>
  <si>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</si>
  <si>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</si>
  <si>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</si>
  <si>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</si>
  <si>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</si>
  <si>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</si>
  <si>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</si>
  <si>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</si>
  <si>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</si>
  <si>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</si>
  <si>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</si>
  <si>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</si>
  <si>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</si>
  <si>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</si>
  <si>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</si>
  <si>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</si>
  <si>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</si>
  <si>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</si>
  <si>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</si>
  <si>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</si>
  <si>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</si>
  <si>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</si>
  <si>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</si>
  <si>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</si>
  <si>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</si>
  <si>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</si>
  <si>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</si>
  <si>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</si>
  <si>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</si>
  <si>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</si>
  <si>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</si>
  <si>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</si>
  <si>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</si>
  <si>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</si>
  <si>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</si>
  <si>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</si>
  <si>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</si>
  <si>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</si>
  <si>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</si>
  <si>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</si>
  <si>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</si>
  <si>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</si>
  <si>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</si>
  <si>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</si>
  <si>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</si>
  <si>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</si>
  <si>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</si>
  <si>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</si>
  <si>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</si>
  <si>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</si>
  <si>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</si>
  <si>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</si>
  <si>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</si>
  <si>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</si>
  <si>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</si>
  <si>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</si>
  <si>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</si>
  <si>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</si>
  <si>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</si>
  <si>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</si>
  <si>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</si>
  <si>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</si>
  <si>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</si>
  <si>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</si>
  <si>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</si>
  <si>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</si>
  <si>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</si>
  <si>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</si>
  <si>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</si>
  <si>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</si>
  <si>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</si>
  <si>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</si>
  <si>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</si>
  <si>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</si>
  <si>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</si>
  <si>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</si>
  <si>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</si>
  <si>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</si>
  <si>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</si>
  <si>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</si>
  <si>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</si>
  <si>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</si>
  <si>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</si>
  <si>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</si>
  <si>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</si>
  <si>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</si>
  <si>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</si>
  <si>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</si>
  <si>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</si>
  <si>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</si>
  <si>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</si>
  <si>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</si>
  <si>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</si>
  <si>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</si>
  <si>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</si>
  <si>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</si>
  <si>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</si>
  <si>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</si>
  <si>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</si>
  <si>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</si>
  <si>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</si>
  <si>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</si>
  <si>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</si>
  <si>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</si>
  <si>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</si>
  <si>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</si>
  <si>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</si>
  <si>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</si>
  <si>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</si>
  <si>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</si>
  <si>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</si>
  <si>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</si>
  <si>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</si>
  <si>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</si>
  <si>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</si>
  <si>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</si>
  <si>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</si>
  <si>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</si>
  <si>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</si>
  <si>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</si>
  <si>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</si>
  <si>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</si>
  <si>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</si>
  <si>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</si>
  <si>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</si>
  <si>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</si>
  <si>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</si>
  <si>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</si>
  <si>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</si>
  <si>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</si>
  <si>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</si>
  <si>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</si>
  <si>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</si>
  <si>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</si>
  <si>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</si>
  <si>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</si>
  <si>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</si>
  <si>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</si>
  <si>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</si>
  <si>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</si>
  <si>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</si>
  <si>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</si>
  <si>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</si>
  <si>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</si>
  <si>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</si>
  <si>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</si>
  <si>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</si>
  <si>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</si>
  <si>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</si>
  <si>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</si>
  <si>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</si>
  <si>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</si>
  <si>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</si>
  <si>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</si>
  <si>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</si>
  <si>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</si>
  <si>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</si>
  <si>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</si>
  <si>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</si>
  <si>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</si>
  <si>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</si>
  <si>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</si>
  <si>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</si>
  <si>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</si>
  <si>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</si>
  <si>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</si>
  <si>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</si>
  <si>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</si>
  <si>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</si>
  <si>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</si>
  <si>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</si>
  <si>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</si>
  <si>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</si>
  <si>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</si>
  <si>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</si>
  <si>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</si>
  <si>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</si>
  <si>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</si>
  <si>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</si>
  <si>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</si>
  <si>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</si>
  <si>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</si>
  <si>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</si>
  <si>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</si>
  <si>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</si>
  <si>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</si>
  <si>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</si>
  <si>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</si>
  <si>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</si>
  <si>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</si>
  <si>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</si>
  <si>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</si>
  <si>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</si>
  <si>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</si>
  <si>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</si>
  <si>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</si>
  <si>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</si>
  <si>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</si>
  <si>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</si>
  <si>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</si>
  <si>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</si>
  <si>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</si>
  <si>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</si>
  <si>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</si>
  <si>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</si>
  <si>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</si>
  <si>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</si>
  <si>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</si>
  <si>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</si>
  <si>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</si>
  <si>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</si>
  <si>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</si>
  <si>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</si>
  <si>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</si>
  <si>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</si>
  <si>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</si>
  <si>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</si>
  <si>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</si>
  <si>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</si>
  <si>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</si>
  <si>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</si>
  <si>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</si>
  <si>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</si>
  <si>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</si>
  <si>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</si>
  <si>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</si>
  <si>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</si>
  <si>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</si>
  <si>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</si>
  <si>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</si>
  <si>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</si>
  <si>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</si>
  <si>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</si>
  <si>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</si>
  <si>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</si>
  <si>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</si>
  <si>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</si>
  <si>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</si>
  <si>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</si>
  <si>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</si>
  <si>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</si>
  <si>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</si>
  <si>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</si>
  <si>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</si>
  <si>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</si>
  <si>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</si>
  <si>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</si>
  <si>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</si>
  <si>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</si>
  <si>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</si>
  <si>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</si>
  <si>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</si>
  <si>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</si>
  <si>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</si>
  <si>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</si>
  <si>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</si>
  <si>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</si>
  <si>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</si>
  <si>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</si>
  <si>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</si>
  <si>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</si>
  <si>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</si>
  <si>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</si>
  <si>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</si>
  <si>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</si>
  <si>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</si>
  <si>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</si>
  <si>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</si>
  <si>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</si>
  <si>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</si>
  <si>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</si>
  <si>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</si>
  <si>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</si>
  <si>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</si>
  <si>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</si>
  <si>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</si>
  <si>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</si>
  <si>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</si>
  <si>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</si>
  <si>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</si>
  <si>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</si>
  <si>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</si>
  <si>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</si>
  <si>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</si>
  <si>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</si>
  <si>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</si>
  <si>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</si>
  <si>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</si>
  <si>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</si>
  <si>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</si>
  <si>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</si>
  <si>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</si>
  <si>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</si>
  <si>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</si>
  <si>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</si>
  <si>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</si>
  <si>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</si>
  <si>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</si>
  <si>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</si>
  <si>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</si>
  <si>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</si>
  <si>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</si>
  <si>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</si>
  <si>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</si>
  <si>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</si>
  <si>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</si>
  <si>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</si>
  <si>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</si>
  <si>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</si>
  <si>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</si>
  <si>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</si>
  <si>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</si>
  <si>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</si>
  <si>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</si>
  <si>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</si>
  <si>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</si>
  <si>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</si>
  <si>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</si>
  <si>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</si>
  <si>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</si>
  <si>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</si>
  <si>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</si>
  <si>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</si>
  <si>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</si>
  <si>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</si>
  <si>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</si>
  <si>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</si>
  <si>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</si>
  <si>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</si>
  <si>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</si>
  <si>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</si>
  <si>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</si>
  <si>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</si>
  <si>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</si>
  <si>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</si>
  <si>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</si>
  <si>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</si>
  <si>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</si>
  <si>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</si>
  <si>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</si>
  <si>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</si>
  <si>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</si>
  <si>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</si>
  <si>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</si>
  <si>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</si>
  <si>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</si>
  <si>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</si>
  <si>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</si>
  <si>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</si>
  <si>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</si>
  <si>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</si>
  <si>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</si>
  <si>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</si>
  <si>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</si>
  <si>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</si>
  <si>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</si>
  <si>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</si>
  <si>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</si>
  <si>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</si>
  <si>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</si>
  <si>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</si>
  <si>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</si>
  <si>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</si>
  <si>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</si>
  <si>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</si>
  <si>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</si>
  <si>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</si>
  <si>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</si>
  <si>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</si>
  <si>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</si>
  <si>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</si>
  <si>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</si>
  <si>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</si>
  <si>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</si>
  <si>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</si>
  <si>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</si>
  <si>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</si>
  <si>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</si>
  <si>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</si>
  <si>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</si>
  <si>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</si>
  <si>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</si>
  <si>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</si>
  <si>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</si>
  <si>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</si>
  <si>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</si>
  <si>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</si>
  <si>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</si>
  <si>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</si>
  <si>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</si>
  <si>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</si>
  <si>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</si>
  <si>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</si>
  <si>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</si>
  <si>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</si>
  <si>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</si>
  <si>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</si>
  <si>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</si>
  <si>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</si>
  <si>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</si>
  <si>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</si>
  <si>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</si>
  <si>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</si>
  <si>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</si>
  <si>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</si>
  <si>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</si>
  <si>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</si>
  <si>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</si>
  <si>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</si>
  <si>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</si>
  <si>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</si>
  <si>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</si>
  <si>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</si>
  <si>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</si>
  <si>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</si>
  <si>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</si>
  <si>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</si>
  <si>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</si>
  <si>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</si>
  <si>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</si>
  <si>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</si>
  <si>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</si>
  <si>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</si>
  <si>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</si>
  <si>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</si>
  <si>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</si>
  <si>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</si>
  <si>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</si>
  <si>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</si>
  <si>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</si>
  <si>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</si>
  <si>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</si>
  <si>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</si>
  <si>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</si>
  <si>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</si>
  <si>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</si>
  <si>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</si>
  <si>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</si>
  <si>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</si>
  <si>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</si>
  <si>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</si>
  <si>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</si>
  <si>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</si>
  <si>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</si>
  <si>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</si>
  <si>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</si>
  <si>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</si>
  <si>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</si>
  <si>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</si>
  <si>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</si>
  <si>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</si>
  <si>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</si>
  <si>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</si>
  <si>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</si>
  <si>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</si>
  <si>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</si>
  <si>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</si>
  <si>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</si>
  <si>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</si>
  <si>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</si>
  <si>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</si>
  <si>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</si>
  <si>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</si>
  <si>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</si>
  <si>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</si>
  <si>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</si>
  <si>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</si>
  <si>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</si>
  <si>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</si>
  <si>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</si>
  <si>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</si>
  <si>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</si>
  <si>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</si>
  <si>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</si>
  <si>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</si>
  <si>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</si>
  <si>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</si>
  <si>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</si>
  <si>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</si>
  <si>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</si>
  <si>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</si>
  <si>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</si>
  <si>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</si>
  <si>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</si>
  <si>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</si>
  <si>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</si>
  <si>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</t>
  </si>
  <si>
    <t>MOV-2000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</si>
  <si>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</si>
  <si>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</si>
  <si>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</si>
  <si>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</si>
  <si>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</si>
  <si>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</si>
  <si>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</si>
  <si>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</si>
  <si>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</si>
  <si>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</si>
  <si>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</si>
  <si>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</si>
  <si>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</si>
  <si>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</si>
  <si>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</si>
  <si>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</si>
  <si>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</si>
  <si>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</si>
  <si>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</si>
  <si>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</si>
  <si>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</si>
  <si>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</si>
  <si>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</si>
  <si>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</si>
  <si>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</si>
  <si>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</si>
  <si>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</si>
  <si>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</si>
  <si>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</si>
  <si>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</si>
  <si>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</si>
  <si>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</si>
  <si>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</si>
  <si>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</si>
  <si>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</si>
  <si>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</si>
  <si>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</si>
  <si>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</si>
  <si>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</si>
  <si>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</si>
  <si>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</si>
  <si>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</si>
  <si>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</si>
  <si>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</si>
  <si>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</si>
  <si>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</si>
  <si>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</si>
  <si>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</si>
  <si>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</si>
  <si>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</si>
  <si>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</si>
  <si>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</si>
  <si>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</si>
  <si>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</si>
  <si>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</si>
  <si>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</si>
  <si>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</si>
  <si>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</si>
  <si>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</si>
  <si>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</si>
  <si>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</si>
  <si>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</si>
  <si>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</si>
  <si>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</si>
  <si>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</si>
  <si>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</si>
  <si>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</si>
  <si>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</si>
  <si>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</si>
  <si>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</si>
  <si>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</si>
  <si>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</si>
  <si>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</si>
  <si>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</si>
  <si>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</si>
  <si>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</si>
  <si>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</si>
  <si>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</si>
  <si>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</si>
  <si>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</si>
  <si>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</si>
  <si>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</si>
  <si>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</si>
  <si>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</si>
  <si>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</si>
  <si>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</si>
  <si>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</si>
  <si>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</si>
  <si>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</si>
  <si>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</si>
  <si>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</si>
  <si>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</si>
  <si>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</si>
  <si>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</si>
  <si>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</si>
  <si>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</si>
  <si>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</si>
  <si>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</si>
  <si>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</si>
  <si>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</si>
  <si>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</si>
  <si>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</si>
  <si>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</si>
  <si>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</si>
  <si>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</si>
  <si>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</si>
  <si>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</si>
  <si>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</si>
  <si>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</si>
  <si>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</si>
  <si>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</si>
  <si>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</si>
  <si>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</si>
  <si>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</si>
  <si>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</si>
  <si>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</si>
  <si>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</si>
  <si>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</si>
  <si>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</si>
  <si>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</si>
  <si>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</si>
  <si>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</si>
  <si>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</si>
  <si>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</si>
  <si>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</si>
  <si>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</si>
  <si>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</si>
  <si>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</si>
  <si>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</si>
  <si>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</si>
  <si>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</si>
  <si>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</si>
  <si>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</si>
  <si>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</si>
  <si>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</si>
  <si>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</si>
  <si>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</si>
  <si>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</si>
  <si>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</si>
  <si>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</si>
  <si>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</si>
  <si>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</si>
  <si>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</si>
  <si>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</si>
  <si>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</si>
  <si>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</si>
  <si>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</si>
  <si>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</si>
  <si>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</si>
  <si>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</si>
  <si>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</si>
  <si>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</si>
  <si>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</si>
  <si>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</si>
  <si>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</si>
  <si>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</si>
  <si>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</si>
  <si>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</si>
  <si>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</si>
  <si>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</si>
  <si>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</si>
  <si>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</si>
  <si>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</si>
  <si>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</si>
  <si>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</si>
  <si>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</si>
  <si>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</si>
  <si>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</si>
  <si>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</si>
  <si>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</si>
  <si>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</si>
  <si>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</si>
  <si>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</si>
  <si>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</si>
  <si>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</si>
  <si>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</si>
  <si>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</si>
  <si>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</si>
  <si>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</si>
  <si>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</si>
  <si>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</si>
  <si>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</si>
  <si>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</si>
  <si>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</si>
  <si>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</si>
  <si>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</si>
  <si>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</si>
  <si>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</si>
  <si>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</si>
  <si>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</si>
  <si>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</si>
  <si>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</si>
  <si>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</si>
  <si>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</si>
  <si>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</si>
  <si>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</si>
  <si>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</si>
  <si>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</si>
  <si>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</si>
  <si>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</si>
  <si>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</si>
  <si>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</si>
  <si>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</si>
  <si>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</si>
  <si>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</si>
  <si>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</si>
  <si>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</si>
  <si>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</si>
  <si>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</si>
  <si>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</si>
  <si>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</si>
  <si>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</si>
  <si>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</si>
  <si>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</si>
  <si>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</si>
  <si>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</si>
  <si>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</si>
  <si>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</si>
  <si>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</si>
  <si>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</si>
  <si>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</si>
  <si>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</si>
  <si>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</si>
  <si>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</si>
  <si>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</si>
  <si>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</si>
  <si>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</si>
  <si>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</si>
  <si>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</si>
  <si>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</si>
  <si>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</si>
  <si>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</si>
  <si>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</si>
  <si>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</si>
  <si>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</si>
  <si>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</si>
  <si>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</si>
  <si>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</si>
  <si>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</si>
  <si>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</si>
  <si>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</si>
  <si>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</si>
  <si>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</si>
  <si>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</si>
  <si>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</si>
  <si>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</si>
  <si>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</si>
  <si>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</si>
  <si>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</si>
  <si>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</si>
  <si>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</si>
  <si>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</si>
  <si>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</si>
  <si>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</si>
  <si>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</si>
  <si>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</si>
  <si>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</si>
  <si>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</si>
  <si>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</si>
  <si>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</si>
  <si>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</si>
  <si>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</si>
  <si>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</si>
  <si>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</si>
  <si>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</si>
  <si>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</si>
  <si>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</si>
  <si>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</si>
  <si>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</si>
  <si>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</si>
  <si>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</si>
  <si>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</si>
  <si>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</si>
  <si>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</si>
  <si>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</si>
  <si>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</si>
  <si>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</si>
  <si>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</si>
  <si>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</si>
  <si>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</si>
  <si>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</si>
  <si>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</si>
  <si>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</si>
  <si>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</si>
  <si>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</si>
  <si>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</si>
  <si>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</si>
  <si>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</si>
  <si>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</si>
  <si>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</si>
  <si>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</si>
  <si>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</si>
  <si>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</si>
  <si>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</si>
  <si>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</si>
  <si>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</si>
  <si>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</si>
  <si>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</si>
  <si>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</si>
  <si>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</si>
  <si>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</si>
  <si>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</si>
  <si>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</si>
  <si>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</si>
  <si>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</si>
  <si>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</si>
  <si>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</si>
  <si>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</si>
  <si>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</si>
  <si>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</si>
  <si>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</si>
  <si>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</si>
  <si>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</si>
  <si>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</si>
  <si>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</si>
  <si>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</si>
  <si>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</si>
  <si>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</si>
  <si>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</si>
  <si>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</si>
  <si>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</si>
  <si>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</si>
  <si>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</si>
  <si>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</si>
  <si>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</si>
  <si>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</si>
  <si>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</si>
  <si>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</si>
  <si>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</si>
  <si>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</si>
  <si>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</si>
  <si>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</si>
  <si>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</si>
  <si>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</si>
  <si>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</si>
  <si>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</si>
  <si>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</si>
  <si>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</si>
  <si>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</si>
  <si>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</si>
  <si>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</si>
  <si>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</si>
  <si>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</si>
  <si>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</si>
  <si>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</si>
  <si>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</si>
  <si>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</si>
  <si>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</si>
  <si>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</si>
  <si>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</si>
  <si>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</si>
  <si>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</si>
  <si>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</si>
  <si>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</si>
  <si>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</si>
  <si>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</si>
  <si>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</si>
  <si>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</si>
  <si>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</si>
  <si>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</si>
  <si>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</si>
  <si>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</si>
  <si>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</si>
  <si>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</si>
  <si>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</si>
  <si>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</si>
  <si>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</si>
  <si>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</si>
  <si>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</si>
  <si>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</si>
  <si>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</si>
  <si>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</si>
  <si>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</si>
  <si>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</si>
  <si>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</si>
  <si>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</si>
  <si>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</si>
  <si>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</si>
  <si>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</si>
  <si>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</si>
  <si>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</si>
  <si>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</si>
  <si>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</si>
  <si>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</si>
  <si>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</si>
  <si>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</si>
  <si>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</si>
  <si>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</si>
  <si>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</si>
  <si>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</si>
  <si>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</si>
  <si>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</si>
  <si>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</si>
  <si>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</si>
  <si>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</si>
  <si>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</si>
  <si>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</si>
  <si>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</si>
  <si>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</si>
  <si>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</si>
  <si>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</si>
  <si>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</si>
  <si>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</si>
  <si>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</si>
  <si>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</si>
  <si>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</si>
  <si>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</si>
  <si>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</si>
  <si>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</si>
  <si>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</si>
  <si>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</si>
  <si>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</si>
  <si>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</si>
  <si>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</si>
  <si>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</si>
  <si>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</si>
  <si>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</si>
  <si>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</si>
  <si>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</si>
  <si>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</si>
  <si>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</si>
  <si>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</si>
  <si>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</si>
  <si>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</si>
  <si>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</si>
  <si>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</si>
  <si>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</si>
  <si>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</si>
  <si>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</si>
  <si>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</si>
  <si>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</si>
  <si>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</si>
  <si>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</si>
  <si>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</si>
  <si>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</si>
  <si>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</si>
  <si>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</si>
  <si>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</si>
  <si>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</si>
  <si>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</si>
  <si>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</si>
  <si>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</si>
  <si>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</si>
  <si>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</si>
  <si>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</si>
  <si>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</si>
  <si>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</si>
  <si>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</si>
  <si>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</si>
  <si>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</si>
  <si>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</si>
  <si>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</si>
  <si>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</si>
  <si>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</si>
  <si>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</si>
  <si>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</si>
  <si>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</si>
  <si>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</si>
  <si>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</si>
  <si>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</si>
  <si>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</si>
  <si>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</si>
  <si>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</si>
  <si>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</si>
  <si>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</si>
  <si>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</si>
  <si>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</si>
  <si>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</si>
  <si>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</si>
  <si>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</si>
  <si>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</si>
  <si>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</si>
  <si>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</si>
  <si>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</si>
  <si>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</si>
  <si>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</si>
  <si>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</si>
  <si>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</si>
  <si>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</si>
  <si>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</si>
  <si>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</si>
  <si>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</si>
  <si>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</si>
  <si>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</si>
  <si>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</si>
  <si>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</si>
  <si>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</si>
  <si>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</si>
  <si>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</si>
  <si>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</si>
  <si>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</si>
  <si>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</si>
  <si>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</si>
  <si>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</si>
  <si>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</si>
  <si>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</si>
  <si>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</si>
  <si>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</si>
  <si>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</si>
  <si>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</si>
  <si>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</si>
  <si>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</si>
  <si>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</si>
  <si>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</si>
  <si>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</si>
  <si>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</si>
  <si>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</si>
  <si>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</si>
  <si>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</si>
  <si>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</si>
  <si>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</si>
  <si>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</si>
  <si>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</si>
  <si>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</si>
  <si>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</si>
  <si>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</si>
  <si>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</si>
  <si>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</si>
  <si>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</si>
  <si>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</si>
  <si>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</si>
  <si>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</si>
  <si>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</si>
  <si>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</si>
  <si>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</si>
  <si>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</si>
  <si>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</si>
  <si>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</si>
  <si>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</si>
  <si>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</si>
  <si>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</si>
  <si>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</si>
  <si>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</si>
  <si>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</si>
  <si>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</si>
  <si>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</si>
  <si>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</si>
  <si>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</si>
  <si>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</si>
  <si>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</si>
  <si>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</si>
  <si>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</si>
  <si>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</si>
  <si>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</si>
  <si>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</si>
  <si>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</si>
  <si>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</si>
  <si>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</si>
  <si>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</si>
  <si>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</si>
  <si>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</si>
  <si>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</si>
  <si>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</si>
  <si>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</si>
  <si>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</si>
  <si>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</si>
  <si>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</si>
  <si>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</si>
  <si>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</si>
  <si>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</si>
  <si>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</si>
  <si>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</si>
  <si>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</si>
  <si>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</si>
  <si>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</si>
  <si>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</si>
  <si>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</si>
  <si>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</si>
  <si>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</si>
  <si>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</si>
  <si>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</si>
  <si>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</si>
  <si>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</si>
  <si>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</si>
  <si>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</si>
  <si>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</si>
  <si>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</si>
  <si>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</si>
  <si>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</si>
  <si>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</si>
  <si>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</si>
  <si>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</si>
  <si>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</si>
  <si>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</si>
  <si>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</si>
  <si>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</si>
  <si>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</si>
  <si>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</si>
  <si>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</si>
  <si>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</si>
  <si>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</si>
  <si>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</si>
  <si>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</si>
  <si>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</si>
  <si>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</si>
  <si>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</si>
  <si>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</si>
  <si>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</si>
  <si>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</si>
  <si>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</si>
  <si>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</si>
  <si>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</si>
  <si>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</si>
  <si>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</si>
  <si>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</si>
  <si>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</si>
  <si>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</si>
  <si>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</si>
  <si>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</si>
  <si>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</si>
  <si>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</si>
  <si>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</si>
  <si>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</si>
  <si>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</si>
  <si>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</si>
  <si>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</si>
  <si>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</si>
  <si>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</si>
  <si>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</si>
  <si>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</si>
  <si>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</si>
  <si>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</si>
  <si>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</si>
  <si>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</si>
  <si>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</si>
  <si>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</si>
  <si>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</si>
  <si>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</si>
  <si>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</si>
  <si>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</si>
  <si>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</si>
  <si>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</si>
  <si>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</si>
  <si>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</si>
  <si>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</si>
  <si>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</si>
  <si>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</si>
  <si>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</si>
  <si>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</si>
  <si>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</si>
  <si>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</si>
  <si>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</si>
  <si>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</si>
  <si>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</si>
  <si>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</si>
  <si>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</si>
  <si>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</si>
  <si>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</si>
  <si>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</si>
  <si>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</si>
  <si>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</si>
  <si>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</si>
  <si>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</si>
  <si>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</si>
  <si>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</si>
  <si>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</si>
  <si>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</si>
  <si>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</si>
  <si>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</si>
  <si>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</si>
  <si>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</si>
  <si>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</si>
  <si>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</si>
  <si>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</si>
  <si>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</si>
  <si>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</si>
  <si>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</si>
  <si>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</si>
  <si>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</si>
  <si>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</si>
  <si>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</si>
  <si>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</si>
  <si>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</si>
  <si>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</si>
  <si>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</si>
  <si>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</si>
  <si>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</si>
  <si>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</si>
  <si>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</si>
  <si>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</si>
  <si>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</si>
  <si>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</si>
  <si>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</si>
  <si>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</si>
  <si>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</si>
  <si>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</si>
  <si>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</si>
  <si>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</si>
  <si>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</si>
  <si>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</si>
  <si>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</si>
  <si>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</si>
  <si>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</si>
  <si>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</si>
  <si>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</si>
  <si>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</si>
  <si>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</si>
  <si>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</si>
  <si>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</si>
  <si>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</si>
  <si>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</si>
  <si>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</si>
  <si>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</si>
  <si>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</si>
  <si>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</si>
  <si>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</si>
  <si>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</si>
  <si>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</si>
  <si>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</si>
  <si>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</si>
  <si>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</si>
  <si>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</si>
  <si>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</si>
  <si>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</si>
  <si>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</si>
  <si>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</si>
  <si>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</si>
  <si>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</si>
  <si>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</si>
  <si>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</si>
  <si>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</si>
  <si>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</si>
  <si>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</si>
  <si>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</si>
  <si>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</si>
  <si>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</si>
  <si>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</si>
  <si>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</si>
  <si>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</si>
  <si>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</si>
  <si>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</si>
  <si>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</si>
  <si>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</si>
  <si>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</si>
  <si>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</si>
  <si>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</si>
  <si>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</si>
  <si>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</si>
  <si>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</si>
  <si>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</si>
  <si>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</si>
  <si>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</si>
  <si>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</si>
  <si>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</si>
  <si>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</si>
  <si>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</si>
  <si>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</si>
  <si>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</si>
  <si>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</si>
  <si>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</si>
  <si>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</si>
  <si>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</si>
  <si>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</si>
  <si>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</si>
  <si>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</si>
  <si>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</si>
  <si>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</si>
  <si>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</si>
  <si>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</si>
  <si>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</si>
  <si>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</si>
  <si>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</si>
  <si>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</si>
  <si>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</si>
  <si>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</si>
  <si>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</si>
  <si>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</si>
  <si>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</si>
  <si>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</si>
  <si>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</si>
  <si>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</si>
  <si>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</si>
  <si>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</si>
  <si>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</si>
  <si>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</si>
  <si>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</si>
  <si>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</si>
  <si>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</si>
  <si>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</si>
  <si>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</si>
  <si>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</si>
  <si>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</si>
  <si>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</si>
  <si>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</si>
  <si>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</si>
  <si>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</si>
  <si>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</si>
  <si>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</si>
  <si>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</si>
  <si>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</si>
  <si>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</si>
  <si>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</si>
  <si>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</si>
  <si>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</si>
  <si>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</si>
  <si>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</si>
  <si>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</si>
  <si>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</si>
  <si>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</si>
  <si>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</si>
  <si>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</si>
  <si>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</si>
  <si>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</si>
  <si>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</si>
  <si>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</si>
  <si>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</si>
  <si>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</si>
  <si>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</si>
  <si>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</si>
  <si>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</si>
  <si>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260416-035</t>
  </si>
  <si>
    <t>260417-037</t>
  </si>
  <si>
    <t>260417-038</t>
  </si>
  <si>
    <t>260417-039</t>
  </si>
  <si>
    <t>260417-040</t>
  </si>
  <si>
    <t>260417-041</t>
  </si>
  <si>
    <t>260417-042</t>
  </si>
  <si>
    <t>260417-043</t>
  </si>
  <si>
    <t>260417-044</t>
  </si>
  <si>
    <t>260417-045</t>
  </si>
  <si>
    <t>260421-067</t>
  </si>
  <si>
    <t>260421-068</t>
  </si>
  <si>
    <t>260423-080</t>
  </si>
  <si>
    <t>260423-083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</si>
  <si>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</si>
  <si>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</si>
  <si>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</si>
  <si>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</si>
  <si>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</si>
  <si>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</si>
  <si>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</si>
  <si>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</si>
  <si>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</si>
  <si>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</si>
  <si>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</si>
  <si>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</si>
  <si>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</si>
  <si>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</si>
  <si>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</si>
  <si>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</si>
  <si>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</si>
  <si>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</si>
  <si>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</si>
  <si>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</si>
  <si>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</si>
  <si>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</si>
  <si>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</si>
  <si>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</si>
  <si>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</si>
  <si>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</si>
  <si>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</si>
  <si>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</si>
  <si>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</si>
  <si>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</si>
  <si>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</si>
  <si>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</si>
  <si>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</si>
  <si>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</si>
  <si>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</si>
  <si>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</si>
  <si>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</si>
  <si>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</si>
  <si>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</si>
  <si>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</si>
  <si>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</si>
  <si>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</si>
  <si>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</si>
  <si>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</si>
  <si>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</si>
  <si>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</si>
  <si>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</si>
  <si>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</si>
  <si>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</si>
  <si>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</si>
  <si>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</si>
  <si>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</si>
  <si>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</si>
  <si>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</si>
  <si>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</si>
  <si>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</si>
  <si>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</si>
  <si>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</si>
  <si>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</si>
  <si>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</si>
  <si>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</si>
  <si>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</si>
  <si>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</si>
  <si>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</si>
  <si>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</si>
  <si>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</si>
  <si>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</si>
  <si>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</si>
  <si>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</si>
  <si>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</si>
  <si>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</si>
  <si>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</si>
  <si>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</si>
  <si>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</si>
  <si>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</si>
  <si>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</si>
  <si>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</si>
  <si>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</si>
  <si>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</si>
  <si>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</si>
  <si>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</si>
  <si>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</si>
  <si>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</si>
  <si>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</si>
  <si>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</si>
  <si>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</si>
  <si>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</si>
  <si>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</si>
  <si>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</si>
  <si>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</si>
  <si>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</si>
  <si>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</si>
  <si>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</si>
  <si>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</si>
  <si>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</si>
  <si>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</si>
  <si>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</si>
  <si>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</si>
  <si>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</si>
  <si>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</si>
  <si>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</si>
  <si>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</si>
  <si>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</si>
  <si>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</si>
  <si>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</si>
  <si>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</si>
  <si>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</si>
  <si>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</si>
  <si>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</si>
  <si>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</si>
  <si>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</si>
  <si>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</si>
  <si>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</si>
  <si>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</si>
  <si>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</si>
  <si>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</si>
  <si>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</si>
  <si>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</si>
  <si>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</si>
  <si>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</si>
  <si>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</si>
  <si>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</si>
  <si>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</si>
  <si>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</si>
  <si>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</si>
  <si>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</si>
  <si>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</si>
  <si>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</si>
  <si>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</si>
  <si>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</si>
  <si>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</si>
  <si>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</si>
  <si>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</si>
  <si>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</si>
  <si>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</si>
  <si>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</si>
  <si>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</si>
  <si>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</si>
  <si>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</si>
  <si>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</si>
  <si>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</si>
  <si>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</si>
  <si>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</si>
  <si>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</si>
  <si>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</si>
  <si>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</si>
  <si>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</si>
  <si>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</si>
  <si>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</si>
  <si>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</si>
  <si>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</si>
  <si>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</si>
  <si>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</si>
  <si>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</si>
  <si>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</si>
  <si>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</si>
  <si>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</si>
  <si>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</si>
  <si>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</si>
  <si>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</si>
  <si>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</si>
  <si>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</si>
  <si>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</si>
  <si>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</si>
  <si>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</si>
  <si>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</si>
  <si>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</si>
  <si>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</si>
  <si>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</si>
  <si>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</si>
  <si>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</si>
  <si>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</si>
  <si>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</si>
  <si>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</si>
  <si>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</si>
  <si>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</si>
  <si>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</si>
  <si>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</si>
  <si>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</si>
  <si>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</si>
  <si>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</si>
  <si>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</si>
  <si>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</si>
  <si>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</si>
  <si>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</si>
  <si>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</si>
  <si>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</si>
  <si>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</si>
  <si>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</si>
  <si>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</si>
  <si>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</si>
  <si>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</si>
  <si>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</si>
  <si>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</si>
  <si>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</si>
  <si>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</si>
  <si>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</si>
  <si>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</si>
  <si>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</si>
  <si>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</si>
  <si>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</si>
  <si>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</si>
  <si>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</si>
  <si>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</si>
  <si>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</si>
  <si>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</si>
  <si>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</si>
  <si>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</si>
  <si>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</si>
  <si>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</si>
  <si>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</si>
  <si>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</si>
  <si>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</si>
  <si>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</si>
  <si>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</si>
  <si>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</si>
  <si>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</si>
  <si>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</si>
  <si>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</si>
  <si>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</si>
  <si>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</si>
  <si>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</si>
  <si>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</si>
  <si>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</si>
  <si>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</si>
  <si>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</si>
  <si>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</si>
  <si>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</si>
  <si>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</si>
  <si>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</si>
  <si>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</si>
  <si>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</si>
  <si>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</si>
  <si>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</si>
  <si>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</si>
  <si>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</si>
  <si>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</si>
  <si>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</si>
  <si>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</si>
  <si>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</si>
  <si>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</si>
  <si>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</si>
  <si>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</si>
  <si>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</si>
  <si>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</si>
  <si>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</si>
  <si>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</si>
  <si>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</si>
  <si>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</si>
  <si>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</si>
  <si>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</si>
  <si>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</si>
  <si>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</si>
  <si>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</si>
  <si>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</si>
  <si>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</si>
  <si>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</si>
  <si>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</si>
  <si>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</si>
  <si>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</si>
  <si>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</si>
  <si>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</si>
  <si>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</si>
  <si>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</si>
  <si>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</si>
  <si>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</si>
  <si>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</si>
  <si>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</si>
  <si>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</si>
  <si>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</si>
  <si>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</si>
  <si>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</si>
  <si>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</si>
  <si>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</si>
  <si>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</si>
  <si>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</si>
  <si>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</si>
  <si>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</si>
  <si>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</si>
  <si>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</si>
  <si>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</si>
  <si>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</si>
  <si>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</si>
  <si>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</si>
  <si>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</si>
  <si>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</si>
  <si>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</si>
  <si>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</si>
  <si>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</si>
  <si>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</si>
  <si>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</si>
  <si>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</si>
  <si>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</si>
  <si>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</si>
  <si>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</si>
  <si>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</si>
  <si>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</si>
  <si>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</si>
  <si>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</si>
  <si>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</si>
  <si>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</si>
  <si>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</si>
  <si>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</si>
  <si>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</si>
  <si>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</si>
  <si>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</si>
  <si>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</si>
  <si>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</si>
  <si>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</si>
  <si>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</si>
  <si>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</si>
  <si>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</si>
  <si>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</si>
  <si>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</si>
  <si>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</si>
  <si>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</si>
  <si>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</si>
  <si>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</si>
  <si>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</si>
  <si>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</si>
  <si>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</si>
  <si>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</si>
  <si>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</si>
  <si>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</si>
  <si>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</si>
  <si>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</si>
  <si>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</si>
  <si>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</si>
  <si>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</si>
  <si>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</si>
  <si>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</si>
  <si>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</si>
  <si>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</si>
  <si>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</si>
  <si>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</si>
  <si>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</si>
  <si>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</si>
  <si>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</si>
  <si>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</si>
  <si>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</si>
  <si>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</si>
  <si>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</si>
  <si>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</si>
  <si>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</si>
  <si>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</si>
  <si>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</si>
  <si>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</si>
  <si>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</si>
  <si>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</si>
  <si>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</si>
  <si>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</si>
  <si>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</si>
  <si>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</si>
  <si>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</si>
  <si>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</si>
  <si>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</si>
  <si>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</si>
  <si>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</si>
  <si>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</si>
  <si>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</si>
  <si>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</si>
  <si>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</si>
  <si>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</si>
  <si>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</si>
  <si>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</si>
  <si>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</si>
  <si>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</si>
  <si>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</si>
  <si>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</si>
  <si>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</si>
  <si>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</si>
  <si>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</si>
  <si>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</si>
  <si>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</si>
  <si>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</si>
  <si>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</si>
  <si>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</si>
  <si>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</si>
  <si>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</si>
  <si>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</si>
  <si>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</si>
  <si>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</si>
  <si>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</si>
  <si>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</si>
  <si>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</si>
  <si>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</si>
  <si>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</si>
  <si>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</si>
  <si>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</si>
  <si>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</si>
  <si>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</si>
  <si>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</si>
  <si>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</si>
  <si>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</si>
  <si>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</si>
  <si>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</si>
  <si>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</si>
  <si>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</si>
  <si>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</si>
  <si>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</si>
  <si>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</si>
  <si>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</si>
  <si>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</si>
  <si>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</si>
  <si>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</si>
  <si>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</si>
  <si>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</si>
  <si>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</si>
  <si>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</si>
  <si>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</si>
  <si>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</si>
  <si>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</si>
  <si>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</si>
  <si>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</si>
  <si>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</si>
  <si>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</si>
  <si>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</si>
  <si>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</si>
  <si>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</si>
  <si>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</si>
  <si>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</si>
  <si>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</si>
  <si>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</si>
  <si>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</si>
  <si>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</si>
  <si>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</si>
  <si>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</si>
  <si>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</si>
  <si>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</si>
  <si>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</si>
  <si>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</si>
  <si>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</si>
  <si>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</si>
  <si>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</si>
  <si>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</si>
  <si>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</si>
  <si>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</si>
  <si>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</si>
  <si>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</si>
  <si>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</si>
  <si>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</si>
  <si>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</si>
  <si>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</si>
  <si>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</si>
  <si>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</si>
  <si>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</si>
  <si>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</si>
  <si>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</si>
  <si>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</si>
  <si>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</si>
  <si>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</si>
  <si>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</si>
  <si>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</si>
  <si>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</si>
  <si>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</si>
  <si>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</si>
  <si>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</si>
  <si>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</si>
  <si>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</si>
  <si>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</si>
  <si>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</si>
  <si>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</si>
  <si>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</si>
  <si>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</si>
  <si>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</si>
  <si>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</si>
  <si>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</si>
  <si>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</si>
  <si>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</si>
  <si>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</si>
  <si>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</si>
  <si>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</si>
  <si>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</si>
  <si>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</si>
  <si>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</si>
  <si>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</si>
  <si>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</si>
  <si>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</si>
  <si>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</si>
  <si>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</si>
  <si>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</si>
  <si>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</si>
  <si>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</si>
  <si>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</si>
  <si>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</si>
  <si>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</si>
  <si>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</si>
  <si>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</si>
  <si>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</si>
  <si>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</si>
  <si>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</si>
  <si>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</si>
  <si>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</si>
  <si>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</si>
  <si>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</si>
  <si>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</si>
  <si>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</si>
  <si>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</si>
  <si>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</si>
  <si>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</si>
  <si>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</si>
  <si>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</si>
  <si>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</si>
  <si>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</si>
  <si>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</si>
  <si>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</si>
  <si>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</si>
  <si>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</si>
  <si>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</si>
  <si>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</si>
  <si>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</si>
  <si>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</si>
  <si>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</si>
  <si>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</si>
  <si>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</si>
  <si>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</si>
  <si>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</si>
  <si>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</si>
  <si>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</si>
  <si>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</si>
  <si>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</si>
  <si>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</si>
  <si>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</si>
  <si>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</si>
  <si>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</si>
  <si>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</si>
  <si>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</si>
  <si>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</si>
  <si>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</si>
  <si>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</si>
  <si>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</si>
  <si>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</si>
  <si>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</si>
  <si>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</si>
  <si>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</si>
  <si>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</si>
  <si>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</si>
  <si>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</si>
  <si>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</si>
  <si>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</si>
  <si>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</si>
  <si>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</si>
  <si>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</si>
  <si>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</si>
  <si>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</si>
  <si>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</si>
  <si>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</si>
  <si>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</si>
  <si>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</si>
  <si>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</si>
  <si>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</si>
  <si>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</si>
  <si>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</si>
  <si>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</si>
  <si>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</si>
  <si>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</si>
  <si>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</si>
  <si>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</si>
  <si>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</si>
  <si>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</si>
  <si>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</si>
  <si>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</si>
  <si>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</si>
  <si>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</si>
  <si>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</si>
  <si>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</si>
  <si>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</si>
  <si>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</si>
  <si>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</si>
  <si>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</si>
  <si>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</si>
  <si>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</si>
  <si>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</si>
  <si>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</si>
  <si>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</si>
  <si>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</si>
  <si>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</si>
  <si>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</si>
  <si>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</si>
  <si>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</si>
  <si>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</si>
  <si>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</si>
  <si>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</si>
  <si>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</si>
  <si>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</si>
  <si>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</si>
  <si>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</si>
  <si>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</si>
  <si>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</si>
  <si>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</si>
  <si>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</si>
  <si>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</si>
  <si>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</si>
  <si>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</si>
  <si>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</si>
  <si>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</si>
  <si>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</si>
  <si>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</si>
  <si>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</si>
  <si>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</si>
  <si>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</si>
  <si>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</si>
  <si>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</si>
  <si>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</si>
  <si>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</si>
  <si>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</si>
  <si>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</si>
  <si>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</si>
  <si>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</si>
  <si>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</si>
  <si>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</si>
  <si>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</si>
  <si>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</si>
  <si>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</si>
  <si>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</si>
  <si>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</si>
  <si>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</si>
  <si>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</si>
  <si>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</si>
  <si>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</si>
  <si>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</si>
  <si>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</si>
  <si>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</si>
  <si>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</si>
  <si>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</si>
  <si>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</si>
  <si>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</si>
  <si>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</si>
  <si>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</si>
  <si>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</si>
  <si>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</si>
  <si>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</si>
  <si>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</si>
  <si>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</si>
  <si>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</si>
  <si>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</si>
  <si>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</si>
  <si>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</si>
  <si>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</si>
  <si>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</si>
  <si>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</si>
  <si>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</si>
  <si>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</si>
  <si>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</si>
  <si>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</si>
  <si>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</si>
  <si>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</si>
  <si>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</si>
  <si>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</si>
  <si>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</si>
  <si>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</si>
  <si>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</si>
  <si>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</si>
  <si>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</si>
  <si>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</si>
  <si>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</si>
  <si>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</si>
  <si>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</si>
  <si>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</si>
  <si>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</si>
  <si>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</si>
  <si>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</si>
  <si>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</si>
  <si>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</si>
  <si>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</si>
  <si>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</si>
  <si>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</si>
  <si>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</si>
  <si>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</si>
  <si>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</si>
  <si>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</si>
  <si>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</si>
  <si>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</si>
  <si>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</si>
  <si>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</si>
  <si>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</si>
  <si>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</si>
  <si>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</si>
  <si>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</si>
  <si>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</si>
  <si>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</si>
  <si>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</si>
  <si>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</si>
  <si>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</si>
  <si>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</si>
  <si>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</si>
  <si>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</si>
  <si>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</si>
  <si>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</si>
  <si>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</si>
  <si>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</si>
  <si>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</si>
  <si>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</si>
  <si>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</si>
  <si>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</si>
  <si>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</si>
  <si>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</si>
  <si>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</si>
  <si>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</si>
  <si>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</si>
  <si>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</si>
  <si>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</si>
  <si>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</si>
  <si>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</si>
  <si>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</si>
  <si>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</si>
  <si>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</si>
  <si>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</si>
  <si>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</si>
  <si>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</si>
  <si>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</si>
  <si>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</si>
  <si>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</si>
  <si>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</si>
  <si>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</si>
  <si>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</si>
  <si>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</si>
  <si>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</si>
  <si>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</si>
  <si>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</si>
  <si>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</si>
  <si>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</si>
  <si>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</si>
  <si>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</si>
  <si>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</si>
  <si>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</si>
  <si>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</si>
  <si>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</si>
  <si>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</si>
  <si>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</si>
  <si>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</si>
  <si>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</si>
  <si>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</si>
  <si>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</si>
  <si>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</si>
  <si>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</si>
  <si>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</si>
  <si>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</si>
  <si>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</si>
  <si>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</si>
  <si>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</si>
  <si>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</si>
  <si>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</si>
  <si>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</si>
  <si>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</si>
  <si>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</si>
  <si>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</si>
  <si>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</si>
  <si>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</si>
  <si>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</si>
  <si>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</si>
  <si>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</si>
  <si>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</si>
  <si>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</si>
  <si>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</si>
  <si>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</si>
  <si>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</si>
  <si>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</si>
  <si>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</si>
  <si>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</si>
  <si>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</si>
  <si>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</si>
  <si>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</si>
  <si>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</si>
  <si>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</si>
  <si>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</si>
  <si>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</si>
  <si>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</si>
  <si>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</si>
  <si>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</si>
  <si>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</si>
  <si>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</si>
  <si>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</si>
  <si>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</si>
  <si>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</si>
  <si>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</si>
  <si>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</si>
  <si>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</si>
  <si>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</si>
  <si>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</si>
  <si>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</si>
  <si>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</si>
  <si>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</si>
  <si>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</si>
  <si>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</si>
  <si>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</si>
  <si>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</si>
  <si>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</si>
  <si>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</si>
  <si>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</si>
  <si>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</si>
  <si>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</si>
  <si>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</si>
  <si>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</si>
  <si>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</si>
  <si>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</si>
  <si>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</si>
  <si>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</si>
  <si>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</si>
  <si>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</si>
  <si>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</si>
  <si>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</si>
  <si>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</si>
  <si>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</si>
  <si>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</si>
  <si>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</si>
  <si>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</si>
  <si>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</si>
  <si>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</si>
  <si>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</si>
  <si>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</si>
  <si>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</si>
  <si>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</si>
  <si>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</si>
  <si>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</si>
  <si>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</si>
  <si>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</si>
  <si>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</si>
  <si>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</si>
  <si>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</si>
  <si>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</si>
  <si>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</si>
  <si>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</si>
  <si>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</si>
  <si>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</si>
  <si>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</si>
  <si>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</si>
  <si>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</si>
  <si>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</si>
  <si>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</si>
  <si>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</si>
  <si>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</si>
  <si>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</si>
  <si>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</si>
  <si>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</si>
  <si>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</si>
  <si>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</si>
  <si>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</si>
  <si>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</si>
  <si>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</si>
  <si>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</si>
  <si>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</si>
  <si>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</si>
  <si>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</si>
  <si>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</si>
  <si>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</si>
  <si>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</si>
  <si>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</si>
  <si>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</si>
  <si>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</si>
  <si>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</si>
  <si>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</si>
  <si>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</si>
  <si>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</si>
  <si>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</si>
  <si>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</si>
  <si>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</si>
  <si>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</si>
  <si>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</si>
  <si>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</si>
  <si>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</si>
  <si>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</si>
  <si>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</si>
  <si>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</si>
  <si>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</si>
  <si>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</si>
  <si>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</si>
  <si>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</si>
  <si>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</si>
  <si>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</si>
  <si>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</si>
  <si>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</si>
  <si>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</si>
  <si>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</si>
  <si>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</si>
  <si>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</si>
  <si>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</si>
  <si>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</si>
  <si>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</si>
  <si>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</si>
  <si>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</si>
  <si>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</si>
  <si>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</si>
  <si>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</si>
  <si>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</si>
  <si>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</si>
  <si>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</si>
  <si>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</si>
  <si>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</si>
  <si>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</si>
  <si>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</si>
  <si>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</si>
  <si>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</si>
  <si>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</si>
  <si>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</si>
  <si>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</si>
  <si>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</si>
  <si>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</si>
  <si>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</si>
  <si>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</si>
  <si>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</si>
  <si>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</si>
  <si>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</si>
  <si>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</si>
  <si>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</si>
  <si>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</si>
  <si>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</si>
  <si>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</si>
  <si>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</si>
  <si>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</si>
  <si>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</si>
  <si>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</si>
  <si>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</si>
  <si>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</si>
  <si>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</si>
  <si>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</si>
  <si>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</si>
  <si>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</si>
  <si>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</si>
  <si>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</si>
  <si>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</si>
  <si>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</si>
  <si>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</si>
  <si>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</si>
  <si>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</si>
  <si>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</si>
  <si>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</si>
  <si>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</si>
  <si>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</si>
  <si>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</si>
  <si>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</si>
  <si>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</si>
  <si>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</si>
  <si>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</si>
  <si>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</si>
  <si>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</si>
  <si>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</si>
  <si>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</si>
  <si>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</si>
  <si>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</si>
  <si>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</si>
  <si>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</si>
  <si>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</si>
  <si>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</si>
  <si>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</si>
  <si>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</si>
  <si>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</si>
  <si>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</si>
  <si>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</si>
  <si>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</si>
  <si>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</si>
  <si>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</si>
  <si>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</si>
  <si>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</si>
  <si>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</si>
  <si>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</si>
  <si>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</si>
  <si>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</si>
  <si>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</si>
  <si>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</si>
  <si>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</si>
  <si>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</si>
  <si>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</si>
  <si>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</si>
  <si>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</si>
  <si>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</si>
  <si>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</si>
  <si>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</si>
  <si>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</si>
  <si>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</si>
  <si>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</si>
  <si>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</si>
  <si>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</si>
  <si>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</si>
  <si>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</si>
  <si>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</si>
  <si>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</si>
  <si>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</si>
  <si>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</si>
  <si>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</si>
  <si>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</si>
  <si>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</si>
  <si>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Agroenfoque</t>
  </si>
  <si>
    <t>Soja</t>
  </si>
  <si>
    <t>Girasol</t>
  </si>
  <si>
    <t>Avena</t>
  </si>
  <si>
    <t>Lotus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</si>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</sst>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8">
    <sortCondition ref="B1:B11998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M94" sqref="M9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41" t="s">
        <v>125</v>
      </c>
      <c r="D29" s="41" t="s">
        <v>126</v>
      </c>
      <c r="E29" s="41" t="s">
        <v>24</v>
      </c>
      <c r="F29" s="41"/>
      <c r="G29" s="41"/>
      <c r="H29" s="20" t="str">
        <f>+T29</f>
        <v>260410-078</v>
      </c>
      <c r="I29" s="41" t="s">
        <v>27</v>
      </c>
      <c r="J29" s="42">
        <v>30000</v>
      </c>
      <c r="K29" s="22">
        <f>IF(I29="","",IF(I29="ENTRADA",ABS(J29),-ABS(J29)))</f>
        <v>30000</v>
      </c>
      <c r="L29" s="41" t="s">
        <v>28</v>
      </c>
      <c r="M29" s="4"/>
      <c r="N29" s="43">
        <v>59237</v>
      </c>
      <c r="O29" s="41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2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4"/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33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/>
      <c r="Q43" s="21"/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33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199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211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212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199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213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214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199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215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216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216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217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218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219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220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221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217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222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223</v>
      </c>
      <c r="B72" s="33">
        <v>46133</v>
      </c>
      <c r="C72" s="4" t="s">
        <v>224</v>
      </c>
      <c r="D72" s="4" t="s">
        <v>225</v>
      </c>
      <c r="E72" s="4" t="s">
        <v>24</v>
      </c>
      <c r="F72" s="4"/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226</v>
      </c>
      <c r="B73" s="33">
        <v>46133</v>
      </c>
      <c r="C73" s="4" t="s">
        <v>227</v>
      </c>
      <c r="D73" s="4" t="s">
        <v>227</v>
      </c>
      <c r="E73" s="4" t="s">
        <v>24</v>
      </c>
      <c r="F73" s="4"/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228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229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230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231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232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233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234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235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233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236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/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233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237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233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238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233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239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233</v>
      </c>
      <c r="P83" s="4"/>
      <c r="Q83" s="21"/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240</v>
      </c>
      <c r="B84" s="33">
        <v>46135</v>
      </c>
      <c r="C84" s="4" t="s">
        <v>241</v>
      </c>
      <c r="D84" s="4" t="s">
        <v>242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4"/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243</v>
      </c>
    </row>
    <row r="85" spans="1:21">
      <c r="A85" s="20" t="s">
        <v>244</v>
      </c>
      <c r="B85" s="33">
        <v>46135</v>
      </c>
      <c r="C85" s="4" t="s">
        <v>245</v>
      </c>
      <c r="D85" s="4" t="s">
        <v>246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4"/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243</v>
      </c>
    </row>
    <row r="86" spans="1:21">
      <c r="A86" s="20" t="s">
        <v>247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248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249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217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/>
      <c r="Q88" s="21"/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250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/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251</v>
      </c>
      <c r="B90" s="33">
        <v>46136</v>
      </c>
      <c r="C90" s="4" t="s">
        <v>252</v>
      </c>
      <c r="D90" s="4" t="s">
        <v>253</v>
      </c>
      <c r="E90" s="4" t="s">
        <v>24</v>
      </c>
      <c r="F90" s="4"/>
      <c r="G90" s="4" t="s">
        <v>254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255</v>
      </c>
      <c r="B91" s="33">
        <v>46136</v>
      </c>
      <c r="C91" s="4" t="s">
        <v>256</v>
      </c>
      <c r="D91" s="4" t="s">
        <v>257</v>
      </c>
      <c r="E91" s="4" t="s">
        <v>24</v>
      </c>
      <c r="F91" s="4"/>
      <c r="G91" s="4" t="s">
        <v>254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258</v>
      </c>
      <c r="B92" s="33">
        <v>46136</v>
      </c>
      <c r="C92" s="4" t="s">
        <v>259</v>
      </c>
      <c r="D92" s="4" t="s">
        <v>260</v>
      </c>
      <c r="E92" s="4" t="s">
        <v>24</v>
      </c>
      <c r="F92" s="4"/>
      <c r="G92" s="4" t="s">
        <v>254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261</v>
      </c>
      <c r="B93" s="33">
        <v>46136</v>
      </c>
      <c r="C93" s="4" t="s">
        <v>262</v>
      </c>
      <c r="D93" s="4" t="s">
        <v>262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/>
      <c r="Q93" s="21"/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263</v>
      </c>
    </row>
    <row r="94" spans="1:21">
      <c r="A94" s="20" t="s">
        <v>264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265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266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267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268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269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270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217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271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272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273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233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274</v>
      </c>
      <c r="B103" s="33">
        <v>46141</v>
      </c>
      <c r="C103" s="4" t="s">
        <v>49</v>
      </c>
      <c r="D103" s="4" t="s">
        <v>275</v>
      </c>
      <c r="E103" s="4" t="s">
        <v>33</v>
      </c>
      <c r="F103" s="4" t="s">
        <v>34</v>
      </c>
      <c r="G103" s="4" t="s">
        <v>35</v>
      </c>
      <c r="H103" s="20" t="s">
        <v>276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/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277</v>
      </c>
      <c r="B104" s="33">
        <v>46141</v>
      </c>
      <c r="C104" s="4" t="s">
        <v>278</v>
      </c>
      <c r="D104" s="4" t="s">
        <v>279</v>
      </c>
      <c r="E104" s="4" t="s">
        <v>280</v>
      </c>
      <c r="F104" s="4" t="s">
        <v>281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4"/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282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283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273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284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285</v>
      </c>
      <c r="B108" s="34"/>
      <c r="C108" s="34"/>
      <c r="D108" s="34"/>
      <c r="E108" s="34"/>
      <c r="F108" s="34"/>
      <c r="G108" s="34"/>
      <c r="H108" s="20" t="str">
        <f>+T108</f>
        <v/>
      </c>
      <c r="I108" s="34"/>
      <c r="J108" s="38"/>
      <c r="K108" s="22" t="str">
        <f>IF(I108="","",IF(I108="ENTRADA",ABS(J108),-ABS(J108)))</f>
        <v/>
      </c>
      <c r="L108" s="34"/>
      <c r="M108" s="34"/>
      <c r="N108" s="34"/>
      <c r="O108" s="34"/>
      <c r="P108" s="34"/>
      <c r="Q108" s="34"/>
      <c r="R108" s="22" t="str">
        <f>IF(H108="","",H108&amp;I108)</f>
        <v/>
      </c>
      <c r="S108" s="22" t="str">
        <f>IF(C108="","",C108&amp;I108)</f>
        <v/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286</v>
      </c>
      <c r="B109" s="34"/>
      <c r="C109" s="34"/>
      <c r="D109" s="34"/>
      <c r="E109" s="34"/>
      <c r="F109" s="34"/>
      <c r="G109" s="34"/>
      <c r="H109" s="20" t="str">
        <f>+T109</f>
        <v/>
      </c>
      <c r="I109" s="34"/>
      <c r="J109" s="38"/>
      <c r="K109" s="22" t="str">
        <f>IF(I109="","",IF(I109="ENTRADA",ABS(J109),-ABS(J109)))</f>
        <v/>
      </c>
      <c r="L109" s="34"/>
      <c r="M109" s="34"/>
      <c r="N109" s="34"/>
      <c r="O109" s="34"/>
      <c r="P109" s="34"/>
      <c r="Q109" s="34"/>
      <c r="R109" s="22" t="str">
        <f>IF(H109="","",H109&amp;I109)</f>
        <v/>
      </c>
      <c r="S109" s="22" t="str">
        <f>IF(C109="","",C109&amp;I109)</f>
        <v/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287</v>
      </c>
      <c r="B110" s="34"/>
      <c r="C110" s="34"/>
      <c r="D110" s="34"/>
      <c r="E110" s="34"/>
      <c r="F110" s="34"/>
      <c r="G110" s="34"/>
      <c r="H110" s="20" t="str">
        <f>+T110</f>
        <v/>
      </c>
      <c r="I110" s="34"/>
      <c r="J110" s="38"/>
      <c r="K110" s="22" t="str">
        <f>IF(I110="","",IF(I110="ENTRADA",ABS(J110),-ABS(J110)))</f>
        <v/>
      </c>
      <c r="L110" s="34"/>
      <c r="M110" s="34"/>
      <c r="N110" s="34"/>
      <c r="O110" s="34"/>
      <c r="P110" s="34"/>
      <c r="Q110" s="34"/>
      <c r="R110" s="22" t="str">
        <f>IF(H110="","",H110&amp;I110)</f>
        <v/>
      </c>
      <c r="S110" s="22" t="str">
        <f>IF(C110="","",C110&amp;I110)</f>
        <v/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288</v>
      </c>
      <c r="B111" s="34"/>
      <c r="C111" s="34"/>
      <c r="D111" s="34"/>
      <c r="E111" s="34"/>
      <c r="F111" s="34"/>
      <c r="G111" s="34"/>
      <c r="H111" s="20" t="str">
        <f>+T111</f>
        <v/>
      </c>
      <c r="I111" s="34"/>
      <c r="J111" s="38"/>
      <c r="K111" s="22" t="str">
        <f>IF(I111="","",IF(I111="ENTRADA",ABS(J111),-ABS(J111)))</f>
        <v/>
      </c>
      <c r="L111" s="34"/>
      <c r="M111" s="34"/>
      <c r="N111" s="34"/>
      <c r="O111" s="34"/>
      <c r="P111" s="34"/>
      <c r="Q111" s="34"/>
      <c r="R111" s="22" t="str">
        <f>IF(H111="","",H111&amp;I111)</f>
        <v/>
      </c>
      <c r="S111" s="22" t="str">
        <f>IF(C111="","",C111&amp;I111)</f>
        <v/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289</v>
      </c>
      <c r="B112" s="34"/>
      <c r="C112" s="34"/>
      <c r="D112" s="34"/>
      <c r="E112" s="34"/>
      <c r="F112" s="34"/>
      <c r="G112" s="34"/>
      <c r="H112" s="20" t="str">
        <f>+T112</f>
        <v/>
      </c>
      <c r="I112" s="34"/>
      <c r="J112" s="38"/>
      <c r="K112" s="22" t="str">
        <f>IF(I112="","",IF(I112="ENTRADA",ABS(J112),-ABS(J112)))</f>
        <v/>
      </c>
      <c r="L112" s="34"/>
      <c r="M112" s="34"/>
      <c r="N112" s="34"/>
      <c r="O112" s="34"/>
      <c r="P112" s="34"/>
      <c r="Q112" s="34"/>
      <c r="R112" s="22" t="str">
        <f>IF(H112="","",H112&amp;I112)</f>
        <v/>
      </c>
      <c r="S112" s="22" t="str">
        <f>IF(C112="","",C112&amp;I112)</f>
        <v/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290</v>
      </c>
      <c r="B113" s="34"/>
      <c r="C113" s="34"/>
      <c r="D113" s="34"/>
      <c r="E113" s="34"/>
      <c r="F113" s="34"/>
      <c r="G113" s="34"/>
      <c r="H113" s="20" t="str">
        <f>+T113</f>
        <v/>
      </c>
      <c r="I113" s="34"/>
      <c r="J113" s="38"/>
      <c r="K113" s="22" t="str">
        <f>IF(I113="","",IF(I113="ENTRADA",ABS(J113),-ABS(J113)))</f>
        <v/>
      </c>
      <c r="L113" s="34"/>
      <c r="M113" s="34"/>
      <c r="N113" s="34"/>
      <c r="O113" s="34"/>
      <c r="P113" s="34"/>
      <c r="Q113" s="34"/>
      <c r="R113" s="22" t="str">
        <f>IF(H113="","",H113&amp;I113)</f>
        <v/>
      </c>
      <c r="S113" s="22" t="str">
        <f>IF(C113="","",C113&amp;I113)</f>
        <v/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291</v>
      </c>
      <c r="B114" s="34"/>
      <c r="C114" s="34"/>
      <c r="D114" s="34"/>
      <c r="E114" s="34"/>
      <c r="F114" s="34"/>
      <c r="G114" s="34"/>
      <c r="H114" s="20" t="str">
        <f>+T114</f>
        <v/>
      </c>
      <c r="I114" s="34"/>
      <c r="J114" s="38"/>
      <c r="K114" s="22" t="str">
        <f>IF(I114="","",IF(I114="ENTRADA",ABS(J114),-ABS(J114)))</f>
        <v/>
      </c>
      <c r="L114" s="34"/>
      <c r="M114" s="34"/>
      <c r="N114" s="34"/>
      <c r="O114" s="34"/>
      <c r="P114" s="34"/>
      <c r="Q114" s="34"/>
      <c r="R114" s="22" t="str">
        <f>IF(H114="","",H114&amp;I114)</f>
        <v/>
      </c>
      <c r="S114" s="22" t="str">
        <f>IF(C114="","",C114&amp;I114)</f>
        <v/>
      </c>
      <c r="T114" t="str">
        <f>IF(OR(C114="",I114&lt;&gt;"ENTRADA"),"",TEXT(B114,"AAMMDD")&amp;"-"&amp;TEXT(VALUE(SUBSTITUTE(A114,"MOV-","")),"000"))</f>
        <v/>
      </c>
    </row>
    <row r="115" spans="1:20">
      <c r="A115" s="20" t="s">
        <v>292</v>
      </c>
      <c r="B115" s="34"/>
      <c r="C115" s="34"/>
      <c r="D115" s="34"/>
      <c r="E115" s="34"/>
      <c r="F115" s="34"/>
      <c r="G115" s="34"/>
      <c r="H115" s="20" t="str">
        <f>+T115</f>
        <v/>
      </c>
      <c r="I115" s="34"/>
      <c r="J115" s="38"/>
      <c r="K115" s="22" t="str">
        <f>IF(I115="","",IF(I115="ENTRADA",ABS(J115),-ABS(J115)))</f>
        <v/>
      </c>
      <c r="L115" s="34"/>
      <c r="M115" s="34"/>
      <c r="N115" s="34"/>
      <c r="O115" s="34"/>
      <c r="P115" s="34"/>
      <c r="Q115" s="34"/>
      <c r="R115" s="22" t="str">
        <f>IF(H115="","",H115&amp;I115)</f>
        <v/>
      </c>
      <c r="S115" s="22" t="str">
        <f>IF(C115="","",C115&amp;I115)</f>
        <v/>
      </c>
      <c r="T115" t="str">
        <f>IF(OR(C115="",I115&lt;&gt;"ENTRADA"),"",TEXT(B115,"AAMMDD")&amp;"-"&amp;TEXT(VALUE(SUBSTITUTE(A115,"MOV-","")),"000"))</f>
        <v/>
      </c>
    </row>
    <row r="116" spans="1:20">
      <c r="A116" s="20" t="s">
        <v>293</v>
      </c>
      <c r="B116" s="34"/>
      <c r="C116" s="34"/>
      <c r="D116" s="34"/>
      <c r="E116" s="34"/>
      <c r="F116" s="34"/>
      <c r="G116" s="34"/>
      <c r="H116" s="20" t="str">
        <f>+T116</f>
        <v/>
      </c>
      <c r="I116" s="34"/>
      <c r="J116" s="38"/>
      <c r="K116" s="22" t="str">
        <f>IF(I116="","",IF(I116="ENTRADA",ABS(J116),-ABS(J116)))</f>
        <v/>
      </c>
      <c r="L116" s="34"/>
      <c r="M116" s="34"/>
      <c r="N116" s="34"/>
      <c r="O116" s="34"/>
      <c r="P116" s="34"/>
      <c r="Q116" s="34"/>
      <c r="R116" s="22" t="str">
        <f>IF(H116="","",H116&amp;I116)</f>
        <v/>
      </c>
      <c r="S116" s="22" t="str">
        <f>IF(C116="","",C116&amp;I116)</f>
        <v/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294</v>
      </c>
      <c r="B117" s="34"/>
      <c r="C117" s="34"/>
      <c r="D117" s="34"/>
      <c r="E117" s="34"/>
      <c r="F117" s="34"/>
      <c r="G117" s="34"/>
      <c r="H117" s="20" t="str">
        <f>+T117</f>
        <v/>
      </c>
      <c r="I117" s="34"/>
      <c r="J117" s="38"/>
      <c r="K117" s="22" t="str">
        <f>IF(I117="","",IF(I117="ENTRADA",ABS(J117),-ABS(J117)))</f>
        <v/>
      </c>
      <c r="L117" s="34"/>
      <c r="M117" s="34"/>
      <c r="N117" s="34"/>
      <c r="O117" s="34"/>
      <c r="P117" s="34"/>
      <c r="Q117" s="34"/>
      <c r="R117" s="22" t="str">
        <f>IF(H117="","",H117&amp;I117)</f>
        <v/>
      </c>
      <c r="S117" s="22" t="str">
        <f>IF(C117="","",C117&amp;I117)</f>
        <v/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295</v>
      </c>
      <c r="B118" s="34"/>
      <c r="C118" s="34"/>
      <c r="D118" s="34"/>
      <c r="E118" s="34"/>
      <c r="F118" s="34"/>
      <c r="G118" s="34"/>
      <c r="H118" s="20" t="str">
        <f>+T118</f>
        <v/>
      </c>
      <c r="I118" s="34"/>
      <c r="J118" s="38"/>
      <c r="K118" s="22" t="str">
        <f>IF(I118="","",IF(I118="ENTRADA",ABS(J118),-ABS(J118)))</f>
        <v/>
      </c>
      <c r="L118" s="34"/>
      <c r="M118" s="34"/>
      <c r="N118" s="34"/>
      <c r="O118" s="34"/>
      <c r="P118" s="34"/>
      <c r="Q118" s="34"/>
      <c r="R118" s="22" t="str">
        <f>IF(H118="","",H118&amp;I118)</f>
        <v/>
      </c>
      <c r="S118" s="22" t="str">
        <f>IF(C118="","",C118&amp;I118)</f>
        <v/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296</v>
      </c>
      <c r="B119" s="34"/>
      <c r="C119" s="34"/>
      <c r="D119" s="34"/>
      <c r="E119" s="34"/>
      <c r="F119" s="34"/>
      <c r="G119" s="34"/>
      <c r="H119" s="20" t="str">
        <f>+T119</f>
        <v/>
      </c>
      <c r="I119" s="34"/>
      <c r="J119" s="38"/>
      <c r="K119" s="22" t="str">
        <f>IF(I119="","",IF(I119="ENTRADA",ABS(J119),-ABS(J119)))</f>
        <v/>
      </c>
      <c r="L119" s="34"/>
      <c r="M119" s="34"/>
      <c r="N119" s="34"/>
      <c r="O119" s="34"/>
      <c r="P119" s="34"/>
      <c r="Q119" s="34"/>
      <c r="R119" s="22" t="str">
        <f>IF(H119="","",H119&amp;I119)</f>
        <v/>
      </c>
      <c r="S119" s="22" t="str">
        <f>IF(C119="","",C119&amp;I119)</f>
        <v/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297</v>
      </c>
      <c r="B120" s="34"/>
      <c r="C120" s="34"/>
      <c r="D120" s="34"/>
      <c r="E120" s="34"/>
      <c r="F120" s="34"/>
      <c r="G120" s="34"/>
      <c r="H120" s="20" t="str">
        <f>+T120</f>
        <v/>
      </c>
      <c r="I120" s="34"/>
      <c r="J120" s="38"/>
      <c r="K120" s="22" t="str">
        <f>IF(I120="","",IF(I120="ENTRADA",ABS(J120),-ABS(J120)))</f>
        <v/>
      </c>
      <c r="L120" s="34"/>
      <c r="M120" s="34"/>
      <c r="N120" s="34"/>
      <c r="O120" s="34"/>
      <c r="P120" s="34"/>
      <c r="Q120" s="34"/>
      <c r="R120" s="22" t="str">
        <f>IF(H120="","",H120&amp;I120)</f>
        <v/>
      </c>
      <c r="S120" s="22" t="str">
        <f>IF(C120="","",C120&amp;I120)</f>
        <v/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298</v>
      </c>
      <c r="B121" s="34"/>
      <c r="C121" s="34"/>
      <c r="D121" s="34"/>
      <c r="E121" s="34"/>
      <c r="F121" s="34"/>
      <c r="G121" s="34"/>
      <c r="H121" s="20" t="str">
        <f>+T121</f>
        <v/>
      </c>
      <c r="I121" s="34"/>
      <c r="J121" s="38"/>
      <c r="K121" s="22" t="str">
        <f>IF(I121="","",IF(I121="ENTRADA",ABS(J121),-ABS(J121)))</f>
        <v/>
      </c>
      <c r="L121" s="34"/>
      <c r="M121" s="34"/>
      <c r="N121" s="34"/>
      <c r="O121" s="34"/>
      <c r="P121" s="34"/>
      <c r="Q121" s="34"/>
      <c r="R121" s="22" t="str">
        <f>IF(H121="","",H121&amp;I121)</f>
        <v/>
      </c>
      <c r="S121" s="22" t="str">
        <f>IF(C121="","",C121&amp;I121)</f>
        <v/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299</v>
      </c>
      <c r="B122" s="34"/>
      <c r="C122" s="34"/>
      <c r="D122" s="34"/>
      <c r="E122" s="34"/>
      <c r="F122" s="34"/>
      <c r="G122" s="34"/>
      <c r="H122" s="20" t="str">
        <f>+T122</f>
        <v/>
      </c>
      <c r="I122" s="34"/>
      <c r="J122" s="38"/>
      <c r="K122" s="22" t="str">
        <f>IF(I122="","",IF(I122="ENTRADA",ABS(J122),-ABS(J122)))</f>
        <v/>
      </c>
      <c r="L122" s="34"/>
      <c r="M122" s="34"/>
      <c r="N122" s="34"/>
      <c r="O122" s="34"/>
      <c r="P122" s="34"/>
      <c r="Q122" s="34"/>
      <c r="R122" s="22" t="str">
        <f>IF(H122="","",H122&amp;I122)</f>
        <v/>
      </c>
      <c r="S122" s="22" t="str">
        <f>IF(C122="","",C122&amp;I122)</f>
        <v/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300</v>
      </c>
      <c r="B123" s="34"/>
      <c r="C123" s="34"/>
      <c r="D123" s="34"/>
      <c r="E123" s="34"/>
      <c r="F123" s="34"/>
      <c r="G123" s="34"/>
      <c r="H123" s="20" t="str">
        <f>+T123</f>
        <v/>
      </c>
      <c r="I123" s="34"/>
      <c r="J123" s="38"/>
      <c r="K123" s="22" t="str">
        <f>IF(I123="","",IF(I123="ENTRADA",ABS(J123),-ABS(J123)))</f>
        <v/>
      </c>
      <c r="L123" s="34"/>
      <c r="M123" s="34"/>
      <c r="N123" s="34"/>
      <c r="O123" s="34"/>
      <c r="P123" s="34"/>
      <c r="Q123" s="34"/>
      <c r="R123" s="22" t="str">
        <f>IF(H123="","",H123&amp;I123)</f>
        <v/>
      </c>
      <c r="S123" s="22" t="str">
        <f>IF(C123="","",C123&amp;I123)</f>
        <v/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301</v>
      </c>
      <c r="B124" s="34"/>
      <c r="C124" s="34"/>
      <c r="D124" s="34"/>
      <c r="E124" s="34"/>
      <c r="F124" s="34"/>
      <c r="G124" s="34"/>
      <c r="H124" s="20" t="str">
        <f>+T124</f>
        <v/>
      </c>
      <c r="I124" s="34"/>
      <c r="J124" s="38"/>
      <c r="K124" s="22" t="str">
        <f>IF(I124="","",IF(I124="ENTRADA",ABS(J124),-ABS(J124)))</f>
        <v/>
      </c>
      <c r="L124" s="34"/>
      <c r="M124" s="34"/>
      <c r="N124" s="34"/>
      <c r="O124" s="34"/>
      <c r="P124" s="34"/>
      <c r="Q124" s="34"/>
      <c r="R124" s="22" t="str">
        <f>IF(H124="","",H124&amp;I124)</f>
        <v/>
      </c>
      <c r="S124" s="22" t="str">
        <f>IF(C124="","",C124&amp;I124)</f>
        <v/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302</v>
      </c>
      <c r="B125" s="34"/>
      <c r="C125" s="34"/>
      <c r="D125" s="34"/>
      <c r="E125" s="34"/>
      <c r="F125" s="34"/>
      <c r="G125" s="34"/>
      <c r="H125" s="20" t="str">
        <f>+T125</f>
        <v/>
      </c>
      <c r="I125" s="34"/>
      <c r="J125" s="38"/>
      <c r="K125" s="22" t="str">
        <f>IF(I125="","",IF(I125="ENTRADA",ABS(J125),-ABS(J125)))</f>
        <v/>
      </c>
      <c r="L125" s="34"/>
      <c r="M125" s="34"/>
      <c r="N125" s="34"/>
      <c r="O125" s="34"/>
      <c r="P125" s="34"/>
      <c r="Q125" s="34"/>
      <c r="R125" s="22" t="str">
        <f>IF(H125="","",H125&amp;I125)</f>
        <v/>
      </c>
      <c r="S125" s="22" t="str">
        <f>IF(C125="","",C125&amp;I125)</f>
        <v/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303</v>
      </c>
      <c r="B126" s="34"/>
      <c r="C126" s="34"/>
      <c r="D126" s="34"/>
      <c r="E126" s="34"/>
      <c r="F126" s="34"/>
      <c r="G126" s="34"/>
      <c r="H126" s="20" t="str">
        <f>+T126</f>
        <v/>
      </c>
      <c r="I126" s="34"/>
      <c r="J126" s="38"/>
      <c r="K126" s="22" t="str">
        <f>IF(I126="","",IF(I126="ENTRADA",ABS(J126),-ABS(J126)))</f>
        <v/>
      </c>
      <c r="L126" s="34"/>
      <c r="M126" s="34"/>
      <c r="N126" s="34"/>
      <c r="O126" s="34"/>
      <c r="P126" s="34"/>
      <c r="Q126" s="34"/>
      <c r="R126" s="22" t="str">
        <f>IF(H126="","",H126&amp;I126)</f>
        <v/>
      </c>
      <c r="S126" s="22" t="str">
        <f>IF(C126="","",C126&amp;I126)</f>
        <v/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304</v>
      </c>
      <c r="B127" s="34"/>
      <c r="C127" s="34"/>
      <c r="D127" s="34"/>
      <c r="E127" s="34"/>
      <c r="F127" s="34"/>
      <c r="G127" s="34"/>
      <c r="H127" s="20" t="str">
        <f>+T127</f>
        <v/>
      </c>
      <c r="I127" s="34"/>
      <c r="J127" s="38"/>
      <c r="K127" s="22" t="str">
        <f>IF(I127="","",IF(I127="ENTRADA",ABS(J127),-ABS(J127)))</f>
        <v/>
      </c>
      <c r="L127" s="34"/>
      <c r="M127" s="34"/>
      <c r="N127" s="34"/>
      <c r="O127" s="34"/>
      <c r="P127" s="34"/>
      <c r="Q127" s="34"/>
      <c r="R127" s="22" t="str">
        <f>IF(H127="","",H127&amp;I127)</f>
        <v/>
      </c>
      <c r="S127" s="22" t="str">
        <f>IF(C127="","",C127&amp;I127)</f>
        <v/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305</v>
      </c>
      <c r="B128" s="34"/>
      <c r="C128" s="34"/>
      <c r="D128" s="34"/>
      <c r="E128" s="34"/>
      <c r="F128" s="34"/>
      <c r="G128" s="34"/>
      <c r="H128" s="20" t="str">
        <f>+T128</f>
        <v/>
      </c>
      <c r="I128" s="34"/>
      <c r="J128" s="38"/>
      <c r="K128" s="22" t="str">
        <f>IF(I128="","",IF(I128="ENTRADA",ABS(J128),-ABS(J128)))</f>
        <v/>
      </c>
      <c r="L128" s="34"/>
      <c r="M128" s="34"/>
      <c r="N128" s="34"/>
      <c r="O128" s="34"/>
      <c r="P128" s="34"/>
      <c r="Q128" s="34"/>
      <c r="R128" s="22" t="str">
        <f>IF(H128="","",H128&amp;I128)</f>
        <v/>
      </c>
      <c r="S128" s="22" t="str">
        <f>IF(C128="","",C128&amp;I128)</f>
        <v/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306</v>
      </c>
      <c r="B129" s="34"/>
      <c r="C129" s="34"/>
      <c r="D129" s="34"/>
      <c r="E129" s="34"/>
      <c r="F129" s="34"/>
      <c r="G129" s="34"/>
      <c r="H129" s="20" t="str">
        <f>+T129</f>
        <v/>
      </c>
      <c r="I129" s="34"/>
      <c r="J129" s="38"/>
      <c r="K129" s="22" t="str">
        <f>IF(I129="","",IF(I129="ENTRADA",ABS(J129),-ABS(J129)))</f>
        <v/>
      </c>
      <c r="L129" s="34"/>
      <c r="M129" s="34"/>
      <c r="N129" s="34"/>
      <c r="O129" s="34"/>
      <c r="P129" s="34"/>
      <c r="Q129" s="34"/>
      <c r="R129" s="22" t="str">
        <f>IF(H129="","",H129&amp;I129)</f>
        <v/>
      </c>
      <c r="S129" s="22" t="str">
        <f>IF(C129="","",C129&amp;I129)</f>
        <v/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307</v>
      </c>
      <c r="B130" s="34"/>
      <c r="C130" s="34"/>
      <c r="D130" s="34"/>
      <c r="E130" s="34"/>
      <c r="F130" s="34"/>
      <c r="G130" s="34"/>
      <c r="H130" s="20" t="str">
        <f>+T130</f>
        <v/>
      </c>
      <c r="I130" s="34"/>
      <c r="J130" s="38"/>
      <c r="K130" s="22" t="str">
        <f>IF(I130="","",IF(I130="ENTRADA",ABS(J130),-ABS(J130)))</f>
        <v/>
      </c>
      <c r="L130" s="34"/>
      <c r="M130" s="34"/>
      <c r="N130" s="34"/>
      <c r="O130" s="34"/>
      <c r="P130" s="34"/>
      <c r="Q130" s="34"/>
      <c r="R130" s="22" t="str">
        <f>IF(H130="","",H130&amp;I130)</f>
        <v/>
      </c>
      <c r="S130" s="22" t="str">
        <f>IF(C130="","",C130&amp;I130)</f>
        <v/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308</v>
      </c>
      <c r="B131" s="34"/>
      <c r="C131" s="34"/>
      <c r="D131" s="34"/>
      <c r="E131" s="34"/>
      <c r="F131" s="34"/>
      <c r="G131" s="34"/>
      <c r="H131" s="20" t="str">
        <f>+T131</f>
        <v/>
      </c>
      <c r="I131" s="34"/>
      <c r="J131" s="38"/>
      <c r="K131" s="22" t="str">
        <f>IF(I131="","",IF(I131="ENTRADA",ABS(J131),-ABS(J131)))</f>
        <v/>
      </c>
      <c r="L131" s="34"/>
      <c r="M131" s="34"/>
      <c r="N131" s="34"/>
      <c r="O131" s="34"/>
      <c r="P131" s="34"/>
      <c r="Q131" s="34"/>
      <c r="R131" s="22" t="str">
        <f>IF(H131="","",H131&amp;I131)</f>
        <v/>
      </c>
      <c r="S131" s="22" t="str">
        <f>IF(C131="","",C131&amp;I131)</f>
        <v/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309</v>
      </c>
      <c r="B132" s="34"/>
      <c r="C132" s="34"/>
      <c r="D132" s="34"/>
      <c r="E132" s="34"/>
      <c r="F132" s="34"/>
      <c r="G132" s="34"/>
      <c r="H132" s="20" t="str">
        <f>+T132</f>
        <v/>
      </c>
      <c r="I132" s="34"/>
      <c r="J132" s="38"/>
      <c r="K132" s="22" t="str">
        <f>IF(I132="","",IF(I132="ENTRADA",ABS(J132),-ABS(J132)))</f>
        <v/>
      </c>
      <c r="L132" s="34"/>
      <c r="M132" s="34"/>
      <c r="N132" s="34"/>
      <c r="O132" s="34"/>
      <c r="P132" s="34"/>
      <c r="Q132" s="34"/>
      <c r="R132" s="22" t="str">
        <f>IF(H132="","",H132&amp;I132)</f>
        <v/>
      </c>
      <c r="S132" s="22" t="str">
        <f>IF(C132="","",C132&amp;I132)</f>
        <v/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310</v>
      </c>
      <c r="B133" s="34"/>
      <c r="C133" s="34"/>
      <c r="D133" s="34"/>
      <c r="E133" s="34"/>
      <c r="F133" s="34"/>
      <c r="G133" s="34"/>
      <c r="H133" s="20" t="str">
        <f>+T133</f>
        <v/>
      </c>
      <c r="I133" s="34"/>
      <c r="J133" s="38"/>
      <c r="K133" s="22" t="str">
        <f>IF(I133="","",IF(I133="ENTRADA",ABS(J133),-ABS(J133)))</f>
        <v/>
      </c>
      <c r="L133" s="34"/>
      <c r="M133" s="34"/>
      <c r="N133" s="34"/>
      <c r="O133" s="34"/>
      <c r="P133" s="34"/>
      <c r="Q133" s="34"/>
      <c r="R133" s="22" t="str">
        <f>IF(H133="","",H133&amp;I133)</f>
        <v/>
      </c>
      <c r="S133" s="22" t="str">
        <f>IF(C133="","",C133&amp;I133)</f>
        <v/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311</v>
      </c>
      <c r="B134" s="34"/>
      <c r="C134" s="34"/>
      <c r="D134" s="34"/>
      <c r="E134" s="34"/>
      <c r="F134" s="34"/>
      <c r="G134" s="34"/>
      <c r="H134" s="20" t="str">
        <f>+T134</f>
        <v/>
      </c>
      <c r="I134" s="34"/>
      <c r="J134" s="38"/>
      <c r="K134" s="22" t="str">
        <f>IF(I134="","",IF(I134="ENTRADA",ABS(J134),-ABS(J134)))</f>
        <v/>
      </c>
      <c r="L134" s="34"/>
      <c r="M134" s="34"/>
      <c r="N134" s="34"/>
      <c r="O134" s="34"/>
      <c r="P134" s="34"/>
      <c r="Q134" s="34"/>
      <c r="R134" s="22" t="str">
        <f>IF(H134="","",H134&amp;I134)</f>
        <v/>
      </c>
      <c r="S134" s="22" t="str">
        <f>IF(C134="","",C134&amp;I134)</f>
        <v/>
      </c>
      <c r="T134" t="str">
        <f>IF(OR(C134="",I134&lt;&gt;"ENTRADA"),"",TEXT(B134,"AAMMDD")&amp;"-"&amp;TEXT(VALUE(SUBSTITUTE(A134,"MOV-","")),"000"))</f>
        <v/>
      </c>
    </row>
    <row r="135" spans="1:20">
      <c r="A135" s="20" t="s">
        <v>312</v>
      </c>
      <c r="B135" s="34"/>
      <c r="C135" s="34"/>
      <c r="D135" s="34"/>
      <c r="E135" s="34"/>
      <c r="F135" s="34"/>
      <c r="G135" s="34"/>
      <c r="H135" s="20" t="str">
        <f>+T135</f>
        <v/>
      </c>
      <c r="I135" s="34"/>
      <c r="J135" s="38"/>
      <c r="K135" s="22" t="str">
        <f>IF(I135="","",IF(I135="ENTRADA",ABS(J135),-ABS(J135)))</f>
        <v/>
      </c>
      <c r="L135" s="34"/>
      <c r="M135" s="34"/>
      <c r="N135" s="34"/>
      <c r="O135" s="34"/>
      <c r="P135" s="34"/>
      <c r="Q135" s="34"/>
      <c r="R135" s="22" t="str">
        <f>IF(H135="","",H135&amp;I135)</f>
        <v/>
      </c>
      <c r="S135" s="22" t="str">
        <f>IF(C135="","",C135&amp;I135)</f>
        <v/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313</v>
      </c>
      <c r="B136" s="34"/>
      <c r="C136" s="34"/>
      <c r="D136" s="34"/>
      <c r="E136" s="34"/>
      <c r="F136" s="34"/>
      <c r="G136" s="34"/>
      <c r="H136" s="20" t="str">
        <f>+T136</f>
        <v/>
      </c>
      <c r="I136" s="34"/>
      <c r="J136" s="38"/>
      <c r="K136" s="22" t="str">
        <f>IF(I136="","",IF(I136="ENTRADA",ABS(J136),-ABS(J136)))</f>
        <v/>
      </c>
      <c r="L136" s="34"/>
      <c r="M136" s="34"/>
      <c r="N136" s="34"/>
      <c r="O136" s="34"/>
      <c r="P136" s="34"/>
      <c r="Q136" s="34"/>
      <c r="R136" s="22" t="str">
        <f>IF(H136="","",H136&amp;I136)</f>
        <v/>
      </c>
      <c r="S136" s="22" t="str">
        <f>IF(C136="","",C136&amp;I136)</f>
        <v/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314</v>
      </c>
      <c r="B137" s="34"/>
      <c r="C137" s="34"/>
      <c r="D137" s="34"/>
      <c r="E137" s="34"/>
      <c r="F137" s="34"/>
      <c r="G137" s="34"/>
      <c r="H137" s="20" t="str">
        <f>+T137</f>
        <v/>
      </c>
      <c r="I137" s="34"/>
      <c r="J137" s="38"/>
      <c r="K137" s="22" t="str">
        <f>IF(I137="","",IF(I137="ENTRADA",ABS(J137),-ABS(J137)))</f>
        <v/>
      </c>
      <c r="L137" s="34"/>
      <c r="M137" s="34"/>
      <c r="N137" s="34"/>
      <c r="O137" s="34"/>
      <c r="P137" s="34"/>
      <c r="Q137" s="34"/>
      <c r="R137" s="22" t="str">
        <f>IF(H137="","",H137&amp;I137)</f>
        <v/>
      </c>
      <c r="S137" s="22" t="str">
        <f>IF(C137="","",C137&amp;I137)</f>
        <v/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315</v>
      </c>
      <c r="B138" s="34"/>
      <c r="C138" s="34"/>
      <c r="D138" s="34"/>
      <c r="E138" s="34"/>
      <c r="F138" s="34"/>
      <c r="G138" s="34"/>
      <c r="H138" s="20" t="str">
        <f>+T138</f>
        <v/>
      </c>
      <c r="I138" s="34"/>
      <c r="J138" s="38"/>
      <c r="K138" s="22" t="str">
        <f>IF(I138="","",IF(I138="ENTRADA",ABS(J138),-ABS(J138)))</f>
        <v/>
      </c>
      <c r="L138" s="34"/>
      <c r="M138" s="34"/>
      <c r="N138" s="34"/>
      <c r="O138" s="34"/>
      <c r="P138" s="34"/>
      <c r="Q138" s="34"/>
      <c r="R138" s="22" t="str">
        <f>IF(H138="","",H138&amp;I138)</f>
        <v/>
      </c>
      <c r="S138" s="22" t="str">
        <f>IF(C138="","",C138&amp;I138)</f>
        <v/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316</v>
      </c>
      <c r="B139" s="34"/>
      <c r="C139" s="34"/>
      <c r="D139" s="34"/>
      <c r="E139" s="34"/>
      <c r="F139" s="34"/>
      <c r="G139" s="34"/>
      <c r="H139" s="20" t="str">
        <f>+T139</f>
        <v/>
      </c>
      <c r="I139" s="34"/>
      <c r="J139" s="38"/>
      <c r="K139" s="22" t="str">
        <f>IF(I139="","",IF(I139="ENTRADA",ABS(J139),-ABS(J139)))</f>
        <v/>
      </c>
      <c r="L139" s="34"/>
      <c r="M139" s="34"/>
      <c r="N139" s="34"/>
      <c r="O139" s="34"/>
      <c r="P139" s="34"/>
      <c r="Q139" s="34"/>
      <c r="R139" s="22" t="str">
        <f>IF(H139="","",H139&amp;I139)</f>
        <v/>
      </c>
      <c r="S139" s="22" t="str">
        <f>IF(C139="","",C139&amp;I139)</f>
        <v/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317</v>
      </c>
      <c r="B140" s="34"/>
      <c r="C140" s="34"/>
      <c r="D140" s="34"/>
      <c r="E140" s="34"/>
      <c r="F140" s="34"/>
      <c r="G140" s="34"/>
      <c r="H140" s="20" t="str">
        <f>+T140</f>
        <v/>
      </c>
      <c r="I140" s="34"/>
      <c r="J140" s="38"/>
      <c r="K140" s="22" t="str">
        <f>IF(I140="","",IF(I140="ENTRADA",ABS(J140),-ABS(J140)))</f>
        <v/>
      </c>
      <c r="L140" s="34"/>
      <c r="M140" s="34"/>
      <c r="N140" s="34"/>
      <c r="O140" s="34"/>
      <c r="P140" s="34"/>
      <c r="Q140" s="34"/>
      <c r="R140" s="22" t="str">
        <f>IF(H140="","",H140&amp;I140)</f>
        <v/>
      </c>
      <c r="S140" s="22" t="str">
        <f>IF(C140="","",C140&amp;I140)</f>
        <v/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318</v>
      </c>
      <c r="B141" s="34"/>
      <c r="C141" s="34"/>
      <c r="D141" s="34"/>
      <c r="E141" s="34"/>
      <c r="F141" s="34"/>
      <c r="G141" s="34"/>
      <c r="H141" s="20" t="str">
        <f>+T141</f>
        <v/>
      </c>
      <c r="I141" s="34"/>
      <c r="J141" s="38"/>
      <c r="K141" s="22" t="str">
        <f>IF(I141="","",IF(I141="ENTRADA",ABS(J141),-ABS(J141)))</f>
        <v/>
      </c>
      <c r="L141" s="34"/>
      <c r="M141" s="34"/>
      <c r="N141" s="34"/>
      <c r="O141" s="34"/>
      <c r="P141" s="34"/>
      <c r="Q141" s="34"/>
      <c r="R141" s="22" t="str">
        <f>IF(H141="","",H141&amp;I141)</f>
        <v/>
      </c>
      <c r="S141" s="22" t="str">
        <f>IF(C141="","",C141&amp;I141)</f>
        <v/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319</v>
      </c>
      <c r="B142" s="34"/>
      <c r="C142" s="34"/>
      <c r="D142" s="34"/>
      <c r="E142" s="34"/>
      <c r="F142" s="34"/>
      <c r="G142" s="34"/>
      <c r="H142" s="20" t="str">
        <f>+T142</f>
        <v/>
      </c>
      <c r="I142" s="34"/>
      <c r="J142" s="38"/>
      <c r="K142" s="22" t="str">
        <f>IF(I142="","",IF(I142="ENTRADA",ABS(J142),-ABS(J142)))</f>
        <v/>
      </c>
      <c r="L142" s="34"/>
      <c r="M142" s="34"/>
      <c r="N142" s="34"/>
      <c r="O142" s="34"/>
      <c r="P142" s="34"/>
      <c r="Q142" s="34"/>
      <c r="R142" s="22" t="str">
        <f>IF(H142="","",H142&amp;I142)</f>
        <v/>
      </c>
      <c r="S142" s="22" t="str">
        <f>IF(C142="","",C142&amp;I142)</f>
        <v/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320</v>
      </c>
      <c r="B143" s="34"/>
      <c r="C143" s="34"/>
      <c r="D143" s="34"/>
      <c r="E143" s="34"/>
      <c r="F143" s="34"/>
      <c r="G143" s="34"/>
      <c r="H143" s="20" t="str">
        <f>+T143</f>
        <v/>
      </c>
      <c r="I143" s="34"/>
      <c r="J143" s="38"/>
      <c r="K143" s="22" t="str">
        <f>IF(I143="","",IF(I143="ENTRADA",ABS(J143),-ABS(J143)))</f>
        <v/>
      </c>
      <c r="L143" s="34"/>
      <c r="M143" s="34"/>
      <c r="N143" s="34"/>
      <c r="O143" s="34"/>
      <c r="P143" s="34"/>
      <c r="Q143" s="34"/>
      <c r="R143" s="22" t="str">
        <f>IF(H143="","",H143&amp;I143)</f>
        <v/>
      </c>
      <c r="S143" s="22" t="str">
        <f>IF(C143="","",C143&amp;I143)</f>
        <v/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321</v>
      </c>
      <c r="B144" s="34"/>
      <c r="C144" s="34"/>
      <c r="D144" s="34"/>
      <c r="E144" s="34"/>
      <c r="F144" s="34"/>
      <c r="G144" s="34"/>
      <c r="H144" s="20" t="str">
        <f>+T144</f>
        <v/>
      </c>
      <c r="I144" s="34"/>
      <c r="J144" s="38"/>
      <c r="K144" s="22" t="str">
        <f>IF(I144="","",IF(I144="ENTRADA",ABS(J144),-ABS(J144)))</f>
        <v/>
      </c>
      <c r="L144" s="34"/>
      <c r="M144" s="34"/>
      <c r="N144" s="34"/>
      <c r="O144" s="34"/>
      <c r="P144" s="34"/>
      <c r="Q144" s="34"/>
      <c r="R144" s="22" t="str">
        <f>IF(H144="","",H144&amp;I144)</f>
        <v/>
      </c>
      <c r="S144" s="22" t="str">
        <f>IF(C144="","",C144&amp;I144)</f>
        <v/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322</v>
      </c>
      <c r="B145" s="34"/>
      <c r="C145" s="34"/>
      <c r="D145" s="34"/>
      <c r="E145" s="34"/>
      <c r="F145" s="34"/>
      <c r="G145" s="34"/>
      <c r="H145" s="20" t="str">
        <f>+T145</f>
        <v/>
      </c>
      <c r="I145" s="34"/>
      <c r="J145" s="38"/>
      <c r="K145" s="22" t="str">
        <f>IF(I145="","",IF(I145="ENTRADA",ABS(J145),-ABS(J145)))</f>
        <v/>
      </c>
      <c r="L145" s="34"/>
      <c r="M145" s="34"/>
      <c r="N145" s="34"/>
      <c r="O145" s="34"/>
      <c r="P145" s="34"/>
      <c r="Q145" s="34"/>
      <c r="R145" s="22" t="str">
        <f>IF(H145="","",H145&amp;I145)</f>
        <v/>
      </c>
      <c r="S145" s="22" t="str">
        <f>IF(C145="","",C145&amp;I145)</f>
        <v/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323</v>
      </c>
      <c r="B146" s="34"/>
      <c r="C146" s="34"/>
      <c r="D146" s="34"/>
      <c r="E146" s="34"/>
      <c r="F146" s="34"/>
      <c r="G146" s="34"/>
      <c r="H146" s="20" t="str">
        <f>+T146</f>
        <v/>
      </c>
      <c r="I146" s="34"/>
      <c r="J146" s="38"/>
      <c r="K146" s="22" t="str">
        <f>IF(I146="","",IF(I146="ENTRADA",ABS(J146),-ABS(J146)))</f>
        <v/>
      </c>
      <c r="L146" s="34"/>
      <c r="M146" s="34"/>
      <c r="N146" s="34"/>
      <c r="O146" s="34"/>
      <c r="P146" s="34"/>
      <c r="Q146" s="34"/>
      <c r="R146" s="22" t="str">
        <f>IF(H146="","",H146&amp;I146)</f>
        <v/>
      </c>
      <c r="S146" s="22" t="str">
        <f>IF(C146="","",C146&amp;I146)</f>
        <v/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324</v>
      </c>
      <c r="B147" s="34"/>
      <c r="C147" s="34"/>
      <c r="D147" s="34"/>
      <c r="E147" s="34"/>
      <c r="F147" s="34"/>
      <c r="G147" s="34"/>
      <c r="H147" s="20" t="str">
        <f>+T147</f>
        <v/>
      </c>
      <c r="I147" s="34"/>
      <c r="J147" s="38"/>
      <c r="K147" s="22" t="str">
        <f>IF(I147="","",IF(I147="ENTRADA",ABS(J147),-ABS(J147)))</f>
        <v/>
      </c>
      <c r="L147" s="34"/>
      <c r="M147" s="34"/>
      <c r="N147" s="34"/>
      <c r="O147" s="34"/>
      <c r="P147" s="34"/>
      <c r="Q147" s="34"/>
      <c r="R147" s="22" t="str">
        <f>IF(H147="","",H147&amp;I147)</f>
        <v/>
      </c>
      <c r="S147" s="22" t="str">
        <f>IF(C147="","",C147&amp;I147)</f>
        <v/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325</v>
      </c>
      <c r="B148" s="34"/>
      <c r="C148" s="34"/>
      <c r="D148" s="34"/>
      <c r="E148" s="34"/>
      <c r="F148" s="34"/>
      <c r="G148" s="34"/>
      <c r="H148" s="20" t="str">
        <f>+T148</f>
        <v/>
      </c>
      <c r="I148" s="34"/>
      <c r="J148" s="38"/>
      <c r="K148" s="22" t="str">
        <f>IF(I148="","",IF(I148="ENTRADA",ABS(J148),-ABS(J148)))</f>
        <v/>
      </c>
      <c r="L148" s="34"/>
      <c r="M148" s="34"/>
      <c r="N148" s="34"/>
      <c r="O148" s="34"/>
      <c r="P148" s="34"/>
      <c r="Q148" s="34"/>
      <c r="R148" s="22" t="str">
        <f>IF(H148="","",H148&amp;I148)</f>
        <v/>
      </c>
      <c r="S148" s="22" t="str">
        <f>IF(C148="","",C148&amp;I148)</f>
        <v/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326</v>
      </c>
      <c r="B149" s="34"/>
      <c r="C149" s="34"/>
      <c r="D149" s="34"/>
      <c r="E149" s="34"/>
      <c r="F149" s="34"/>
      <c r="G149" s="34"/>
      <c r="H149" s="20" t="str">
        <f>+T149</f>
        <v/>
      </c>
      <c r="I149" s="34"/>
      <c r="J149" s="38"/>
      <c r="K149" s="22" t="str">
        <f>IF(I149="","",IF(I149="ENTRADA",ABS(J149),-ABS(J149)))</f>
        <v/>
      </c>
      <c r="L149" s="34"/>
      <c r="M149" s="34"/>
      <c r="N149" s="34"/>
      <c r="O149" s="34"/>
      <c r="P149" s="34"/>
      <c r="Q149" s="34"/>
      <c r="R149" s="22" t="str">
        <f>IF(H149="","",H149&amp;I149)</f>
        <v/>
      </c>
      <c r="S149" s="22" t="str">
        <f>IF(C149="","",C149&amp;I149)</f>
        <v/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327</v>
      </c>
      <c r="B150" s="34"/>
      <c r="C150" s="34"/>
      <c r="D150" s="34"/>
      <c r="E150" s="34"/>
      <c r="F150" s="34"/>
      <c r="G150" s="34"/>
      <c r="H150" s="20" t="str">
        <f>+T150</f>
        <v/>
      </c>
      <c r="I150" s="34"/>
      <c r="J150" s="38"/>
      <c r="K150" s="22" t="str">
        <f>IF(I150="","",IF(I150="ENTRADA",ABS(J150),-ABS(J150)))</f>
        <v/>
      </c>
      <c r="L150" s="34"/>
      <c r="M150" s="34"/>
      <c r="N150" s="34"/>
      <c r="O150" s="34"/>
      <c r="P150" s="34"/>
      <c r="Q150" s="34"/>
      <c r="R150" s="22" t="str">
        <f>IF(H150="","",H150&amp;I150)</f>
        <v/>
      </c>
      <c r="S150" s="22" t="str">
        <f>IF(C150="","",C150&amp;I150)</f>
        <v/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328</v>
      </c>
      <c r="B151" s="34"/>
      <c r="C151" s="34"/>
      <c r="D151" s="34"/>
      <c r="E151" s="34"/>
      <c r="F151" s="34"/>
      <c r="G151" s="34"/>
      <c r="H151" s="20" t="str">
        <f>+T151</f>
        <v/>
      </c>
      <c r="I151" s="34"/>
      <c r="J151" s="38"/>
      <c r="K151" s="22" t="str">
        <f>IF(I151="","",IF(I151="ENTRADA",ABS(J151),-ABS(J151)))</f>
        <v/>
      </c>
      <c r="L151" s="34"/>
      <c r="M151" s="34"/>
      <c r="N151" s="34"/>
      <c r="O151" s="34"/>
      <c r="P151" s="34"/>
      <c r="Q151" s="34"/>
      <c r="R151" s="22" t="str">
        <f>IF(H151="","",H151&amp;I151)</f>
        <v/>
      </c>
      <c r="S151" s="22" t="str">
        <f>IF(C151="","",C151&amp;I151)</f>
        <v/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329</v>
      </c>
      <c r="B152" s="34"/>
      <c r="C152" s="34"/>
      <c r="D152" s="34"/>
      <c r="E152" s="34"/>
      <c r="F152" s="34"/>
      <c r="G152" s="34"/>
      <c r="H152" s="20" t="str">
        <f>+T152</f>
        <v/>
      </c>
      <c r="I152" s="34"/>
      <c r="J152" s="38"/>
      <c r="K152" s="22" t="str">
        <f>IF(I152="","",IF(I152="ENTRADA",ABS(J152),-ABS(J152)))</f>
        <v/>
      </c>
      <c r="L152" s="34"/>
      <c r="M152" s="34"/>
      <c r="N152" s="34"/>
      <c r="O152" s="34"/>
      <c r="P152" s="34"/>
      <c r="Q152" s="34"/>
      <c r="R152" s="22" t="str">
        <f>IF(H152="","",H152&amp;I152)</f>
        <v/>
      </c>
      <c r="S152" s="22" t="str">
        <f>IF(C152="","",C152&amp;I152)</f>
        <v/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330</v>
      </c>
      <c r="B153" s="34"/>
      <c r="C153" s="34"/>
      <c r="D153" s="34"/>
      <c r="E153" s="34"/>
      <c r="F153" s="34"/>
      <c r="G153" s="34"/>
      <c r="H153" s="20" t="str">
        <f>+T153</f>
        <v/>
      </c>
      <c r="I153" s="34"/>
      <c r="J153" s="38"/>
      <c r="K153" s="22" t="str">
        <f>IF(I153="","",IF(I153="ENTRADA",ABS(J153),-ABS(J153)))</f>
        <v/>
      </c>
      <c r="L153" s="34"/>
      <c r="M153" s="34"/>
      <c r="N153" s="34"/>
      <c r="O153" s="34"/>
      <c r="P153" s="34"/>
      <c r="Q153" s="34"/>
      <c r="R153" s="22" t="str">
        <f>IF(H153="","",H153&amp;I153)</f>
        <v/>
      </c>
      <c r="S153" s="22" t="str">
        <f>IF(C153="","",C153&amp;I153)</f>
        <v/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331</v>
      </c>
      <c r="B154" s="34"/>
      <c r="C154" s="34"/>
      <c r="D154" s="34"/>
      <c r="E154" s="34"/>
      <c r="F154" s="34"/>
      <c r="G154" s="34"/>
      <c r="H154" s="20" t="str">
        <f>+T154</f>
        <v/>
      </c>
      <c r="I154" s="34"/>
      <c r="J154" s="38"/>
      <c r="K154" s="22" t="str">
        <f>IF(I154="","",IF(I154="ENTRADA",ABS(J154),-ABS(J154)))</f>
        <v/>
      </c>
      <c r="L154" s="34"/>
      <c r="M154" s="34"/>
      <c r="N154" s="34"/>
      <c r="O154" s="34"/>
      <c r="P154" s="34"/>
      <c r="Q154" s="34"/>
      <c r="R154" s="22" t="str">
        <f>IF(H154="","",H154&amp;I154)</f>
        <v/>
      </c>
      <c r="S154" s="22" t="str">
        <f>IF(C154="","",C154&amp;I154)</f>
        <v/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332</v>
      </c>
      <c r="B155" s="34"/>
      <c r="C155" s="34"/>
      <c r="D155" s="34"/>
      <c r="E155" s="34"/>
      <c r="F155" s="34"/>
      <c r="G155" s="34"/>
      <c r="H155" s="20" t="str">
        <f>+T155</f>
        <v/>
      </c>
      <c r="I155" s="34"/>
      <c r="J155" s="38"/>
      <c r="K155" s="22" t="str">
        <f>IF(I155="","",IF(I155="ENTRADA",ABS(J155),-ABS(J155)))</f>
        <v/>
      </c>
      <c r="L155" s="34"/>
      <c r="M155" s="34"/>
      <c r="N155" s="34"/>
      <c r="O155" s="34"/>
      <c r="P155" s="34"/>
      <c r="Q155" s="34"/>
      <c r="R155" s="22" t="str">
        <f>IF(H155="","",H155&amp;I155)</f>
        <v/>
      </c>
      <c r="S155" s="22" t="str">
        <f>IF(C155="","",C155&amp;I155)</f>
        <v/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333</v>
      </c>
      <c r="B156" s="34"/>
      <c r="C156" s="34"/>
      <c r="D156" s="34"/>
      <c r="E156" s="34"/>
      <c r="F156" s="34"/>
      <c r="G156" s="34"/>
      <c r="H156" s="20" t="str">
        <f>+T156</f>
        <v/>
      </c>
      <c r="I156" s="34"/>
      <c r="J156" s="38"/>
      <c r="K156" s="22" t="str">
        <f>IF(I156="","",IF(I156="ENTRADA",ABS(J156),-ABS(J156)))</f>
        <v/>
      </c>
      <c r="L156" s="34"/>
      <c r="M156" s="34"/>
      <c r="N156" s="34"/>
      <c r="O156" s="34"/>
      <c r="P156" s="34"/>
      <c r="Q156" s="34"/>
      <c r="R156" s="22" t="str">
        <f>IF(H156="","",H156&amp;I156)</f>
        <v/>
      </c>
      <c r="S156" s="22" t="str">
        <f>IF(C156="","",C156&amp;I156)</f>
        <v/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334</v>
      </c>
      <c r="B157" s="34"/>
      <c r="C157" s="34"/>
      <c r="D157" s="34"/>
      <c r="E157" s="34"/>
      <c r="F157" s="34"/>
      <c r="G157" s="34"/>
      <c r="H157" s="20" t="str">
        <f>+T157</f>
        <v/>
      </c>
      <c r="I157" s="34"/>
      <c r="J157" s="38"/>
      <c r="K157" s="22" t="str">
        <f>IF(I157="","",IF(I157="ENTRADA",ABS(J157),-ABS(J157)))</f>
        <v/>
      </c>
      <c r="L157" s="34"/>
      <c r="M157" s="34"/>
      <c r="N157" s="34"/>
      <c r="O157" s="34"/>
      <c r="P157" s="34"/>
      <c r="Q157" s="34"/>
      <c r="R157" s="22" t="str">
        <f>IF(H157="","",H157&amp;I157)</f>
        <v/>
      </c>
      <c r="S157" s="22" t="str">
        <f>IF(C157="","",C157&amp;I157)</f>
        <v/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335</v>
      </c>
      <c r="B158" s="34"/>
      <c r="C158" s="34"/>
      <c r="D158" s="34"/>
      <c r="E158" s="34"/>
      <c r="F158" s="34"/>
      <c r="G158" s="34"/>
      <c r="H158" s="20" t="str">
        <f>+T158</f>
        <v/>
      </c>
      <c r="I158" s="34"/>
      <c r="J158" s="38"/>
      <c r="K158" s="22" t="str">
        <f>IF(I158="","",IF(I158="ENTRADA",ABS(J158),-ABS(J158)))</f>
        <v/>
      </c>
      <c r="L158" s="34"/>
      <c r="M158" s="34"/>
      <c r="N158" s="34"/>
      <c r="O158" s="34"/>
      <c r="P158" s="34"/>
      <c r="Q158" s="34"/>
      <c r="R158" s="22" t="str">
        <f>IF(H158="","",H158&amp;I158)</f>
        <v/>
      </c>
      <c r="S158" s="22" t="str">
        <f>IF(C158="","",C158&amp;I158)</f>
        <v/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336</v>
      </c>
      <c r="B159" s="34"/>
      <c r="C159" s="34"/>
      <c r="D159" s="34"/>
      <c r="E159" s="34"/>
      <c r="F159" s="34"/>
      <c r="G159" s="34"/>
      <c r="H159" s="20" t="str">
        <f>+T159</f>
        <v/>
      </c>
      <c r="I159" s="34"/>
      <c r="J159" s="38"/>
      <c r="K159" s="22" t="str">
        <f>IF(I159="","",IF(I159="ENTRADA",ABS(J159),-ABS(J159)))</f>
        <v/>
      </c>
      <c r="L159" s="34"/>
      <c r="M159" s="34"/>
      <c r="N159" s="34"/>
      <c r="O159" s="34"/>
      <c r="P159" s="34"/>
      <c r="Q159" s="34"/>
      <c r="R159" s="22" t="str">
        <f>IF(H159="","",H159&amp;I159)</f>
        <v/>
      </c>
      <c r="S159" s="22" t="str">
        <f>IF(C159="","",C159&amp;I159)</f>
        <v/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337</v>
      </c>
      <c r="B160" s="34"/>
      <c r="C160" s="34"/>
      <c r="D160" s="34"/>
      <c r="E160" s="34"/>
      <c r="F160" s="34"/>
      <c r="G160" s="34"/>
      <c r="H160" s="20" t="str">
        <f>+T160</f>
        <v/>
      </c>
      <c r="I160" s="34"/>
      <c r="J160" s="38"/>
      <c r="K160" s="22" t="str">
        <f>IF(I160="","",IF(I160="ENTRADA",ABS(J160),-ABS(J160)))</f>
        <v/>
      </c>
      <c r="L160" s="34"/>
      <c r="M160" s="34"/>
      <c r="N160" s="34"/>
      <c r="O160" s="34"/>
      <c r="P160" s="34"/>
      <c r="Q160" s="34"/>
      <c r="R160" s="22" t="str">
        <f>IF(H160="","",H160&amp;I160)</f>
        <v/>
      </c>
      <c r="S160" s="22" t="str">
        <f>IF(C160="","",C160&amp;I160)</f>
        <v/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338</v>
      </c>
      <c r="B161" s="34"/>
      <c r="C161" s="34"/>
      <c r="D161" s="34"/>
      <c r="E161" s="34"/>
      <c r="F161" s="34"/>
      <c r="G161" s="34"/>
      <c r="H161" s="20" t="str">
        <f>+T161</f>
        <v/>
      </c>
      <c r="I161" s="34"/>
      <c r="J161" s="38"/>
      <c r="K161" s="22" t="str">
        <f>IF(I161="","",IF(I161="ENTRADA",ABS(J161),-ABS(J161)))</f>
        <v/>
      </c>
      <c r="L161" s="34"/>
      <c r="M161" s="34"/>
      <c r="N161" s="34"/>
      <c r="O161" s="34"/>
      <c r="P161" s="34"/>
      <c r="Q161" s="34"/>
      <c r="R161" s="22" t="str">
        <f>IF(H161="","",H161&amp;I161)</f>
        <v/>
      </c>
      <c r="S161" s="22" t="str">
        <f>IF(C161="","",C161&amp;I161)</f>
        <v/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339</v>
      </c>
      <c r="B162" s="34"/>
      <c r="C162" s="34"/>
      <c r="D162" s="34"/>
      <c r="E162" s="34"/>
      <c r="F162" s="34"/>
      <c r="G162" s="34"/>
      <c r="H162" s="20" t="str">
        <f>+T162</f>
        <v/>
      </c>
      <c r="I162" s="34"/>
      <c r="J162" s="38"/>
      <c r="K162" s="22" t="str">
        <f>IF(I162="","",IF(I162="ENTRADA",ABS(J162),-ABS(J162)))</f>
        <v/>
      </c>
      <c r="L162" s="34"/>
      <c r="M162" s="34"/>
      <c r="N162" s="34"/>
      <c r="O162" s="34"/>
      <c r="P162" s="34"/>
      <c r="Q162" s="34"/>
      <c r="R162" s="22" t="str">
        <f>IF(H162="","",H162&amp;I162)</f>
        <v/>
      </c>
      <c r="S162" s="22" t="str">
        <f>IF(C162="","",C162&amp;I162)</f>
        <v/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340</v>
      </c>
      <c r="B163" s="34"/>
      <c r="C163" s="34"/>
      <c r="D163" s="34"/>
      <c r="E163" s="34"/>
      <c r="F163" s="34"/>
      <c r="G163" s="34"/>
      <c r="H163" s="20" t="str">
        <f>+T163</f>
        <v/>
      </c>
      <c r="I163" s="34"/>
      <c r="J163" s="38"/>
      <c r="K163" s="22" t="str">
        <f>IF(I163="","",IF(I163="ENTRADA",ABS(J163),-ABS(J163)))</f>
        <v/>
      </c>
      <c r="L163" s="34"/>
      <c r="M163" s="34"/>
      <c r="N163" s="34"/>
      <c r="O163" s="34"/>
      <c r="P163" s="34"/>
      <c r="Q163" s="34"/>
      <c r="R163" s="22" t="str">
        <f>IF(H163="","",H163&amp;I163)</f>
        <v/>
      </c>
      <c r="S163" s="22" t="str">
        <f>IF(C163="","",C163&amp;I163)</f>
        <v/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341</v>
      </c>
      <c r="B164" s="34"/>
      <c r="C164" s="34"/>
      <c r="D164" s="34"/>
      <c r="E164" s="34"/>
      <c r="F164" s="34"/>
      <c r="G164" s="34"/>
      <c r="H164" s="20" t="str">
        <f>+T164</f>
        <v/>
      </c>
      <c r="I164" s="34"/>
      <c r="J164" s="38"/>
      <c r="K164" s="22" t="str">
        <f>IF(I164="","",IF(I164="ENTRADA",ABS(J164),-ABS(J164)))</f>
        <v/>
      </c>
      <c r="L164" s="34"/>
      <c r="M164" s="34"/>
      <c r="N164" s="34"/>
      <c r="O164" s="34"/>
      <c r="P164" s="34"/>
      <c r="Q164" s="34"/>
      <c r="R164" s="22" t="str">
        <f>IF(H164="","",H164&amp;I164)</f>
        <v/>
      </c>
      <c r="S164" s="22" t="str">
        <f>IF(C164="","",C164&amp;I164)</f>
        <v/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342</v>
      </c>
      <c r="B165" s="34"/>
      <c r="C165" s="34"/>
      <c r="D165" s="34"/>
      <c r="E165" s="34"/>
      <c r="F165" s="34"/>
      <c r="G165" s="34"/>
      <c r="H165" s="20" t="str">
        <f>+T165</f>
        <v/>
      </c>
      <c r="I165" s="34"/>
      <c r="J165" s="38"/>
      <c r="K165" s="22" t="str">
        <f>IF(I165="","",IF(I165="ENTRADA",ABS(J165),-ABS(J165)))</f>
        <v/>
      </c>
      <c r="L165" s="34"/>
      <c r="M165" s="34"/>
      <c r="N165" s="34"/>
      <c r="O165" s="34"/>
      <c r="P165" s="34"/>
      <c r="Q165" s="34"/>
      <c r="R165" s="22" t="str">
        <f>IF(H165="","",H165&amp;I165)</f>
        <v/>
      </c>
      <c r="S165" s="22" t="str">
        <f>IF(C165="","",C165&amp;I165)</f>
        <v/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343</v>
      </c>
      <c r="B166" s="34"/>
      <c r="C166" s="34"/>
      <c r="D166" s="34"/>
      <c r="E166" s="34"/>
      <c r="F166" s="34"/>
      <c r="G166" s="34"/>
      <c r="H166" s="20" t="str">
        <f>+T166</f>
        <v/>
      </c>
      <c r="I166" s="34"/>
      <c r="J166" s="38"/>
      <c r="K166" s="22" t="str">
        <f>IF(I166="","",IF(I166="ENTRADA",ABS(J166),-ABS(J166)))</f>
        <v/>
      </c>
      <c r="L166" s="34"/>
      <c r="M166" s="34"/>
      <c r="N166" s="34"/>
      <c r="O166" s="34"/>
      <c r="P166" s="34"/>
      <c r="Q166" s="34"/>
      <c r="R166" s="22" t="str">
        <f>IF(H166="","",H166&amp;I166)</f>
        <v/>
      </c>
      <c r="S166" s="22" t="str">
        <f>IF(C166="","",C166&amp;I166)</f>
        <v/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344</v>
      </c>
      <c r="B167" s="34"/>
      <c r="C167" s="34"/>
      <c r="D167" s="34"/>
      <c r="E167" s="34"/>
      <c r="F167" s="34"/>
      <c r="G167" s="34"/>
      <c r="H167" s="20" t="str">
        <f>+T167</f>
        <v/>
      </c>
      <c r="I167" s="34"/>
      <c r="J167" s="38"/>
      <c r="K167" s="22" t="str">
        <f>IF(I167="","",IF(I167="ENTRADA",ABS(J167),-ABS(J167)))</f>
        <v/>
      </c>
      <c r="L167" s="34"/>
      <c r="M167" s="34"/>
      <c r="N167" s="34"/>
      <c r="O167" s="34"/>
      <c r="P167" s="34"/>
      <c r="Q167" s="34"/>
      <c r="R167" s="22" t="str">
        <f>IF(H167="","",H167&amp;I167)</f>
        <v/>
      </c>
      <c r="S167" s="22" t="str">
        <f>IF(C167="","",C167&amp;I167)</f>
        <v/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345</v>
      </c>
      <c r="B168" s="4"/>
      <c r="C168" s="4"/>
      <c r="D168" s="4"/>
      <c r="E168" s="4"/>
      <c r="F168" s="4"/>
      <c r="G168" s="4"/>
      <c r="H168" s="20" t="str">
        <f>+T168</f>
        <v/>
      </c>
      <c r="I168" s="4"/>
      <c r="J168" s="31"/>
      <c r="K168" s="22" t="str">
        <f>IF(I168="","",IF(I168="ENTRADA",ABS(J168),-ABS(J168)))</f>
        <v/>
      </c>
      <c r="L168" s="4"/>
      <c r="M168" s="4"/>
      <c r="N168" s="4"/>
      <c r="O168" s="4"/>
      <c r="P168" s="4"/>
      <c r="Q168" s="21"/>
      <c r="R168" s="22" t="str">
        <f>IF(H168="","",H168&amp;I168)</f>
        <v/>
      </c>
      <c r="S168" s="22" t="str">
        <f>IF(C168="","",C168&amp;I168)</f>
        <v/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346</v>
      </c>
      <c r="B169" s="34"/>
      <c r="C169" s="34"/>
      <c r="D169" s="34"/>
      <c r="E169" s="34"/>
      <c r="F169" s="34"/>
      <c r="G169" s="34"/>
      <c r="H169" s="20" t="str">
        <f>+T169</f>
        <v/>
      </c>
      <c r="I169" s="34"/>
      <c r="J169" s="38"/>
      <c r="K169" s="22" t="str">
        <f>IF(I169="","",IF(I169="ENTRADA",ABS(J169),-ABS(J169)))</f>
        <v/>
      </c>
      <c r="L169" s="34"/>
      <c r="M169" s="34"/>
      <c r="N169" s="34"/>
      <c r="O169" s="34"/>
      <c r="P169" s="34"/>
      <c r="Q169" s="34"/>
      <c r="R169" s="22" t="str">
        <f>IF(H169="","",H169&amp;I169)</f>
        <v/>
      </c>
      <c r="S169" s="22" t="str">
        <f>IF(C169="","",C169&amp;I169)</f>
        <v/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347</v>
      </c>
      <c r="B170" s="34"/>
      <c r="C170" s="34"/>
      <c r="D170" s="34"/>
      <c r="E170" s="34"/>
      <c r="F170" s="34"/>
      <c r="G170" s="34"/>
      <c r="H170" s="20" t="str">
        <f>+T170</f>
        <v/>
      </c>
      <c r="I170" s="34"/>
      <c r="J170" s="38"/>
      <c r="K170" s="22" t="str">
        <f>IF(I170="","",IF(I170="ENTRADA",ABS(J170),-ABS(J170)))</f>
        <v/>
      </c>
      <c r="L170" s="34"/>
      <c r="M170" s="34"/>
      <c r="N170" s="34"/>
      <c r="O170" s="34"/>
      <c r="P170" s="34"/>
      <c r="Q170" s="34"/>
      <c r="R170" s="22" t="str">
        <f>IF(H170="","",H170&amp;I170)</f>
        <v/>
      </c>
      <c r="S170" s="22" t="str">
        <f>IF(C170="","",C170&amp;I170)</f>
        <v/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348</v>
      </c>
      <c r="B171" s="34"/>
      <c r="C171" s="34"/>
      <c r="D171" s="34"/>
      <c r="E171" s="34"/>
      <c r="F171" s="34"/>
      <c r="G171" s="34"/>
      <c r="H171" s="20" t="str">
        <f>+T171</f>
        <v/>
      </c>
      <c r="I171" s="34"/>
      <c r="J171" s="38"/>
      <c r="K171" s="22" t="str">
        <f>IF(I171="","",IF(I171="ENTRADA",ABS(J171),-ABS(J171)))</f>
        <v/>
      </c>
      <c r="L171" s="34"/>
      <c r="M171" s="34"/>
      <c r="N171" s="34"/>
      <c r="O171" s="34"/>
      <c r="P171" s="34"/>
      <c r="Q171" s="34"/>
      <c r="R171" s="22" t="str">
        <f>IF(H171="","",H171&amp;I171)</f>
        <v/>
      </c>
      <c r="S171" s="22" t="str">
        <f>IF(C171="","",C171&amp;I171)</f>
        <v/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349</v>
      </c>
      <c r="B172" s="34"/>
      <c r="C172" s="34"/>
      <c r="D172" s="34"/>
      <c r="E172" s="34"/>
      <c r="F172" s="34"/>
      <c r="G172" s="34"/>
      <c r="H172" s="20" t="str">
        <f>+T172</f>
        <v/>
      </c>
      <c r="I172" s="34"/>
      <c r="J172" s="38"/>
      <c r="K172" s="22" t="str">
        <f>IF(I172="","",IF(I172="ENTRADA",ABS(J172),-ABS(J172)))</f>
        <v/>
      </c>
      <c r="L172" s="34"/>
      <c r="M172" s="34"/>
      <c r="N172" s="34"/>
      <c r="O172" s="34"/>
      <c r="P172" s="34"/>
      <c r="Q172" s="34"/>
      <c r="R172" s="22" t="str">
        <f>IF(H172="","",H172&amp;I172)</f>
        <v/>
      </c>
      <c r="S172" s="22" t="str">
        <f>IF(C172="","",C172&amp;I172)</f>
        <v/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350</v>
      </c>
      <c r="B173" s="34"/>
      <c r="C173" s="34"/>
      <c r="D173" s="34"/>
      <c r="E173" s="34"/>
      <c r="F173" s="34"/>
      <c r="G173" s="34"/>
      <c r="H173" s="20" t="str">
        <f>+T173</f>
        <v/>
      </c>
      <c r="I173" s="34"/>
      <c r="J173" s="38"/>
      <c r="K173" s="22" t="str">
        <f>IF(I173="","",IF(I173="ENTRADA",ABS(J173),-ABS(J173)))</f>
        <v/>
      </c>
      <c r="L173" s="34"/>
      <c r="M173" s="34"/>
      <c r="N173" s="34"/>
      <c r="O173" s="34"/>
      <c r="P173" s="34"/>
      <c r="Q173" s="34"/>
      <c r="R173" s="22" t="str">
        <f>IF(H173="","",H173&amp;I173)</f>
        <v/>
      </c>
      <c r="S173" s="22" t="str">
        <f>IF(C173="","",C173&amp;I173)</f>
        <v/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351</v>
      </c>
      <c r="B174" s="34"/>
      <c r="C174" s="34"/>
      <c r="D174" s="34"/>
      <c r="E174" s="34"/>
      <c r="F174" s="34"/>
      <c r="G174" s="34"/>
      <c r="H174" s="20" t="str">
        <f>+T174</f>
        <v/>
      </c>
      <c r="I174" s="34"/>
      <c r="J174" s="38"/>
      <c r="K174" s="22" t="str">
        <f>IF(I174="","",IF(I174="ENTRADA",ABS(J174),-ABS(J174)))</f>
        <v/>
      </c>
      <c r="L174" s="34"/>
      <c r="M174" s="34"/>
      <c r="N174" s="34"/>
      <c r="O174" s="34"/>
      <c r="P174" s="34"/>
      <c r="Q174" s="34"/>
      <c r="R174" s="22" t="str">
        <f>IF(H174="","",H174&amp;I174)</f>
        <v/>
      </c>
      <c r="S174" s="22" t="str">
        <f>IF(C174="","",C174&amp;I174)</f>
        <v/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352</v>
      </c>
      <c r="B175" s="34"/>
      <c r="C175" s="34"/>
      <c r="D175" s="34"/>
      <c r="E175" s="34"/>
      <c r="F175" s="34"/>
      <c r="G175" s="34"/>
      <c r="H175" s="20" t="str">
        <f>+T175</f>
        <v/>
      </c>
      <c r="I175" s="34"/>
      <c r="J175" s="38"/>
      <c r="K175" s="22" t="str">
        <f>IF(I175="","",IF(I175="ENTRADA",ABS(J175),-ABS(J175)))</f>
        <v/>
      </c>
      <c r="L175" s="34"/>
      <c r="M175" s="34"/>
      <c r="N175" s="34"/>
      <c r="O175" s="34"/>
      <c r="P175" s="34"/>
      <c r="Q175" s="34"/>
      <c r="R175" s="22" t="str">
        <f>IF(H175="","",H175&amp;I175)</f>
        <v/>
      </c>
      <c r="S175" s="22" t="str">
        <f>IF(C175="","",C175&amp;I175)</f>
        <v/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353</v>
      </c>
      <c r="B176" s="34"/>
      <c r="C176" s="34"/>
      <c r="D176" s="34"/>
      <c r="E176" s="34"/>
      <c r="F176" s="34"/>
      <c r="G176" s="34"/>
      <c r="H176" s="20" t="str">
        <f>+T176</f>
        <v/>
      </c>
      <c r="I176" s="34"/>
      <c r="J176" s="38"/>
      <c r="K176" s="22" t="str">
        <f>IF(I176="","",IF(I176="ENTRADA",ABS(J176),-ABS(J176)))</f>
        <v/>
      </c>
      <c r="L176" s="34"/>
      <c r="M176" s="34"/>
      <c r="N176" s="34"/>
      <c r="O176" s="34"/>
      <c r="P176" s="34"/>
      <c r="Q176" s="34"/>
      <c r="R176" s="22" t="str">
        <f>IF(H176="","",H176&amp;I176)</f>
        <v/>
      </c>
      <c r="S176" s="22" t="str">
        <f>IF(C176="","",C176&amp;I176)</f>
        <v/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354</v>
      </c>
      <c r="B177" s="34"/>
      <c r="C177" s="34"/>
      <c r="D177" s="34"/>
      <c r="E177" s="34"/>
      <c r="F177" s="34"/>
      <c r="G177" s="34"/>
      <c r="H177" s="20" t="str">
        <f>+T177</f>
        <v/>
      </c>
      <c r="I177" s="34"/>
      <c r="J177" s="38"/>
      <c r="K177" s="22" t="str">
        <f>IF(I177="","",IF(I177="ENTRADA",ABS(J177),-ABS(J177)))</f>
        <v/>
      </c>
      <c r="L177" s="34"/>
      <c r="M177" s="34"/>
      <c r="N177" s="34"/>
      <c r="O177" s="34"/>
      <c r="P177" s="34"/>
      <c r="Q177" s="34"/>
      <c r="R177" s="22" t="str">
        <f>IF(H177="","",H177&amp;I177)</f>
        <v/>
      </c>
      <c r="S177" s="22" t="str">
        <f>IF(C177="","",C177&amp;I177)</f>
        <v/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355</v>
      </c>
      <c r="B178" s="34"/>
      <c r="C178" s="34"/>
      <c r="D178" s="34"/>
      <c r="E178" s="34"/>
      <c r="F178" s="34"/>
      <c r="G178" s="34"/>
      <c r="H178" s="20" t="str">
        <f>+T178</f>
        <v/>
      </c>
      <c r="I178" s="34"/>
      <c r="J178" s="38"/>
      <c r="K178" s="22" t="str">
        <f>IF(I178="","",IF(I178="ENTRADA",ABS(J178),-ABS(J178)))</f>
        <v/>
      </c>
      <c r="L178" s="34"/>
      <c r="M178" s="34"/>
      <c r="N178" s="34"/>
      <c r="O178" s="34"/>
      <c r="P178" s="34"/>
      <c r="Q178" s="34"/>
      <c r="R178" s="22" t="str">
        <f>IF(H178="","",H178&amp;I178)</f>
        <v/>
      </c>
      <c r="S178" s="22" t="str">
        <f>IF(C178="","",C178&amp;I178)</f>
        <v/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356</v>
      </c>
      <c r="B179" s="4"/>
      <c r="C179" s="4"/>
      <c r="D179" s="4"/>
      <c r="E179" s="4"/>
      <c r="F179" s="4"/>
      <c r="G179" s="4"/>
      <c r="H179" s="20" t="str">
        <f>+T179</f>
        <v/>
      </c>
      <c r="I179" s="4"/>
      <c r="J179" s="31"/>
      <c r="K179" s="22" t="str">
        <f>IF(I179="","",IF(I179="ENTRADA",ABS(J179),-ABS(J179)))</f>
        <v/>
      </c>
      <c r="L179" s="4"/>
      <c r="M179" s="4"/>
      <c r="N179" s="4"/>
      <c r="O179" s="4"/>
      <c r="P179" s="4"/>
      <c r="Q179" s="21"/>
      <c r="R179" s="22" t="str">
        <f>IF(H179="","",H179&amp;I179)</f>
        <v/>
      </c>
      <c r="S179" s="22" t="str">
        <f>IF(C179="","",C179&amp;I179)</f>
        <v/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357</v>
      </c>
      <c r="B180" s="34"/>
      <c r="C180" s="34"/>
      <c r="D180" s="34"/>
      <c r="E180" s="34"/>
      <c r="F180" s="34"/>
      <c r="G180" s="34"/>
      <c r="H180" s="20" t="str">
        <f>+T180</f>
        <v/>
      </c>
      <c r="I180" s="34"/>
      <c r="J180" s="38"/>
      <c r="K180" s="22" t="str">
        <f>IF(I180="","",IF(I180="ENTRADA",ABS(J180),-ABS(J180)))</f>
        <v/>
      </c>
      <c r="L180" s="34"/>
      <c r="M180" s="34"/>
      <c r="N180" s="34"/>
      <c r="O180" s="34"/>
      <c r="P180" s="34"/>
      <c r="Q180" s="34"/>
      <c r="R180" s="22" t="str">
        <f>IF(H180="","",H180&amp;I180)</f>
        <v/>
      </c>
      <c r="S180" s="22" t="str">
        <f>IF(C180="","",C180&amp;I180)</f>
        <v/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358</v>
      </c>
      <c r="B181" s="34"/>
      <c r="C181" s="34"/>
      <c r="D181" s="34"/>
      <c r="E181" s="34"/>
      <c r="F181" s="34"/>
      <c r="G181" s="34"/>
      <c r="H181" s="20" t="str">
        <f>+T181</f>
        <v/>
      </c>
      <c r="I181" s="34"/>
      <c r="J181" s="38"/>
      <c r="K181" s="22" t="str">
        <f>IF(I181="","",IF(I181="ENTRADA",ABS(J181),-ABS(J181)))</f>
        <v/>
      </c>
      <c r="L181" s="34"/>
      <c r="M181" s="34"/>
      <c r="N181" s="34"/>
      <c r="O181" s="34"/>
      <c r="P181" s="34"/>
      <c r="Q181" s="34"/>
      <c r="R181" s="22" t="str">
        <f>IF(H181="","",H181&amp;I181)</f>
        <v/>
      </c>
      <c r="S181" s="22" t="str">
        <f>IF(C181="","",C181&amp;I181)</f>
        <v/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359</v>
      </c>
      <c r="B182" s="34"/>
      <c r="C182" s="34"/>
      <c r="D182" s="34"/>
      <c r="E182" s="34"/>
      <c r="F182" s="34"/>
      <c r="G182" s="34"/>
      <c r="H182" s="20" t="str">
        <f>+T182</f>
        <v/>
      </c>
      <c r="I182" s="34"/>
      <c r="J182" s="38"/>
      <c r="K182" s="22" t="str">
        <f>IF(I182="","",IF(I182="ENTRADA",ABS(J182),-ABS(J182)))</f>
        <v/>
      </c>
      <c r="L182" s="34"/>
      <c r="M182" s="34"/>
      <c r="N182" s="34"/>
      <c r="O182" s="34"/>
      <c r="P182" s="34"/>
      <c r="Q182" s="34"/>
      <c r="R182" s="22" t="str">
        <f>IF(H182="","",H182&amp;I182)</f>
        <v/>
      </c>
      <c r="S182" s="22" t="str">
        <f>IF(C182="","",C182&amp;I182)</f>
        <v/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360</v>
      </c>
      <c r="B183" s="34"/>
      <c r="C183" s="34"/>
      <c r="D183" s="34"/>
      <c r="E183" s="34"/>
      <c r="F183" s="34"/>
      <c r="G183" s="34"/>
      <c r="H183" s="20" t="str">
        <f>+T183</f>
        <v/>
      </c>
      <c r="I183" s="34"/>
      <c r="J183" s="38"/>
      <c r="K183" s="22" t="str">
        <f>IF(I183="","",IF(I183="ENTRADA",ABS(J183),-ABS(J183)))</f>
        <v/>
      </c>
      <c r="L183" s="34"/>
      <c r="M183" s="34"/>
      <c r="N183" s="34"/>
      <c r="O183" s="34"/>
      <c r="P183" s="34"/>
      <c r="Q183" s="34"/>
      <c r="R183" s="22" t="str">
        <f>IF(H183="","",H183&amp;I183)</f>
        <v/>
      </c>
      <c r="S183" s="22" t="str">
        <f>IF(C183="","",C183&amp;I183)</f>
        <v/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361</v>
      </c>
      <c r="B184" s="34"/>
      <c r="C184" s="34"/>
      <c r="D184" s="34"/>
      <c r="E184" s="34"/>
      <c r="F184" s="34"/>
      <c r="G184" s="34"/>
      <c r="H184" s="20" t="str">
        <f>+T184</f>
        <v/>
      </c>
      <c r="I184" s="34"/>
      <c r="J184" s="38"/>
      <c r="K184" s="22" t="str">
        <f>IF(I184="","",IF(I184="ENTRADA",ABS(J184),-ABS(J184)))</f>
        <v/>
      </c>
      <c r="L184" s="34"/>
      <c r="M184" s="34"/>
      <c r="N184" s="34"/>
      <c r="O184" s="34"/>
      <c r="P184" s="34"/>
      <c r="Q184" s="34"/>
      <c r="R184" s="22" t="str">
        <f>IF(H184="","",H184&amp;I184)</f>
        <v/>
      </c>
      <c r="S184" s="22" t="str">
        <f>IF(C184="","",C184&amp;I184)</f>
        <v/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362</v>
      </c>
      <c r="B185" s="34"/>
      <c r="C185" s="34"/>
      <c r="D185" s="34"/>
      <c r="E185" s="34"/>
      <c r="F185" s="34"/>
      <c r="G185" s="34"/>
      <c r="H185" s="20" t="str">
        <f>+T185</f>
        <v/>
      </c>
      <c r="I185" s="34"/>
      <c r="J185" s="38"/>
      <c r="K185" s="22" t="str">
        <f>IF(I185="","",IF(I185="ENTRADA",ABS(J185),-ABS(J185)))</f>
        <v/>
      </c>
      <c r="L185" s="34"/>
      <c r="M185" s="34"/>
      <c r="N185" s="34"/>
      <c r="O185" s="34"/>
      <c r="P185" s="34"/>
      <c r="Q185" s="34"/>
      <c r="R185" s="22" t="str">
        <f>IF(H185="","",H185&amp;I185)</f>
        <v/>
      </c>
      <c r="S185" s="22" t="str">
        <f>IF(C185="","",C185&amp;I185)</f>
        <v/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363</v>
      </c>
      <c r="B186" s="34"/>
      <c r="C186" s="34"/>
      <c r="D186" s="34"/>
      <c r="E186" s="34"/>
      <c r="F186" s="34"/>
      <c r="G186" s="34"/>
      <c r="H186" s="20" t="str">
        <f>+T186</f>
        <v/>
      </c>
      <c r="I186" s="34"/>
      <c r="J186" s="38"/>
      <c r="K186" s="22" t="str">
        <f>IF(I186="","",IF(I186="ENTRADA",ABS(J186),-ABS(J186)))</f>
        <v/>
      </c>
      <c r="L186" s="34"/>
      <c r="M186" s="34"/>
      <c r="N186" s="34"/>
      <c r="O186" s="34"/>
      <c r="P186" s="34"/>
      <c r="Q186" s="34"/>
      <c r="R186" s="22" t="str">
        <f>IF(H186="","",H186&amp;I186)</f>
        <v/>
      </c>
      <c r="S186" s="22" t="str">
        <f>IF(C186="","",C186&amp;I186)</f>
        <v/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364</v>
      </c>
      <c r="B187" s="34"/>
      <c r="C187" s="34"/>
      <c r="D187" s="34"/>
      <c r="E187" s="34"/>
      <c r="F187" s="34"/>
      <c r="G187" s="34"/>
      <c r="H187" s="20" t="str">
        <f>+T187</f>
        <v/>
      </c>
      <c r="I187" s="34"/>
      <c r="J187" s="38"/>
      <c r="K187" s="22" t="str">
        <f>IF(I187="","",IF(I187="ENTRADA",ABS(J187),-ABS(J187)))</f>
        <v/>
      </c>
      <c r="L187" s="34"/>
      <c r="M187" s="34"/>
      <c r="N187" s="34"/>
      <c r="O187" s="34"/>
      <c r="P187" s="34"/>
      <c r="Q187" s="34"/>
      <c r="R187" s="22" t="str">
        <f>IF(H187="","",H187&amp;I187)</f>
        <v/>
      </c>
      <c r="S187" s="22" t="str">
        <f>IF(C187="","",C187&amp;I187)</f>
        <v/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365</v>
      </c>
      <c r="B188" s="34"/>
      <c r="C188" s="34"/>
      <c r="D188" s="34"/>
      <c r="E188" s="34"/>
      <c r="F188" s="34"/>
      <c r="G188" s="34"/>
      <c r="H188" s="20" t="str">
        <f>+T188</f>
        <v/>
      </c>
      <c r="I188" s="34"/>
      <c r="J188" s="38"/>
      <c r="K188" s="22" t="str">
        <f>IF(I188="","",IF(I188="ENTRADA",ABS(J188),-ABS(J188)))</f>
        <v/>
      </c>
      <c r="L188" s="34"/>
      <c r="M188" s="34"/>
      <c r="N188" s="34"/>
      <c r="O188" s="34"/>
      <c r="P188" s="34"/>
      <c r="Q188" s="34"/>
      <c r="R188" s="22" t="str">
        <f>IF(H188="","",H188&amp;I188)</f>
        <v/>
      </c>
      <c r="S188" s="22" t="str">
        <f>IF(C188="","",C188&amp;I188)</f>
        <v/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366</v>
      </c>
      <c r="B189" s="34"/>
      <c r="C189" s="34"/>
      <c r="D189" s="34"/>
      <c r="E189" s="34"/>
      <c r="F189" s="34"/>
      <c r="G189" s="34"/>
      <c r="H189" s="20" t="str">
        <f>+T189</f>
        <v/>
      </c>
      <c r="I189" s="34"/>
      <c r="J189" s="38"/>
      <c r="K189" s="22" t="str">
        <f>IF(I189="","",IF(I189="ENTRADA",ABS(J189),-ABS(J189)))</f>
        <v/>
      </c>
      <c r="L189" s="34"/>
      <c r="M189" s="34"/>
      <c r="N189" s="34"/>
      <c r="O189" s="34"/>
      <c r="P189" s="34"/>
      <c r="Q189" s="34"/>
      <c r="R189" s="22" t="str">
        <f>IF(H189="","",H189&amp;I189)</f>
        <v/>
      </c>
      <c r="S189" s="22" t="str">
        <f>IF(C189="","",C189&amp;I189)</f>
        <v/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367</v>
      </c>
      <c r="B190" s="4"/>
      <c r="C190" s="4"/>
      <c r="D190" s="4"/>
      <c r="E190" s="4"/>
      <c r="F190" s="4"/>
      <c r="G190" s="4"/>
      <c r="H190" s="20" t="str">
        <f>+T190</f>
        <v/>
      </c>
      <c r="I190" s="4"/>
      <c r="J190" s="31"/>
      <c r="K190" s="22" t="str">
        <f>IF(I190="","",IF(I190="ENTRADA",ABS(J190),-ABS(J190)))</f>
        <v/>
      </c>
      <c r="L190" s="4"/>
      <c r="M190" s="4"/>
      <c r="N190" s="4"/>
      <c r="O190" s="4"/>
      <c r="P190" s="4"/>
      <c r="Q190" s="21"/>
      <c r="R190" s="22" t="str">
        <f>IF(H190="","",H190&amp;I190)</f>
        <v/>
      </c>
      <c r="S190" s="22" t="str">
        <f>IF(C190="","",C190&amp;I190)</f>
        <v/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368</v>
      </c>
      <c r="B191" s="34"/>
      <c r="C191" s="34"/>
      <c r="D191" s="34"/>
      <c r="E191" s="34"/>
      <c r="F191" s="34"/>
      <c r="G191" s="34"/>
      <c r="H191" s="20" t="str">
        <f>+T191</f>
        <v/>
      </c>
      <c r="I191" s="34"/>
      <c r="J191" s="38"/>
      <c r="K191" s="22" t="str">
        <f>IF(I191="","",IF(I191="ENTRADA",ABS(J191),-ABS(J191)))</f>
        <v/>
      </c>
      <c r="L191" s="34"/>
      <c r="M191" s="34"/>
      <c r="N191" s="34"/>
      <c r="O191" s="34"/>
      <c r="P191" s="34"/>
      <c r="Q191" s="34"/>
      <c r="R191" s="22" t="str">
        <f>IF(H191="","",H191&amp;I191)</f>
        <v/>
      </c>
      <c r="S191" s="22" t="str">
        <f>IF(C191="","",C191&amp;I191)</f>
        <v/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369</v>
      </c>
      <c r="B192" s="34"/>
      <c r="C192" s="34"/>
      <c r="D192" s="34"/>
      <c r="E192" s="34"/>
      <c r="F192" s="34"/>
      <c r="G192" s="34"/>
      <c r="H192" s="20" t="str">
        <f>+T192</f>
        <v/>
      </c>
      <c r="I192" s="34"/>
      <c r="J192" s="38"/>
      <c r="K192" s="34"/>
      <c r="L192" s="34"/>
      <c r="M192" s="34"/>
      <c r="N192" s="34"/>
      <c r="O192" s="34"/>
      <c r="P192" s="34"/>
      <c r="Q192" s="34"/>
      <c r="R192" s="22" t="str">
        <f>IF(H192="","",H192&amp;I192)</f>
        <v/>
      </c>
      <c r="S192" s="22" t="str">
        <f>IF(C192="","",C192&amp;I192)</f>
        <v/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370</v>
      </c>
      <c r="B193" s="34"/>
      <c r="C193" s="34"/>
      <c r="D193" s="34"/>
      <c r="E193" s="34"/>
      <c r="F193" s="34"/>
      <c r="G193" s="34"/>
      <c r="H193" s="20" t="str">
        <f>+T193</f>
        <v/>
      </c>
      <c r="I193" s="34"/>
      <c r="J193" s="38"/>
      <c r="K193" s="34"/>
      <c r="L193" s="34"/>
      <c r="M193" s="34"/>
      <c r="N193" s="34"/>
      <c r="O193" s="34"/>
      <c r="P193" s="34"/>
      <c r="Q193" s="34"/>
      <c r="R193" s="22" t="str">
        <f>IF(H193="","",H193&amp;I193)</f>
        <v/>
      </c>
      <c r="S193" s="22" t="str">
        <f>IF(C193="","",C193&amp;I193)</f>
        <v/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371</v>
      </c>
      <c r="B194" s="34"/>
      <c r="C194" s="34"/>
      <c r="D194" s="34"/>
      <c r="E194" s="34"/>
      <c r="F194" s="34"/>
      <c r="G194" s="34"/>
      <c r="H194" s="20" t="str">
        <f>+T194</f>
        <v/>
      </c>
      <c r="I194" s="34"/>
      <c r="J194" s="38"/>
      <c r="K194" s="34"/>
      <c r="L194" s="34"/>
      <c r="M194" s="34"/>
      <c r="N194" s="34"/>
      <c r="O194" s="34"/>
      <c r="P194" s="34"/>
      <c r="Q194" s="34"/>
      <c r="R194" s="22" t="str">
        <f>IF(H194="","",H194&amp;I194)</f>
        <v/>
      </c>
      <c r="S194" s="22" t="str">
        <f>IF(C194="","",C194&amp;I194)</f>
        <v/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372</v>
      </c>
      <c r="B195" s="34"/>
      <c r="C195" s="34"/>
      <c r="D195" s="34"/>
      <c r="E195" s="34"/>
      <c r="F195" s="34"/>
      <c r="G195" s="34"/>
      <c r="H195" s="20" t="str">
        <f>+T195</f>
        <v/>
      </c>
      <c r="I195" s="34"/>
      <c r="J195" s="38"/>
      <c r="K195" s="34"/>
      <c r="L195" s="34"/>
      <c r="M195" s="34"/>
      <c r="N195" s="34"/>
      <c r="O195" s="34"/>
      <c r="P195" s="34"/>
      <c r="Q195" s="34"/>
      <c r="R195" s="22" t="str">
        <f>IF(H195="","",H195&amp;I195)</f>
        <v/>
      </c>
      <c r="S195" s="22" t="str">
        <f>IF(C195="","",C195&amp;I195)</f>
        <v/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373</v>
      </c>
      <c r="B196" s="34"/>
      <c r="C196" s="34"/>
      <c r="D196" s="34"/>
      <c r="E196" s="34"/>
      <c r="F196" s="34"/>
      <c r="G196" s="34"/>
      <c r="H196" s="20" t="str">
        <f>+T196</f>
        <v/>
      </c>
      <c r="I196" s="34"/>
      <c r="J196" s="38"/>
      <c r="K196" s="34"/>
      <c r="L196" s="34"/>
      <c r="M196" s="34"/>
      <c r="N196" s="34"/>
      <c r="O196" s="34"/>
      <c r="P196" s="34"/>
      <c r="Q196" s="34"/>
      <c r="R196" s="22" t="str">
        <f>IF(H196="","",H196&amp;I196)</f>
        <v/>
      </c>
      <c r="S196" s="22" t="str">
        <f>IF(C196="","",C196&amp;I196)</f>
        <v/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374</v>
      </c>
      <c r="B197" s="34"/>
      <c r="C197" s="34"/>
      <c r="D197" s="34"/>
      <c r="E197" s="34"/>
      <c r="F197" s="34"/>
      <c r="G197" s="34"/>
      <c r="H197" s="20" t="str">
        <f>+T197</f>
        <v/>
      </c>
      <c r="I197" s="34"/>
      <c r="J197" s="38"/>
      <c r="K197" s="34"/>
      <c r="L197" s="34"/>
      <c r="M197" s="34"/>
      <c r="N197" s="34"/>
      <c r="O197" s="34"/>
      <c r="P197" s="34"/>
      <c r="Q197" s="34"/>
      <c r="R197" s="22" t="str">
        <f>IF(H197="","",H197&amp;I197)</f>
        <v/>
      </c>
      <c r="S197" s="22" t="str">
        <f>IF(C197="","",C197&amp;I197)</f>
        <v/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375</v>
      </c>
      <c r="B198" s="34"/>
      <c r="C198" s="34"/>
      <c r="D198" s="34"/>
      <c r="E198" s="34"/>
      <c r="F198" s="34"/>
      <c r="G198" s="34"/>
      <c r="H198" s="20" t="str">
        <f>+T198</f>
        <v/>
      </c>
      <c r="I198" s="34"/>
      <c r="J198" s="38"/>
      <c r="K198" s="34"/>
      <c r="L198" s="34"/>
      <c r="M198" s="34"/>
      <c r="N198" s="34"/>
      <c r="O198" s="34"/>
      <c r="P198" s="34"/>
      <c r="Q198" s="34"/>
      <c r="R198" s="22" t="str">
        <f>IF(H198="","",H198&amp;I198)</f>
        <v/>
      </c>
      <c r="S198" s="22" t="str">
        <f>IF(C198="","",C198&amp;I198)</f>
        <v/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376</v>
      </c>
      <c r="B199" s="34"/>
      <c r="C199" s="34"/>
      <c r="D199" s="34"/>
      <c r="E199" s="34"/>
      <c r="F199" s="34"/>
      <c r="G199" s="34"/>
      <c r="H199" s="20" t="str">
        <f>+T199</f>
        <v/>
      </c>
      <c r="I199" s="34"/>
      <c r="J199" s="38"/>
      <c r="K199" s="34"/>
      <c r="L199" s="34"/>
      <c r="M199" s="34"/>
      <c r="N199" s="34"/>
      <c r="O199" s="34"/>
      <c r="P199" s="34"/>
      <c r="Q199" s="34"/>
      <c r="R199" s="22" t="str">
        <f>IF(H199="","",H199&amp;I199)</f>
        <v/>
      </c>
      <c r="S199" s="22" t="str">
        <f>IF(C199="","",C199&amp;I199)</f>
        <v/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377</v>
      </c>
      <c r="B200" s="34"/>
      <c r="C200" s="34"/>
      <c r="D200" s="34"/>
      <c r="E200" s="34"/>
      <c r="F200" s="34"/>
      <c r="G200" s="34"/>
      <c r="H200" s="20" t="str">
        <f>+T200</f>
        <v/>
      </c>
      <c r="I200" s="34"/>
      <c r="J200" s="38"/>
      <c r="K200" s="34"/>
      <c r="L200" s="34"/>
      <c r="M200" s="34"/>
      <c r="N200" s="34"/>
      <c r="O200" s="34"/>
      <c r="P200" s="34"/>
      <c r="Q200" s="34"/>
      <c r="R200" s="22" t="str">
        <f>IF(H200="","",H200&amp;I200)</f>
        <v/>
      </c>
      <c r="S200" s="22" t="str">
        <f>IF(C200="","",C200&amp;I200)</f>
        <v/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378</v>
      </c>
      <c r="B201" s="4"/>
      <c r="C201" s="4"/>
      <c r="D201" s="4"/>
      <c r="E201" s="4"/>
      <c r="F201" s="4"/>
      <c r="G201" s="4"/>
      <c r="H201" s="20" t="str">
        <f>+T201</f>
        <v/>
      </c>
      <c r="I201" s="4"/>
      <c r="J201" s="31"/>
      <c r="K201" s="22" t="str">
        <f>IF(I201="","",IF(I201="ENTRADA",ABS(J201),-ABS(J201)))</f>
        <v/>
      </c>
      <c r="L201" s="4"/>
      <c r="M201" s="4"/>
      <c r="N201" s="4"/>
      <c r="O201" s="4"/>
      <c r="P201" s="4"/>
      <c r="Q201" s="21"/>
      <c r="R201" s="22" t="str">
        <f>IF(H201="","",H201&amp;I201)</f>
        <v/>
      </c>
      <c r="S201" s="22" t="str">
        <f>IF(C201="","",C201&amp;I201)</f>
        <v/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379</v>
      </c>
      <c r="H202" s="20" t="str">
        <f>+T202</f>
        <v/>
      </c>
      <c r="J202" s="30"/>
      <c r="K202" s="34"/>
      <c r="Q202" s="34"/>
      <c r="R202" s="22" t="str">
        <f>IF(H202="","",H202&amp;I202)</f>
        <v/>
      </c>
      <c r="S202" s="22" t="str">
        <f>IF(C202="","",C202&amp;I202)</f>
        <v/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380</v>
      </c>
      <c r="H203" s="20" t="str">
        <f>+T203</f>
        <v/>
      </c>
      <c r="J203" s="30"/>
      <c r="K203" s="34"/>
      <c r="Q203" s="34"/>
      <c r="R203" s="22" t="str">
        <f>IF(H203="","",H203&amp;I203)</f>
        <v/>
      </c>
      <c r="S203" s="22" t="str">
        <f>IF(C203="","",C203&amp;I203)</f>
        <v/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381</v>
      </c>
      <c r="H204" s="20" t="str">
        <f>+T204</f>
        <v/>
      </c>
      <c r="J204" s="30"/>
      <c r="K204" s="34"/>
      <c r="Q204" s="34"/>
      <c r="R204" s="22" t="str">
        <f>IF(H204="","",H204&amp;I204)</f>
        <v/>
      </c>
      <c r="S204" s="22" t="str">
        <f>IF(C204="","",C204&amp;I204)</f>
        <v/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382</v>
      </c>
      <c r="H205" s="20" t="str">
        <f>+T205</f>
        <v/>
      </c>
      <c r="J205" s="30"/>
      <c r="K205" s="34"/>
      <c r="Q205" s="34"/>
      <c r="R205" s="22" t="str">
        <f>IF(H205="","",H205&amp;I205)</f>
        <v/>
      </c>
      <c r="S205" s="22" t="str">
        <f>IF(C205="","",C205&amp;I205)</f>
        <v/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383</v>
      </c>
      <c r="H206" s="20" t="str">
        <f>+T206</f>
        <v/>
      </c>
      <c r="J206" s="30"/>
      <c r="K206" s="34"/>
      <c r="Q206" s="34"/>
      <c r="R206" s="22" t="str">
        <f>IF(H206="","",H206&amp;I206)</f>
        <v/>
      </c>
      <c r="S206" s="22" t="str">
        <f>IF(C206="","",C206&amp;I206)</f>
        <v/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384</v>
      </c>
      <c r="H207" s="20" t="str">
        <f>+T207</f>
        <v/>
      </c>
      <c r="J207" s="30"/>
      <c r="K207" s="34"/>
      <c r="Q207" s="34"/>
      <c r="R207" s="22" t="str">
        <f>IF(H207="","",H207&amp;I207)</f>
        <v/>
      </c>
      <c r="S207" s="22" t="str">
        <f>IF(C207="","",C207&amp;I207)</f>
        <v/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385</v>
      </c>
      <c r="H208" s="20" t="str">
        <f>+T208</f>
        <v/>
      </c>
      <c r="J208" s="30"/>
      <c r="K208" s="34"/>
      <c r="Q208" s="34"/>
      <c r="R208" s="22" t="str">
        <f>IF(H208="","",H208&amp;I208)</f>
        <v/>
      </c>
      <c r="S208" s="22" t="str">
        <f>IF(C208="","",C208&amp;I208)</f>
        <v/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386</v>
      </c>
      <c r="H209" s="20" t="str">
        <f>+T209</f>
        <v/>
      </c>
      <c r="J209" s="30"/>
      <c r="K209" s="34"/>
      <c r="Q209" s="34"/>
      <c r="R209" s="22" t="str">
        <f>IF(H209="","",H209&amp;I209)</f>
        <v/>
      </c>
      <c r="S209" s="22" t="str">
        <f>IF(C209="","",C209&amp;I209)</f>
        <v/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387</v>
      </c>
      <c r="H210" s="20" t="str">
        <f>+T210</f>
        <v/>
      </c>
      <c r="J210" s="30"/>
      <c r="K210" s="34"/>
      <c r="Q210" s="34"/>
      <c r="R210" s="22" t="str">
        <f>IF(H210="","",H210&amp;I210)</f>
        <v/>
      </c>
      <c r="S210" s="22" t="str">
        <f>IF(C210="","",C210&amp;I210)</f>
        <v/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388</v>
      </c>
      <c r="H211" s="20" t="str">
        <f>+T211</f>
        <v/>
      </c>
      <c r="J211" s="30"/>
      <c r="K211" s="34"/>
      <c r="Q211" s="34"/>
      <c r="R211" s="22" t="str">
        <f>IF(H211="","",H211&amp;I211)</f>
        <v/>
      </c>
      <c r="S211" s="22" t="str">
        <f>IF(C211="","",C211&amp;I211)</f>
        <v/>
      </c>
      <c r="T211" t="str">
        <f>IF(OR(C211="",I211&lt;&gt;"ENTRADA"),"",TEXT(B211,"AAMMDD")&amp;"-"&amp;TEXT(VALUE(SUBSTITUTE(A211,"MOV-","")),"000"))</f>
        <v/>
      </c>
    </row>
    <row r="212" spans="1:20">
      <c r="A212" s="20" t="s">
        <v>389</v>
      </c>
      <c r="B212" s="35"/>
      <c r="C212" s="35"/>
      <c r="D212" s="35"/>
      <c r="E212" s="35"/>
      <c r="F212" s="35"/>
      <c r="G212" s="35"/>
      <c r="H212" s="20" t="str">
        <f>+T212</f>
        <v/>
      </c>
      <c r="I212" s="35"/>
      <c r="J212" s="37"/>
      <c r="K212" s="22" t="str">
        <f>IF(I212="","",IF(I212="ENTRADA",ABS(J212),-ABS(J212)))</f>
        <v/>
      </c>
      <c r="L212" s="35"/>
      <c r="M212" s="35"/>
      <c r="N212" s="35"/>
      <c r="O212" s="35"/>
      <c r="P212" s="35"/>
      <c r="Q212" s="21"/>
      <c r="R212" s="22" t="str">
        <f>IF(H212="","",H212&amp;I212)</f>
        <v/>
      </c>
      <c r="S212" s="22" t="str">
        <f>IF(C212="","",C212&amp;I212)</f>
        <v/>
      </c>
      <c r="T212" t="str">
        <f>IF(OR(C212="",I212&lt;&gt;"ENTRADA"),"",TEXT(B212,"AAMMDD")&amp;"-"&amp;TEXT(VALUE(SUBSTITUTE(A212,"MOV-","")),"000"))</f>
        <v/>
      </c>
    </row>
    <row r="213" spans="1:20">
      <c r="A213" s="20" t="s">
        <v>390</v>
      </c>
      <c r="H213" s="20" t="str">
        <f>+T213</f>
        <v/>
      </c>
      <c r="J213" s="30"/>
      <c r="K213" s="34"/>
      <c r="Q213" s="34"/>
      <c r="R213" s="22" t="str">
        <f>IF(H213="","",H213&amp;I213)</f>
        <v/>
      </c>
      <c r="S213" s="22" t="str">
        <f>IF(C213="","",C213&amp;I213)</f>
        <v/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391</v>
      </c>
      <c r="H214" s="20" t="str">
        <f>+T214</f>
        <v/>
      </c>
      <c r="J214" s="30"/>
      <c r="K214" s="34"/>
      <c r="Q214" s="34"/>
      <c r="R214" s="22" t="str">
        <f>IF(H214="","",H214&amp;I214)</f>
        <v/>
      </c>
      <c r="S214" s="22" t="str">
        <f>IF(C214="","",C214&amp;I214)</f>
        <v/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392</v>
      </c>
      <c r="H215" s="20" t="str">
        <f>+T215</f>
        <v/>
      </c>
      <c r="J215" s="30"/>
      <c r="K215" s="34"/>
      <c r="Q215" s="34"/>
      <c r="R215" s="22" t="str">
        <f>IF(H215="","",H215&amp;I215)</f>
        <v/>
      </c>
      <c r="S215" s="22" t="str">
        <f>IF(C215="","",C215&amp;I215)</f>
        <v/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393</v>
      </c>
      <c r="H216" s="20" t="str">
        <f>+T216</f>
        <v/>
      </c>
      <c r="J216" s="30"/>
      <c r="K216" s="34"/>
      <c r="Q216" s="34"/>
      <c r="R216" s="22" t="str">
        <f>IF(H216="","",H216&amp;I216)</f>
        <v/>
      </c>
      <c r="S216" s="22" t="str">
        <f>IF(C216="","",C216&amp;I216)</f>
        <v/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394</v>
      </c>
      <c r="H217" s="20" t="str">
        <f>+T217</f>
        <v/>
      </c>
      <c r="J217" s="30"/>
      <c r="K217" s="34"/>
      <c r="Q217" s="34"/>
      <c r="R217" s="22" t="str">
        <f>IF(H217="","",H217&amp;I217)</f>
        <v/>
      </c>
      <c r="S217" s="22" t="str">
        <f>IF(C217="","",C217&amp;I217)</f>
        <v/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395</v>
      </c>
      <c r="H218" s="20" t="str">
        <f>+T218</f>
        <v/>
      </c>
      <c r="J218" s="30"/>
      <c r="K218" s="34"/>
      <c r="Q218" s="34"/>
      <c r="R218" s="22" t="str">
        <f>IF(H218="","",H218&amp;I218)</f>
        <v/>
      </c>
      <c r="S218" s="22" t="str">
        <f>IF(C218="","",C218&amp;I218)</f>
        <v/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396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397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398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399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400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401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402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403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>
      <c r="A227" s="20" t="s">
        <v>404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405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406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407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408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409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410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411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412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413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414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415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416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417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418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419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420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421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422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423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424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425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426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427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428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429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430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431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432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433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434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435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436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437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438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439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440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441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442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443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444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445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446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447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448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449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450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451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452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453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454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455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456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457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458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459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460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461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462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463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464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465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466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467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468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469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470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471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472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473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474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475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476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477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478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479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480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481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482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483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484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485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486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487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488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489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490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491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492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493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494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495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496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497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498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499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500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501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502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503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504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505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506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507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508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509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510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511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512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513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514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515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516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517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518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519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520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521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522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523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524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525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526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527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528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529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530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531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532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533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534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535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536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537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538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539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540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541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542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543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544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545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546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547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548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549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550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551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552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553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554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555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556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557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558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559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560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561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562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563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564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565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566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567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568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569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570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571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572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573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574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575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576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577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578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579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580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581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582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583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584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585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586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587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588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589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590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591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592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593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594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595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596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597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598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599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600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601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602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603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604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605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606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607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608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609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610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611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612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613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614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615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616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617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618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619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620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621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622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623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624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625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626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627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628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629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630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631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632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633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634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635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636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637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638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639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640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641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642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643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644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645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646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647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648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649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650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651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652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653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654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655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656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657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658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659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660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661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662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663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664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665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666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667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668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669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670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671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672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673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674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675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676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677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678</v>
      </c>
      <c r="H501" s="20" t="str">
        <f>+T501</f>
        <v/>
      </c>
      <c r="J501" s="30"/>
      <c r="K501" s="34"/>
      <c r="Q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679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680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681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682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683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684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685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686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687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688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689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690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691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692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693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694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695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696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697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698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699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700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701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702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703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704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705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706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707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708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709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710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711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712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713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714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715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716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717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718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719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720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721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722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723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724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725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726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727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728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729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730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731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732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733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734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735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736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737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738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739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740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741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742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743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744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745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746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747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748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749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750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751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752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753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754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755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756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757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758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759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760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761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762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763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764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765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766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767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768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769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770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771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772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773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774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775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776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777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778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779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780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781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782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783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784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785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786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787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788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789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790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791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792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793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794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795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796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797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798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799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800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801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802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803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804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805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806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807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808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809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810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811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812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813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814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815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816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817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818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819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820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821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822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823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824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825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826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827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828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829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830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831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832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833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834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835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836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837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838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839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840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841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842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843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844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845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846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847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848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849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850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851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852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853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854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855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856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857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858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859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860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861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862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863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864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865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866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867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868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869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870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871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872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873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874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875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876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877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878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879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880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881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882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883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884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885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886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887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888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889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890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891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892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893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894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895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896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897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898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899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900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901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902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903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904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905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906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907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908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909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910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911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912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913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914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915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916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917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918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919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920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921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922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923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924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925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926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927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928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929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930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931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932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933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934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935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936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937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938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939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940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941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942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943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944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945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946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947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948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949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950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951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952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953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954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955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956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957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958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959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960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961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962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963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964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965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966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967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968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969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970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971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972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973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974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975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976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977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978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979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980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981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982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983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984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985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986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987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988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989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990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991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992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993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994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995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996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997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998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999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1000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1001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1002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1003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1004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1005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1006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1007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1008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1009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1010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1011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1012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1013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1014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1015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1016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1017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1018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1019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1020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1021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1022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1023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1024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1025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1026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1027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1028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1029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1030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1031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1032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1033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1034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1035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1036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1037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1038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1039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1040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1041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1042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1043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1044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1045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1046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1047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1048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1049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1050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1051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1052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1053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1054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1055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1056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1057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1058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1059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1060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1061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1062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1063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1064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1065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1066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1067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1068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1069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1070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1071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1072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1073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1074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1075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1076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1077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1078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1079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1080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1081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1082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1083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1084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1085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1086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1087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1088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1089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1090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1091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1092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1093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1094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1095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1096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1097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1098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1099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1100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1101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1102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1103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1104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1105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1106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1107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1108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1109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1110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1111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1112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1113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1114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1115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1116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1117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1118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1119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1120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1121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1122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1123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1124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1125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1126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1127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1128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1129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1130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1131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1132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1133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1134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1135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1136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1137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1138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1139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1140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1141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1142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1143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1144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1145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1146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1147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1148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1149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1150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1151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1152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1153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1154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1155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1156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1157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1158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1159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1160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1161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1162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1163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1164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1165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1166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1167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1168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1169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1170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1171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1172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1173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1174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1175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1176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1177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1178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1179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1180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1181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1182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1183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1184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1185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1186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1187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1188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1189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1190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1191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1192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1193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1194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1195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1196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1197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1198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1199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1200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1201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1202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1203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1204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1205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1206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1207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1208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1209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1210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1211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1212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1213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1214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1215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1216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1217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1218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1219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1220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1221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1222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1223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1224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1225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1226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1227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1228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1229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1230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1231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1232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1233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1234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1235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1236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1237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1238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1239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1240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1241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1242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1243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1244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1245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1246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1247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1248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1249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1250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1251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1252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1253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1254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1255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1256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1257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1258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22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1259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1260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1261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1262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1263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1264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1265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1266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1267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1268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1269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1270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1271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1272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1273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1274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1275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1276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1277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1278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1279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1280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1281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1282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1283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1284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1285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1286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1287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1288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1289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1290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1291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1292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1293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1294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1295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1296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1297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1298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1299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1300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1301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1302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1303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1304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1305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1306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1307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1308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1309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1310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1311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1312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1313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1314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1315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1316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1317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1318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1319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1320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1321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1322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1323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1324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1325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1326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1327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1328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1329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1330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1331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1332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1333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1334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1335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1336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1337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1338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1339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1340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1341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1342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1343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1344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1345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1346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1347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1348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1349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1350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1351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1352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1353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1354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1355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1356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1357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1358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1359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1360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1361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1362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1363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1364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1365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1366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1367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1368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1369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1370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1371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1372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1373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1374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1375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1376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1377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1378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1379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1380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1381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1382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1383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1384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1385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1386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1387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1388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1389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1390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1391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1392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1393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1394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1395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1396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1397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1398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1399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1400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1401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1402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1403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1404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1405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1406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1407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1408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1409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1410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1411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1412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1413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1414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1415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1416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1417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1418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1419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1420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1421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1422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1423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1424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1425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1426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1427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1428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1429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1430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1431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1432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1433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1434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1435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1436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1437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1438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1439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1440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1441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1442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1443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1444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1445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1446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1447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1448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1449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1450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1451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1452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1453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1454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1455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1456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1457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1458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1459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1460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1461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1462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1463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1464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1465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1466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1467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1468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1469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1470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1471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1472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1473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1474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1475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1476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1477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1478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1479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1480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1481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1482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1483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1484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1485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1486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1487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1488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1489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1490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1491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1492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1493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1494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1495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1496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1497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1498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1499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1500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1501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1502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1503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1504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1505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1506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1507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1508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1509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1510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1511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1512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1513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1514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1515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1516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1517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1518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1519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1520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1521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1522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1523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1524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1525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1526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1527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1528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1529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1530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1531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1532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1533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1534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1535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1536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1537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1538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1539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1540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1541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1542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1543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1544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1545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1546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1547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1548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1549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1550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1551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1552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1553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1554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1555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1556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1557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1558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1559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1560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1561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1562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1563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1564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1565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1566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1567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1568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1569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1570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1571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1572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1573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1574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1575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1576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1577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1578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1579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1580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1581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1582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1583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1584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1585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1586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1587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1588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1589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1590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1591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1592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1593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1594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1595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1596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1597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1598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1599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1600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1601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1602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1603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1604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1605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1606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1607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1608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1609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1610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1611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1612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1613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1614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1615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1616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1617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1618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1619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1620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1621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1622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1623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1624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1625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1626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1627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1628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1629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1630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1631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1632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1633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1634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1635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1636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1637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1638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1639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1640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1641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1642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1643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1644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1645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1646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1647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1648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1649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1650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1651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1652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1653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1654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1655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1656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1657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1658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1659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1660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1661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1662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1663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1664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1665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1666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1667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1668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1669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1670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1671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1672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1673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1674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1675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1676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1677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1678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1679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1680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1681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1682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1683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1684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1685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1686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1687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1688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1689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1690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1691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1692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1693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1694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1695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1696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1697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1698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1699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1700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1701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1702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1703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1704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1705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1706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1707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1708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1709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1710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1711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1712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1713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1714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1715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1716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1717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1718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1719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1720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1721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1722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1723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1724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1725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1726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1727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1728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1729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1730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1731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1732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1733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1734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1735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1736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1737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1738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1739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1740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1741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1742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1743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1744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1745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1746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1747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1748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1749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1750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1751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1752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1753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1754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1755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1756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1757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1758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1759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1760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1761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1762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1763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1764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1765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1766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1767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1768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1769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1770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1771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1772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1773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1774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1775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1776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1777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1778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1779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1780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1781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1782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1783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1784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1785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1786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1787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1788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1789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1790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1791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1792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1793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1794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1795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1796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1797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1798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1799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1800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1801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1802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1803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1804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1805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1806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1807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1808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1809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1810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1811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1812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1813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1814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1815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1816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1817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1818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1819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1820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1821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1822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1823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1824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1825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1826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1827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1828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1829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1830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1831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1832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1833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1834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1835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1836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1837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1838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1839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1840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1841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1842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1843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1844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1845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1846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1847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1848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1849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1850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1851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1852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1853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1854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1855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1856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1857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1858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1859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1860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1861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1862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1863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1864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1865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1866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1867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1868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1869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1870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1871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1872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1873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1874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1875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1876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1877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1878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1879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1880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1881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1882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1883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1884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1885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1886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1887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1888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1889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1890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1891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1892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1893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1894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1895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1896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1897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1898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1899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1900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1901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1902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1903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1904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1905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1906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1907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1908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1909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1910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1911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1912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1913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1914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1915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1916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1917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1918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1919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1920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1921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1922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1923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1924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1925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1926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1927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1928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1929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1930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1931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1932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1933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1934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1935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1936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1937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1938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1939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1940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1941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1942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1943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1944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1945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1946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1947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1948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1949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1950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1951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1952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1953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1954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1955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1956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1957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1958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1959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1960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1961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1962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1963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1964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1965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1966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1967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1968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1969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1970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1971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1972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1973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1974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1975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1976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1977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1978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1979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1980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1981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1982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1983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1984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1985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1986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1987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1988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1989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1990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1991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1992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1993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1994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1995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1996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1997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1998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1999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2000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2001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2002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2003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2004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2005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2006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2007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2008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2009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2010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2011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2012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2013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2014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2015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2016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2017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2018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2019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2020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2021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2022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2023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2024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2025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2026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2027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2028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2029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2030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2031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2032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2033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2034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2035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2036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2037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2038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2039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2040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2041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2042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2043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2044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2045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2046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2047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2048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2049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2050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2051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2052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2053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2054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2055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2056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2057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2058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2059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2060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2061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2062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2063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2064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2065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2066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2067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2068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2069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2070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2071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2072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2073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2074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2075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2076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2077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2078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2079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2080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2081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2082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2083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2084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2085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2086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2087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2088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2089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2090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2091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2092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2093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2094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2095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2096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2097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2098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2099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2100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2101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2102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2103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2104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2105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2106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2107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2108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2109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2110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2111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2112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2113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2114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2115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2116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2117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2118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2119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2120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2121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2122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2123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2124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2125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2126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2127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2128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2129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2130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2131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2132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2133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2134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2135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2136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2137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2138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2139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2140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2141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2142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2143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2144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2145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2146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2147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2148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2149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2150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2151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2152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2153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2154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2155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2156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2157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2158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2159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2160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2161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2162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2163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2164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2165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2166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2167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2168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2169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2170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2171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2172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2173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2174</v>
      </c>
      <c r="H1997" s="20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2175</v>
      </c>
      <c r="H1998" s="40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2176</v>
      </c>
      <c r="H1999" s="40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2177</v>
      </c>
      <c r="H2000" s="40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>
      <c r="A2001" s="20" t="s">
        <v>2178</v>
      </c>
      <c r="H2001" s="40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>
      <c r="A2002" s="40" t="s">
        <v>2179</v>
      </c>
      <c r="H2002" s="40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:20"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:20"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:20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8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8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8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8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8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8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8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8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8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8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8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8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8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8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8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8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7:20">
      <c r="Q5793" s="34"/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7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7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7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7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7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7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7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7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7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7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7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7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7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7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7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>
      <c r="R6004" s="22" t="str">
        <f>IF(H6004="","",H6004&amp;I6004)</f>
        <v/>
      </c>
      <c r="S6004" s="22" t="str">
        <f>IF(C6004="","",C6004&amp;I6004)</f>
        <v/>
      </c>
      <c r="T6004" t="str">
        <f>IF(OR(C6004="",I6004&lt;&gt;"ENTRADA"),"",TEXT(B6004,"AAMMDD")&amp;"-"&amp;TEXT(VALUE(SUBSTITUTE(A6004,"MOV-","")),"000"))</f>
        <v/>
      </c>
    </row>
    <row r="6005" spans="18:20">
      <c r="R6005" s="22" t="str">
        <f>IF(H6005="","",H6005&amp;I6005)</f>
        <v/>
      </c>
      <c r="S6005" s="22" t="str">
        <f>IF(C6005="","",C6005&amp;I6005)</f>
        <v/>
      </c>
      <c r="T6005" t="str">
        <f>IF(OR(C6005="",I6005&lt;&gt;"ENTRADA"),"",TEXT(B6005,"AAMMDD")&amp;"-"&amp;TEXT(VALUE(SUBSTITUTE(A6005,"MOV-","")),"000"))</f>
        <v/>
      </c>
    </row>
    <row r="6006" spans="18:20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34"/>
      <c r="S6178" s="34"/>
      <c r="T6178" t="str">
        <f>IF(C6178="","",UPPER(LEFT(SUBSTITUTE(C6178," ",""),3))&amp;"-"&amp;TEXT(B6178,"AAMMDD")&amp;"-1")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22" t="str">
        <f>IF(H6701="","",H6701&amp;I6701)</f>
        <v/>
      </c>
      <c r="S6701" s="22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T6704" t="str">
        <f>IF(C6704="","",UPPER(LEFT(SUBSTITUTE(C6704," ",""),3))&amp;"-"&amp;TEXT(B6704,"AAMMDD")&amp;"-1")</f>
        <v/>
      </c>
    </row>
    <row r="6705" spans="20:20">
      <c r="T6705" t="str">
        <f>IF(C6705="","",UPPER(LEFT(SUBSTITUTE(C6705," ",""),3))&amp;"-"&amp;TEXT(B6705,"AAMMDD")&amp;"-1")</f>
        <v/>
      </c>
    </row>
    <row r="6706" spans="20:20">
      <c r="T6706" t="str">
        <f>IF(C6706="","",UPPER(LEFT(SUBSTITUTE(C6706," ",""),3))&amp;"-"&amp;TEXT(B6706,"AAMMDD")&amp;"-1")</f>
        <v/>
      </c>
    </row>
    <row r="6707" spans="20:20">
      <c r="T6707" t="str">
        <f>IF(C6707="","",UPPER(LEFT(SUBSTITUTE(C6707," ",""),3))&amp;"-"&amp;TEXT(B6707,"AAMMDD")&amp;"-1")</f>
        <v/>
      </c>
    </row>
    <row r="6708" spans="20:20">
      <c r="T6708" t="str">
        <f>IF(C6708="","",UPPER(LEFT(SUBSTITUTE(C6708," ",""),3))&amp;"-"&amp;TEXT(B6708,"AAMMDD")&amp;"-1")</f>
        <v/>
      </c>
    </row>
    <row r="6709" spans="20:20">
      <c r="T6709" t="str">
        <f>IF(C6709="","",UPPER(LEFT(SUBSTITUTE(C6709," ",""),3))&amp;"-"&amp;TEXT(B6709,"AAMMDD")&amp;"-1")</f>
        <v/>
      </c>
    </row>
    <row r="6710" spans="20:20">
      <c r="T6710" t="str">
        <f>IF(C6710="","",UPPER(LEFT(SUBSTITUTE(C6710," ",""),3))&amp;"-"&amp;TEXT(B6710,"AAMMDD")&amp;"-1")</f>
        <v/>
      </c>
    </row>
    <row r="6711" spans="20:20">
      <c r="T6711" t="str">
        <f>IF(C6711="","",UPPER(LEFT(SUBSTITUTE(C6711," ",""),3))&amp;"-"&amp;TEXT(B6711,"AAMMDD")&amp;"-1")</f>
        <v/>
      </c>
    </row>
    <row r="6712" spans="20:20">
      <c r="T6712" t="str">
        <f>IF(C6712="","",UPPER(LEFT(SUBSTITUTE(C6712," ",""),3))&amp;"-"&amp;TEXT(B6712,"AAMMDD")&amp;"-1")</f>
        <v/>
      </c>
    </row>
    <row r="6713" spans="20:20">
      <c r="T6713" t="str">
        <f>IF(C6713="","",UPPER(LEFT(SUBSTITUTE(C6713," ",""),3))&amp;"-"&amp;TEXT(B6713,"AAMMDD")&amp;"-1")</f>
        <v/>
      </c>
    </row>
    <row r="6714" spans="20:20">
      <c r="T6714" t="str">
        <f>IF(C6714="","",UPPER(LEFT(SUBSTITUTE(C6714," ",""),3))&amp;"-"&amp;TEXT(B6714,"AAMMDD")&amp;"-1")</f>
        <v/>
      </c>
    </row>
    <row r="6715" spans="20:20">
      <c r="T6715" t="str">
        <f>IF(C6715="","",UPPER(LEFT(SUBSTITUTE(C6715," ",""),3))&amp;"-"&amp;TEXT(B6715,"AAMMDD")&amp;"-1")</f>
        <v/>
      </c>
    </row>
    <row r="6716" spans="20:20">
      <c r="T6716" t="str">
        <f>IF(C6716="","",UPPER(LEFT(SUBSTITUTE(C6716," ",""),3))&amp;"-"&amp;TEXT(B6716,"AAMMDD")&amp;"-1")</f>
        <v/>
      </c>
    </row>
    <row r="6717" spans="20:20">
      <c r="T6717" t="str">
        <f>IF(C6717="","",UPPER(LEFT(SUBSTITUTE(C6717," ",""),3))&amp;"-"&amp;TEXT(B6717,"AAMMDD")&amp;"-1")</f>
        <v/>
      </c>
    </row>
    <row r="6718" spans="20:20">
      <c r="T6718" t="str">
        <f>IF(C6718="","",UPPER(LEFT(SUBSTITUTE(C6718," ",""),3))&amp;"-"&amp;TEXT(B6718,"AAMMDD")&amp;"-1")</f>
        <v/>
      </c>
    </row>
    <row r="6719" spans="20:20">
      <c r="T6719" t="str">
        <f>IF(C6719="","",UPPER(LEFT(SUBSTITUTE(C6719," ",""),3))&amp;"-"&amp;TEXT(B6719,"AAMMDD")&amp;"-1")</f>
        <v/>
      </c>
    </row>
    <row r="6720" spans="20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0:20">
      <c r="T11985" t="str">
        <f>IF(C11985="","",UPPER(LEFT(SUBSTITUTE(C11985," ",""),3))&amp;"-"&amp;TEXT(B11985,"AAMMDD")&amp;"-1")</f>
        <v/>
      </c>
    </row>
    <row r="11986" spans="20:20">
      <c r="T11986" t="str">
        <f>IF(C11986="","",UPPER(LEFT(SUBSTITUTE(C11986," ",""),3))&amp;"-"&amp;TEXT(B11986,"AAMMDD")&amp;"-1")</f>
        <v/>
      </c>
    </row>
    <row r="11987" spans="20:20">
      <c r="T11987" t="str">
        <f>IF(C11987="","",UPPER(LEFT(SUBSTITUTE(C11987," ",""),3))&amp;"-"&amp;TEXT(B11987,"AAMMDD")&amp;"-1")</f>
        <v/>
      </c>
    </row>
    <row r="11988" spans="20:20">
      <c r="T11988" t="str">
        <f>IF(C11988="","",UPPER(LEFT(SUBSTITUTE(C11988," ",""),3))&amp;"-"&amp;TEXT(B11988,"AAMMDD")&amp;"-1")</f>
        <v/>
      </c>
    </row>
    <row r="11989" spans="20:20">
      <c r="T11989" t="str">
        <f>IF(C11989="","",UPPER(LEFT(SUBSTITUTE(C11989," ",""),3))&amp;"-"&amp;TEXT(B11989,"AAMMDD")&amp;"-1")</f>
        <v/>
      </c>
    </row>
    <row r="11990" spans="20:20">
      <c r="T11990" t="str">
        <f>IF(C11990="","",UPPER(LEFT(SUBSTITUTE(C11990," ",""),3))&amp;"-"&amp;TEXT(B11990,"AAMMDD")&amp;"-1")</f>
        <v/>
      </c>
    </row>
    <row r="11991" spans="20:20">
      <c r="T11991" t="str">
        <f>IF(C11991="","",UPPER(LEFT(SUBSTITUTE(C11991," ",""),3))&amp;"-"&amp;TEXT(B11991,"AAMMDD")&amp;"-1")</f>
        <v/>
      </c>
    </row>
    <row r="11992" spans="20:20">
      <c r="T11992" t="str">
        <f>IF(C11992="","",UPPER(LEFT(SUBSTITUTE(C11992," ",""),3))&amp;"-"&amp;TEXT(B11992,"AAMMDD")&amp;"-1")</f>
        <v/>
      </c>
    </row>
    <row r="11993" spans="20:20">
      <c r="T11993" t="str">
        <f>IF(C11993="","",UPPER(LEFT(SUBSTITUTE(C11993," ",""),3))&amp;"-"&amp;TEXT(B11993,"AAMMDD")&amp;"-1")</f>
        <v/>
      </c>
    </row>
    <row r="11994" spans="20:20">
      <c r="T11994" t="str">
        <f>IF(C11994="","",UPPER(LEFT(SUBSTITUTE(C11994," ",""),3))&amp;"-"&amp;TEXT(B11994,"AAMMDD")&amp;"-1")</f>
        <v/>
      </c>
    </row>
    <row r="11995" spans="20:20">
      <c r="T11995" t="str">
        <f>IF(C11995="","",UPPER(LEFT(SUBSTITUTE(C11995," ",""),3))&amp;"-"&amp;TEXT(B11995,"AAMMDD")&amp;"-1")</f>
        <v/>
      </c>
    </row>
    <row r="11996" spans="20:20">
      <c r="T11996" t="str">
        <f>IF(C11996="","",UPPER(LEFT(SUBSTITUTE(C11996," ",""),3))&amp;"-"&amp;TEXT(B11996,"AAMMDD")&amp;"-1")</f>
        <v/>
      </c>
    </row>
    <row r="11997" spans="20:20">
      <c r="T11997" t="str">
        <f>IF(C11997="","",UPPER(LEFT(SUBSTITUTE(C11997," ",""),3))&amp;"-"&amp;TEXT(B11997,"AAMMDD")&amp;"-1")</f>
        <v/>
      </c>
    </row>
    <row r="11998" spans="20:20"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B502:Q1998 A3:P11 A12:A2001 Q3:Q501 B12:P501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3">
    <cfRule type="expression" dxfId="8" priority="1">
      <formula>$I5793="ENTRADA"</formula>
    </cfRule>
    <cfRule type="expression" dxfId="7" priority="2">
      <formula>$I5793="SALIDA"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E2:E1998</xm:sqref>
        </x14:dataValidation>
        <x14:dataValidation type="list" allowBlank="1" xr:uid="{00000000-0002-0000-0000-000005000000}">
          <x14:formula1>
            <xm:f>Listas!$F$3:$F$200</xm:f>
          </x14:formula1>
          <xm:sqref>I2:I1998</xm:sqref>
        </x14:dataValidation>
        <x14:dataValidation type="list" allowBlank="1" xr:uid="{00000000-0002-0000-0000-000006000000}">
          <x14:formula1>
            <xm:f>Listas!$G$3:$G$200</xm:f>
          </x14:formula1>
          <xm:sqref>L2:L1998</xm:sqref>
        </x14:dataValidation>
        <x14:dataValidation type="list" allowBlank="1" xr:uid="{00000000-0002-0000-0000-000007000000}">
          <x14:formula1>
            <xm:f>Listas!$H$3:$H$200</xm:f>
          </x14:formula1>
          <xm:sqref>O2:O1998</xm:sqref>
        </x14:dataValidation>
        <x14:dataValidation type="list" allowBlank="1" xr:uid="{00000000-0002-0000-0000-000000000000}">
          <x14:formula1>
            <xm:f>Listas!$A$3:$A$200</xm:f>
          </x14:formula1>
          <xm:sqref>C2:C1998</xm:sqref>
        </x14:dataValidation>
        <x14:dataValidation type="list" allowBlank="1" xr:uid="{00000000-0002-0000-0000-000001000000}">
          <x14:formula1>
            <xm:f>Listas!$B$3:$B$200</xm:f>
          </x14:formula1>
          <xm:sqref>D2:D1998</xm:sqref>
        </x14:dataValidation>
        <x14:dataValidation type="list" allowBlank="1" xr:uid="{00000000-0002-0000-0000-000004000000}">
          <x14:formula1>
            <xm:f>Listas!$E$3:$E$200</xm:f>
          </x14:formula1>
          <xm:sqref>G2:G1998</xm:sqref>
        </x14:dataValidation>
        <x14:dataValidation type="list" allowBlank="1" xr:uid="{00000000-0002-0000-0000-000003000000}">
          <x14:formula1>
            <xm:f>Listas!$D$3:$D$200</xm:f>
          </x14:formula1>
          <xm:sqref>F2:F1998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" activePane="bottomLeft" state="frozen"/>
      <selection pane="bottomLeft" activeCell="J37" sqref="J37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24">
      <c r="A1" s="18" t="s">
        <v>2180</v>
      </c>
      <c r="B1" s="23" t="s">
        <v>2181</v>
      </c>
      <c r="C1" s="23" t="s">
        <v>2182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2183</v>
      </c>
      <c r="I1" s="18" t="s">
        <v>2184</v>
      </c>
      <c r="J1" s="18" t="s">
        <v>2185</v>
      </c>
      <c r="K1" s="18" t="s">
        <v>2186</v>
      </c>
    </row>
    <row r="2" spans="1:11" ht="14.25">
      <c r="A2" s="16" t="s">
        <v>196</v>
      </c>
      <c r="B2" s="2" t="str">
        <f>IFERROR(INDEX(Movimientos!$C$2:$C$1998,MATCH(A2&amp;"ENTRADA",Movimientos!$R$2:$R$1998,0)),"-")</f>
        <v>Colza Curry CL</v>
      </c>
      <c r="C2" s="2" t="str">
        <f>IFERROR(INDEX(Movimientos!$D$2:$D$1998,MATCH(A2&amp;"ENTRADA",Movimientos!$R$2:$R$1998,0)),"-")</f>
        <v>CURRY CL</v>
      </c>
      <c r="D2" s="2" t="str">
        <f>IFERROR(INDEX(Movimientos!$E$2:$E$1998,MATCH(A2&amp;"ENTRADA",Movimientos!$R$2:$R$1998,0)),"-")</f>
        <v>Semilla</v>
      </c>
      <c r="E2" s="2" t="str">
        <f>IFERROR(INDEX(Movimientos!$F$2:$F$1998,MATCH(A2&amp;"ENTRADA",Movimientos!$R$2:$R$1998,0)),"-")</f>
        <v>Colza</v>
      </c>
      <c r="F2" s="2" t="str">
        <f>IFERROR(INDEX(Movimientos!$G$2:$G$1998,MATCH(A2&amp;"ENTRADA",Movimientos!$R$2:$R$1998,0)),"-")</f>
        <v>ERRO</v>
      </c>
      <c r="G2" s="2" t="str">
        <f>IFERROR(INDEX(Movimientos!$L$2:$L$1998,MATCH(A2&amp;"ENTRADA",Movimientos!$R$2:$R$1998,0)),"-")</f>
        <v>kg</v>
      </c>
      <c r="H2" s="17" t="str">
        <f>IFERROR(IF(INDEX(Movimientos!$M$2:$M$1998,MATCH(A2&amp;"ENTRADA",Movimientos!$R$2:$R$1998,0))=0,"S/D",INDEX(Movimientos!$M$2:$M$1998,MATCH(A2&amp;"ENTRADA",Movimientos!$R$2:$R$1998,0))),"S/D")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 ht="14.25">
      <c r="A3" s="16" t="s">
        <v>105</v>
      </c>
      <c r="B3" s="2" t="str">
        <f>IFERROR(INDEX(Movimientos!$C$2:$C$1998,MATCH(A3&amp;"ENTRADA",Movimientos!$R$2:$R$1998,0)),"-")</f>
        <v>Korvetto</v>
      </c>
      <c r="C3" s="2" t="str">
        <f>IFERROR(INDEX(Movimientos!$D$2:$D$1998,MATCH(A3&amp;"ENTRADA",Movimientos!$R$2:$R$1998,0)),"-")</f>
        <v xml:space="preserve">Clopyralid 12% + Halauxyfen methyl 0,51% </v>
      </c>
      <c r="D3" s="2" t="str">
        <f>IFERROR(INDEX(Movimientos!$E$2:$E$1998,MATCH(A3&amp;"ENTRADA",Movimientos!$R$2:$R$1998,0)),"-")</f>
        <v>Herbicida</v>
      </c>
      <c r="E3" s="2" t="str">
        <f>IFERROR(INDEX(Movimientos!$F$2:$F$1998,MATCH(A3&amp;"ENTRADA",Movimientos!$R$2:$R$1998,0)),"-")</f>
        <v>Postemergente</v>
      </c>
      <c r="F3" s="2" t="str">
        <f>IFERROR(INDEX(Movimientos!$G$2:$G$1998,MATCH(A3&amp;"ENTRADA",Movimientos!$R$2:$R$1998,0)),"-")</f>
        <v>GS Agro</v>
      </c>
      <c r="G3" s="2" t="str">
        <f>IFERROR(INDEX(Movimientos!$L$2:$L$1998,MATCH(A3&amp;"ENTRADA",Movimientos!$R$2:$R$1998,0)),"-")</f>
        <v>L</v>
      </c>
      <c r="H3" s="17">
        <f>IFERROR(IF(INDEX(Movimientos!$M$2:$M$1998,MATCH(A3&amp;"ENTRADA",Movimientos!$R$2:$R$1998,0))=0,"S/D",INDEX(Movimientos!$M$2:$M$1998,MATCH(A3&amp;"ENTRADA",Movimientos!$R$2:$R$1998,0))),"S/D")</f>
        <v>46710</v>
      </c>
      <c r="I3" s="15">
        <f t="shared" ca="1" si="0"/>
        <v>569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 ht="14.25">
      <c r="A4" s="16" t="s">
        <v>2187</v>
      </c>
      <c r="B4" s="2" t="str">
        <f>IFERROR(INDEX(Movimientos!$C$2:$C$1998,MATCH(A4&amp;"ENTRADA",Movimientos!$R$2:$R$1998,0)),"-")</f>
        <v>Lontrel</v>
      </c>
      <c r="C4" s="2" t="str">
        <f>IFERROR(INDEX(Movimientos!$D$2:$D$1998,MATCH(A4&amp;"ENTRADA",Movimientos!$R$2:$R$1998,0)),"-")</f>
        <v>Clopyralid sal monoetanolamina 40.9%</v>
      </c>
      <c r="D4" s="2" t="str">
        <f>IFERROR(INDEX(Movimientos!$E$2:$E$1998,MATCH(A4&amp;"ENTRADA",Movimientos!$R$2:$R$1998,0)),"-")</f>
        <v>Herbicida</v>
      </c>
      <c r="E4" s="2" t="str">
        <f>IFERROR(INDEX(Movimientos!$F$2:$F$1998,MATCH(A4&amp;"ENTRADA",Movimientos!$R$2:$R$1998,0)),"-")</f>
        <v>Postemergente</v>
      </c>
      <c r="F4" s="2" t="str">
        <f>IFERROR(INDEX(Movimientos!$G$2:$G$1998,MATCH(A4&amp;"ENTRADA",Movimientos!$R$2:$R$1998,0)),"-")</f>
        <v>GS Agro</v>
      </c>
      <c r="G4" s="2" t="str">
        <f>IFERROR(INDEX(Movimientos!$L$2:$L$1998,MATCH(A4&amp;"ENTRADA",Movimientos!$R$2:$R$1998,0)),"-")</f>
        <v>L</v>
      </c>
      <c r="H4" s="17">
        <f>IFERROR(IF(INDEX(Movimientos!$M$2:$M$1998,MATCH(A4&amp;"ENTRADA",Movimientos!$R$2:$R$1998,0))=0,"S/D",INDEX(Movimientos!$M$2:$M$1998,MATCH(A4&amp;"ENTRADA",Movimientos!$R$2:$R$1998,0))),"S/D")</f>
        <v>46500</v>
      </c>
      <c r="I4" s="15">
        <f t="shared" ca="1" si="0"/>
        <v>359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 ht="14.25">
      <c r="A5" s="16" t="s">
        <v>63</v>
      </c>
      <c r="B5" s="2" t="str">
        <f>IFERROR(INDEX(Movimientos!$C$2:$C$1998,MATCH(A5&amp;"ENTRADA",Movimientos!$R$2:$R$1998,0)),"-")</f>
        <v>Preside</v>
      </c>
      <c r="C5" s="2" t="str">
        <f>IFERROR(INDEX(Movimientos!$D$2:$D$1998,MATCH(A5&amp;"ENTRADA",Movimientos!$R$2:$R$1998,0)),"-")</f>
        <v>Flumetsulam 11,35%</v>
      </c>
      <c r="D5" s="2" t="str">
        <f>IFERROR(INDEX(Movimientos!$E$2:$E$1998,MATCH(A5&amp;"ENTRADA",Movimientos!$R$2:$R$1998,0)),"-")</f>
        <v>Herbicida</v>
      </c>
      <c r="E5" s="2" t="str">
        <f>IFERROR(INDEX(Movimientos!$F$2:$F$1998,MATCH(A5&amp;"ENTRADA",Movimientos!$R$2:$R$1998,0)),"-")</f>
        <v>Preemergente</v>
      </c>
      <c r="F5" s="2" t="str">
        <f>IFERROR(INDEX(Movimientos!$G$2:$G$1998,MATCH(A5&amp;"ENTRADA",Movimientos!$R$2:$R$1998,0)),"-")</f>
        <v>GS Agro</v>
      </c>
      <c r="G5" s="2" t="str">
        <f>IFERROR(INDEX(Movimientos!$L$2:$L$1998,MATCH(A5&amp;"ENTRADA",Movimientos!$R$2:$R$1998,0)),"-")</f>
        <v>L</v>
      </c>
      <c r="H5" s="17">
        <f>IFERROR(IF(INDEX(Movimientos!$M$2:$M$1998,MATCH(A5&amp;"ENTRADA",Movimientos!$R$2:$R$1998,0))=0,"S/D",INDEX(Movimientos!$M$2:$M$1998,MATCH(A5&amp;"ENTRADA",Movimientos!$R$2:$R$1998,0))),"S/D")</f>
        <v>46528</v>
      </c>
      <c r="I5" s="15">
        <f t="shared" ca="1" si="0"/>
        <v>387</v>
      </c>
      <c r="J5" s="5">
        <f>IF(A5="","",SUMIFS(Movimientos!$K:$K,Movimientos!$H:$H,A5))</f>
        <v>1990</v>
      </c>
      <c r="K5" s="13" t="str">
        <f t="shared" ca="1" si="1"/>
        <v>OK</v>
      </c>
    </row>
    <row r="6" spans="1:11" ht="14.25">
      <c r="A6" s="16" t="s">
        <v>2188</v>
      </c>
      <c r="B6" s="2" t="str">
        <f>IFERROR(INDEX(Movimientos!$C$2:$C$1998,MATCH(A6&amp;"ENTRADA",Movimientos!$R$2:$R$1998,0)),"-")</f>
        <v>Preside</v>
      </c>
      <c r="C6" s="2" t="str">
        <f>IFERROR(INDEX(Movimientos!$D$2:$D$1998,MATCH(A6&amp;"ENTRADA",Movimientos!$R$2:$R$1998,0)),"-")</f>
        <v>Flumetsulam 11,35%</v>
      </c>
      <c r="D6" s="2" t="str">
        <f>IFERROR(INDEX(Movimientos!$E$2:$E$1998,MATCH(A6&amp;"ENTRADA",Movimientos!$R$2:$R$1998,0)),"-")</f>
        <v>Herbicida</v>
      </c>
      <c r="E6" s="2" t="str">
        <f>IFERROR(INDEX(Movimientos!$F$2:$F$1998,MATCH(A6&amp;"ENTRADA",Movimientos!$R$2:$R$1998,0)),"-")</f>
        <v>Preemergente</v>
      </c>
      <c r="F6" s="2" t="str">
        <f>IFERROR(INDEX(Movimientos!$G$2:$G$1998,MATCH(A6&amp;"ENTRADA",Movimientos!$R$2:$R$1998,0)),"-")</f>
        <v>GS Agro</v>
      </c>
      <c r="G6" s="2" t="str">
        <f>IFERROR(INDEX(Movimientos!$L$2:$L$1998,MATCH(A6&amp;"ENTRADA",Movimientos!$R$2:$R$1998,0)),"-")</f>
        <v>L</v>
      </c>
      <c r="H6" s="17">
        <f>IFERROR(IF(INDEX(Movimientos!$M$2:$M$1998,MATCH(A6&amp;"ENTRADA",Movimientos!$R$2:$R$1998,0))=0,"S/D",INDEX(Movimientos!$M$2:$M$1998,MATCH(A6&amp;"ENTRADA",Movimientos!$R$2:$R$1998,0))),"S/D")</f>
        <v>46761</v>
      </c>
      <c r="I6" s="15">
        <f t="shared" ca="1" si="0"/>
        <v>620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 ht="14.25">
      <c r="A7" s="16" t="s">
        <v>276</v>
      </c>
      <c r="B7" s="2" t="str">
        <f>IFERROR(INDEX(Movimientos!$C$2:$C$1998,MATCH(A7&amp;"ENTRADA",Movimientos!$R$2:$R$1998,0)),"-")</f>
        <v>Tordon 24K</v>
      </c>
      <c r="C7" s="2" t="str">
        <f>IFERROR(INDEX(Movimientos!$D$2:$D$1998,MATCH(A7&amp;"ENTRADA",Movimientos!$R$2:$R$1998,0)),"-")</f>
        <v>Picloram 24,9%</v>
      </c>
      <c r="D7" s="2" t="str">
        <f>IFERROR(INDEX(Movimientos!$E$2:$E$1998,MATCH(A7&amp;"ENTRADA",Movimientos!$R$2:$R$1998,0)),"-")</f>
        <v>Herbicida</v>
      </c>
      <c r="E7" s="2" t="str">
        <f>IFERROR(INDEX(Movimientos!$F$2:$F$1998,MATCH(A7&amp;"ENTRADA",Movimientos!$R$2:$R$1998,0)),"-")</f>
        <v>Postemergente</v>
      </c>
      <c r="F7" s="2" t="str">
        <f>IFERROR(INDEX(Movimientos!$G$2:$G$1998,MATCH(A7&amp;"ENTRADA",Movimientos!$R$2:$R$1998,0)),"-")</f>
        <v>GS Agro</v>
      </c>
      <c r="G7" s="2" t="str">
        <f>IFERROR(INDEX(Movimientos!$L$2:$L$1998,MATCH(A7&amp;"ENTRADA",Movimientos!$R$2:$R$1998,0)),"-")</f>
        <v>L</v>
      </c>
      <c r="H7" s="17">
        <f>IFERROR(IF(INDEX(Movimientos!$M$2:$M$1998,MATCH(A7&amp;"ENTRADA",Movimientos!$R$2:$R$1998,0))=0,"S/D",INDEX(Movimientos!$M$2:$M$1998,MATCH(A7&amp;"ENTRADA",Movimientos!$R$2:$R$1998,0))),"S/D")</f>
        <v>46517</v>
      </c>
      <c r="I7" s="15">
        <f t="shared" ca="1" si="0"/>
        <v>376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 ht="14.25">
      <c r="A8" s="16" t="s">
        <v>96</v>
      </c>
      <c r="B8" s="2" t="str">
        <f>IFERROR(INDEX(Movimientos!$C$2:$C$1998,MATCH(A8&amp;"ENTRADA",Movimientos!$R$2:$R$1998,0)),"-")</f>
        <v>Tronador</v>
      </c>
      <c r="C8" s="2" t="str">
        <f>IFERROR(INDEX(Movimientos!$D$2:$D$1998,MATCH(A8&amp;"ENTRADA",Movimientos!$R$2:$R$1998,0)),"-")</f>
        <v>Halauxifen metil 3.3% + Aminopyralid 2.7% + Metsulfuron metil 20%</v>
      </c>
      <c r="D8" s="2" t="str">
        <f>IFERROR(INDEX(Movimientos!$E$2:$E$1998,MATCH(A8&amp;"ENTRADA",Movimientos!$R$2:$R$1998,0)),"-")</f>
        <v>Herbicida</v>
      </c>
      <c r="E8" s="2" t="str">
        <f>IFERROR(INDEX(Movimientos!$F$2:$F$1998,MATCH(A8&amp;"ENTRADA",Movimientos!$R$2:$R$1998,0)),"-")</f>
        <v>Postemergente</v>
      </c>
      <c r="F8" s="2" t="str">
        <f>IFERROR(INDEX(Movimientos!$G$2:$G$1998,MATCH(A8&amp;"ENTRADA",Movimientos!$R$2:$R$1998,0)),"-")</f>
        <v>GS Agro</v>
      </c>
      <c r="G8" s="2" t="str">
        <f>IFERROR(INDEX(Movimientos!$L$2:$L$1998,MATCH(A8&amp;"ENTRADA",Movimientos!$R$2:$R$1998,0)),"-")</f>
        <v>Pack</v>
      </c>
      <c r="H8" s="17">
        <f>IFERROR(IF(INDEX(Movimientos!$M$2:$M$1998,MATCH(A8&amp;"ENTRADA",Movimientos!$R$2:$R$1998,0))=0,"S/D",INDEX(Movimientos!$M$2:$M$1998,MATCH(A8&amp;"ENTRADA",Movimientos!$R$2:$R$1998,0))),"S/D")</f>
        <v>46443</v>
      </c>
      <c r="I8" s="15">
        <f t="shared" ca="1" si="0"/>
        <v>302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 ht="14.25">
      <c r="A9" s="16" t="s">
        <v>67</v>
      </c>
      <c r="B9" s="2" t="str">
        <f>IFERROR(INDEX(Movimientos!$C$2:$C$1998,MATCH(A9&amp;"ENTRADA",Movimientos!$R$2:$R$1998,0)),"-")</f>
        <v>Venceweed extra</v>
      </c>
      <c r="C9" s="2" t="str">
        <f>IFERROR(INDEX(Movimientos!$D$2:$D$1998,MATCH(A9&amp;"ENTRADA",Movimientos!$R$2:$R$1998,0)),"-")</f>
        <v>2,4-Db-Butilo 93.1%</v>
      </c>
      <c r="D9" s="2" t="str">
        <f>IFERROR(INDEX(Movimientos!$E$2:$E$1998,MATCH(A9&amp;"ENTRADA",Movimientos!$R$2:$R$1998,0)),"-")</f>
        <v>Herbicida</v>
      </c>
      <c r="E9" s="2" t="str">
        <f>IFERROR(INDEX(Movimientos!$F$2:$F$1998,MATCH(A9&amp;"ENTRADA",Movimientos!$R$2:$R$1998,0)),"-")</f>
        <v>Postemergente</v>
      </c>
      <c r="F9" s="2" t="str">
        <f>IFERROR(INDEX(Movimientos!$G$2:$G$1998,MATCH(A9&amp;"ENTRADA",Movimientos!$R$2:$R$1998,0)),"-")</f>
        <v>GS Agro</v>
      </c>
      <c r="G9" s="2" t="str">
        <f>IFERROR(INDEX(Movimientos!$L$2:$L$1998,MATCH(A9&amp;"ENTRADA",Movimientos!$R$2:$R$1998,0)),"-")</f>
        <v>L</v>
      </c>
      <c r="H9" s="17">
        <f>IFERROR(IF(INDEX(Movimientos!$M$2:$M$1998,MATCH(A9&amp;"ENTRADA",Movimientos!$R$2:$R$1998,0))=0,"S/D",INDEX(Movimientos!$M$2:$M$1998,MATCH(A9&amp;"ENTRADA",Movimientos!$R$2:$R$1998,0))),"S/D")</f>
        <v>46737</v>
      </c>
      <c r="I9" s="15">
        <f t="shared" ref="I9:I68" ca="1" si="2">IF(OR(A9="",H9="S/D"),"S/D",H9-TODAY())</f>
        <v>596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 ht="14.25">
      <c r="A10" s="16" t="s">
        <v>152</v>
      </c>
      <c r="B10" s="2" t="str">
        <f>IFERROR(INDEX(Movimientos!$C$2:$C$1998,MATCH(A10&amp;"ENTRADA",Movimientos!$R$2:$R$1998,0)),"-")</f>
        <v>Silobolsa</v>
      </c>
      <c r="C10" s="2" t="str">
        <f>IFERROR(INDEX(Movimientos!$D$2:$D$1998,MATCH(A10&amp;"ENTRADA",Movimientos!$R$2:$R$1998,0)),"-")</f>
        <v>Silobolsa 9 pies</v>
      </c>
      <c r="D10" s="2" t="str">
        <f>IFERROR(INDEX(Movimientos!$E$2:$E$1998,MATCH(A10&amp;"ENTRADA",Movimientos!$R$2:$R$1998,0)),"-")</f>
        <v>Silobolsa</v>
      </c>
      <c r="E10" s="2">
        <f>IFERROR(INDEX(Movimientos!$F$2:$F$1998,MATCH(A10&amp;"ENTRADA",Movimientos!$R$2:$R$1998,0)),"-")</f>
        <v>0</v>
      </c>
      <c r="F10" s="2" t="str">
        <f>IFERROR(INDEX(Movimientos!$G$2:$G$1998,MATCH(A10&amp;"ENTRADA",Movimientos!$R$2:$R$1998,0)),"-")</f>
        <v>AYP Agrogestiones</v>
      </c>
      <c r="G10" s="2" t="str">
        <f>IFERROR(INDEX(Movimientos!$L$2:$L$1998,MATCH(A10&amp;"ENTRADA",Movimientos!$R$2:$R$1998,0)),"-")</f>
        <v>unidad</v>
      </c>
      <c r="H10" s="17" t="str">
        <f>IFERROR(IF(INDEX(Movimientos!$M$2:$M$1998,MATCH(A10&amp;"ENTRADA",Movimientos!$R$2:$R$1998,0))=0,"S/D",INDEX(Movimientos!$M$2:$M$1998,MATCH(A10&amp;"ENTRADA",Movimientos!$R$2:$R$1998,0))),"S/D")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 ht="14.25">
      <c r="A11" s="16" t="s">
        <v>93</v>
      </c>
      <c r="B11" s="2" t="str">
        <f>IFERROR(INDEX(Movimientos!$C$2:$C$1998,MATCH(A11&amp;"ENTRADA",Movimientos!$R$2:$R$1998,0)),"-")</f>
        <v>Dedalo elite</v>
      </c>
      <c r="C11" s="2" t="str">
        <f>IFERROR(INDEX(Movimientos!$D$2:$D$1998,MATCH(A11&amp;"ENTRADA",Movimientos!$R$2:$R$1998,0)),"-")</f>
        <v>2,4 D Acido 27.2%</v>
      </c>
      <c r="D11" s="2" t="str">
        <f>IFERROR(INDEX(Movimientos!$E$2:$E$1998,MATCH(A11&amp;"ENTRADA",Movimientos!$R$2:$R$1998,0)),"-")</f>
        <v>Herbicida</v>
      </c>
      <c r="E11" s="2" t="str">
        <f>IFERROR(INDEX(Movimientos!$F$2:$F$1998,MATCH(A11&amp;"ENTRADA",Movimientos!$R$2:$R$1998,0)),"-")</f>
        <v>Postemergente</v>
      </c>
      <c r="F11" s="2" t="str">
        <f>IFERROR(INDEX(Movimientos!$G$2:$G$1998,MATCH(A11&amp;"ENTRADA",Movimientos!$R$2:$R$1998,0)),"-")</f>
        <v>Agromil</v>
      </c>
      <c r="G11" s="2" t="str">
        <f>IFERROR(INDEX(Movimientos!$L$2:$L$1998,MATCH(A11&amp;"ENTRADA",Movimientos!$R$2:$R$1998,0)),"-")</f>
        <v>L</v>
      </c>
      <c r="H11" s="17">
        <f>IFERROR(IF(INDEX(Movimientos!$M$2:$M$1998,MATCH(A11&amp;"ENTRADA",Movimientos!$R$2:$R$1998,0))=0,"S/D",INDEX(Movimientos!$M$2:$M$1998,MATCH(A11&amp;"ENTRADA",Movimientos!$R$2:$R$1998,0))),"S/D")</f>
        <v>46725</v>
      </c>
      <c r="I11" s="15">
        <f t="shared" ca="1" si="2"/>
        <v>584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 ht="14.25">
      <c r="A12" s="16" t="s">
        <v>149</v>
      </c>
      <c r="B12" s="2" t="str">
        <f>IFERROR(INDEX(Movimientos!$C$2:$C$1998,MATCH(A12&amp;"ENTRADA",Movimientos!$R$2:$R$1998,0)),"-")</f>
        <v>Raigrás E284</v>
      </c>
      <c r="C12" s="2" t="str">
        <f>IFERROR(INDEX(Movimientos!$D$2:$D$1998,MATCH(A12&amp;"ENTRADA",Movimientos!$R$2:$R$1998,0)),"-")</f>
        <v>Estanzuela 284</v>
      </c>
      <c r="D12" s="2" t="str">
        <f>IFERROR(INDEX(Movimientos!$E$2:$E$1998,MATCH(A12&amp;"ENTRADA",Movimientos!$R$2:$R$1998,0)),"-")</f>
        <v>Semilla</v>
      </c>
      <c r="E12" s="2" t="str">
        <f>IFERROR(INDEX(Movimientos!$F$2:$F$1998,MATCH(A12&amp;"ENTRADA",Movimientos!$R$2:$R$1998,0)),"-")</f>
        <v>Raigrás</v>
      </c>
      <c r="F12" s="2" t="str">
        <f>IFERROR(INDEX(Movimientos!$G$2:$G$1998,MATCH(A12&amp;"ENTRADA",Movimientos!$R$2:$R$1998,0)),"-")</f>
        <v>Granicor</v>
      </c>
      <c r="G12" s="2" t="str">
        <f>IFERROR(INDEX(Movimientos!$L$2:$L$1998,MATCH(A12&amp;"ENTRADA",Movimientos!$R$2:$R$1998,0)),"-")</f>
        <v>kg</v>
      </c>
      <c r="H12" s="17" t="str">
        <f>IFERROR(IF(INDEX(Movimientos!$M$2:$M$1998,MATCH(A12&amp;"ENTRADA",Movimientos!$R$2:$R$1998,0))=0,"S/D",INDEX(Movimientos!$M$2:$M$1998,MATCH(A12&amp;"ENTRADA",Movimientos!$R$2:$R$1998,0))),"S/D")</f>
        <v>S/D</v>
      </c>
      <c r="I12" s="15" t="str">
        <f t="shared" ca="1" si="2"/>
        <v>S/D</v>
      </c>
      <c r="J12" s="5">
        <f>IF(A12="","",SUMIFS(Movimientos!$K:$K,Movimientos!$H:$H,A12))</f>
        <v>6425</v>
      </c>
      <c r="K12" s="13" t="str">
        <f t="shared" ca="1" si="1"/>
        <v>OK</v>
      </c>
    </row>
    <row r="13" spans="1:11" ht="14.25">
      <c r="A13" s="16" t="s">
        <v>99</v>
      </c>
      <c r="B13" s="2" t="str">
        <f>IFERROR(INDEX(Movimientos!$C$2:$C$1998,MATCH(A13&amp;"ENTRADA",Movimientos!$R$2:$R$1998,0)),"-")</f>
        <v>Starane Xtra</v>
      </c>
      <c r="C13" s="2" t="str">
        <f>IFERROR(INDEX(Movimientos!$D$2:$D$1998,MATCH(A13&amp;"ENTRADA",Movimientos!$R$2:$R$1998,0)),"-")</f>
        <v>Fluroxypyr Meptil 45,52%</v>
      </c>
      <c r="D13" s="2" t="str">
        <f>IFERROR(INDEX(Movimientos!$E$2:$E$1998,MATCH(A13&amp;"ENTRADA",Movimientos!$R$2:$R$1998,0)),"-")</f>
        <v>Herbicida</v>
      </c>
      <c r="E13" s="2" t="str">
        <f>IFERROR(INDEX(Movimientos!$F$2:$F$1998,MATCH(A13&amp;"ENTRADA",Movimientos!$R$2:$R$1998,0)),"-")</f>
        <v>Postemergente</v>
      </c>
      <c r="F13" s="2" t="str">
        <f>IFERROR(INDEX(Movimientos!$G$2:$G$1998,MATCH(A13&amp;"ENTRADA",Movimientos!$R$2:$R$1998,0)),"-")</f>
        <v>GS Agro</v>
      </c>
      <c r="G13" s="2" t="str">
        <f>IFERROR(INDEX(Movimientos!$L$2:$L$1998,MATCH(A13&amp;"ENTRADA",Movimientos!$R$2:$R$1998,0)),"-")</f>
        <v>L</v>
      </c>
      <c r="H13" s="17">
        <f>IFERROR(IF(INDEX(Movimientos!$M$2:$M$1998,MATCH(A13&amp;"ENTRADA",Movimientos!$R$2:$R$1998,0))=0,"S/D",INDEX(Movimientos!$M$2:$M$1998,MATCH(A13&amp;"ENTRADA",Movimientos!$R$2:$R$1998,0))),"S/D")</f>
        <v>46509</v>
      </c>
      <c r="I13" s="15">
        <f t="shared" ca="1" si="2"/>
        <v>368</v>
      </c>
      <c r="J13" s="5">
        <f>IF(A13="","",SUMIFS(Movimientos!$K:$K,Movimientos!$H:$H,A13))</f>
        <v>280</v>
      </c>
      <c r="K13" s="13" t="str">
        <f t="shared" ca="1" si="1"/>
        <v>OK</v>
      </c>
    </row>
    <row r="14" spans="1:11" ht="14.25">
      <c r="A14" s="16" t="s">
        <v>102</v>
      </c>
      <c r="B14" s="2" t="str">
        <f>IFERROR(INDEX(Movimientos!$C$2:$C$1998,MATCH(A14&amp;"ENTRADA",Movimientos!$R$2:$R$1998,0)),"-")</f>
        <v>Pixxaro</v>
      </c>
      <c r="C14" s="2" t="str">
        <f>IFERROR(INDEX(Movimientos!$D$2:$D$1998,MATCH(A14&amp;"ENTRADA",Movimientos!$R$2:$R$1998,0)),"-")</f>
        <v>Fluroxypyr meptyl 34,91% + Halauxyfen methyl 1.64% + Cloquintocet mexyl 1.57%</v>
      </c>
      <c r="D14" s="2" t="str">
        <f>IFERROR(INDEX(Movimientos!$E$2:$E$1998,MATCH(A14&amp;"ENTRADA",Movimientos!$R$2:$R$1998,0)),"-")</f>
        <v>Herbicida</v>
      </c>
      <c r="E14" s="2" t="str">
        <f>IFERROR(INDEX(Movimientos!$F$2:$F$1998,MATCH(A14&amp;"ENTRADA",Movimientos!$R$2:$R$1998,0)),"-")</f>
        <v>Postemergente</v>
      </c>
      <c r="F14" s="2" t="str">
        <f>IFERROR(INDEX(Movimientos!$G$2:$G$1998,MATCH(A14&amp;"ENTRADA",Movimientos!$R$2:$R$1998,0)),"-")</f>
        <v>GS Agro</v>
      </c>
      <c r="G14" s="2" t="str">
        <f>IFERROR(INDEX(Movimientos!$L$2:$L$1998,MATCH(A14&amp;"ENTRADA",Movimientos!$R$2:$R$1998,0)),"-")</f>
        <v>L</v>
      </c>
      <c r="H14" s="17">
        <f>IFERROR(IF(INDEX(Movimientos!$M$2:$M$1998,MATCH(A14&amp;"ENTRADA",Movimientos!$R$2:$R$1998,0))=0,"S/D",INDEX(Movimientos!$M$2:$M$1998,MATCH(A14&amp;"ENTRADA",Movimientos!$R$2:$R$1998,0))),"S/D")</f>
        <v>46397</v>
      </c>
      <c r="I14" s="15">
        <f t="shared" ca="1" si="2"/>
        <v>256</v>
      </c>
      <c r="J14" s="5">
        <f>IF(A14="","",SUMIFS(Movimientos!$K:$K,Movimientos!$H:$H,A14))</f>
        <v>120</v>
      </c>
      <c r="K14" s="13" t="str">
        <f t="shared" ca="1" si="1"/>
        <v>OK</v>
      </c>
    </row>
    <row r="15" spans="1:11" ht="14.25">
      <c r="A15" s="16" t="s">
        <v>273</v>
      </c>
      <c r="B15" s="2" t="str">
        <f>IFERROR(INDEX(Movimientos!$C$2:$C$1998,MATCH(A15&amp;"ENTRADA",Movimientos!$R$2:$R$1998,0)),"-")</f>
        <v>Colza Hyola 575 CL</v>
      </c>
      <c r="C15" s="2" t="str">
        <f>IFERROR(INDEX(Movimientos!$D$2:$D$1998,MATCH(A15&amp;"ENTRADA",Movimientos!$R$2:$R$1998,0)),"-")</f>
        <v>HYOLA 575 CL</v>
      </c>
      <c r="D15" s="2" t="str">
        <f>IFERROR(INDEX(Movimientos!$E$2:$E$1998,MATCH(A15&amp;"ENTRADA",Movimientos!$R$2:$R$1998,0)),"-")</f>
        <v>Semilla</v>
      </c>
      <c r="E15" s="2" t="str">
        <f>IFERROR(INDEX(Movimientos!$F$2:$F$1998,MATCH(A15&amp;"ENTRADA",Movimientos!$R$2:$R$1998,0)),"-")</f>
        <v>Colza</v>
      </c>
      <c r="F15" s="2" t="str">
        <f>IFERROR(INDEX(Movimientos!$G$2:$G$1998,MATCH(A15&amp;"ENTRADA",Movimientos!$R$2:$R$1998,0)),"-")</f>
        <v>ERRO</v>
      </c>
      <c r="G15" s="2" t="str">
        <f>IFERROR(INDEX(Movimientos!$L$2:$L$1998,MATCH(A15&amp;"ENTRADA",Movimientos!$R$2:$R$1998,0)),"-")</f>
        <v>kg</v>
      </c>
      <c r="H15" s="17" t="str">
        <f>IFERROR(IF(INDEX(Movimientos!$M$2:$M$1998,MATCH(A15&amp;"ENTRADA",Movimientos!$R$2:$R$1998,0))=0,"S/D",INDEX(Movimientos!$M$2:$M$1998,MATCH(A15&amp;"ENTRADA",Movimientos!$R$2:$R$1998,0))),"S/D")</f>
        <v>S/D</v>
      </c>
      <c r="I15" s="15" t="str">
        <f t="shared" ca="1" si="2"/>
        <v>S/D</v>
      </c>
      <c r="J15" s="5">
        <f>IF(A15="","",SUMIFS(Movimientos!$K:$K,Movimientos!$H:$H,A15))</f>
        <v>1860</v>
      </c>
      <c r="K15" s="13" t="str">
        <f t="shared" ca="1" si="1"/>
        <v>OK</v>
      </c>
    </row>
    <row r="16" spans="1:11" ht="14.25">
      <c r="A16" s="16" t="s">
        <v>212</v>
      </c>
      <c r="B16" s="2" t="str">
        <f>IFERROR(INDEX(Movimientos!$C$2:$C$1998,MATCH(A16&amp;"ENTRADA",Movimientos!$R$2:$R$1998,0)),"-")</f>
        <v>Colza Apolo CL</v>
      </c>
      <c r="C16" s="2" t="str">
        <f>IFERROR(INDEX(Movimientos!$D$2:$D$1998,MATCH(A16&amp;"ENTRADA",Movimientos!$R$2:$R$1998,0)),"-")</f>
        <v>APOLO CL</v>
      </c>
      <c r="D16" s="2" t="str">
        <f>IFERROR(INDEX(Movimientos!$E$2:$E$1998,MATCH(A16&amp;"ENTRADA",Movimientos!$R$2:$R$1998,0)),"-")</f>
        <v>Semilla</v>
      </c>
      <c r="E16" s="2" t="str">
        <f>IFERROR(INDEX(Movimientos!$F$2:$F$1998,MATCH(A16&amp;"ENTRADA",Movimientos!$R$2:$R$1998,0)),"-")</f>
        <v>Colza</v>
      </c>
      <c r="F16" s="2" t="str">
        <f>IFERROR(INDEX(Movimientos!$G$2:$G$1998,MATCH(A16&amp;"ENTRADA",Movimientos!$R$2:$R$1998,0)),"-")</f>
        <v>ERRO</v>
      </c>
      <c r="G16" s="2" t="str">
        <f>IFERROR(INDEX(Movimientos!$L$2:$L$1998,MATCH(A16&amp;"ENTRADA",Movimientos!$R$2:$R$1998,0)),"-")</f>
        <v>kg</v>
      </c>
      <c r="H16" s="17" t="str">
        <f>IFERROR(IF(INDEX(Movimientos!$M$2:$M$1998,MATCH(A16&amp;"ENTRADA",Movimientos!$R$2:$R$1998,0))=0,"S/D",INDEX(Movimientos!$M$2:$M$1998,MATCH(A16&amp;"ENTRADA",Movimientos!$R$2:$R$1998,0))),"S/D")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 ht="14.25">
      <c r="A17" s="16" t="s">
        <v>119</v>
      </c>
      <c r="B17" s="2" t="str">
        <f>IFERROR(INDEX(Movimientos!$C$2:$C$1998,MATCH(A17&amp;"ENTRADA",Movimientos!$R$2:$R$1998,0)),"-")</f>
        <v>Azuka</v>
      </c>
      <c r="C17" s="2" t="str">
        <f>IFERROR(INDEX(Movimientos!$D$2:$D$1998,MATCH(A17&amp;"ENTRADA",Movimientos!$R$2:$R$1998,0)),"-")</f>
        <v>Glifosato Sal DMA 608 g/L. Equivalente en glifosato 480 g/L</v>
      </c>
      <c r="D17" s="2" t="str">
        <f>IFERROR(INDEX(Movimientos!$E$2:$E$1998,MATCH(A17&amp;"ENTRADA",Movimientos!$R$2:$R$1998,0)),"-")</f>
        <v>Herbicida</v>
      </c>
      <c r="E17" s="2" t="str">
        <f>IFERROR(INDEX(Movimientos!$F$2:$F$1998,MATCH(A17&amp;"ENTRADA",Movimientos!$R$2:$R$1998,0)),"-")</f>
        <v>Postemergente</v>
      </c>
      <c r="F17" s="2" t="str">
        <f>IFERROR(INDEX(Movimientos!$G$2:$G$1998,MATCH(A17&amp;"ENTRADA",Movimientos!$R$2:$R$1998,0)),"-")</f>
        <v>Proquimur</v>
      </c>
      <c r="G17" s="2" t="str">
        <f>IFERROR(INDEX(Movimientos!$L$2:$L$1998,MATCH(A17&amp;"ENTRADA",Movimientos!$R$2:$R$1998,0)),"-")</f>
        <v>L</v>
      </c>
      <c r="H17" s="17">
        <f>IFERROR(IF(INDEX(Movimientos!$M$2:$M$1998,MATCH(A17&amp;"ENTRADA",Movimientos!$R$2:$R$1998,0))=0,"S/D",INDEX(Movimientos!$M$2:$M$1998,MATCH(A17&amp;"ENTRADA",Movimientos!$R$2:$R$1998,0))),"S/D")</f>
        <v>46692</v>
      </c>
      <c r="I17" s="15">
        <f t="shared" ca="1" si="2"/>
        <v>551</v>
      </c>
      <c r="J17" s="5">
        <f>IF(A17="","",SUMIFS(Movimientos!$K:$K,Movimientos!$H:$H,A17))</f>
        <v>70620</v>
      </c>
      <c r="K17" s="13" t="str">
        <f t="shared" ca="1" si="1"/>
        <v>OK</v>
      </c>
    </row>
    <row r="18" spans="1:11" ht="14.25">
      <c r="A18" s="16" t="s">
        <v>201</v>
      </c>
      <c r="B18" s="2" t="str">
        <f>IFERROR(INDEX(Movimientos!$C$2:$C$1998,MATCH(A18&amp;"ENTRADA",Movimientos!$R$2:$R$1998,0)),"-")</f>
        <v>Pardo</v>
      </c>
      <c r="C18" s="2" t="str">
        <f>IFERROR(INDEX(Movimientos!$D$2:$D$1998,MATCH(A18&amp;"ENTRADA",Movimientos!$R$2:$R$1998,0)),"-")</f>
        <v>Clethodim 240 g/L</v>
      </c>
      <c r="D18" s="2" t="str">
        <f>IFERROR(INDEX(Movimientos!$E$2:$E$1998,MATCH(A18&amp;"ENTRADA",Movimientos!$R$2:$R$1998,0)),"-")</f>
        <v>Herbicida</v>
      </c>
      <c r="E18" s="2" t="str">
        <f>IFERROR(INDEX(Movimientos!$F$2:$F$1998,MATCH(A18&amp;"ENTRADA",Movimientos!$R$2:$R$1998,0)),"-")</f>
        <v>Postemergente</v>
      </c>
      <c r="F18" s="2" t="str">
        <f>IFERROR(INDEX(Movimientos!$G$2:$G$1998,MATCH(A18&amp;"ENTRADA",Movimientos!$R$2:$R$1998,0)),"-")</f>
        <v>Proquimur</v>
      </c>
      <c r="G18" s="2" t="str">
        <f>IFERROR(INDEX(Movimientos!$L$2:$L$1998,MATCH(A18&amp;"ENTRADA",Movimientos!$R$2:$R$1998,0)),"-")</f>
        <v>L</v>
      </c>
      <c r="H18" s="17">
        <f>IFERROR(IF(INDEX(Movimientos!$M$2:$M$1998,MATCH(A18&amp;"ENTRADA",Movimientos!$R$2:$R$1998,0))=0,"S/D",INDEX(Movimientos!$M$2:$M$1998,MATCH(A18&amp;"ENTRADA",Movimientos!$R$2:$R$1998,0))),"S/D")</f>
        <v>46753</v>
      </c>
      <c r="I18" s="15">
        <f t="shared" ca="1" si="2"/>
        <v>612</v>
      </c>
      <c r="J18" s="5">
        <f>IF(A18="","",SUMIFS(Movimientos!$K:$K,Movimientos!$H:$H,A18))</f>
        <v>16920</v>
      </c>
      <c r="K18" s="13" t="str">
        <f t="shared" ca="1" si="1"/>
        <v>OK</v>
      </c>
    </row>
    <row r="19" spans="1:11" ht="14.25">
      <c r="A19" s="16" t="s">
        <v>207</v>
      </c>
      <c r="B19" s="2" t="str">
        <f>IFERROR(INDEX(Movimientos!$C$2:$C$1998,MATCH(A19&amp;"ENTRADA",Movimientos!$R$2:$R$1998,0)),"-")</f>
        <v>Harrier</v>
      </c>
      <c r="C19" s="2" t="str">
        <f>IFERROR(INDEX(Movimientos!$D$2:$D$1998,MATCH(A19&amp;"ENTRADA",Movimientos!$R$2:$R$1998,0)),"-")</f>
        <v>ALCOHOL LINEAL ETOXILADO 32.7%</v>
      </c>
      <c r="D19" s="2" t="str">
        <f>IFERROR(INDEX(Movimientos!$E$2:$E$1998,MATCH(A19&amp;"ENTRADA",Movimientos!$R$2:$R$1998,0)),"-")</f>
        <v>Coadyuvante</v>
      </c>
      <c r="E19" s="2">
        <f>IFERROR(INDEX(Movimientos!$F$2:$F$1998,MATCH(A19&amp;"ENTRADA",Movimientos!$R$2:$R$1998,0)),"-")</f>
        <v>0</v>
      </c>
      <c r="F19" s="2" t="str">
        <f>IFERROR(INDEX(Movimientos!$G$2:$G$1998,MATCH(A19&amp;"ENTRADA",Movimientos!$R$2:$R$1998,0)),"-")</f>
        <v>Don asdrual</v>
      </c>
      <c r="G19" s="2" t="str">
        <f>IFERROR(INDEX(Movimientos!$L$2:$L$1998,MATCH(A19&amp;"ENTRADA",Movimientos!$R$2:$R$1998,0)),"-")</f>
        <v>L</v>
      </c>
      <c r="H19" s="17">
        <f>IFERROR(IF(INDEX(Movimientos!$M$2:$M$1998,MATCH(A19&amp;"ENTRADA",Movimientos!$R$2:$R$1998,0))=0,"S/D",INDEX(Movimientos!$M$2:$M$1998,MATCH(A19&amp;"ENTRADA",Movimientos!$R$2:$R$1998,0))),"S/D")</f>
        <v>46661</v>
      </c>
      <c r="I19" s="15">
        <f t="shared" ca="1" si="2"/>
        <v>520</v>
      </c>
      <c r="J19" s="5">
        <f>IF(A19="","",SUMIFS(Movimientos!$K:$K,Movimientos!$H:$H,A19))</f>
        <v>880</v>
      </c>
      <c r="K19" s="13" t="str">
        <f t="shared" ca="1" si="1"/>
        <v>OK</v>
      </c>
    </row>
    <row r="20" spans="1:11" ht="14.25">
      <c r="A20" s="16" t="s">
        <v>217</v>
      </c>
      <c r="B20" s="2" t="str">
        <f>IFERROR(INDEX(Movimientos!$C$2:$C$1998,MATCH(A20&amp;"ENTRADA",Movimientos!$R$2:$R$1998,0)),"-")</f>
        <v>Harrier</v>
      </c>
      <c r="C20" s="2" t="str">
        <f>IFERROR(INDEX(Movimientos!$D$2:$D$1998,MATCH(A20&amp;"ENTRADA",Movimientos!$R$2:$R$1998,0)),"-")</f>
        <v>ALCOHOL LINEAL ETOXILADO 32.7%</v>
      </c>
      <c r="D20" s="2" t="str">
        <f>IFERROR(INDEX(Movimientos!$E$2:$E$1998,MATCH(A20&amp;"ENTRADA",Movimientos!$R$2:$R$1998,0)),"-")</f>
        <v>Coadyuvante</v>
      </c>
      <c r="E20" s="2">
        <f>IFERROR(INDEX(Movimientos!$F$2:$F$1998,MATCH(A20&amp;"ENTRADA",Movimientos!$R$2:$R$1998,0)),"-")</f>
        <v>0</v>
      </c>
      <c r="F20" s="2" t="str">
        <f>IFERROR(INDEX(Movimientos!$G$2:$G$1998,MATCH(A20&amp;"ENTRADA",Movimientos!$R$2:$R$1998,0)),"-")</f>
        <v>Don asdrual</v>
      </c>
      <c r="G20" s="2" t="str">
        <f>IFERROR(INDEX(Movimientos!$L$2:$L$1998,MATCH(A20&amp;"ENTRADA",Movimientos!$R$2:$R$1998,0)),"-")</f>
        <v>L</v>
      </c>
      <c r="H20" s="17">
        <f>IFERROR(IF(INDEX(Movimientos!$M$2:$M$1998,MATCH(A20&amp;"ENTRADA",Movimientos!$R$2:$R$1998,0))=0,"S/D",INDEX(Movimientos!$M$2:$M$1998,MATCH(A20&amp;"ENTRADA",Movimientos!$R$2:$R$1998,0))),"S/D")</f>
        <v>46813</v>
      </c>
      <c r="I20" s="15">
        <f t="shared" ca="1" si="2"/>
        <v>672</v>
      </c>
      <c r="J20" s="5">
        <f>IF(A20="","",SUMIFS(Movimientos!$K:$K,Movimientos!$H:$H,A20))</f>
        <v>4820</v>
      </c>
      <c r="K20" s="13" t="str">
        <f t="shared" ca="1" si="1"/>
        <v>OK</v>
      </c>
    </row>
    <row r="21" spans="1:11" ht="14.25">
      <c r="A21" s="16" t="s">
        <v>209</v>
      </c>
      <c r="B21" s="2" t="str">
        <f>IFERROR(INDEX(Movimientos!$C$2:$C$1998,MATCH(A21&amp;"ENTRADA",Movimientos!$R$2:$R$1998,0)),"-")</f>
        <v>Full control</v>
      </c>
      <c r="C21" s="2" t="str">
        <f>IFERROR(INDEX(Movimientos!$D$2:$D$1998,MATCH(A21&amp;"ENTRADA",Movimientos!$R$2:$R$1998,0)),"-")</f>
        <v>ACIDO FOSFORICO 23 g</v>
      </c>
      <c r="D21" s="2" t="str">
        <f>IFERROR(INDEX(Movimientos!$E$2:$E$1998,MATCH(A21&amp;"ENTRADA",Movimientos!$R$2:$R$1998,0)),"-")</f>
        <v>Coadyuvante</v>
      </c>
      <c r="E21" s="2">
        <f>IFERROR(INDEX(Movimientos!$F$2:$F$1998,MATCH(A21&amp;"ENTRADA",Movimientos!$R$2:$R$1998,0)),"-")</f>
        <v>0</v>
      </c>
      <c r="F21" s="2" t="str">
        <f>IFERROR(INDEX(Movimientos!$G$2:$G$1998,MATCH(A21&amp;"ENTRADA",Movimientos!$R$2:$R$1998,0)),"-")</f>
        <v>Don asdrual</v>
      </c>
      <c r="G21" s="2" t="str">
        <f>IFERROR(INDEX(Movimientos!$L$2:$L$1998,MATCH(A21&amp;"ENTRADA",Movimientos!$R$2:$R$1998,0)),"-")</f>
        <v>L</v>
      </c>
      <c r="H21" s="17">
        <f>IFERROR(IF(INDEX(Movimientos!$M$2:$M$1998,MATCH(A21&amp;"ENTRADA",Movimientos!$R$2:$R$1998,0))=0,"S/D",INDEX(Movimientos!$M$2:$M$1998,MATCH(A21&amp;"ENTRADA",Movimientos!$R$2:$R$1998,0))),"S/D")</f>
        <v>46661</v>
      </c>
      <c r="I21" s="15">
        <f t="shared" ca="1" si="2"/>
        <v>520</v>
      </c>
      <c r="J21" s="5">
        <f>IF(A21="","",SUMIFS(Movimientos!$K:$K,Movimientos!$H:$H,A21))</f>
        <v>1140</v>
      </c>
      <c r="K21" s="13" t="str">
        <f t="shared" ca="1" si="1"/>
        <v>OK</v>
      </c>
    </row>
    <row r="22" spans="1:11" ht="14.25">
      <c r="A22" s="16" t="s">
        <v>2189</v>
      </c>
      <c r="B22" s="2" t="str">
        <f>IFERROR(INDEX(Movimientos!$C$2:$C$1998,MATCH(A22&amp;"ENTRADA",Movimientos!$R$2:$R$1998,0)),"-")</f>
        <v>Maxi Drop</v>
      </c>
      <c r="C22" s="2" t="str">
        <f>IFERROR(INDEX(Movimientos!$D$2:$D$1998,MATCH(A22&amp;"ENTRADA",Movimientos!$R$2:$R$1998,0)),"-")</f>
        <v>ACEITE DE SOJA 48 g</v>
      </c>
      <c r="D22" s="2" t="str">
        <f>IFERROR(INDEX(Movimientos!$E$2:$E$1998,MATCH(A22&amp;"ENTRADA",Movimientos!$R$2:$R$1998,0)),"-")</f>
        <v>Coadyuvante</v>
      </c>
      <c r="E22" s="2">
        <f>IFERROR(INDEX(Movimientos!$F$2:$F$1998,MATCH(A22&amp;"ENTRADA",Movimientos!$R$2:$R$1998,0)),"-")</f>
        <v>0</v>
      </c>
      <c r="F22" s="2" t="str">
        <f>IFERROR(INDEX(Movimientos!$G$2:$G$1998,MATCH(A22&amp;"ENTRADA",Movimientos!$R$2:$R$1998,0)),"-")</f>
        <v>Don asdrual</v>
      </c>
      <c r="G22" s="2" t="str">
        <f>IFERROR(INDEX(Movimientos!$L$2:$L$1998,MATCH(A22&amp;"ENTRADA",Movimientos!$R$2:$R$1998,0)),"-")</f>
        <v>L</v>
      </c>
      <c r="H22" s="17">
        <f>IFERROR(IF(INDEX(Movimientos!$M$2:$M$1998,MATCH(A22&amp;"ENTRADA",Movimientos!$R$2:$R$1998,0))=0,"S/D",INDEX(Movimientos!$M$2:$M$1998,MATCH(A22&amp;"ENTRADA",Movimientos!$R$2:$R$1998,0))),"S/D")</f>
        <v>46388</v>
      </c>
      <c r="I22" s="15">
        <f t="shared" ca="1" si="2"/>
        <v>247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 ht="14.25">
      <c r="A23" s="16" t="s">
        <v>2190</v>
      </c>
      <c r="B23" s="2" t="str">
        <f>IFERROR(INDEX(Movimientos!$C$2:$C$1998,MATCH(A23&amp;"ENTRADA",Movimientos!$R$2:$R$1998,0)),"-")</f>
        <v>Axial</v>
      </c>
      <c r="C23" s="2" t="str">
        <f>IFERROR(INDEX(Movimientos!$D$2:$D$1998,MATCH(A23&amp;"ENTRADA",Movimientos!$R$2:$R$1998,0)),"-")</f>
        <v>PINOXADEN 5 GR + CLOQUINTOCET-MEXIL 1.25 GR</v>
      </c>
      <c r="D23" s="2" t="str">
        <f>IFERROR(INDEX(Movimientos!$E$2:$E$1998,MATCH(A23&amp;"ENTRADA",Movimientos!$R$2:$R$1998,0)),"-")</f>
        <v>Herbicida</v>
      </c>
      <c r="E23" s="2" t="str">
        <f>IFERROR(INDEX(Movimientos!$F$2:$F$1998,MATCH(A23&amp;"ENTRADA",Movimientos!$R$2:$R$1998,0)),"-")</f>
        <v>Postemergente</v>
      </c>
      <c r="F23" s="2" t="str">
        <f>IFERROR(INDEX(Movimientos!$G$2:$G$1998,MATCH(A23&amp;"ENTRADA",Movimientos!$R$2:$R$1998,0)),"-")</f>
        <v>GS Agro</v>
      </c>
      <c r="G23" s="2" t="str">
        <f>IFERROR(INDEX(Movimientos!$L$2:$L$1998,MATCH(A23&amp;"ENTRADA",Movimientos!$R$2:$R$1998,0)),"-")</f>
        <v>L</v>
      </c>
      <c r="H23" s="17" t="str">
        <f>IFERROR(IF(INDEX(Movimientos!$M$2:$M$1998,MATCH(A23&amp;"ENTRADA",Movimientos!$R$2:$R$1998,0))=0,"S/D",INDEX(Movimientos!$M$2:$M$1998,MATCH(A23&amp;"ENTRADA",Movimientos!$R$2:$R$1998,0))),"S/D")</f>
        <v>S/D</v>
      </c>
      <c r="I23" s="15" t="str">
        <f t="shared" ca="1" si="2"/>
        <v>S/D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 ht="14.25">
      <c r="A24" s="16" t="s">
        <v>2191</v>
      </c>
      <c r="B24" s="2" t="str">
        <f>IFERROR(INDEX(Movimientos!$C$2:$C$1998,MATCH(A24&amp;"ENTRADA",Movimientos!$R$2:$R$1998,0)),"-")</f>
        <v>Colza Nuola 300</v>
      </c>
      <c r="C24" s="2" t="str">
        <f>IFERROR(INDEX(Movimientos!$D$2:$D$1998,MATCH(A24&amp;"ENTRADA",Movimientos!$R$2:$R$1998,0)),"-")</f>
        <v>Nuola 300</v>
      </c>
      <c r="D24" s="2" t="str">
        <f>IFERROR(INDEX(Movimientos!$E$2:$E$1998,MATCH(A24&amp;"ENTRADA",Movimientos!$R$2:$R$1998,0)),"-")</f>
        <v>Semilla</v>
      </c>
      <c r="E24" s="2" t="str">
        <f>IFERROR(INDEX(Movimientos!$F$2:$F$1998,MATCH(A24&amp;"ENTRADA",Movimientos!$R$2:$R$1998,0)),"-")</f>
        <v>Colza</v>
      </c>
      <c r="F24" s="2" t="str">
        <f>IFERROR(INDEX(Movimientos!$G$2:$G$1998,MATCH(A24&amp;"ENTRADA",Movimientos!$R$2:$R$1998,0)),"-")</f>
        <v>Agroterra</v>
      </c>
      <c r="G24" s="2" t="str">
        <f>IFERROR(INDEX(Movimientos!$L$2:$L$1998,MATCH(A24&amp;"ENTRADA",Movimientos!$R$2:$R$1998,0)),"-")</f>
        <v>kg</v>
      </c>
      <c r="H24" s="17" t="str">
        <f>IFERROR(IF(INDEX(Movimientos!$M$2:$M$1998,MATCH(A24&amp;"ENTRADA",Movimientos!$R$2:$R$1998,0))=0,"S/D",INDEX(Movimientos!$M$2:$M$1998,MATCH(A24&amp;"ENTRADA",Movimientos!$R$2:$R$1998,0))),"S/D")</f>
        <v>S/D</v>
      </c>
      <c r="I24" s="15" t="str">
        <f t="shared" ca="1" si="2"/>
        <v>S/D</v>
      </c>
      <c r="J24" s="5">
        <f>IF(A24="","",SUMIFS(Movimientos!$K:$K,Movimientos!$H:$H,A24))</f>
        <v>3200</v>
      </c>
      <c r="K24" s="13" t="str">
        <f t="shared" ca="1" si="1"/>
        <v>OK</v>
      </c>
    </row>
    <row r="25" spans="1:11" ht="14.25">
      <c r="A25" s="16" t="s">
        <v>235</v>
      </c>
      <c r="B25" s="2" t="str">
        <f>IFERROR(INDEX(Movimientos!$C$2:$C$1998,MATCH(A25&amp;"ENTRADA",Movimientos!$R$2:$R$1998,0)),"-")</f>
        <v>Colza Ceres IMI</v>
      </c>
      <c r="C25" s="2" t="str">
        <f>IFERROR(INDEX(Movimientos!$D$2:$D$1998,MATCH(A25&amp;"ENTRADA",Movimientos!$R$2:$R$1998,0)),"-")</f>
        <v>Ceres IMI</v>
      </c>
      <c r="D25" s="2" t="str">
        <f>IFERROR(INDEX(Movimientos!$E$2:$E$1998,MATCH(A25&amp;"ENTRADA",Movimientos!$R$2:$R$1998,0)),"-")</f>
        <v>Semilla</v>
      </c>
      <c r="E25" s="2" t="str">
        <f>IFERROR(INDEX(Movimientos!$F$2:$F$1998,MATCH(A25&amp;"ENTRADA",Movimientos!$R$2:$R$1998,0)),"-")</f>
        <v>Colza</v>
      </c>
      <c r="F25" s="2" t="str">
        <f>IFERROR(INDEX(Movimientos!$G$2:$G$1998,MATCH(A25&amp;"ENTRADA",Movimientos!$R$2:$R$1998,0)),"-")</f>
        <v>Agroterra</v>
      </c>
      <c r="G25" s="2" t="str">
        <f>IFERROR(INDEX(Movimientos!$L$2:$L$1998,MATCH(A25&amp;"ENTRADA",Movimientos!$R$2:$R$1998,0)),"-")</f>
        <v>kg</v>
      </c>
      <c r="H25" s="17" t="str">
        <f>IFERROR(IF(INDEX(Movimientos!$M$2:$M$1998,MATCH(A25&amp;"ENTRADA",Movimientos!$R$2:$R$1998,0))=0,"S/D",INDEX(Movimientos!$M$2:$M$1998,MATCH(A25&amp;"ENTRADA",Movimientos!$R$2:$R$1998,0))),"S/D")</f>
        <v>S/D</v>
      </c>
      <c r="I25" s="15" t="str">
        <f t="shared" ca="1" si="2"/>
        <v>S/D</v>
      </c>
      <c r="J25" s="5">
        <f>IF(A25="","",SUMIFS(Movimientos!$K:$K,Movimientos!$H:$H,A25))</f>
        <v>688</v>
      </c>
      <c r="K25" s="13" t="str">
        <f t="shared" ca="1" si="1"/>
        <v>OK</v>
      </c>
    </row>
    <row r="26" spans="1:11" ht="14.25">
      <c r="A26" s="16" t="s">
        <v>2192</v>
      </c>
      <c r="B26" s="2" t="str">
        <f>IFERROR(INDEX(Movimientos!$C$2:$C$1998,MATCH(A26&amp;"ENTRADA",Movimientos!$R$2:$R$1998,0)),"-")</f>
        <v>Festuca Carape</v>
      </c>
      <c r="C26" s="2" t="str">
        <f>IFERROR(INDEX(Movimientos!$D$2:$D$1998,MATCH(A26&amp;"ENTRADA",Movimientos!$R$2:$R$1998,0)),"-")</f>
        <v>Festuca Carape</v>
      </c>
      <c r="D26" s="2" t="str">
        <f>IFERROR(INDEX(Movimientos!$E$2:$E$1998,MATCH(A26&amp;"ENTRADA",Movimientos!$R$2:$R$1998,0)),"-")</f>
        <v>Semilla</v>
      </c>
      <c r="E26" s="2" t="str">
        <f>IFERROR(INDEX(Movimientos!$F$2:$F$1998,MATCH(A26&amp;"ENTRADA",Movimientos!$R$2:$R$1998,0)),"-")</f>
        <v>Festuca</v>
      </c>
      <c r="F26" s="2" t="str">
        <f>IFERROR(INDEX(Movimientos!$G$2:$G$1998,MATCH(A26&amp;"ENTRADA",Movimientos!$R$2:$R$1998,0)),"-")</f>
        <v>Megaagro</v>
      </c>
      <c r="G26" s="2" t="str">
        <f>IFERROR(INDEX(Movimientos!$L$2:$L$1998,MATCH(A26&amp;"ENTRADA",Movimientos!$R$2:$R$1998,0)),"-")</f>
        <v>kg</v>
      </c>
      <c r="H26" s="17" t="str">
        <f>IFERROR(IF(INDEX(Movimientos!$M$2:$M$1998,MATCH(A26&amp;"ENTRADA",Movimientos!$R$2:$R$1998,0))=0,"S/D",INDEX(Movimientos!$M$2:$M$1998,MATCH(A26&amp;"ENTRADA",Movimientos!$R$2:$R$1998,0))),"S/D")</f>
        <v>S/D</v>
      </c>
      <c r="I26" s="15" t="str">
        <f t="shared" ca="1" si="2"/>
        <v>S/D</v>
      </c>
      <c r="J26" s="5">
        <f>IF(A26="","",SUMIFS(Movimientos!$K:$K,Movimientos!$H:$H,A26))</f>
        <v>3400</v>
      </c>
      <c r="K26" s="13" t="str">
        <f t="shared" ca="1" si="1"/>
        <v>OK</v>
      </c>
    </row>
    <row r="27" spans="1:11" ht="14.25">
      <c r="A27" s="16" t="s">
        <v>2193</v>
      </c>
      <c r="B27" s="2" t="str">
        <f>IFERROR(INDEX(Movimientos!$C$2:$C$1998,MATCH(A27&amp;"ENTRADA",Movimientos!$R$2:$R$1998,0)),"-")</f>
        <v>Alfalfa Verdor</v>
      </c>
      <c r="C27" s="2" t="str">
        <f>IFERROR(INDEX(Movimientos!$D$2:$D$1998,MATCH(A27&amp;"ENTRADA",Movimientos!$R$2:$R$1998,0)),"-")</f>
        <v>Alfalfa Verdor momla 384-2n-04</v>
      </c>
      <c r="D27" s="2" t="str">
        <f>IFERROR(INDEX(Movimientos!$E$2:$E$1998,MATCH(A27&amp;"ENTRADA",Movimientos!$R$2:$R$1998,0)),"-")</f>
        <v>Semilla</v>
      </c>
      <c r="E27" s="2" t="str">
        <f>IFERROR(INDEX(Movimientos!$F$2:$F$1998,MATCH(A27&amp;"ENTRADA",Movimientos!$R$2:$R$1998,0)),"-")</f>
        <v>Alfalfa</v>
      </c>
      <c r="F27" s="2" t="str">
        <f>IFERROR(INDEX(Movimientos!$G$2:$G$1998,MATCH(A27&amp;"ENTRADA",Movimientos!$R$2:$R$1998,0)),"-")</f>
        <v>Megaagro</v>
      </c>
      <c r="G27" s="2" t="str">
        <f>IFERROR(INDEX(Movimientos!$L$2:$L$1998,MATCH(A27&amp;"ENTRADA",Movimientos!$R$2:$R$1998,0)),"-")</f>
        <v>kg</v>
      </c>
      <c r="H27" s="17" t="str">
        <f>IFERROR(IF(INDEX(Movimientos!$M$2:$M$1998,MATCH(A27&amp;"ENTRADA",Movimientos!$R$2:$R$1998,0))=0,"S/D",INDEX(Movimientos!$M$2:$M$1998,MATCH(A27&amp;"ENTRADA",Movimientos!$R$2:$R$1998,0))),"S/D")</f>
        <v>S/D</v>
      </c>
      <c r="I27" s="15" t="str">
        <f t="shared" ca="1" si="2"/>
        <v>S/D</v>
      </c>
      <c r="J27" s="5">
        <f>IF(A27="","",SUMIFS(Movimientos!$K:$K,Movimientos!$H:$H,A27))</f>
        <v>375</v>
      </c>
      <c r="K27" s="13" t="str">
        <f t="shared" ca="1" si="1"/>
        <v>OK</v>
      </c>
    </row>
    <row r="28" spans="1:11" ht="14.25">
      <c r="A28" s="16" t="s">
        <v>2194</v>
      </c>
      <c r="B28" s="2" t="str">
        <f>IFERROR(INDEX(Movimientos!$C$2:$C$1998,MATCH(A28&amp;"ENTRADA",Movimientos!$R$2:$R$1998,0)),"-")</f>
        <v>Achicora Inia Nova</v>
      </c>
      <c r="C28" s="2" t="str">
        <f>IFERROR(INDEX(Movimientos!$D$2:$D$1998,MATCH(A28&amp;"ENTRADA",Movimientos!$R$2:$R$1998,0)),"-")</f>
        <v xml:space="preserve">Achicora inia nova </v>
      </c>
      <c r="D28" s="2" t="str">
        <f>IFERROR(INDEX(Movimientos!$E$2:$E$1998,MATCH(A28&amp;"ENTRADA",Movimientos!$R$2:$R$1998,0)),"-")</f>
        <v>Semilla</v>
      </c>
      <c r="E28" s="2" t="str">
        <f>IFERROR(INDEX(Movimientos!$F$2:$F$1998,MATCH(A28&amp;"ENTRADA",Movimientos!$R$2:$R$1998,0)),"-")</f>
        <v>Achicoria</v>
      </c>
      <c r="F28" s="2" t="str">
        <f>IFERROR(INDEX(Movimientos!$G$2:$G$1998,MATCH(A28&amp;"ENTRADA",Movimientos!$R$2:$R$1998,0)),"-")</f>
        <v>Megaagro</v>
      </c>
      <c r="G28" s="2" t="str">
        <f>IFERROR(INDEX(Movimientos!$L$2:$L$1998,MATCH(A28&amp;"ENTRADA",Movimientos!$R$2:$R$1998,0)),"-")</f>
        <v>kg</v>
      </c>
      <c r="H28" s="17" t="str">
        <f>IFERROR(IF(INDEX(Movimientos!$M$2:$M$1998,MATCH(A28&amp;"ENTRADA",Movimientos!$R$2:$R$1998,0))=0,"S/D",INDEX(Movimientos!$M$2:$M$1998,MATCH(A28&amp;"ENTRADA",Movimientos!$R$2:$R$1998,0))),"S/D")</f>
        <v>S/D</v>
      </c>
      <c r="I28" s="15" t="str">
        <f t="shared" ca="1" si="2"/>
        <v>S/D</v>
      </c>
      <c r="J28" s="5">
        <f>IF(A28="","",SUMIFS(Movimientos!$K:$K,Movimientos!$H:$H,A28))</f>
        <v>750</v>
      </c>
      <c r="K28" s="13" t="str">
        <f t="shared" ca="1" si="1"/>
        <v>OK</v>
      </c>
    </row>
    <row r="29" spans="1:11" ht="14.25">
      <c r="A29" s="16" t="s">
        <v>2195</v>
      </c>
      <c r="B29" s="2" t="str">
        <f>IFERROR(INDEX(Movimientos!$C$2:$C$1998,MATCH(A29&amp;"ENTRADA",Movimientos!$R$2:$R$1998,0)),"-")</f>
        <v>Colza Nuola 300</v>
      </c>
      <c r="C29" s="2" t="str">
        <f>IFERROR(INDEX(Movimientos!$D$2:$D$1998,MATCH(A29&amp;"ENTRADA",Movimientos!$R$2:$R$1998,0)),"-")</f>
        <v>Nuola 300</v>
      </c>
      <c r="D29" s="2" t="str">
        <f>IFERROR(INDEX(Movimientos!$E$2:$E$1998,MATCH(A29&amp;"ENTRADA",Movimientos!$R$2:$R$1998,0)),"-")</f>
        <v>Semilla</v>
      </c>
      <c r="E29" s="2" t="str">
        <f>IFERROR(INDEX(Movimientos!$F$2:$F$1998,MATCH(A29&amp;"ENTRADA",Movimientos!$R$2:$R$1998,0)),"-")</f>
        <v>Colza</v>
      </c>
      <c r="F29" s="2" t="str">
        <f>IFERROR(INDEX(Movimientos!$G$2:$G$1998,MATCH(A29&amp;"ENTRADA",Movimientos!$R$2:$R$1998,0)),"-")</f>
        <v>Cargil</v>
      </c>
      <c r="G29" s="2" t="str">
        <f>IFERROR(INDEX(Movimientos!$L$2:$L$1998,MATCH(A29&amp;"ENTRADA",Movimientos!$R$2:$R$1998,0)),"-")</f>
        <v>kg</v>
      </c>
      <c r="H29" s="17" t="str">
        <f>IFERROR(IF(INDEX(Movimientos!$M$2:$M$1998,MATCH(A29&amp;"ENTRADA",Movimientos!$R$2:$R$1998,0))=0,"S/D",INDEX(Movimientos!$M$2:$M$1998,MATCH(A29&amp;"ENTRADA",Movimientos!$R$2:$R$1998,0))),"S/D")</f>
        <v>S/D</v>
      </c>
      <c r="I29" s="15" t="str">
        <f t="shared" ca="1" si="2"/>
        <v>S/D</v>
      </c>
      <c r="J29" s="5">
        <f>IF(A29="","",SUMIFS(Movimientos!$K:$K,Movimientos!$H:$H,A29))</f>
        <v>1600</v>
      </c>
      <c r="K29" s="13" t="str">
        <f t="shared" ca="1" si="1"/>
        <v>OK</v>
      </c>
    </row>
    <row r="30" spans="1:11" ht="14.25">
      <c r="A30" s="16" t="s">
        <v>2196</v>
      </c>
      <c r="B30" s="2" t="str">
        <f>IFERROR(INDEX(Movimientos!$C$2:$C$1998,MATCH(A30&amp;"ENTRADA",Movimientos!$R$2:$R$1998,0)),"-")</f>
        <v xml:space="preserve">Festuca Sortija C2 </v>
      </c>
      <c r="C30" s="2" t="str">
        <f>IFERROR(INDEX(Movimientos!$D$2:$D$1998,MATCH(A30&amp;"ENTRADA",Movimientos!$R$2:$R$1998,0)),"-")</f>
        <v>Festuca Sortija C2</v>
      </c>
      <c r="D30" s="2" t="str">
        <f>IFERROR(INDEX(Movimientos!$E$2:$E$1998,MATCH(A30&amp;"ENTRADA",Movimientos!$R$2:$R$1998,0)),"-")</f>
        <v>Semilla</v>
      </c>
      <c r="E30" s="2" t="str">
        <f>IFERROR(INDEX(Movimientos!$F$2:$F$1998,MATCH(A30&amp;"ENTRADA",Movimientos!$R$2:$R$1998,0)),"-")</f>
        <v>Festuca</v>
      </c>
      <c r="F30" s="2" t="str">
        <f>IFERROR(INDEX(Movimientos!$G$2:$G$1998,MATCH(A30&amp;"ENTRADA",Movimientos!$R$2:$R$1998,0)),"-")</f>
        <v>Agrofuturo</v>
      </c>
      <c r="G30" s="2" t="str">
        <f>IFERROR(INDEX(Movimientos!$L$2:$L$1998,MATCH(A30&amp;"ENTRADA",Movimientos!$R$2:$R$1998,0)),"-")</f>
        <v>kg</v>
      </c>
      <c r="H30" s="17" t="str">
        <f>IFERROR(IF(INDEX(Movimientos!$M$2:$M$1998,MATCH(A30&amp;"ENTRADA",Movimientos!$R$2:$R$1998,0))=0,"S/D",INDEX(Movimientos!$M$2:$M$1998,MATCH(A30&amp;"ENTRADA",Movimientos!$R$2:$R$1998,0))),"S/D")</f>
        <v>S/D</v>
      </c>
      <c r="I30" s="15" t="str">
        <f t="shared" ca="1" si="2"/>
        <v>S/D</v>
      </c>
      <c r="J30" s="5">
        <f>IF(A30="","",SUMIFS(Movimientos!$K:$K,Movimientos!$H:$H,A30))</f>
        <v>6800</v>
      </c>
      <c r="K30" s="13" t="str">
        <f t="shared" ca="1" si="1"/>
        <v>OK</v>
      </c>
    </row>
    <row r="31" spans="1:11" ht="14.25">
      <c r="A31" s="16" t="s">
        <v>2197</v>
      </c>
      <c r="B31" s="2" t="str">
        <f>IFERROR(INDEX(Movimientos!$C$2:$C$1998,MATCH(A31&amp;"ENTRADA",Movimientos!$R$2:$R$1998,0)),"-")</f>
        <v>Dactylis Drover</v>
      </c>
      <c r="C31" s="2" t="str">
        <f>IFERROR(INDEX(Movimientos!$D$2:$D$1998,MATCH(A31&amp;"ENTRADA",Movimientos!$R$2:$R$1998,0)),"-")</f>
        <v>Dactylis Drover ecotec af gram c2</v>
      </c>
      <c r="D31" s="2" t="str">
        <f>IFERROR(INDEX(Movimientos!$E$2:$E$1998,MATCH(A31&amp;"ENTRADA",Movimientos!$R$2:$R$1998,0)),"-")</f>
        <v>Semilla</v>
      </c>
      <c r="E31" s="2" t="str">
        <f>IFERROR(INDEX(Movimientos!$F$2:$F$1998,MATCH(A31&amp;"ENTRADA",Movimientos!$R$2:$R$1998,0)),"-")</f>
        <v>Dactylis</v>
      </c>
      <c r="F31" s="2" t="str">
        <f>IFERROR(INDEX(Movimientos!$G$2:$G$1998,MATCH(A31&amp;"ENTRADA",Movimientos!$R$2:$R$1998,0)),"-")</f>
        <v>Agrofuturo</v>
      </c>
      <c r="G31" s="2" t="str">
        <f>IFERROR(INDEX(Movimientos!$L$2:$L$1998,MATCH(A31&amp;"ENTRADA",Movimientos!$R$2:$R$1998,0)),"-")</f>
        <v>kg</v>
      </c>
      <c r="H31" s="17" t="str">
        <f>IFERROR(IF(INDEX(Movimientos!$M$2:$M$1998,MATCH(A31&amp;"ENTRADA",Movimientos!$R$2:$R$1998,0))=0,"S/D",INDEX(Movimientos!$M$2:$M$1998,MATCH(A31&amp;"ENTRADA",Movimientos!$R$2:$R$1998,0))),"S/D")</f>
        <v>S/D</v>
      </c>
      <c r="I31" s="15" t="str">
        <f t="shared" ca="1" si="2"/>
        <v>S/D</v>
      </c>
      <c r="J31" s="5">
        <f>IF(A31="","",SUMIFS(Movimientos!$K:$K,Movimientos!$H:$H,A31))</f>
        <v>975</v>
      </c>
      <c r="K31" s="13" t="str">
        <f t="shared" ca="1" si="1"/>
        <v>OK</v>
      </c>
    </row>
    <row r="32" spans="1:11" ht="14.25">
      <c r="A32" s="16" t="s">
        <v>2198</v>
      </c>
      <c r="B32" s="2" t="str">
        <f>IFERROR(INDEX(Movimientos!$C$2:$C$1998,MATCH(A32&amp;"ENTRADA",Movimientos!$R$2:$R$1998,0)),"-")</f>
        <v>Trebol Blanco E Zapican</v>
      </c>
      <c r="C32" s="2" t="str">
        <f>IFERROR(INDEX(Movimientos!$D$2:$D$1998,MATCH(A32&amp;"ENTRADA",Movimientos!$R$2:$R$1998,0)),"-")</f>
        <v>Trebol Blanco E Zapican Ecotec AF</v>
      </c>
      <c r="D32" s="2" t="str">
        <f>IFERROR(INDEX(Movimientos!$E$2:$E$1998,MATCH(A32&amp;"ENTRADA",Movimientos!$R$2:$R$1998,0)),"-")</f>
        <v>Semilla</v>
      </c>
      <c r="E32" s="2" t="str">
        <f>IFERROR(INDEX(Movimientos!$F$2:$F$1998,MATCH(A32&amp;"ENTRADA",Movimientos!$R$2:$R$1998,0)),"-")</f>
        <v>Trebol Blanco</v>
      </c>
      <c r="F32" s="2" t="str">
        <f>IFERROR(INDEX(Movimientos!$G$2:$G$1998,MATCH(A32&amp;"ENTRADA",Movimientos!$R$2:$R$1998,0)),"-")</f>
        <v>Agrofuturo</v>
      </c>
      <c r="G32" s="2" t="str">
        <f>IFERROR(INDEX(Movimientos!$L$2:$L$1998,MATCH(A32&amp;"ENTRADA",Movimientos!$R$2:$R$1998,0)),"-")</f>
        <v>kg</v>
      </c>
      <c r="H32" s="17" t="str">
        <f>IFERROR(IF(INDEX(Movimientos!$M$2:$M$1998,MATCH(A32&amp;"ENTRADA",Movimientos!$R$2:$R$1998,0))=0,"S/D",INDEX(Movimientos!$M$2:$M$1998,MATCH(A32&amp;"ENTRADA",Movimientos!$R$2:$R$1998,0))),"S/D")</f>
        <v>S/D</v>
      </c>
      <c r="I32" s="15" t="str">
        <f t="shared" ca="1" si="2"/>
        <v>S/D</v>
      </c>
      <c r="J32" s="5">
        <f>IF(A32="","",SUMIFS(Movimientos!$K:$K,Movimientos!$H:$H,A32))</f>
        <v>1375</v>
      </c>
      <c r="K32" s="13" t="str">
        <f t="shared" ca="1" si="1"/>
        <v>OK</v>
      </c>
    </row>
    <row r="33" spans="1:11" ht="14.25">
      <c r="A33" s="16" t="s">
        <v>2199</v>
      </c>
      <c r="B33" s="2" t="str">
        <f>IFERROR(INDEX(Movimientos!$C$2:$C$1998,MATCH(A33&amp;"ENTRADA",Movimientos!$R$2:$R$1998,0)),"-")</f>
        <v>Trebol Rojo E116</v>
      </c>
      <c r="C33" s="2" t="str">
        <f>IFERROR(INDEX(Movimientos!$D$2:$D$1998,MATCH(A33&amp;"ENTRADA",Movimientos!$R$2:$R$1998,0)),"-")</f>
        <v>Trebol Rojo E116 Ecotec AF</v>
      </c>
      <c r="D33" s="2" t="str">
        <f>IFERROR(INDEX(Movimientos!$E$2:$E$1998,MATCH(A33&amp;"ENTRADA",Movimientos!$R$2:$R$1998,0)),"-")</f>
        <v>Semilla</v>
      </c>
      <c r="E33" s="2" t="str">
        <f>IFERROR(INDEX(Movimientos!$F$2:$F$1998,MATCH(A33&amp;"ENTRADA",Movimientos!$R$2:$R$1998,0)),"-")</f>
        <v xml:space="preserve">Trebol Rojo </v>
      </c>
      <c r="F33" s="2" t="str">
        <f>IFERROR(INDEX(Movimientos!$G$2:$G$1998,MATCH(A33&amp;"ENTRADA",Movimientos!$R$2:$R$1998,0)),"-")</f>
        <v>Agrofuturo</v>
      </c>
      <c r="G33" s="2" t="str">
        <f>IFERROR(INDEX(Movimientos!$L$2:$L$1998,MATCH(A33&amp;"ENTRADA",Movimientos!$R$2:$R$1998,0)),"-")</f>
        <v>kg</v>
      </c>
      <c r="H33" s="17" t="str">
        <f>IFERROR(IF(INDEX(Movimientos!$M$2:$M$1998,MATCH(A33&amp;"ENTRADA",Movimientos!$R$2:$R$1998,0))=0,"S/D",INDEX(Movimientos!$M$2:$M$1998,MATCH(A33&amp;"ENTRADA",Movimientos!$R$2:$R$1998,0))),"S/D")</f>
        <v>S/D</v>
      </c>
      <c r="I33" s="15" t="str">
        <f t="shared" ca="1" si="2"/>
        <v>S/D</v>
      </c>
      <c r="J33" s="5">
        <f>IF(A33="","",SUMIFS(Movimientos!$K:$K,Movimientos!$H:$H,A33))</f>
        <v>450</v>
      </c>
      <c r="K33" s="13" t="str">
        <f t="shared" ca="1" si="1"/>
        <v>OK</v>
      </c>
    </row>
    <row r="34" spans="1:11" ht="14.25">
      <c r="A34" s="16" t="s">
        <v>2200</v>
      </c>
      <c r="B34" s="2" t="str">
        <f>IFERROR(INDEX(Movimientos!$C$2:$C$1998,MATCH(A34&amp;"ENTRADA",Movimientos!$R$2:$R$1998,0)),"-")</f>
        <v>Phalaris Stockman Comb</v>
      </c>
      <c r="C34" s="2" t="str">
        <f>IFERROR(INDEX(Movimientos!$D$2:$D$1998,MATCH(A34&amp;"ENTRADA",Movimientos!$R$2:$R$1998,0)),"-")</f>
        <v>Phalaris Stockman Comb</v>
      </c>
      <c r="D34" s="2" t="str">
        <f>IFERROR(INDEX(Movimientos!$E$2:$E$1998,MATCH(A34&amp;"ENTRADA",Movimientos!$R$2:$R$1998,0)),"-")</f>
        <v>Semilla</v>
      </c>
      <c r="E34" s="2" t="str">
        <f>IFERROR(INDEX(Movimientos!$F$2:$F$1998,MATCH(A34&amp;"ENTRADA",Movimientos!$R$2:$R$1998,0)),"-")</f>
        <v>Phalaris</v>
      </c>
      <c r="F34" s="2" t="str">
        <f>IFERROR(INDEX(Movimientos!$G$2:$G$1998,MATCH(A34&amp;"ENTRADA",Movimientos!$R$2:$R$1998,0)),"-")</f>
        <v>Agrofuturo</v>
      </c>
      <c r="G34" s="2" t="str">
        <f>IFERROR(INDEX(Movimientos!$L$2:$L$1998,MATCH(A34&amp;"ENTRADA",Movimientos!$R$2:$R$1998,0)),"-")</f>
        <v>kg</v>
      </c>
      <c r="H34" s="17" t="str">
        <f>IFERROR(IF(INDEX(Movimientos!$M$2:$M$1998,MATCH(A34&amp;"ENTRADA",Movimientos!$R$2:$R$1998,0))=0,"S/D",INDEX(Movimientos!$M$2:$M$1998,MATCH(A34&amp;"ENTRADA",Movimientos!$R$2:$R$1998,0))),"S/D")</f>
        <v>S/D</v>
      </c>
      <c r="I34" s="15" t="str">
        <f t="shared" ca="1" si="2"/>
        <v>S/D</v>
      </c>
      <c r="J34" s="5">
        <f>IF(A34="","",SUMIFS(Movimientos!$K:$K,Movimientos!$H:$H,A34))</f>
        <v>275</v>
      </c>
      <c r="K34" s="13" t="str">
        <f t="shared" ca="1" si="1"/>
        <v>OK</v>
      </c>
    </row>
    <row r="35" spans="1:11" ht="14.25">
      <c r="A35" s="16" t="s">
        <v>2201</v>
      </c>
      <c r="B35" s="2" t="str">
        <f>IFERROR(INDEX(Movimientos!$C$2:$C$1998,MATCH(A35&amp;"ENTRADA",Movimientos!$R$2:$R$1998,0)),"-")</f>
        <v>Colza continuum Cl</v>
      </c>
      <c r="C35" s="2" t="str">
        <f>IFERROR(INDEX(Movimientos!$D$2:$D$1998,MATCH(A35&amp;"ENTRADA",Movimientos!$R$2:$R$1998,0)),"-")</f>
        <v>Continuum CL</v>
      </c>
      <c r="D35" s="2" t="str">
        <f>IFERROR(INDEX(Movimientos!$E$2:$E$1998,MATCH(A35&amp;"ENTRADA",Movimientos!$R$2:$R$1998,0)),"-")</f>
        <v>Semilla</v>
      </c>
      <c r="E35" s="2">
        <f>IFERROR(INDEX(Movimientos!$F$2:$F$1998,MATCH(A35&amp;"ENTRADA",Movimientos!$R$2:$R$1998,0)),"-")</f>
        <v>0</v>
      </c>
      <c r="F35" s="2" t="str">
        <f>IFERROR(INDEX(Movimientos!$G$2:$G$1998,MATCH(A35&amp;"ENTRADA",Movimientos!$R$2:$R$1998,0)),"-")</f>
        <v>ERRO</v>
      </c>
      <c r="G35" s="2" t="str">
        <f>IFERROR(INDEX(Movimientos!$L$2:$L$1998,MATCH(A35&amp;"ENTRADA",Movimientos!$R$2:$R$1998,0)),"-")</f>
        <v>kg</v>
      </c>
      <c r="H35" s="17" t="str">
        <f>IFERROR(IF(INDEX(Movimientos!$M$2:$M$1998,MATCH(A35&amp;"ENTRADA",Movimientos!$R$2:$R$1998,0))=0,"S/D",INDEX(Movimientos!$M$2:$M$1998,MATCH(A35&amp;"ENTRADA",Movimientos!$R$2:$R$1998,0))),"S/D")</f>
        <v>S/D</v>
      </c>
      <c r="I35" s="15" t="str">
        <f t="shared" ca="1" si="2"/>
        <v>S/D</v>
      </c>
      <c r="J35" s="5">
        <f>IF(A35="","",SUMIFS(Movimientos!$K:$K,Movimientos!$H:$H,A35))</f>
        <v>3000</v>
      </c>
      <c r="K35" s="13" t="str">
        <f t="shared" ca="1" si="1"/>
        <v>OK</v>
      </c>
    </row>
    <row r="36" spans="1:11" ht="14.25">
      <c r="A36" s="16" t="s">
        <v>2202</v>
      </c>
      <c r="B36" s="2" t="str">
        <f>IFERROR(INDEX(Movimientos!$C$2:$C$1998,MATCH(A36&amp;"ENTRADA",Movimientos!$R$2:$R$1998,0)),"-")</f>
        <v>Colza Hyola Solstice cl</v>
      </c>
      <c r="C36" s="2" t="str">
        <f>IFERROR(INDEX(Movimientos!$D$2:$D$1998,MATCH(A36&amp;"ENTRADA",Movimientos!$R$2:$R$1998,0)),"-")</f>
        <v>Colza Hyola Solstice cl</v>
      </c>
      <c r="D36" s="2" t="str">
        <f>IFERROR(INDEX(Movimientos!$E$2:$E$1998,MATCH(A36&amp;"ENTRADA",Movimientos!$R$2:$R$1998,0)),"-")</f>
        <v>Semilla</v>
      </c>
      <c r="E36" s="2">
        <f>IFERROR(INDEX(Movimientos!$F$2:$F$1998,MATCH(A36&amp;"ENTRADA",Movimientos!$R$2:$R$1998,0)),"-")</f>
        <v>0</v>
      </c>
      <c r="F36" s="2" t="str">
        <f>IFERROR(INDEX(Movimientos!$G$2:$G$1998,MATCH(A36&amp;"ENTRADA",Movimientos!$R$2:$R$1998,0)),"-")</f>
        <v>ERRO</v>
      </c>
      <c r="G36" s="2" t="str">
        <f>IFERROR(INDEX(Movimientos!$L$2:$L$1998,MATCH(A36&amp;"ENTRADA",Movimientos!$R$2:$R$1998,0)),"-")</f>
        <v>kg</v>
      </c>
      <c r="H36" s="17" t="str">
        <f>IFERROR(IF(INDEX(Movimientos!$M$2:$M$1998,MATCH(A36&amp;"ENTRADA",Movimientos!$R$2:$R$1998,0))=0,"S/D",INDEX(Movimientos!$M$2:$M$1998,MATCH(A36&amp;"ENTRADA",Movimientos!$R$2:$R$1998,0))),"S/D")</f>
        <v>S/D</v>
      </c>
      <c r="I36" s="15" t="str">
        <f t="shared" ca="1" si="2"/>
        <v>S/D</v>
      </c>
      <c r="J36" s="5">
        <f>IF(A36="","",SUMIFS(Movimientos!$K:$K,Movimientos!$H:$H,A36))</f>
        <v>3200</v>
      </c>
      <c r="K36" s="13" t="str">
        <f t="shared" ca="1" si="1"/>
        <v>OK</v>
      </c>
    </row>
    <row r="37" spans="1:11" ht="14.25">
      <c r="A37" s="16" t="s">
        <v>143</v>
      </c>
      <c r="B37" s="2" t="str">
        <f>IFERROR(INDEX(Movimientos!$C$2:$C$1998,MATCH(A37&amp;"ENTRADA",Movimientos!$R$2:$R$1998,0)),"-")</f>
        <v xml:space="preserve">Avena </v>
      </c>
      <c r="C37" s="2" t="str">
        <f>IFERROR(INDEX(Movimientos!$D$2:$D$1998,MATCH(A37&amp;"ENTRADA",Movimientos!$R$2:$R$1998,0)),"-")</f>
        <v xml:space="preserve">Avena propia </v>
      </c>
      <c r="D37" s="2" t="str">
        <f>IFERROR(INDEX(Movimientos!$E$2:$E$1998,MATCH(A37&amp;"ENTRADA",Movimientos!$R$2:$R$1998,0)),"-")</f>
        <v>Semilla</v>
      </c>
      <c r="E37" s="2">
        <f>IFERROR(INDEX(Movimientos!$F$2:$F$1998,MATCH(A37&amp;"ENTRADA",Movimientos!$R$2:$R$1998,0)),"-")</f>
        <v>0</v>
      </c>
      <c r="F37" s="2">
        <f>IFERROR(INDEX(Movimientos!$G$2:$G$1998,MATCH(A37&amp;"ENTRADA",Movimientos!$R$2:$R$1998,0)),"-")</f>
        <v>0</v>
      </c>
      <c r="G37" s="2" t="str">
        <f>IFERROR(INDEX(Movimientos!$L$2:$L$1998,MATCH(A37&amp;"ENTRADA",Movimientos!$R$2:$R$1998,0)),"-")</f>
        <v>kg</v>
      </c>
      <c r="H37" s="17" t="str">
        <f>IFERROR(IF(INDEX(Movimientos!$M$2:$M$1998,MATCH(A37&amp;"ENTRADA",Movimientos!$R$2:$R$1998,0))=0,"S/D",INDEX(Movimientos!$M$2:$M$1998,MATCH(A37&amp;"ENTRADA",Movimientos!$R$2:$R$1998,0))),"S/D")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 ht="14.25">
      <c r="A38" s="16" t="s">
        <v>2203</v>
      </c>
      <c r="B38" s="2" t="str">
        <f>IFERROR(INDEX(Movimientos!$C$2:$C$1998,MATCH(A38&amp;"ENTRADA",Movimientos!$R$2:$R$1998,0)),"-")</f>
        <v>Arsenal</v>
      </c>
      <c r="C38" s="2" t="str">
        <f>IFERROR(INDEX(Movimientos!$D$2:$D$1998,MATCH(A38&amp;"ENTRADA",Movimientos!$R$2:$R$1998,0)),"-")</f>
        <v>Imazapir sal isopropilamina 24,2%</v>
      </c>
      <c r="D38" s="2" t="str">
        <f>IFERROR(INDEX(Movimientos!$E$2:$E$1998,MATCH(A38&amp;"ENTRADA",Movimientos!$R$2:$R$1998,0)),"-")</f>
        <v>Herbicida</v>
      </c>
      <c r="E38" s="2" t="str">
        <f>IFERROR(INDEX(Movimientos!$F$2:$F$1998,MATCH(A38&amp;"ENTRADA",Movimientos!$R$2:$R$1998,0)),"-")</f>
        <v>Postemergente</v>
      </c>
      <c r="F38" s="2" t="str">
        <f>IFERROR(INDEX(Movimientos!$G$2:$G$1998,MATCH(A38&amp;"ENTRADA",Movimientos!$R$2:$R$1998,0)),"-")</f>
        <v>ERRO</v>
      </c>
      <c r="G38" s="2" t="str">
        <f>IFERROR(INDEX(Movimientos!$L$2:$L$1998,MATCH(A38&amp;"ENTRADA",Movimientos!$R$2:$R$1998,0)),"-")</f>
        <v>L</v>
      </c>
      <c r="H38" s="17" t="str">
        <f>IFERROR(IF(INDEX(Movimientos!$M$2:$M$1998,MATCH(A38&amp;"ENTRADA",Movimientos!$R$2:$R$1998,0))=0,"S/D",INDEX(Movimientos!$M$2:$M$1998,MATCH(A38&amp;"ENTRADA",Movimientos!$R$2:$R$1998,0))),"S/D")</f>
        <v>S/D</v>
      </c>
      <c r="I38" s="15" t="str">
        <f t="shared" ca="1" si="2"/>
        <v>S/D</v>
      </c>
      <c r="J38" s="5">
        <f>IF(A38="","",SUMIFS(Movimientos!$K:$K,Movimientos!$H:$H,A38))</f>
        <v>200</v>
      </c>
      <c r="K38" s="13" t="str">
        <f t="shared" ca="1" si="1"/>
        <v>OK</v>
      </c>
    </row>
    <row r="39" spans="1:11" ht="14.25">
      <c r="A39" s="16" t="s">
        <v>2204</v>
      </c>
      <c r="B39" s="2" t="str">
        <f>IFERROR(INDEX(Movimientos!$C$2:$C$1998,MATCH(A39&amp;"ENTRADA",Movimientos!$R$2:$R$1998,0)),"-")</f>
        <v>Dash HC</v>
      </c>
      <c r="C39" s="2" t="str">
        <f>IFERROR(INDEX(Movimientos!$D$2:$D$1998,MATCH(A39&amp;"ENTRADA",Movimientos!$R$2:$R$1998,0)),"-")</f>
        <v>Esteres metílicos de aceite vegetal 42,5%</v>
      </c>
      <c r="D39" s="2" t="str">
        <f>IFERROR(INDEX(Movimientos!$E$2:$E$1998,MATCH(A39&amp;"ENTRADA",Movimientos!$R$2:$R$1998,0)),"-")</f>
        <v>Coadyuvante</v>
      </c>
      <c r="E39" s="2">
        <f>IFERROR(INDEX(Movimientos!$F$2:$F$1998,MATCH(A39&amp;"ENTRADA",Movimientos!$R$2:$R$1998,0)),"-")</f>
        <v>0</v>
      </c>
      <c r="F39" s="2" t="str">
        <f>IFERROR(INDEX(Movimientos!$G$2:$G$1998,MATCH(A39&amp;"ENTRADA",Movimientos!$R$2:$R$1998,0)),"-")</f>
        <v>ERRO</v>
      </c>
      <c r="G39" s="2" t="str">
        <f>IFERROR(INDEX(Movimientos!$L$2:$L$1998,MATCH(A39&amp;"ENTRADA",Movimientos!$R$2:$R$1998,0)),"-")</f>
        <v>L</v>
      </c>
      <c r="H39" s="17" t="str">
        <f>IFERROR(IF(INDEX(Movimientos!$M$2:$M$1998,MATCH(A39&amp;"ENTRADA",Movimientos!$R$2:$R$1998,0))=0,"S/D",INDEX(Movimientos!$M$2:$M$1998,MATCH(A39&amp;"ENTRADA",Movimientos!$R$2:$R$1998,0))),"S/D")</f>
        <v>S/D</v>
      </c>
      <c r="I39" s="15" t="str">
        <f t="shared" ca="1" si="2"/>
        <v>S/D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 ht="14.25">
      <c r="A40" s="16" t="s">
        <v>2205</v>
      </c>
      <c r="B40" s="2" t="str">
        <f>IFERROR(INDEX(Movimientos!$C$2:$C$1998,MATCH(A40&amp;"ENTRADA",Movimientos!$R$2:$R$1998,0)),"-")</f>
        <v>-</v>
      </c>
      <c r="C40" s="2" t="str">
        <f>IFERROR(INDEX(Movimientos!$D$2:$D$1998,MATCH(A40&amp;"ENTRADA",Movimientos!$R$2:$R$1998,0)),"-")</f>
        <v>-</v>
      </c>
      <c r="D40" s="2" t="str">
        <f>IFERROR(INDEX(Movimientos!$E$2:$E$1998,MATCH(A40&amp;"ENTRADA",Movimientos!$R$2:$R$1998,0)),"-")</f>
        <v>-</v>
      </c>
      <c r="E40" s="2" t="str">
        <f>IFERROR(INDEX(Movimientos!$F$2:$F$1998,MATCH(A40&amp;"ENTRADA",Movimientos!$R$2:$R$1998,0)),"-")</f>
        <v>-</v>
      </c>
      <c r="F40" s="2" t="str">
        <f>IFERROR(INDEX(Movimientos!$G$2:$G$1998,MATCH(A40&amp;"ENTRADA",Movimientos!$R$2:$R$1998,0)),"-")</f>
        <v>-</v>
      </c>
      <c r="G40" s="2" t="str">
        <f>IFERROR(INDEX(Movimientos!$L$2:$L$1998,MATCH(A40&amp;"ENTRADA",Movimientos!$R$2:$R$1998,0)),"-")</f>
        <v>-</v>
      </c>
      <c r="H40" s="17" t="str">
        <f>IFERROR(IF(INDEX(Movimientos!$M$2:$M$1998,MATCH(A40&amp;"ENTRADA",Movimientos!$R$2:$R$1998,0))=0,"S/D",INDEX(Movimientos!$M$2:$M$1998,MATCH(A40&amp;"ENTRADA",Movimientos!$R$2:$R$1998,0))),"S/D")</f>
        <v>S/D</v>
      </c>
      <c r="I40" s="15" t="str">
        <f t="shared" ca="1" si="2"/>
        <v>S/D</v>
      </c>
      <c r="J40" s="5">
        <f>IF(A40="","",SUMIFS(Movimientos!$K:$K,Movimientos!$H:$H,A40))</f>
        <v>0</v>
      </c>
      <c r="K40" s="13" t="str">
        <f t="shared" ca="1" si="1"/>
        <v>SIN STOCK</v>
      </c>
    </row>
    <row r="41" spans="1:11" ht="14.25">
      <c r="A41" s="16" t="s">
        <v>2206</v>
      </c>
      <c r="B41" s="2" t="str">
        <f>IFERROR(INDEX(Movimientos!$C$2:$C$1998,MATCH(A41&amp;"ENTRADA",Movimientos!$R$2:$R$1998,0)),"-")</f>
        <v>-</v>
      </c>
      <c r="C41" s="2" t="str">
        <f>IFERROR(INDEX(Movimientos!$D$2:$D$1998,MATCH(A41&amp;"ENTRADA",Movimientos!$R$2:$R$1998,0)),"-")</f>
        <v>-</v>
      </c>
      <c r="D41" s="2" t="str">
        <f>IFERROR(INDEX(Movimientos!$E$2:$E$1998,MATCH(A41&amp;"ENTRADA",Movimientos!$R$2:$R$1998,0)),"-")</f>
        <v>-</v>
      </c>
      <c r="E41" s="2" t="str">
        <f>IFERROR(INDEX(Movimientos!$F$2:$F$1998,MATCH(A41&amp;"ENTRADA",Movimientos!$R$2:$R$1998,0)),"-")</f>
        <v>-</v>
      </c>
      <c r="F41" s="2" t="str">
        <f>IFERROR(INDEX(Movimientos!$G$2:$G$1998,MATCH(A41&amp;"ENTRADA",Movimientos!$R$2:$R$1998,0)),"-")</f>
        <v>-</v>
      </c>
      <c r="G41" s="2" t="str">
        <f>IFERROR(INDEX(Movimientos!$L$2:$L$1998,MATCH(A41&amp;"ENTRADA",Movimientos!$R$2:$R$1998,0)),"-")</f>
        <v>-</v>
      </c>
      <c r="H41" s="17" t="str">
        <f>IFERROR(IF(INDEX(Movimientos!$M$2:$M$1998,MATCH(A41&amp;"ENTRADA",Movimientos!$R$2:$R$1998,0))=0,"S/D",INDEX(Movimientos!$M$2:$M$1998,MATCH(A41&amp;"ENTRADA",Movimientos!$R$2:$R$1998,0))),"S/D")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 ht="14.25">
      <c r="A42" s="16" t="s">
        <v>2207</v>
      </c>
      <c r="B42" s="2" t="str">
        <f>IFERROR(INDEX(Movimientos!$C$2:$C$1998,MATCH(A42&amp;"ENTRADA",Movimientos!$R$2:$R$1998,0)),"-")</f>
        <v>-</v>
      </c>
      <c r="C42" s="2" t="str">
        <f>IFERROR(INDEX(Movimientos!$D$2:$D$1998,MATCH(A42&amp;"ENTRADA",Movimientos!$R$2:$R$1998,0)),"-")</f>
        <v>-</v>
      </c>
      <c r="D42" s="2" t="str">
        <f>IFERROR(INDEX(Movimientos!$E$2:$E$1998,MATCH(A42&amp;"ENTRADA",Movimientos!$R$2:$R$1998,0)),"-")</f>
        <v>-</v>
      </c>
      <c r="E42" s="2" t="str">
        <f>IFERROR(INDEX(Movimientos!$F$2:$F$1998,MATCH(A42&amp;"ENTRADA",Movimientos!$R$2:$R$1998,0)),"-")</f>
        <v>-</v>
      </c>
      <c r="F42" s="2" t="str">
        <f>IFERROR(INDEX(Movimientos!$G$2:$G$1998,MATCH(A42&amp;"ENTRADA",Movimientos!$R$2:$R$1998,0)),"-")</f>
        <v>-</v>
      </c>
      <c r="G42" s="2" t="str">
        <f>IFERROR(INDEX(Movimientos!$L$2:$L$1998,MATCH(A42&amp;"ENTRADA",Movimientos!$R$2:$R$1998,0)),"-")</f>
        <v>-</v>
      </c>
      <c r="H42" s="17" t="str">
        <f>IFERROR(IF(INDEX(Movimientos!$M$2:$M$1998,MATCH(A42&amp;"ENTRADA",Movimientos!$R$2:$R$1998,0))=0,"S/D",INDEX(Movimientos!$M$2:$M$1998,MATCH(A42&amp;"ENTRADA",Movimientos!$R$2:$R$1998,0))),"S/D")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 ht="14.25">
      <c r="A43" s="16" t="s">
        <v>2208</v>
      </c>
      <c r="B43" s="2" t="str">
        <f>IFERROR(INDEX(Movimientos!$C$2:$C$1998,MATCH(A43&amp;"ENTRADA",Movimientos!$R$2:$R$1998,0)),"-")</f>
        <v>-</v>
      </c>
      <c r="C43" s="2" t="str">
        <f>IFERROR(INDEX(Movimientos!$D$2:$D$1998,MATCH(A43&amp;"ENTRADA",Movimientos!$R$2:$R$1998,0)),"-")</f>
        <v>-</v>
      </c>
      <c r="D43" s="2" t="str">
        <f>IFERROR(INDEX(Movimientos!$E$2:$E$1998,MATCH(A43&amp;"ENTRADA",Movimientos!$R$2:$R$1998,0)),"-")</f>
        <v>-</v>
      </c>
      <c r="E43" s="2" t="str">
        <f>IFERROR(INDEX(Movimientos!$F$2:$F$1998,MATCH(A43&amp;"ENTRADA",Movimientos!$R$2:$R$1998,0)),"-")</f>
        <v>-</v>
      </c>
      <c r="F43" s="2" t="str">
        <f>IFERROR(INDEX(Movimientos!$G$2:$G$1998,MATCH(A43&amp;"ENTRADA",Movimientos!$R$2:$R$1998,0)),"-")</f>
        <v>-</v>
      </c>
      <c r="G43" s="2" t="str">
        <f>IFERROR(INDEX(Movimientos!$L$2:$L$1998,MATCH(A43&amp;"ENTRADA",Movimientos!$R$2:$R$1998,0)),"-")</f>
        <v>-</v>
      </c>
      <c r="H43" s="17" t="str">
        <f>IFERROR(IF(INDEX(Movimientos!$M$2:$M$1998,MATCH(A43&amp;"ENTRADA",Movimientos!$R$2:$R$1998,0))=0,"S/D",INDEX(Movimientos!$M$2:$M$1998,MATCH(A43&amp;"ENTRADA",Movimientos!$R$2:$R$1998,0))),"S/D")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 ht="14.25">
      <c r="A44" s="16" t="s">
        <v>2209</v>
      </c>
      <c r="B44" s="2" t="str">
        <f>IFERROR(INDEX(Movimientos!$C$2:$C$1998,MATCH(A44&amp;"ENTRADA",Movimientos!$R$2:$R$1998,0)),"-")</f>
        <v>-</v>
      </c>
      <c r="C44" s="2" t="str">
        <f>IFERROR(INDEX(Movimientos!$D$2:$D$1998,MATCH(A44&amp;"ENTRADA",Movimientos!$R$2:$R$1998,0)),"-")</f>
        <v>-</v>
      </c>
      <c r="D44" s="2" t="str">
        <f>IFERROR(INDEX(Movimientos!$E$2:$E$1998,MATCH(A44&amp;"ENTRADA",Movimientos!$R$2:$R$1998,0)),"-")</f>
        <v>-</v>
      </c>
      <c r="E44" s="2" t="str">
        <f>IFERROR(INDEX(Movimientos!$F$2:$F$1998,MATCH(A44&amp;"ENTRADA",Movimientos!$R$2:$R$1998,0)),"-")</f>
        <v>-</v>
      </c>
      <c r="F44" s="2" t="str">
        <f>IFERROR(INDEX(Movimientos!$G$2:$G$1998,MATCH(A44&amp;"ENTRADA",Movimientos!$R$2:$R$1998,0)),"-")</f>
        <v>-</v>
      </c>
      <c r="G44" s="2" t="str">
        <f>IFERROR(INDEX(Movimientos!$L$2:$L$1998,MATCH(A44&amp;"ENTRADA",Movimientos!$R$2:$R$1998,0)),"-")</f>
        <v>-</v>
      </c>
      <c r="H44" s="17" t="str">
        <f>IFERROR(IF(INDEX(Movimientos!$M$2:$M$1998,MATCH(A44&amp;"ENTRADA",Movimientos!$R$2:$R$1998,0))=0,"S/D",INDEX(Movimientos!$M$2:$M$1998,MATCH(A44&amp;"ENTRADA",Movimientos!$R$2:$R$1998,0))),"S/D")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 ht="14.25">
      <c r="A45" s="16" t="s">
        <v>2210</v>
      </c>
      <c r="B45" s="2" t="str">
        <f>IFERROR(INDEX(Movimientos!$C$2:$C$1998,MATCH(A45&amp;"ENTRADA",Movimientos!$R$2:$R$1998,0)),"-")</f>
        <v>-</v>
      </c>
      <c r="C45" s="2" t="str">
        <f>IFERROR(INDEX(Movimientos!$D$2:$D$1998,MATCH(A45&amp;"ENTRADA",Movimientos!$R$2:$R$1998,0)),"-")</f>
        <v>-</v>
      </c>
      <c r="D45" s="2" t="str">
        <f>IFERROR(INDEX(Movimientos!$E$2:$E$1998,MATCH(A45&amp;"ENTRADA",Movimientos!$R$2:$R$1998,0)),"-")</f>
        <v>-</v>
      </c>
      <c r="E45" s="2" t="str">
        <f>IFERROR(INDEX(Movimientos!$F$2:$F$1998,MATCH(A45&amp;"ENTRADA",Movimientos!$R$2:$R$1998,0)),"-")</f>
        <v>-</v>
      </c>
      <c r="F45" s="2" t="str">
        <f>IFERROR(INDEX(Movimientos!$G$2:$G$1998,MATCH(A45&amp;"ENTRADA",Movimientos!$R$2:$R$1998,0)),"-")</f>
        <v>-</v>
      </c>
      <c r="G45" s="2" t="str">
        <f>IFERROR(INDEX(Movimientos!$L$2:$L$1998,MATCH(A45&amp;"ENTRADA",Movimientos!$R$2:$R$1998,0)),"-")</f>
        <v>-</v>
      </c>
      <c r="H45" s="17" t="str">
        <f>IFERROR(IF(INDEX(Movimientos!$M$2:$M$1998,MATCH(A45&amp;"ENTRADA",Movimientos!$R$2:$R$1998,0))=0,"S/D",INDEX(Movimientos!$M$2:$M$1998,MATCH(A45&amp;"ENTRADA",Movimientos!$R$2:$R$1998,0))),"S/D")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 ht="14.25">
      <c r="A46" s="16" t="s">
        <v>2211</v>
      </c>
      <c r="B46" s="2" t="str">
        <f>IFERROR(INDEX(Movimientos!$C$2:$C$1998,MATCH(A46&amp;"ENTRADA",Movimientos!$R$2:$R$1998,0)),"-")</f>
        <v>-</v>
      </c>
      <c r="C46" s="2" t="str">
        <f>IFERROR(INDEX(Movimientos!$D$2:$D$1998,MATCH(A46&amp;"ENTRADA",Movimientos!$R$2:$R$1998,0)),"-")</f>
        <v>-</v>
      </c>
      <c r="D46" s="2" t="str">
        <f>IFERROR(INDEX(Movimientos!$E$2:$E$1998,MATCH(A46&amp;"ENTRADA",Movimientos!$R$2:$R$1998,0)),"-")</f>
        <v>-</v>
      </c>
      <c r="E46" s="2" t="str">
        <f>IFERROR(INDEX(Movimientos!$F$2:$F$1998,MATCH(A46&amp;"ENTRADA",Movimientos!$R$2:$R$1998,0)),"-")</f>
        <v>-</v>
      </c>
      <c r="F46" s="2" t="str">
        <f>IFERROR(INDEX(Movimientos!$G$2:$G$1998,MATCH(A46&amp;"ENTRADA",Movimientos!$R$2:$R$1998,0)),"-")</f>
        <v>-</v>
      </c>
      <c r="G46" s="2" t="str">
        <f>IFERROR(INDEX(Movimientos!$L$2:$L$1998,MATCH(A46&amp;"ENTRADA",Movimientos!$R$2:$R$1998,0)),"-")</f>
        <v>-</v>
      </c>
      <c r="H46" s="17" t="str">
        <f>IFERROR(IF(INDEX(Movimientos!$M$2:$M$1998,MATCH(A46&amp;"ENTRADA",Movimientos!$R$2:$R$1998,0))=0,"S/D",INDEX(Movimientos!$M$2:$M$1998,MATCH(A46&amp;"ENTRADA",Movimientos!$R$2:$R$1998,0))),"S/D")</f>
        <v>S/D</v>
      </c>
      <c r="I46" s="15" t="str">
        <f t="shared" ca="1" si="2"/>
        <v>S/D</v>
      </c>
      <c r="J46" s="5">
        <f>IF(A46="","",SUMIFS(Movimientos!$K:$K,Movimientos!$H:$H,A46))</f>
        <v>0</v>
      </c>
      <c r="K46" s="13" t="str">
        <f t="shared" ca="1" si="1"/>
        <v>SIN STOCK</v>
      </c>
    </row>
    <row r="47" spans="1:11" ht="14.25">
      <c r="A47" s="16" t="s">
        <v>2212</v>
      </c>
      <c r="B47" s="2" t="str">
        <f>IFERROR(INDEX(Movimientos!$C$2:$C$1998,MATCH(A47&amp;"ENTRADA",Movimientos!$R$2:$R$1998,0)),"-")</f>
        <v>-</v>
      </c>
      <c r="C47" s="2" t="str">
        <f>IFERROR(INDEX(Movimientos!$D$2:$D$1998,MATCH(A47&amp;"ENTRADA",Movimientos!$R$2:$R$1998,0)),"-")</f>
        <v>-</v>
      </c>
      <c r="D47" s="2" t="str">
        <f>IFERROR(INDEX(Movimientos!$E$2:$E$1998,MATCH(A47&amp;"ENTRADA",Movimientos!$R$2:$R$1998,0)),"-")</f>
        <v>-</v>
      </c>
      <c r="E47" s="2" t="str">
        <f>IFERROR(INDEX(Movimientos!$F$2:$F$1998,MATCH(A47&amp;"ENTRADA",Movimientos!$R$2:$R$1998,0)),"-")</f>
        <v>-</v>
      </c>
      <c r="F47" s="2" t="str">
        <f>IFERROR(INDEX(Movimientos!$G$2:$G$1998,MATCH(A47&amp;"ENTRADA",Movimientos!$R$2:$R$1998,0)),"-")</f>
        <v>-</v>
      </c>
      <c r="G47" s="2" t="str">
        <f>IFERROR(INDEX(Movimientos!$L$2:$L$1998,MATCH(A47&amp;"ENTRADA",Movimientos!$R$2:$R$1998,0)),"-")</f>
        <v>-</v>
      </c>
      <c r="H47" s="17" t="str">
        <f>IFERROR(IF(INDEX(Movimientos!$M$2:$M$1998,MATCH(A47&amp;"ENTRADA",Movimientos!$R$2:$R$1998,0))=0,"S/D",INDEX(Movimientos!$M$2:$M$1998,MATCH(A47&amp;"ENTRADA",Movimientos!$R$2:$R$1998,0))),"S/D")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 ht="14.25">
      <c r="A48" s="16" t="s">
        <v>2213</v>
      </c>
      <c r="B48" s="2" t="str">
        <f>IFERROR(INDEX(Movimientos!$C$2:$C$1998,MATCH(A48&amp;"ENTRADA",Movimientos!$R$2:$R$1998,0)),"-")</f>
        <v>-</v>
      </c>
      <c r="C48" s="2" t="str">
        <f>IFERROR(INDEX(Movimientos!$D$2:$D$1998,MATCH(A48&amp;"ENTRADA",Movimientos!$R$2:$R$1998,0)),"-")</f>
        <v>-</v>
      </c>
      <c r="D48" s="2" t="str">
        <f>IFERROR(INDEX(Movimientos!$E$2:$E$1998,MATCH(A48&amp;"ENTRADA",Movimientos!$R$2:$R$1998,0)),"-")</f>
        <v>-</v>
      </c>
      <c r="E48" s="2" t="str">
        <f>IFERROR(INDEX(Movimientos!$F$2:$F$1998,MATCH(A48&amp;"ENTRADA",Movimientos!$R$2:$R$1998,0)),"-")</f>
        <v>-</v>
      </c>
      <c r="F48" s="2" t="str">
        <f>IFERROR(INDEX(Movimientos!$G$2:$G$1998,MATCH(A48&amp;"ENTRADA",Movimientos!$R$2:$R$1998,0)),"-")</f>
        <v>-</v>
      </c>
      <c r="G48" s="2" t="str">
        <f>IFERROR(INDEX(Movimientos!$L$2:$L$1998,MATCH(A48&amp;"ENTRADA",Movimientos!$R$2:$R$1998,0)),"-")</f>
        <v>-</v>
      </c>
      <c r="H48" s="17" t="str">
        <f>IFERROR(IF(INDEX(Movimientos!$M$2:$M$1998,MATCH(A48&amp;"ENTRADA",Movimientos!$R$2:$R$1998,0))=0,"S/D",INDEX(Movimientos!$M$2:$M$1998,MATCH(A48&amp;"ENTRADA",Movimientos!$R$2:$R$1998,0))),"S/D")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 ht="14.25">
      <c r="A49" s="16" t="s">
        <v>2214</v>
      </c>
      <c r="B49" s="2" t="str">
        <f>IFERROR(INDEX(Movimientos!$C$2:$C$1998,MATCH(A49&amp;"ENTRADA",Movimientos!$R$2:$R$1998,0)),"-")</f>
        <v>-</v>
      </c>
      <c r="C49" s="2" t="str">
        <f>IFERROR(INDEX(Movimientos!$D$2:$D$1998,MATCH(A49&amp;"ENTRADA",Movimientos!$R$2:$R$1998,0)),"-")</f>
        <v>-</v>
      </c>
      <c r="D49" s="2" t="str">
        <f>IFERROR(INDEX(Movimientos!$E$2:$E$1998,MATCH(A49&amp;"ENTRADA",Movimientos!$R$2:$R$1998,0)),"-")</f>
        <v>-</v>
      </c>
      <c r="E49" s="2" t="str">
        <f>IFERROR(INDEX(Movimientos!$F$2:$F$1998,MATCH(A49&amp;"ENTRADA",Movimientos!$R$2:$R$1998,0)),"-")</f>
        <v>-</v>
      </c>
      <c r="F49" s="2" t="str">
        <f>IFERROR(INDEX(Movimientos!$G$2:$G$1998,MATCH(A49&amp;"ENTRADA",Movimientos!$R$2:$R$1998,0)),"-")</f>
        <v>-</v>
      </c>
      <c r="G49" s="2" t="str">
        <f>IFERROR(INDEX(Movimientos!$L$2:$L$1998,MATCH(A49&amp;"ENTRADA",Movimientos!$R$2:$R$1998,0)),"-")</f>
        <v>-</v>
      </c>
      <c r="H49" s="17" t="str">
        <f>IFERROR(IF(INDEX(Movimientos!$M$2:$M$1998,MATCH(A49&amp;"ENTRADA",Movimientos!$R$2:$R$1998,0))=0,"S/D",INDEX(Movimientos!$M$2:$M$1998,MATCH(A49&amp;"ENTRADA",Movimientos!$R$2:$R$1998,0))),"S/D")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 ht="14.25">
      <c r="A50" s="16" t="s">
        <v>2215</v>
      </c>
      <c r="B50" s="2" t="str">
        <f>IFERROR(INDEX(Movimientos!$C$2:$C$1998,MATCH(A50&amp;"ENTRADA",Movimientos!$R$2:$R$1998,0)),"-")</f>
        <v>-</v>
      </c>
      <c r="C50" s="2" t="str">
        <f>IFERROR(INDEX(Movimientos!$D$2:$D$1998,MATCH(A50&amp;"ENTRADA",Movimientos!$R$2:$R$1998,0)),"-")</f>
        <v>-</v>
      </c>
      <c r="D50" s="2" t="str">
        <f>IFERROR(INDEX(Movimientos!$E$2:$E$1998,MATCH(A50&amp;"ENTRADA",Movimientos!$R$2:$R$1998,0)),"-")</f>
        <v>-</v>
      </c>
      <c r="E50" s="2" t="str">
        <f>IFERROR(INDEX(Movimientos!$F$2:$F$1998,MATCH(A50&amp;"ENTRADA",Movimientos!$R$2:$R$1998,0)),"-")</f>
        <v>-</v>
      </c>
      <c r="F50" s="2" t="str">
        <f>IFERROR(INDEX(Movimientos!$G$2:$G$1998,MATCH(A50&amp;"ENTRADA",Movimientos!$R$2:$R$1998,0)),"-")</f>
        <v>-</v>
      </c>
      <c r="G50" s="2" t="str">
        <f>IFERROR(INDEX(Movimientos!$L$2:$L$1998,MATCH(A50&amp;"ENTRADA",Movimientos!$R$2:$R$1998,0)),"-")</f>
        <v>-</v>
      </c>
      <c r="H50" s="17" t="str">
        <f>IFERROR(IF(INDEX(Movimientos!$M$2:$M$1998,MATCH(A50&amp;"ENTRADA",Movimientos!$R$2:$R$1998,0))=0,"S/D",INDEX(Movimientos!$M$2:$M$1998,MATCH(A50&amp;"ENTRADA",Movimientos!$R$2:$R$1998,0))),"S/D")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 ht="14.25">
      <c r="A51" s="16" t="s">
        <v>2216</v>
      </c>
      <c r="B51" s="2" t="str">
        <f>IFERROR(INDEX(Movimientos!$C$2:$C$1998,MATCH(A51&amp;"ENTRADA",Movimientos!$R$2:$R$1998,0)),"-")</f>
        <v>-</v>
      </c>
      <c r="C51" s="2" t="str">
        <f>IFERROR(INDEX(Movimientos!$D$2:$D$1998,MATCH(A51&amp;"ENTRADA",Movimientos!$R$2:$R$1998,0)),"-")</f>
        <v>-</v>
      </c>
      <c r="D51" s="2" t="str">
        <f>IFERROR(INDEX(Movimientos!$E$2:$E$1998,MATCH(A51&amp;"ENTRADA",Movimientos!$R$2:$R$1998,0)),"-")</f>
        <v>-</v>
      </c>
      <c r="E51" s="2" t="str">
        <f>IFERROR(INDEX(Movimientos!$F$2:$F$1998,MATCH(A51&amp;"ENTRADA",Movimientos!$R$2:$R$1998,0)),"-")</f>
        <v>-</v>
      </c>
      <c r="F51" s="2" t="str">
        <f>IFERROR(INDEX(Movimientos!$G$2:$G$1998,MATCH(A51&amp;"ENTRADA",Movimientos!$R$2:$R$1998,0)),"-")</f>
        <v>-</v>
      </c>
      <c r="G51" s="2" t="str">
        <f>IFERROR(INDEX(Movimientos!$L$2:$L$1998,MATCH(A51&amp;"ENTRADA",Movimientos!$R$2:$R$1998,0)),"-")</f>
        <v>-</v>
      </c>
      <c r="H51" s="17" t="str">
        <f>IFERROR(IF(INDEX(Movimientos!$M$2:$M$1998,MATCH(A51&amp;"ENTRADA",Movimientos!$R$2:$R$1998,0))=0,"S/D",INDEX(Movimientos!$M$2:$M$1998,MATCH(A51&amp;"ENTRADA",Movimientos!$R$2:$R$1998,0))),"S/D")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 ht="14.25">
      <c r="A52" s="16" t="s">
        <v>2217</v>
      </c>
      <c r="B52" s="2" t="str">
        <f>IFERROR(INDEX(Movimientos!$C$2:$C$1998,MATCH(A52&amp;"ENTRADA",Movimientos!$R$2:$R$1998,0)),"-")</f>
        <v>-</v>
      </c>
      <c r="C52" s="2" t="str">
        <f>IFERROR(INDEX(Movimientos!$D$2:$D$1998,MATCH(A52&amp;"ENTRADA",Movimientos!$R$2:$R$1998,0)),"-")</f>
        <v>-</v>
      </c>
      <c r="D52" s="2" t="str">
        <f>IFERROR(INDEX(Movimientos!$E$2:$E$1998,MATCH(A52&amp;"ENTRADA",Movimientos!$R$2:$R$1998,0)),"-")</f>
        <v>-</v>
      </c>
      <c r="E52" s="2" t="str">
        <f>IFERROR(INDEX(Movimientos!$F$2:$F$1998,MATCH(A52&amp;"ENTRADA",Movimientos!$R$2:$R$1998,0)),"-")</f>
        <v>-</v>
      </c>
      <c r="F52" s="2" t="str">
        <f>IFERROR(INDEX(Movimientos!$G$2:$G$1998,MATCH(A52&amp;"ENTRADA",Movimientos!$R$2:$R$1998,0)),"-")</f>
        <v>-</v>
      </c>
      <c r="G52" s="2" t="str">
        <f>IFERROR(INDEX(Movimientos!$L$2:$L$1998,MATCH(A52&amp;"ENTRADA",Movimientos!$R$2:$R$1998,0)),"-")</f>
        <v>-</v>
      </c>
      <c r="H52" s="17" t="str">
        <f>IFERROR(IF(INDEX(Movimientos!$M$2:$M$1998,MATCH(A52&amp;"ENTRADA",Movimientos!$R$2:$R$1998,0))=0,"S/D",INDEX(Movimientos!$M$2:$M$1998,MATCH(A52&amp;"ENTRADA",Movimientos!$R$2:$R$1998,0))),"S/D")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 ht="14.25">
      <c r="A53" s="16" t="s">
        <v>2218</v>
      </c>
      <c r="B53" s="2" t="str">
        <f>IFERROR(INDEX(Movimientos!$C$2:$C$1998,MATCH(A53&amp;"ENTRADA",Movimientos!$R$2:$R$1998,0)),"-")</f>
        <v>-</v>
      </c>
      <c r="C53" s="2" t="str">
        <f>IFERROR(INDEX(Movimientos!$D$2:$D$1998,MATCH(A53&amp;"ENTRADA",Movimientos!$R$2:$R$1998,0)),"-")</f>
        <v>-</v>
      </c>
      <c r="D53" s="2" t="str">
        <f>IFERROR(INDEX(Movimientos!$E$2:$E$1998,MATCH(A53&amp;"ENTRADA",Movimientos!$R$2:$R$1998,0)),"-")</f>
        <v>-</v>
      </c>
      <c r="E53" s="2" t="str">
        <f>IFERROR(INDEX(Movimientos!$F$2:$F$1998,MATCH(A53&amp;"ENTRADA",Movimientos!$R$2:$R$1998,0)),"-")</f>
        <v>-</v>
      </c>
      <c r="F53" s="2" t="str">
        <f>IFERROR(INDEX(Movimientos!$G$2:$G$1998,MATCH(A53&amp;"ENTRADA",Movimientos!$R$2:$R$1998,0)),"-")</f>
        <v>-</v>
      </c>
      <c r="G53" s="2" t="str">
        <f>IFERROR(INDEX(Movimientos!$L$2:$L$1998,MATCH(A53&amp;"ENTRADA",Movimientos!$R$2:$R$1998,0)),"-")</f>
        <v>-</v>
      </c>
      <c r="H53" s="17" t="str">
        <f>IFERROR(IF(INDEX(Movimientos!$M$2:$M$1998,MATCH(A53&amp;"ENTRADA",Movimientos!$R$2:$R$1998,0))=0,"S/D",INDEX(Movimientos!$M$2:$M$1998,MATCH(A53&amp;"ENTRADA",Movimientos!$R$2:$R$1998,0))),"S/D")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 ht="14.25">
      <c r="A54" s="16" t="s">
        <v>2219</v>
      </c>
      <c r="B54" s="2" t="str">
        <f>IFERROR(INDEX(Movimientos!$C$2:$C$1998,MATCH(A54&amp;"ENTRADA",Movimientos!$R$2:$R$1998,0)),"-")</f>
        <v>-</v>
      </c>
      <c r="C54" s="2" t="str">
        <f>IFERROR(INDEX(Movimientos!$D$2:$D$1998,MATCH(A54&amp;"ENTRADA",Movimientos!$R$2:$R$1998,0)),"-")</f>
        <v>-</v>
      </c>
      <c r="D54" s="2" t="str">
        <f>IFERROR(INDEX(Movimientos!$E$2:$E$1998,MATCH(A54&amp;"ENTRADA",Movimientos!$R$2:$R$1998,0)),"-")</f>
        <v>-</v>
      </c>
      <c r="E54" s="2" t="str">
        <f>IFERROR(INDEX(Movimientos!$F$2:$F$1998,MATCH(A54&amp;"ENTRADA",Movimientos!$R$2:$R$1998,0)),"-")</f>
        <v>-</v>
      </c>
      <c r="F54" s="2" t="str">
        <f>IFERROR(INDEX(Movimientos!$G$2:$G$1998,MATCH(A54&amp;"ENTRADA",Movimientos!$R$2:$R$1998,0)),"-")</f>
        <v>-</v>
      </c>
      <c r="G54" s="2" t="str">
        <f>IFERROR(INDEX(Movimientos!$L$2:$L$1998,MATCH(A54&amp;"ENTRADA",Movimientos!$R$2:$R$1998,0)),"-")</f>
        <v>-</v>
      </c>
      <c r="H54" s="17" t="str">
        <f>IFERROR(IF(INDEX(Movimientos!$M$2:$M$1998,MATCH(A54&amp;"ENTRADA",Movimientos!$R$2:$R$1998,0))=0,"S/D",INDEX(Movimientos!$M$2:$M$1998,MATCH(A54&amp;"ENTRADA",Movimientos!$R$2:$R$1998,0))),"S/D")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 ht="14.25">
      <c r="A55" s="16" t="s">
        <v>2220</v>
      </c>
      <c r="B55" s="2" t="str">
        <f>IFERROR(INDEX(Movimientos!$C$2:$C$1998,MATCH(A55&amp;"ENTRADA",Movimientos!$R$2:$R$1998,0)),"-")</f>
        <v>-</v>
      </c>
      <c r="C55" s="2" t="str">
        <f>IFERROR(INDEX(Movimientos!$D$2:$D$1998,MATCH(A55&amp;"ENTRADA",Movimientos!$R$2:$R$1998,0)),"-")</f>
        <v>-</v>
      </c>
      <c r="D55" s="2" t="str">
        <f>IFERROR(INDEX(Movimientos!$E$2:$E$1998,MATCH(A55&amp;"ENTRADA",Movimientos!$R$2:$R$1998,0)),"-")</f>
        <v>-</v>
      </c>
      <c r="E55" s="2" t="str">
        <f>IFERROR(INDEX(Movimientos!$F$2:$F$1998,MATCH(A55&amp;"ENTRADA",Movimientos!$R$2:$R$1998,0)),"-")</f>
        <v>-</v>
      </c>
      <c r="F55" s="2" t="str">
        <f>IFERROR(INDEX(Movimientos!$G$2:$G$1998,MATCH(A55&amp;"ENTRADA",Movimientos!$R$2:$R$1998,0)),"-")</f>
        <v>-</v>
      </c>
      <c r="G55" s="2" t="str">
        <f>IFERROR(INDEX(Movimientos!$L$2:$L$1998,MATCH(A55&amp;"ENTRADA",Movimientos!$R$2:$R$1998,0)),"-")</f>
        <v>-</v>
      </c>
      <c r="H55" s="17" t="str">
        <f>IFERROR(IF(INDEX(Movimientos!$M$2:$M$1998,MATCH(A55&amp;"ENTRADA",Movimientos!$R$2:$R$1998,0))=0,"S/D",INDEX(Movimientos!$M$2:$M$1998,MATCH(A55&amp;"ENTRADA",Movimientos!$R$2:$R$1998,0))),"S/D")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 ht="14.25">
      <c r="A56" s="16" t="s">
        <v>2221</v>
      </c>
      <c r="B56" s="2" t="str">
        <f>IFERROR(INDEX(Movimientos!$C$2:$C$1998,MATCH(A56&amp;"ENTRADA",Movimientos!$R$2:$R$1998,0)),"-")</f>
        <v>-</v>
      </c>
      <c r="C56" s="2" t="str">
        <f>IFERROR(INDEX(Movimientos!$D$2:$D$1998,MATCH(A56&amp;"ENTRADA",Movimientos!$R$2:$R$1998,0)),"-")</f>
        <v>-</v>
      </c>
      <c r="D56" s="2" t="str">
        <f>IFERROR(INDEX(Movimientos!$E$2:$E$1998,MATCH(A56&amp;"ENTRADA",Movimientos!$R$2:$R$1998,0)),"-")</f>
        <v>-</v>
      </c>
      <c r="E56" s="2" t="str">
        <f>IFERROR(INDEX(Movimientos!$F$2:$F$1998,MATCH(A56&amp;"ENTRADA",Movimientos!$R$2:$R$1998,0)),"-")</f>
        <v>-</v>
      </c>
      <c r="F56" s="2" t="str">
        <f>IFERROR(INDEX(Movimientos!$G$2:$G$1998,MATCH(A56&amp;"ENTRADA",Movimientos!$R$2:$R$1998,0)),"-")</f>
        <v>-</v>
      </c>
      <c r="G56" s="2" t="str">
        <f>IFERROR(INDEX(Movimientos!$L$2:$L$1998,MATCH(A56&amp;"ENTRADA",Movimientos!$R$2:$R$1998,0)),"-")</f>
        <v>-</v>
      </c>
      <c r="H56" s="17" t="str">
        <f>IFERROR(IF(INDEX(Movimientos!$M$2:$M$1998,MATCH(A56&amp;"ENTRADA",Movimientos!$R$2:$R$1998,0))=0,"S/D",INDEX(Movimientos!$M$2:$M$1998,MATCH(A56&amp;"ENTRADA",Movimientos!$R$2:$R$1998,0))),"S/D")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 ht="14.25">
      <c r="A57" s="16" t="s">
        <v>2222</v>
      </c>
      <c r="B57" s="2" t="str">
        <f>IFERROR(INDEX(Movimientos!$C$2:$C$1998,MATCH(A57&amp;"ENTRADA",Movimientos!$R$2:$R$1998,0)),"-")</f>
        <v>-</v>
      </c>
      <c r="C57" s="2" t="str">
        <f>IFERROR(INDEX(Movimientos!$D$2:$D$1998,MATCH(A57&amp;"ENTRADA",Movimientos!$R$2:$R$1998,0)),"-")</f>
        <v>-</v>
      </c>
      <c r="D57" s="2" t="str">
        <f>IFERROR(INDEX(Movimientos!$E$2:$E$1998,MATCH(A57&amp;"ENTRADA",Movimientos!$R$2:$R$1998,0)),"-")</f>
        <v>-</v>
      </c>
      <c r="E57" s="2" t="str">
        <f>IFERROR(INDEX(Movimientos!$F$2:$F$1998,MATCH(A57&amp;"ENTRADA",Movimientos!$R$2:$R$1998,0)),"-")</f>
        <v>-</v>
      </c>
      <c r="F57" s="2" t="str">
        <f>IFERROR(INDEX(Movimientos!$G$2:$G$1998,MATCH(A57&amp;"ENTRADA",Movimientos!$R$2:$R$1998,0)),"-")</f>
        <v>-</v>
      </c>
      <c r="G57" s="2" t="str">
        <f>IFERROR(INDEX(Movimientos!$L$2:$L$1998,MATCH(A57&amp;"ENTRADA",Movimientos!$R$2:$R$1998,0)),"-")</f>
        <v>-</v>
      </c>
      <c r="H57" s="17" t="str">
        <f>IFERROR(IF(INDEX(Movimientos!$M$2:$M$1998,MATCH(A57&amp;"ENTRADA",Movimientos!$R$2:$R$1998,0))=0,"S/D",INDEX(Movimientos!$M$2:$M$1998,MATCH(A57&amp;"ENTRADA",Movimientos!$R$2:$R$1998,0))),"S/D")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 t="s">
        <v>2223</v>
      </c>
      <c r="B58" s="2" t="str">
        <f>IFERROR(INDEX(Movimientos!$C$2:$C$1998,MATCH(A58&amp;"ENTRADA",Movimientos!$R$2:$R$1998,0)),"-")</f>
        <v>-</v>
      </c>
      <c r="C58" s="2" t="str">
        <f>IFERROR(INDEX(Movimientos!$D$2:$D$1998,MATCH(A58&amp;"ENTRADA",Movimientos!$R$2:$R$1998,0)),"-")</f>
        <v>-</v>
      </c>
      <c r="D58" s="2" t="str">
        <f>IFERROR(INDEX(Movimientos!$E$2:$E$1998,MATCH(A58&amp;"ENTRADA",Movimientos!$R$2:$R$1998,0)),"-")</f>
        <v>-</v>
      </c>
      <c r="E58" s="2" t="str">
        <f>IFERROR(INDEX(Movimientos!$F$2:$F$1998,MATCH(A58&amp;"ENTRADA",Movimientos!$R$2:$R$1998,0)),"-")</f>
        <v>-</v>
      </c>
      <c r="F58" s="2" t="str">
        <f>IFERROR(INDEX(Movimientos!$G$2:$G$1998,MATCH(A58&amp;"ENTRADA",Movimientos!$R$2:$R$1998,0)),"-")</f>
        <v>-</v>
      </c>
      <c r="G58" s="2" t="str">
        <f>IFERROR(INDEX(Movimientos!$L$2:$L$1998,MATCH(A58&amp;"ENTRADA",Movimientos!$R$2:$R$1998,0)),"-")</f>
        <v>-</v>
      </c>
      <c r="H58" s="17" t="str">
        <f>IFERROR(IF(INDEX(Movimientos!$M$2:$M$1998,MATCH(A58&amp;"ENTRADA",Movimientos!$R$2:$R$1998,0))=0,"S/D",INDEX(Movimientos!$M$2:$M$1998,MATCH(A58&amp;"ENTRADA",Movimientos!$R$2:$R$1998,0))),"S/D")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 ht="14.25">
      <c r="A59" s="16" t="s">
        <v>2224</v>
      </c>
      <c r="B59" s="2" t="str">
        <f>IFERROR(INDEX(Movimientos!$C$2:$C$1998,MATCH(A59&amp;"ENTRADA",Movimientos!$R$2:$R$1998,0)),"-")</f>
        <v>-</v>
      </c>
      <c r="C59" s="2" t="str">
        <f>IFERROR(INDEX(Movimientos!$D$2:$D$1998,MATCH(A59&amp;"ENTRADA",Movimientos!$R$2:$R$1998,0)),"-")</f>
        <v>-</v>
      </c>
      <c r="D59" s="2" t="str">
        <f>IFERROR(INDEX(Movimientos!$E$2:$E$1998,MATCH(A59&amp;"ENTRADA",Movimientos!$R$2:$R$1998,0)),"-")</f>
        <v>-</v>
      </c>
      <c r="E59" s="2" t="str">
        <f>IFERROR(INDEX(Movimientos!$F$2:$F$1998,MATCH(A59&amp;"ENTRADA",Movimientos!$R$2:$R$1998,0)),"-")</f>
        <v>-</v>
      </c>
      <c r="F59" s="2" t="str">
        <f>IFERROR(INDEX(Movimientos!$G$2:$G$1998,MATCH(A59&amp;"ENTRADA",Movimientos!$R$2:$R$1998,0)),"-")</f>
        <v>-</v>
      </c>
      <c r="G59" s="2" t="str">
        <f>IFERROR(INDEX(Movimientos!$L$2:$L$1998,MATCH(A59&amp;"ENTRADA",Movimientos!$R$2:$R$1998,0)),"-")</f>
        <v>-</v>
      </c>
      <c r="H59" s="17" t="str">
        <f>IFERROR(IF(INDEX(Movimientos!$M$2:$M$1998,MATCH(A59&amp;"ENTRADA",Movimientos!$R$2:$R$1998,0))=0,"S/D",INDEX(Movimientos!$M$2:$M$1998,MATCH(A59&amp;"ENTRADA",Movimientos!$R$2:$R$1998,0))),"S/D")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s="16" t="s">
        <v>2225</v>
      </c>
      <c r="B60" s="2" t="str">
        <f>IFERROR(INDEX(Movimientos!$C$2:$C$1998,MATCH(A60&amp;"ENTRADA",Movimientos!$R$2:$R$1998,0)),"-")</f>
        <v>-</v>
      </c>
      <c r="C60" s="2" t="str">
        <f>IFERROR(INDEX(Movimientos!$D$2:$D$1998,MATCH(A60&amp;"ENTRADA",Movimientos!$R$2:$R$1998,0)),"-")</f>
        <v>-</v>
      </c>
      <c r="D60" s="2" t="str">
        <f>IFERROR(INDEX(Movimientos!$E$2:$E$1998,MATCH(A60&amp;"ENTRADA",Movimientos!$R$2:$R$1998,0)),"-")</f>
        <v>-</v>
      </c>
      <c r="E60" s="2" t="str">
        <f>IFERROR(INDEX(Movimientos!$F$2:$F$1998,MATCH(A60&amp;"ENTRADA",Movimientos!$R$2:$R$1998,0)),"-")</f>
        <v>-</v>
      </c>
      <c r="F60" s="2" t="str">
        <f>IFERROR(INDEX(Movimientos!$G$2:$G$1998,MATCH(A60&amp;"ENTRADA",Movimientos!$R$2:$R$1998,0)),"-")</f>
        <v>-</v>
      </c>
      <c r="G60" s="2" t="str">
        <f>IFERROR(INDEX(Movimientos!$L$2:$L$1998,MATCH(A60&amp;"ENTRADA",Movimientos!$R$2:$R$1998,0)),"-")</f>
        <v>-</v>
      </c>
      <c r="H60" s="17" t="str">
        <f>IFERROR(IF(INDEX(Movimientos!$M$2:$M$1998,MATCH(A60&amp;"ENTRADA",Movimientos!$R$2:$R$1998,0))=0,"S/D",INDEX(Movimientos!$M$2:$M$1998,MATCH(A60&amp;"ENTRADA",Movimientos!$R$2:$R$1998,0))),"S/D")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 ht="14.25">
      <c r="A61" s="16" t="s">
        <v>2226</v>
      </c>
      <c r="B61" s="2" t="str">
        <f>IFERROR(INDEX(Movimientos!$C$2:$C$1998,MATCH(A61&amp;"ENTRADA",Movimientos!$R$2:$R$1998,0)),"-")</f>
        <v>-</v>
      </c>
      <c r="C61" s="2" t="str">
        <f>IFERROR(INDEX(Movimientos!$D$2:$D$1998,MATCH(A61&amp;"ENTRADA",Movimientos!$R$2:$R$1998,0)),"-")</f>
        <v>-</v>
      </c>
      <c r="D61" s="2" t="str">
        <f>IFERROR(INDEX(Movimientos!$E$2:$E$1998,MATCH(A61&amp;"ENTRADA",Movimientos!$R$2:$R$1998,0)),"-")</f>
        <v>-</v>
      </c>
      <c r="E61" s="2" t="str">
        <f>IFERROR(INDEX(Movimientos!$F$2:$F$1998,MATCH(A61&amp;"ENTRADA",Movimientos!$R$2:$R$1998,0)),"-")</f>
        <v>-</v>
      </c>
      <c r="F61" s="2" t="str">
        <f>IFERROR(INDEX(Movimientos!$G$2:$G$1998,MATCH(A61&amp;"ENTRADA",Movimientos!$R$2:$R$1998,0)),"-")</f>
        <v>-</v>
      </c>
      <c r="G61" s="2" t="str">
        <f>IFERROR(INDEX(Movimientos!$L$2:$L$1998,MATCH(A61&amp;"ENTRADA",Movimientos!$R$2:$R$1998,0)),"-")</f>
        <v>-</v>
      </c>
      <c r="H61" s="17" t="str">
        <f>IFERROR(IF(INDEX(Movimientos!$M$2:$M$1998,MATCH(A61&amp;"ENTRADA",Movimientos!$R$2:$R$1998,0))=0,"S/D",INDEX(Movimientos!$M$2:$M$1998,MATCH(A61&amp;"ENTRADA",Movimientos!$R$2:$R$1998,0))),"S/D")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 ht="14.25">
      <c r="A62" s="16" t="s">
        <v>2227</v>
      </c>
      <c r="B62" s="2" t="str">
        <f>IFERROR(INDEX(Movimientos!$C$2:$C$1998,MATCH(A62&amp;"ENTRADA",Movimientos!$R$2:$R$1998,0)),"-")</f>
        <v>-</v>
      </c>
      <c r="C62" s="2" t="str">
        <f>IFERROR(INDEX(Movimientos!$D$2:$D$1998,MATCH(A62&amp;"ENTRADA",Movimientos!$R$2:$R$1998,0)),"-")</f>
        <v>-</v>
      </c>
      <c r="D62" s="2" t="str">
        <f>IFERROR(INDEX(Movimientos!$E$2:$E$1998,MATCH(A62&amp;"ENTRADA",Movimientos!$R$2:$R$1998,0)),"-")</f>
        <v>-</v>
      </c>
      <c r="E62" s="2" t="str">
        <f>IFERROR(INDEX(Movimientos!$F$2:$F$1998,MATCH(A62&amp;"ENTRADA",Movimientos!$R$2:$R$1998,0)),"-")</f>
        <v>-</v>
      </c>
      <c r="F62" s="2" t="str">
        <f>IFERROR(INDEX(Movimientos!$G$2:$G$1998,MATCH(A62&amp;"ENTRADA",Movimientos!$R$2:$R$1998,0)),"-")</f>
        <v>-</v>
      </c>
      <c r="G62" s="2" t="str">
        <f>IFERROR(INDEX(Movimientos!$L$2:$L$1998,MATCH(A62&amp;"ENTRADA",Movimientos!$R$2:$R$1998,0)),"-")</f>
        <v>-</v>
      </c>
      <c r="H62" s="17" t="str">
        <f>IFERROR(IF(INDEX(Movimientos!$M$2:$M$1998,MATCH(A62&amp;"ENTRADA",Movimientos!$R$2:$R$1998,0))=0,"S/D",INDEX(Movimientos!$M$2:$M$1998,MATCH(A62&amp;"ENTRADA",Movimientos!$R$2:$R$1998,0))),"S/D")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s="16" t="s">
        <v>2228</v>
      </c>
      <c r="B63" s="2" t="str">
        <f>IFERROR(INDEX(Movimientos!$C$2:$C$1998,MATCH(A63&amp;"ENTRADA",Movimientos!$R$2:$R$1998,0)),"-")</f>
        <v>-</v>
      </c>
      <c r="C63" s="2" t="str">
        <f>IFERROR(INDEX(Movimientos!$D$2:$D$1998,MATCH(A63&amp;"ENTRADA",Movimientos!$R$2:$R$1998,0)),"-")</f>
        <v>-</v>
      </c>
      <c r="D63" s="2" t="str">
        <f>IFERROR(INDEX(Movimientos!$E$2:$E$1998,MATCH(A63&amp;"ENTRADA",Movimientos!$R$2:$R$1998,0)),"-")</f>
        <v>-</v>
      </c>
      <c r="E63" s="2" t="str">
        <f>IFERROR(INDEX(Movimientos!$F$2:$F$1998,MATCH(A63&amp;"ENTRADA",Movimientos!$R$2:$R$1998,0)),"-")</f>
        <v>-</v>
      </c>
      <c r="F63" s="2" t="str">
        <f>IFERROR(INDEX(Movimientos!$G$2:$G$1998,MATCH(A63&amp;"ENTRADA",Movimientos!$R$2:$R$1998,0)),"-")</f>
        <v>-</v>
      </c>
      <c r="G63" s="2" t="str">
        <f>IFERROR(INDEX(Movimientos!$L$2:$L$1998,MATCH(A63&amp;"ENTRADA",Movimientos!$R$2:$R$1998,0)),"-")</f>
        <v>-</v>
      </c>
      <c r="H63" s="17" t="str">
        <f>IFERROR(IF(INDEX(Movimientos!$M$2:$M$1998,MATCH(A63&amp;"ENTRADA",Movimientos!$R$2:$R$1998,0))=0,"S/D",INDEX(Movimientos!$M$2:$M$1998,MATCH(A63&amp;"ENTRADA",Movimientos!$R$2:$R$1998,0))),"S/D")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s="16" t="s">
        <v>2229</v>
      </c>
      <c r="B64" s="2" t="str">
        <f>IFERROR(INDEX(Movimientos!$C$2:$C$1998,MATCH(A64&amp;"ENTRADA",Movimientos!$R$2:$R$1998,0)),"-")</f>
        <v>-</v>
      </c>
      <c r="C64" s="2" t="str">
        <f>IFERROR(INDEX(Movimientos!$D$2:$D$1998,MATCH(A64&amp;"ENTRADA",Movimientos!$R$2:$R$1998,0)),"-")</f>
        <v>-</v>
      </c>
      <c r="D64" s="2" t="str">
        <f>IFERROR(INDEX(Movimientos!$E$2:$E$1998,MATCH(A64&amp;"ENTRADA",Movimientos!$R$2:$R$1998,0)),"-")</f>
        <v>-</v>
      </c>
      <c r="E64" s="2" t="str">
        <f>IFERROR(INDEX(Movimientos!$F$2:$F$1998,MATCH(A64&amp;"ENTRADA",Movimientos!$R$2:$R$1998,0)),"-")</f>
        <v>-</v>
      </c>
      <c r="F64" s="2" t="str">
        <f>IFERROR(INDEX(Movimientos!$G$2:$G$1998,MATCH(A64&amp;"ENTRADA",Movimientos!$R$2:$R$1998,0)),"-")</f>
        <v>-</v>
      </c>
      <c r="G64" s="2" t="str">
        <f>IFERROR(INDEX(Movimientos!$L$2:$L$1998,MATCH(A64&amp;"ENTRADA",Movimientos!$R$2:$R$1998,0)),"-")</f>
        <v>-</v>
      </c>
      <c r="H64" s="17" t="str">
        <f>IFERROR(IF(INDEX(Movimientos!$M$2:$M$1998,MATCH(A64&amp;"ENTRADA",Movimientos!$R$2:$R$1998,0))=0,"S/D",INDEX(Movimientos!$M$2:$M$1998,MATCH(A64&amp;"ENTRADA",Movimientos!$R$2:$R$1998,0))),"S/D")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 ht="14.25">
      <c r="A65" s="16" t="s">
        <v>2230</v>
      </c>
      <c r="B65" s="2" t="str">
        <f>IFERROR(INDEX(Movimientos!$C$2:$C$1998,MATCH(A65&amp;"ENTRADA",Movimientos!$R$2:$R$1998,0)),"-")</f>
        <v>-</v>
      </c>
      <c r="C65" s="2" t="str">
        <f>IFERROR(INDEX(Movimientos!$D$2:$D$1998,MATCH(A65&amp;"ENTRADA",Movimientos!$R$2:$R$1998,0)),"-")</f>
        <v>-</v>
      </c>
      <c r="D65" s="2" t="str">
        <f>IFERROR(INDEX(Movimientos!$E$2:$E$1998,MATCH(A65&amp;"ENTRADA",Movimientos!$R$2:$R$1998,0)),"-")</f>
        <v>-</v>
      </c>
      <c r="E65" s="2" t="str">
        <f>IFERROR(INDEX(Movimientos!$F$2:$F$1998,MATCH(A65&amp;"ENTRADA",Movimientos!$R$2:$R$1998,0)),"-")</f>
        <v>-</v>
      </c>
      <c r="F65" s="2" t="str">
        <f>IFERROR(INDEX(Movimientos!$G$2:$G$1998,MATCH(A65&amp;"ENTRADA",Movimientos!$R$2:$R$1998,0)),"-")</f>
        <v>-</v>
      </c>
      <c r="G65" s="2" t="str">
        <f>IFERROR(INDEX(Movimientos!$L$2:$L$1998,MATCH(A65&amp;"ENTRADA",Movimientos!$R$2:$R$1998,0)),"-")</f>
        <v>-</v>
      </c>
      <c r="H65" s="17" t="str">
        <f>IFERROR(IF(INDEX(Movimientos!$M$2:$M$1998,MATCH(A65&amp;"ENTRADA",Movimientos!$R$2:$R$1998,0))=0,"S/D",INDEX(Movimientos!$M$2:$M$1998,MATCH(A65&amp;"ENTRADA",Movimientos!$R$2:$R$1998,0))),"S/D")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 ht="14.25">
      <c r="A66" s="16" t="s">
        <v>2231</v>
      </c>
      <c r="B66" s="2" t="str">
        <f>IFERROR(INDEX(Movimientos!$C$2:$C$1998,MATCH(A66&amp;"ENTRADA",Movimientos!$R$2:$R$1998,0)),"-")</f>
        <v>-</v>
      </c>
      <c r="C66" s="2" t="str">
        <f>IFERROR(INDEX(Movimientos!$D$2:$D$1998,MATCH(A66&amp;"ENTRADA",Movimientos!$R$2:$R$1998,0)),"-")</f>
        <v>-</v>
      </c>
      <c r="D66" s="2" t="str">
        <f>IFERROR(INDEX(Movimientos!$E$2:$E$1998,MATCH(A66&amp;"ENTRADA",Movimientos!$R$2:$R$1998,0)),"-")</f>
        <v>-</v>
      </c>
      <c r="E66" s="2" t="str">
        <f>IFERROR(INDEX(Movimientos!$F$2:$F$1998,MATCH(A66&amp;"ENTRADA",Movimientos!$R$2:$R$1998,0)),"-")</f>
        <v>-</v>
      </c>
      <c r="F66" s="2" t="str">
        <f>IFERROR(INDEX(Movimientos!$G$2:$G$1998,MATCH(A66&amp;"ENTRADA",Movimientos!$R$2:$R$1998,0)),"-")</f>
        <v>-</v>
      </c>
      <c r="G66" s="2" t="str">
        <f>IFERROR(INDEX(Movimientos!$L$2:$L$1998,MATCH(A66&amp;"ENTRADA",Movimientos!$R$2:$R$1998,0)),"-")</f>
        <v>-</v>
      </c>
      <c r="H66" s="17" t="str">
        <f>IFERROR(IF(INDEX(Movimientos!$M$2:$M$1998,MATCH(A66&amp;"ENTRADA",Movimientos!$R$2:$R$1998,0))=0,"S/D",INDEX(Movimientos!$M$2:$M$1998,MATCH(A66&amp;"ENTRADA",Movimientos!$R$2:$R$1998,0))),"S/D")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 ht="14.25">
      <c r="A67" s="16" t="s">
        <v>2232</v>
      </c>
      <c r="B67" s="2" t="str">
        <f>IFERROR(INDEX(Movimientos!$C$2:$C$1998,MATCH(A67&amp;"ENTRADA",Movimientos!$R$2:$R$1998,0)),"-")</f>
        <v>-</v>
      </c>
      <c r="C67" s="2" t="str">
        <f>IFERROR(INDEX(Movimientos!$D$2:$D$1998,MATCH(A67&amp;"ENTRADA",Movimientos!$R$2:$R$1998,0)),"-")</f>
        <v>-</v>
      </c>
      <c r="D67" s="2" t="str">
        <f>IFERROR(INDEX(Movimientos!$E$2:$E$1998,MATCH(A67&amp;"ENTRADA",Movimientos!$R$2:$R$1998,0)),"-")</f>
        <v>-</v>
      </c>
      <c r="E67" s="2" t="str">
        <f>IFERROR(INDEX(Movimientos!$F$2:$F$1998,MATCH(A67&amp;"ENTRADA",Movimientos!$R$2:$R$1998,0)),"-")</f>
        <v>-</v>
      </c>
      <c r="F67" s="2" t="str">
        <f>IFERROR(INDEX(Movimientos!$G$2:$G$1998,MATCH(A67&amp;"ENTRADA",Movimientos!$R$2:$R$1998,0)),"-")</f>
        <v>-</v>
      </c>
      <c r="G67" s="2" t="str">
        <f>IFERROR(INDEX(Movimientos!$L$2:$L$1998,MATCH(A67&amp;"ENTRADA",Movimientos!$R$2:$R$1998,0)),"-")</f>
        <v>-</v>
      </c>
      <c r="H67" s="17" t="str">
        <f>IFERROR(IF(INDEX(Movimientos!$M$2:$M$1998,MATCH(A67&amp;"ENTRADA",Movimientos!$R$2:$R$1998,0))=0,"S/D",INDEX(Movimientos!$M$2:$M$1998,MATCH(A67&amp;"ENTRADA",Movimientos!$R$2:$R$1998,0))),"S/D")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 ht="14.25">
      <c r="A68" s="16" t="s">
        <v>2233</v>
      </c>
      <c r="B68" s="2" t="str">
        <f>IFERROR(INDEX(Movimientos!$C$2:$C$1998,MATCH(A68&amp;"ENTRADA",Movimientos!$R$2:$R$1998,0)),"-")</f>
        <v>-</v>
      </c>
      <c r="C68" s="2" t="str">
        <f>IFERROR(INDEX(Movimientos!$D$2:$D$1998,MATCH(A68&amp;"ENTRADA",Movimientos!$R$2:$R$1998,0)),"-")</f>
        <v>-</v>
      </c>
      <c r="D68" s="2" t="str">
        <f>IFERROR(INDEX(Movimientos!$E$2:$E$1998,MATCH(A68&amp;"ENTRADA",Movimientos!$R$2:$R$1998,0)),"-")</f>
        <v>-</v>
      </c>
      <c r="E68" s="2" t="str">
        <f>IFERROR(INDEX(Movimientos!$F$2:$F$1998,MATCH(A68&amp;"ENTRADA",Movimientos!$R$2:$R$1998,0)),"-")</f>
        <v>-</v>
      </c>
      <c r="F68" s="2" t="str">
        <f>IFERROR(INDEX(Movimientos!$G$2:$G$1998,MATCH(A68&amp;"ENTRADA",Movimientos!$R$2:$R$1998,0)),"-")</f>
        <v>-</v>
      </c>
      <c r="G68" s="2" t="str">
        <f>IFERROR(INDEX(Movimientos!$L$2:$L$1998,MATCH(A68&amp;"ENTRADA",Movimientos!$R$2:$R$1998,0)),"-")</f>
        <v>-</v>
      </c>
      <c r="H68" s="17" t="str">
        <f>IFERROR(IF(INDEX(Movimientos!$M$2:$M$1998,MATCH(A68&amp;"ENTRADA",Movimientos!$R$2:$R$1998,0))=0,"S/D",INDEX(Movimientos!$M$2:$M$1998,MATCH(A68&amp;"ENTRADA",Movimientos!$R$2:$R$1998,0))),"S/D")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 ht="14.25">
      <c r="A69" s="16" t="s">
        <v>2234</v>
      </c>
      <c r="B69" s="2" t="str">
        <f>IFERROR(INDEX(Movimientos!$C$2:$C$1998,MATCH(A69&amp;"ENTRADA",Movimientos!$R$2:$R$1998,0)),"-")</f>
        <v>-</v>
      </c>
      <c r="C69" s="2" t="str">
        <f>IFERROR(INDEX(Movimientos!$D$2:$D$1998,MATCH(A69&amp;"ENTRADA",Movimientos!$R$2:$R$1998,0)),"-")</f>
        <v>-</v>
      </c>
      <c r="D69" s="2" t="str">
        <f>IFERROR(INDEX(Movimientos!$E$2:$E$1998,MATCH(A69&amp;"ENTRADA",Movimientos!$R$2:$R$1998,0)),"-")</f>
        <v>-</v>
      </c>
      <c r="E69" s="2" t="str">
        <f>IFERROR(INDEX(Movimientos!$F$2:$F$1998,MATCH(A69&amp;"ENTRADA",Movimientos!$R$2:$R$1998,0)),"-")</f>
        <v>-</v>
      </c>
      <c r="F69" s="2" t="str">
        <f>IFERROR(INDEX(Movimientos!$G$2:$G$1998,MATCH(A69&amp;"ENTRADA",Movimientos!$R$2:$R$1998,0)),"-")</f>
        <v>-</v>
      </c>
      <c r="G69" s="2" t="str">
        <f>IFERROR(INDEX(Movimientos!$L$2:$L$1998,MATCH(A69&amp;"ENTRADA",Movimientos!$R$2:$R$1998,0)),"-")</f>
        <v>-</v>
      </c>
      <c r="H69" s="17" t="str">
        <f>IFERROR(IF(INDEX(Movimientos!$M$2:$M$1998,MATCH(A69&amp;"ENTRADA",Movimientos!$R$2:$R$1998,0))=0,"S/D",INDEX(Movimientos!$M$2:$M$1998,MATCH(A69&amp;"ENTRADA",Movimientos!$R$2:$R$1998,0))),"S/D")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 ht="14.25">
      <c r="A70" s="16" t="s">
        <v>2235</v>
      </c>
      <c r="B70" s="2" t="str">
        <f>IFERROR(INDEX(Movimientos!$C$2:$C$1998,MATCH(A70&amp;"ENTRADA",Movimientos!$R$2:$R$1998,0)),"-")</f>
        <v>-</v>
      </c>
      <c r="C70" s="2" t="str">
        <f>IFERROR(INDEX(Movimientos!$D$2:$D$1998,MATCH(A70&amp;"ENTRADA",Movimientos!$R$2:$R$1998,0)),"-")</f>
        <v>-</v>
      </c>
      <c r="D70" s="2" t="str">
        <f>IFERROR(INDEX(Movimientos!$E$2:$E$1998,MATCH(A70&amp;"ENTRADA",Movimientos!$R$2:$R$1998,0)),"-")</f>
        <v>-</v>
      </c>
      <c r="E70" s="2" t="str">
        <f>IFERROR(INDEX(Movimientos!$F$2:$F$1998,MATCH(A70&amp;"ENTRADA",Movimientos!$R$2:$R$1998,0)),"-")</f>
        <v>-</v>
      </c>
      <c r="F70" s="2" t="str">
        <f>IFERROR(INDEX(Movimientos!$G$2:$G$1998,MATCH(A70&amp;"ENTRADA",Movimientos!$R$2:$R$1998,0)),"-")</f>
        <v>-</v>
      </c>
      <c r="G70" s="2" t="str">
        <f>IFERROR(INDEX(Movimientos!$L$2:$L$1998,MATCH(A70&amp;"ENTRADA",Movimientos!$R$2:$R$1998,0)),"-")</f>
        <v>-</v>
      </c>
      <c r="H70" s="17" t="str">
        <f>IFERROR(IF(INDEX(Movimientos!$M$2:$M$1998,MATCH(A70&amp;"ENTRADA",Movimientos!$R$2:$R$1998,0))=0,"S/D",INDEX(Movimientos!$M$2:$M$1998,MATCH(A70&amp;"ENTRADA",Movimientos!$R$2:$R$1998,0))),"S/D")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 ht="14.25">
      <c r="A71" s="16" t="s">
        <v>2236</v>
      </c>
      <c r="B71" s="2" t="str">
        <f>IFERROR(INDEX(Movimientos!$C$2:$C$1998,MATCH(A71&amp;"ENTRADA",Movimientos!$R$2:$R$1998,0)),"-")</f>
        <v>-</v>
      </c>
      <c r="C71" s="2" t="str">
        <f>IFERROR(INDEX(Movimientos!$D$2:$D$1998,MATCH(A71&amp;"ENTRADA",Movimientos!$R$2:$R$1998,0)),"-")</f>
        <v>-</v>
      </c>
      <c r="D71" s="2" t="str">
        <f>IFERROR(INDEX(Movimientos!$E$2:$E$1998,MATCH(A71&amp;"ENTRADA",Movimientos!$R$2:$R$1998,0)),"-")</f>
        <v>-</v>
      </c>
      <c r="E71" s="2" t="str">
        <f>IFERROR(INDEX(Movimientos!$F$2:$F$1998,MATCH(A71&amp;"ENTRADA",Movimientos!$R$2:$R$1998,0)),"-")</f>
        <v>-</v>
      </c>
      <c r="F71" s="2" t="str">
        <f>IFERROR(INDEX(Movimientos!$G$2:$G$1998,MATCH(A71&amp;"ENTRADA",Movimientos!$R$2:$R$1998,0)),"-")</f>
        <v>-</v>
      </c>
      <c r="G71" s="2" t="str">
        <f>IFERROR(INDEX(Movimientos!$L$2:$L$1998,MATCH(A71&amp;"ENTRADA",Movimientos!$R$2:$R$1998,0)),"-")</f>
        <v>-</v>
      </c>
      <c r="H71" s="17" t="str">
        <f>IFERROR(IF(INDEX(Movimientos!$M$2:$M$1998,MATCH(A71&amp;"ENTRADA",Movimientos!$R$2:$R$1998,0))=0,"S/D",INDEX(Movimientos!$M$2:$M$1998,MATCH(A71&amp;"ENTRADA",Movimientos!$R$2:$R$1998,0))),"S/D")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 ht="14.25">
      <c r="A72" s="16" t="s">
        <v>2237</v>
      </c>
      <c r="B72" s="2" t="str">
        <f>IFERROR(INDEX(Movimientos!$C$2:$C$1998,MATCH(A72&amp;"ENTRADA",Movimientos!$R$2:$R$1998,0)),"-")</f>
        <v>-</v>
      </c>
      <c r="C72" s="2" t="str">
        <f>IFERROR(INDEX(Movimientos!$D$2:$D$1998,MATCH(A72&amp;"ENTRADA",Movimientos!$R$2:$R$1998,0)),"-")</f>
        <v>-</v>
      </c>
      <c r="D72" s="2" t="str">
        <f>IFERROR(INDEX(Movimientos!$E$2:$E$1998,MATCH(A72&amp;"ENTRADA",Movimientos!$R$2:$R$1998,0)),"-")</f>
        <v>-</v>
      </c>
      <c r="E72" s="2" t="str">
        <f>IFERROR(INDEX(Movimientos!$F$2:$F$1998,MATCH(A72&amp;"ENTRADA",Movimientos!$R$2:$R$1998,0)),"-")</f>
        <v>-</v>
      </c>
      <c r="F72" s="2" t="str">
        <f>IFERROR(INDEX(Movimientos!$G$2:$G$1998,MATCH(A72&amp;"ENTRADA",Movimientos!$R$2:$R$1998,0)),"-")</f>
        <v>-</v>
      </c>
      <c r="G72" s="2" t="str">
        <f>IFERROR(INDEX(Movimientos!$L$2:$L$1998,MATCH(A72&amp;"ENTRADA",Movimientos!$R$2:$R$1998,0)),"-")</f>
        <v>-</v>
      </c>
      <c r="H72" s="17" t="str">
        <f>IFERROR(IF(INDEX(Movimientos!$M$2:$M$1998,MATCH(A72&amp;"ENTRADA",Movimientos!$R$2:$R$1998,0))=0,"S/D",INDEX(Movimientos!$M$2:$M$1998,MATCH(A72&amp;"ENTRADA",Movimientos!$R$2:$R$1998,0))),"S/D")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 ht="14.25">
      <c r="A73" s="16" t="s">
        <v>2238</v>
      </c>
      <c r="B73" s="2" t="str">
        <f>IFERROR(INDEX(Movimientos!$C$2:$C$1998,MATCH(A73&amp;"ENTRADA",Movimientos!$R$2:$R$1998,0)),"-")</f>
        <v>-</v>
      </c>
      <c r="C73" s="2" t="str">
        <f>IFERROR(INDEX(Movimientos!$D$2:$D$1998,MATCH(A73&amp;"ENTRADA",Movimientos!$R$2:$R$1998,0)),"-")</f>
        <v>-</v>
      </c>
      <c r="D73" s="2" t="str">
        <f>IFERROR(INDEX(Movimientos!$E$2:$E$1998,MATCH(A73&amp;"ENTRADA",Movimientos!$R$2:$R$1998,0)),"-")</f>
        <v>-</v>
      </c>
      <c r="E73" s="2" t="str">
        <f>IFERROR(INDEX(Movimientos!$F$2:$F$1998,MATCH(A73&amp;"ENTRADA",Movimientos!$R$2:$R$1998,0)),"-")</f>
        <v>-</v>
      </c>
      <c r="F73" s="2" t="str">
        <f>IFERROR(INDEX(Movimientos!$G$2:$G$1998,MATCH(A73&amp;"ENTRADA",Movimientos!$R$2:$R$1998,0)),"-")</f>
        <v>-</v>
      </c>
      <c r="G73" s="2" t="str">
        <f>IFERROR(INDEX(Movimientos!$L$2:$L$1998,MATCH(A73&amp;"ENTRADA",Movimientos!$R$2:$R$1998,0)),"-")</f>
        <v>-</v>
      </c>
      <c r="H73" s="17" t="str">
        <f>IFERROR(IF(INDEX(Movimientos!$M$2:$M$1998,MATCH(A73&amp;"ENTRADA",Movimientos!$R$2:$R$1998,0))=0,"S/D",INDEX(Movimientos!$M$2:$M$1998,MATCH(A73&amp;"ENTRADA",Movimientos!$R$2:$R$1998,0))),"S/D")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 ht="14.25">
      <c r="A74" s="16" t="s">
        <v>2239</v>
      </c>
      <c r="B74" s="2" t="str">
        <f>IFERROR(INDEX(Movimientos!$C$2:$C$1998,MATCH(A74&amp;"ENTRADA",Movimientos!$R$2:$R$1998,0)),"-")</f>
        <v>-</v>
      </c>
      <c r="C74" s="2" t="str">
        <f>IFERROR(INDEX(Movimientos!$D$2:$D$1998,MATCH(A74&amp;"ENTRADA",Movimientos!$R$2:$R$1998,0)),"-")</f>
        <v>-</v>
      </c>
      <c r="D74" s="2" t="str">
        <f>IFERROR(INDEX(Movimientos!$E$2:$E$1998,MATCH(A74&amp;"ENTRADA",Movimientos!$R$2:$R$1998,0)),"-")</f>
        <v>-</v>
      </c>
      <c r="E74" s="2" t="str">
        <f>IFERROR(INDEX(Movimientos!$F$2:$F$1998,MATCH(A74&amp;"ENTRADA",Movimientos!$R$2:$R$1998,0)),"-")</f>
        <v>-</v>
      </c>
      <c r="F74" s="2" t="str">
        <f>IFERROR(INDEX(Movimientos!$G$2:$G$1998,MATCH(A74&amp;"ENTRADA",Movimientos!$R$2:$R$1998,0)),"-")</f>
        <v>-</v>
      </c>
      <c r="G74" s="2" t="str">
        <f>IFERROR(INDEX(Movimientos!$L$2:$L$1998,MATCH(A74&amp;"ENTRADA",Movimientos!$R$2:$R$1998,0)),"-")</f>
        <v>-</v>
      </c>
      <c r="H74" s="17" t="str">
        <f>IFERROR(IF(INDEX(Movimientos!$M$2:$M$1998,MATCH(A74&amp;"ENTRADA",Movimientos!$R$2:$R$1998,0))=0,"S/D",INDEX(Movimientos!$M$2:$M$1998,MATCH(A74&amp;"ENTRADA",Movimientos!$R$2:$R$1998,0))),"S/D")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 ht="14.25">
      <c r="A75" s="16" t="s">
        <v>2240</v>
      </c>
      <c r="B75" s="2" t="str">
        <f>IFERROR(INDEX(Movimientos!$C$2:$C$1998,MATCH(A75&amp;"ENTRADA",Movimientos!$R$2:$R$1998,0)),"-")</f>
        <v>-</v>
      </c>
      <c r="C75" s="2" t="str">
        <f>IFERROR(INDEX(Movimientos!$D$2:$D$1998,MATCH(A75&amp;"ENTRADA",Movimientos!$R$2:$R$1998,0)),"-")</f>
        <v>-</v>
      </c>
      <c r="D75" s="2" t="str">
        <f>IFERROR(INDEX(Movimientos!$E$2:$E$1998,MATCH(A75&amp;"ENTRADA",Movimientos!$R$2:$R$1998,0)),"-")</f>
        <v>-</v>
      </c>
      <c r="E75" s="2" t="str">
        <f>IFERROR(INDEX(Movimientos!$F$2:$F$1998,MATCH(A75&amp;"ENTRADA",Movimientos!$R$2:$R$1998,0)),"-")</f>
        <v>-</v>
      </c>
      <c r="F75" s="2" t="str">
        <f>IFERROR(INDEX(Movimientos!$G$2:$G$1998,MATCH(A75&amp;"ENTRADA",Movimientos!$R$2:$R$1998,0)),"-")</f>
        <v>-</v>
      </c>
      <c r="G75" s="2" t="str">
        <f>IFERROR(INDEX(Movimientos!$L$2:$L$1998,MATCH(A75&amp;"ENTRADA",Movimientos!$R$2:$R$1998,0)),"-")</f>
        <v>-</v>
      </c>
      <c r="H75" s="17" t="str">
        <f>IFERROR(IF(INDEX(Movimientos!$M$2:$M$1998,MATCH(A75&amp;"ENTRADA",Movimientos!$R$2:$R$1998,0))=0,"S/D",INDEX(Movimientos!$M$2:$M$1998,MATCH(A75&amp;"ENTRADA",Movimientos!$R$2:$R$1998,0))),"S/D")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 ht="14.25">
      <c r="A76" s="16" t="s">
        <v>2241</v>
      </c>
      <c r="B76" s="2" t="str">
        <f>IFERROR(INDEX(Movimientos!$C$2:$C$1998,MATCH(A76&amp;"ENTRADA",Movimientos!$R$2:$R$1998,0)),"-")</f>
        <v>-</v>
      </c>
      <c r="C76" s="2" t="str">
        <f>IFERROR(INDEX(Movimientos!$D$2:$D$1998,MATCH(A76&amp;"ENTRADA",Movimientos!$R$2:$R$1998,0)),"-")</f>
        <v>-</v>
      </c>
      <c r="D76" s="2" t="str">
        <f>IFERROR(INDEX(Movimientos!$E$2:$E$1998,MATCH(A76&amp;"ENTRADA",Movimientos!$R$2:$R$1998,0)),"-")</f>
        <v>-</v>
      </c>
      <c r="E76" s="2" t="str">
        <f>IFERROR(INDEX(Movimientos!$F$2:$F$1998,MATCH(A76&amp;"ENTRADA",Movimientos!$R$2:$R$1998,0)),"-")</f>
        <v>-</v>
      </c>
      <c r="F76" s="2" t="str">
        <f>IFERROR(INDEX(Movimientos!$G$2:$G$1998,MATCH(A76&amp;"ENTRADA",Movimientos!$R$2:$R$1998,0)),"-")</f>
        <v>-</v>
      </c>
      <c r="G76" s="2" t="str">
        <f>IFERROR(INDEX(Movimientos!$L$2:$L$1998,MATCH(A76&amp;"ENTRADA",Movimientos!$R$2:$R$1998,0)),"-")</f>
        <v>-</v>
      </c>
      <c r="H76" s="17" t="str">
        <f>IFERROR(IF(INDEX(Movimientos!$M$2:$M$1998,MATCH(A76&amp;"ENTRADA",Movimientos!$R$2:$R$1998,0))=0,"S/D",INDEX(Movimientos!$M$2:$M$1998,MATCH(A76&amp;"ENTRADA",Movimientos!$R$2:$R$1998,0))),"S/D")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 ht="14.25">
      <c r="A77" s="16" t="s">
        <v>2242</v>
      </c>
      <c r="B77" s="2" t="str">
        <f>IFERROR(INDEX(Movimientos!$C$2:$C$1998,MATCH(A77&amp;"ENTRADA",Movimientos!$R$2:$R$1998,0)),"-")</f>
        <v>-</v>
      </c>
      <c r="C77" s="2" t="str">
        <f>IFERROR(INDEX(Movimientos!$D$2:$D$1998,MATCH(A77&amp;"ENTRADA",Movimientos!$R$2:$R$1998,0)),"-")</f>
        <v>-</v>
      </c>
      <c r="D77" s="2" t="str">
        <f>IFERROR(INDEX(Movimientos!$E$2:$E$1998,MATCH(A77&amp;"ENTRADA",Movimientos!$R$2:$R$1998,0)),"-")</f>
        <v>-</v>
      </c>
      <c r="E77" s="2" t="str">
        <f>IFERROR(INDEX(Movimientos!$F$2:$F$1998,MATCH(A77&amp;"ENTRADA",Movimientos!$R$2:$R$1998,0)),"-")</f>
        <v>-</v>
      </c>
      <c r="F77" s="2" t="str">
        <f>IFERROR(INDEX(Movimientos!$G$2:$G$1998,MATCH(A77&amp;"ENTRADA",Movimientos!$R$2:$R$1998,0)),"-")</f>
        <v>-</v>
      </c>
      <c r="G77" s="2" t="str">
        <f>IFERROR(INDEX(Movimientos!$L$2:$L$1998,MATCH(A77&amp;"ENTRADA",Movimientos!$R$2:$R$1998,0)),"-")</f>
        <v>-</v>
      </c>
      <c r="H77" s="17" t="str">
        <f>IFERROR(IF(INDEX(Movimientos!$M$2:$M$1998,MATCH(A77&amp;"ENTRADA",Movimientos!$R$2:$R$1998,0))=0,"S/D",INDEX(Movimientos!$M$2:$M$1998,MATCH(A77&amp;"ENTRADA",Movimientos!$R$2:$R$1998,0))),"S/D")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 ht="14.25">
      <c r="A78" s="16" t="s">
        <v>2243</v>
      </c>
      <c r="B78" s="2" t="str">
        <f>IFERROR(INDEX(Movimientos!$C$2:$C$1998,MATCH(A78&amp;"ENTRADA",Movimientos!$R$2:$R$1998,0)),"-")</f>
        <v>-</v>
      </c>
      <c r="C78" s="2" t="str">
        <f>IFERROR(INDEX(Movimientos!$D$2:$D$1998,MATCH(A78&amp;"ENTRADA",Movimientos!$R$2:$R$1998,0)),"-")</f>
        <v>-</v>
      </c>
      <c r="D78" s="2" t="str">
        <f>IFERROR(INDEX(Movimientos!$E$2:$E$1998,MATCH(A78&amp;"ENTRADA",Movimientos!$R$2:$R$1998,0)),"-")</f>
        <v>-</v>
      </c>
      <c r="E78" s="2" t="str">
        <f>IFERROR(INDEX(Movimientos!$F$2:$F$1998,MATCH(A78&amp;"ENTRADA",Movimientos!$R$2:$R$1998,0)),"-")</f>
        <v>-</v>
      </c>
      <c r="F78" s="2" t="str">
        <f>IFERROR(INDEX(Movimientos!$G$2:$G$1998,MATCH(A78&amp;"ENTRADA",Movimientos!$R$2:$R$1998,0)),"-")</f>
        <v>-</v>
      </c>
      <c r="G78" s="2" t="str">
        <f>IFERROR(INDEX(Movimientos!$L$2:$L$1998,MATCH(A78&amp;"ENTRADA",Movimientos!$R$2:$R$1998,0)),"-")</f>
        <v>-</v>
      </c>
      <c r="H78" s="17" t="str">
        <f>IFERROR(IF(INDEX(Movimientos!$M$2:$M$1998,MATCH(A78&amp;"ENTRADA",Movimientos!$R$2:$R$1998,0))=0,"S/D",INDEX(Movimientos!$M$2:$M$1998,MATCH(A78&amp;"ENTRADA",Movimientos!$R$2:$R$1998,0))),"S/D")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 ht="14.25">
      <c r="A79" s="16" t="s">
        <v>2244</v>
      </c>
      <c r="B79" s="2" t="str">
        <f>IFERROR(INDEX(Movimientos!$C$2:$C$1998,MATCH(A79&amp;"ENTRADA",Movimientos!$R$2:$R$1998,0)),"-")</f>
        <v>-</v>
      </c>
      <c r="C79" s="2" t="str">
        <f>IFERROR(INDEX(Movimientos!$D$2:$D$1998,MATCH(A79&amp;"ENTRADA",Movimientos!$R$2:$R$1998,0)),"-")</f>
        <v>-</v>
      </c>
      <c r="D79" s="2" t="str">
        <f>IFERROR(INDEX(Movimientos!$E$2:$E$1998,MATCH(A79&amp;"ENTRADA",Movimientos!$R$2:$R$1998,0)),"-")</f>
        <v>-</v>
      </c>
      <c r="E79" s="2" t="str">
        <f>IFERROR(INDEX(Movimientos!$F$2:$F$1998,MATCH(A79&amp;"ENTRADA",Movimientos!$R$2:$R$1998,0)),"-")</f>
        <v>-</v>
      </c>
      <c r="F79" s="2" t="str">
        <f>IFERROR(INDEX(Movimientos!$G$2:$G$1998,MATCH(A79&amp;"ENTRADA",Movimientos!$R$2:$R$1998,0)),"-")</f>
        <v>-</v>
      </c>
      <c r="G79" s="2" t="str">
        <f>IFERROR(INDEX(Movimientos!$L$2:$L$1998,MATCH(A79&amp;"ENTRADA",Movimientos!$R$2:$R$1998,0)),"-")</f>
        <v>-</v>
      </c>
      <c r="H79" s="17" t="str">
        <f>IFERROR(IF(INDEX(Movimientos!$M$2:$M$1998,MATCH(A79&amp;"ENTRADA",Movimientos!$R$2:$R$1998,0))=0,"S/D",INDEX(Movimientos!$M$2:$M$1998,MATCH(A79&amp;"ENTRADA",Movimientos!$R$2:$R$1998,0))),"S/D")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 ht="14.25">
      <c r="A80" s="16" t="s">
        <v>2245</v>
      </c>
      <c r="B80" s="2" t="str">
        <f>IFERROR(INDEX(Movimientos!$C$2:$C$1998,MATCH(A80&amp;"ENTRADA",Movimientos!$R$2:$R$1998,0)),"-")</f>
        <v>-</v>
      </c>
      <c r="C80" s="2" t="str">
        <f>IFERROR(INDEX(Movimientos!$D$2:$D$1998,MATCH(A80&amp;"ENTRADA",Movimientos!$R$2:$R$1998,0)),"-")</f>
        <v>-</v>
      </c>
      <c r="D80" s="2" t="str">
        <f>IFERROR(INDEX(Movimientos!$E$2:$E$1998,MATCH(A80&amp;"ENTRADA",Movimientos!$R$2:$R$1998,0)),"-")</f>
        <v>-</v>
      </c>
      <c r="E80" s="2" t="str">
        <f>IFERROR(INDEX(Movimientos!$F$2:$F$1998,MATCH(A80&amp;"ENTRADA",Movimientos!$R$2:$R$1998,0)),"-")</f>
        <v>-</v>
      </c>
      <c r="F80" s="2" t="str">
        <f>IFERROR(INDEX(Movimientos!$G$2:$G$1998,MATCH(A80&amp;"ENTRADA",Movimientos!$R$2:$R$1998,0)),"-")</f>
        <v>-</v>
      </c>
      <c r="G80" s="2" t="str">
        <f>IFERROR(INDEX(Movimientos!$L$2:$L$1998,MATCH(A80&amp;"ENTRADA",Movimientos!$R$2:$R$1998,0)),"-")</f>
        <v>-</v>
      </c>
      <c r="H80" s="17" t="str">
        <f>IFERROR(IF(INDEX(Movimientos!$M$2:$M$1998,MATCH(A80&amp;"ENTRADA",Movimientos!$R$2:$R$1998,0))=0,"S/D",INDEX(Movimientos!$M$2:$M$1998,MATCH(A80&amp;"ENTRADA",Movimientos!$R$2:$R$1998,0))),"S/D")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 ht="14.25">
      <c r="A81" s="16" t="s">
        <v>2246</v>
      </c>
      <c r="B81" s="2" t="str">
        <f>IFERROR(INDEX(Movimientos!$C$2:$C$1998,MATCH(A81&amp;"ENTRADA",Movimientos!$R$2:$R$1998,0)),"-")</f>
        <v>-</v>
      </c>
      <c r="C81" s="2" t="str">
        <f>IFERROR(INDEX(Movimientos!$D$2:$D$1998,MATCH(A81&amp;"ENTRADA",Movimientos!$R$2:$R$1998,0)),"-")</f>
        <v>-</v>
      </c>
      <c r="D81" s="2" t="str">
        <f>IFERROR(INDEX(Movimientos!$E$2:$E$1998,MATCH(A81&amp;"ENTRADA",Movimientos!$R$2:$R$1998,0)),"-")</f>
        <v>-</v>
      </c>
      <c r="E81" s="2" t="str">
        <f>IFERROR(INDEX(Movimientos!$F$2:$F$1998,MATCH(A81&amp;"ENTRADA",Movimientos!$R$2:$R$1998,0)),"-")</f>
        <v>-</v>
      </c>
      <c r="F81" s="2" t="str">
        <f>IFERROR(INDEX(Movimientos!$G$2:$G$1998,MATCH(A81&amp;"ENTRADA",Movimientos!$R$2:$R$1998,0)),"-")</f>
        <v>-</v>
      </c>
      <c r="G81" s="2" t="str">
        <f>IFERROR(INDEX(Movimientos!$L$2:$L$1998,MATCH(A81&amp;"ENTRADA",Movimientos!$R$2:$R$1998,0)),"-")</f>
        <v>-</v>
      </c>
      <c r="H81" s="17" t="str">
        <f>IFERROR(IF(INDEX(Movimientos!$M$2:$M$1998,MATCH(A81&amp;"ENTRADA",Movimientos!$R$2:$R$1998,0))=0,"S/D",INDEX(Movimientos!$M$2:$M$1998,MATCH(A81&amp;"ENTRADA",Movimientos!$R$2:$R$1998,0))),"S/D")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 ht="14.25">
      <c r="A82" s="16" t="s">
        <v>2247</v>
      </c>
      <c r="B82" s="2" t="str">
        <f>IFERROR(INDEX(Movimientos!$C$2:$C$1998,MATCH(A82&amp;"ENTRADA",Movimientos!$R$2:$R$1998,0)),"-")</f>
        <v>-</v>
      </c>
      <c r="C82" s="2" t="str">
        <f>IFERROR(INDEX(Movimientos!$D$2:$D$1998,MATCH(A82&amp;"ENTRADA",Movimientos!$R$2:$R$1998,0)),"-")</f>
        <v>-</v>
      </c>
      <c r="D82" s="2" t="str">
        <f>IFERROR(INDEX(Movimientos!$E$2:$E$1998,MATCH(A82&amp;"ENTRADA",Movimientos!$R$2:$R$1998,0)),"-")</f>
        <v>-</v>
      </c>
      <c r="E82" s="2" t="str">
        <f>IFERROR(INDEX(Movimientos!$F$2:$F$1998,MATCH(A82&amp;"ENTRADA",Movimientos!$R$2:$R$1998,0)),"-")</f>
        <v>-</v>
      </c>
      <c r="F82" s="2" t="str">
        <f>IFERROR(INDEX(Movimientos!$G$2:$G$1998,MATCH(A82&amp;"ENTRADA",Movimientos!$R$2:$R$1998,0)),"-")</f>
        <v>-</v>
      </c>
      <c r="G82" s="2" t="str">
        <f>IFERROR(INDEX(Movimientos!$L$2:$L$1998,MATCH(A82&amp;"ENTRADA",Movimientos!$R$2:$R$1998,0)),"-")</f>
        <v>-</v>
      </c>
      <c r="H82" s="17" t="str">
        <f>IFERROR(IF(INDEX(Movimientos!$M$2:$M$1998,MATCH(A82&amp;"ENTRADA",Movimientos!$R$2:$R$1998,0))=0,"S/D",INDEX(Movimientos!$M$2:$M$1998,MATCH(A82&amp;"ENTRADA",Movimientos!$R$2:$R$1998,0))),"S/D")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 ht="14.25">
      <c r="A83" s="16" t="s">
        <v>2248</v>
      </c>
      <c r="B83" s="2" t="str">
        <f>IFERROR(INDEX(Movimientos!$C$2:$C$1998,MATCH(A83&amp;"ENTRADA",Movimientos!$R$2:$R$1998,0)),"-")</f>
        <v>-</v>
      </c>
      <c r="C83" s="2" t="str">
        <f>IFERROR(INDEX(Movimientos!$D$2:$D$1998,MATCH(A83&amp;"ENTRADA",Movimientos!$R$2:$R$1998,0)),"-")</f>
        <v>-</v>
      </c>
      <c r="D83" s="2" t="str">
        <f>IFERROR(INDEX(Movimientos!$E$2:$E$1998,MATCH(A83&amp;"ENTRADA",Movimientos!$R$2:$R$1998,0)),"-")</f>
        <v>-</v>
      </c>
      <c r="E83" s="2" t="str">
        <f>IFERROR(INDEX(Movimientos!$F$2:$F$1998,MATCH(A83&amp;"ENTRADA",Movimientos!$R$2:$R$1998,0)),"-")</f>
        <v>-</v>
      </c>
      <c r="F83" s="2" t="str">
        <f>IFERROR(INDEX(Movimientos!$G$2:$G$1998,MATCH(A83&amp;"ENTRADA",Movimientos!$R$2:$R$1998,0)),"-")</f>
        <v>-</v>
      </c>
      <c r="G83" s="2" t="str">
        <f>IFERROR(INDEX(Movimientos!$L$2:$L$1998,MATCH(A83&amp;"ENTRADA",Movimientos!$R$2:$R$1998,0)),"-")</f>
        <v>-</v>
      </c>
      <c r="H83" s="17" t="str">
        <f>IFERROR(IF(INDEX(Movimientos!$M$2:$M$1998,MATCH(A83&amp;"ENTRADA",Movimientos!$R$2:$R$1998,0))=0,"S/D",INDEX(Movimientos!$M$2:$M$1998,MATCH(A83&amp;"ENTRADA",Movimientos!$R$2:$R$1998,0))),"S/D")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 ht="14.25">
      <c r="A84" s="16" t="s">
        <v>2249</v>
      </c>
      <c r="B84" s="2" t="str">
        <f>IFERROR(INDEX(Movimientos!$C$2:$C$1998,MATCH(A84&amp;"ENTRADA",Movimientos!$R$2:$R$1998,0)),"-")</f>
        <v>-</v>
      </c>
      <c r="C84" s="2" t="str">
        <f>IFERROR(INDEX(Movimientos!$D$2:$D$1998,MATCH(A84&amp;"ENTRADA",Movimientos!$R$2:$R$1998,0)),"-")</f>
        <v>-</v>
      </c>
      <c r="D84" s="2" t="str">
        <f>IFERROR(INDEX(Movimientos!$E$2:$E$1998,MATCH(A84&amp;"ENTRADA",Movimientos!$R$2:$R$1998,0)),"-")</f>
        <v>-</v>
      </c>
      <c r="E84" s="2" t="str">
        <f>IFERROR(INDEX(Movimientos!$F$2:$F$1998,MATCH(A84&amp;"ENTRADA",Movimientos!$R$2:$R$1998,0)),"-")</f>
        <v>-</v>
      </c>
      <c r="F84" s="2" t="str">
        <f>IFERROR(INDEX(Movimientos!$G$2:$G$1998,MATCH(A84&amp;"ENTRADA",Movimientos!$R$2:$R$1998,0)),"-")</f>
        <v>-</v>
      </c>
      <c r="G84" s="2" t="str">
        <f>IFERROR(INDEX(Movimientos!$L$2:$L$1998,MATCH(A84&amp;"ENTRADA",Movimientos!$R$2:$R$1998,0)),"-")</f>
        <v>-</v>
      </c>
      <c r="H84" s="17" t="str">
        <f>IFERROR(IF(INDEX(Movimientos!$M$2:$M$1998,MATCH(A84&amp;"ENTRADA",Movimientos!$R$2:$R$1998,0))=0,"S/D",INDEX(Movimientos!$M$2:$M$1998,MATCH(A84&amp;"ENTRADA",Movimientos!$R$2:$R$1998,0))),"S/D")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 ht="14.25">
      <c r="A85" s="16" t="s">
        <v>2250</v>
      </c>
      <c r="B85" s="2" t="str">
        <f>IFERROR(INDEX(Movimientos!$C$2:$C$1998,MATCH(A85&amp;"ENTRADA",Movimientos!$R$2:$R$1998,0)),"-")</f>
        <v>-</v>
      </c>
      <c r="C85" s="2" t="str">
        <f>IFERROR(INDEX(Movimientos!$D$2:$D$1998,MATCH(A85&amp;"ENTRADA",Movimientos!$R$2:$R$1998,0)),"-")</f>
        <v>-</v>
      </c>
      <c r="D85" s="2" t="str">
        <f>IFERROR(INDEX(Movimientos!$E$2:$E$1998,MATCH(A85&amp;"ENTRADA",Movimientos!$R$2:$R$1998,0)),"-")</f>
        <v>-</v>
      </c>
      <c r="E85" s="2" t="str">
        <f>IFERROR(INDEX(Movimientos!$F$2:$F$1998,MATCH(A85&amp;"ENTRADA",Movimientos!$R$2:$R$1998,0)),"-")</f>
        <v>-</v>
      </c>
      <c r="F85" s="2" t="str">
        <f>IFERROR(INDEX(Movimientos!$G$2:$G$1998,MATCH(A85&amp;"ENTRADA",Movimientos!$R$2:$R$1998,0)),"-")</f>
        <v>-</v>
      </c>
      <c r="G85" s="2" t="str">
        <f>IFERROR(INDEX(Movimientos!$L$2:$L$1998,MATCH(A85&amp;"ENTRADA",Movimientos!$R$2:$R$1998,0)),"-")</f>
        <v>-</v>
      </c>
      <c r="H85" s="17" t="str">
        <f>IFERROR(IF(INDEX(Movimientos!$M$2:$M$1998,MATCH(A85&amp;"ENTRADA",Movimientos!$R$2:$R$1998,0))=0,"S/D",INDEX(Movimientos!$M$2:$M$1998,MATCH(A85&amp;"ENTRADA",Movimientos!$R$2:$R$1998,0))),"S/D")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 ht="14.25">
      <c r="A86" s="16" t="s">
        <v>2251</v>
      </c>
      <c r="B86" s="2" t="str">
        <f>IFERROR(INDEX(Movimientos!$C$2:$C$1998,MATCH(A86&amp;"ENTRADA",Movimientos!$R$2:$R$1998,0)),"-")</f>
        <v>-</v>
      </c>
      <c r="C86" s="2" t="str">
        <f>IFERROR(INDEX(Movimientos!$D$2:$D$1998,MATCH(A86&amp;"ENTRADA",Movimientos!$R$2:$R$1998,0)),"-")</f>
        <v>-</v>
      </c>
      <c r="D86" s="2" t="str">
        <f>IFERROR(INDEX(Movimientos!$E$2:$E$1998,MATCH(A86&amp;"ENTRADA",Movimientos!$R$2:$R$1998,0)),"-")</f>
        <v>-</v>
      </c>
      <c r="E86" s="2" t="str">
        <f>IFERROR(INDEX(Movimientos!$F$2:$F$1998,MATCH(A86&amp;"ENTRADA",Movimientos!$R$2:$R$1998,0)),"-")</f>
        <v>-</v>
      </c>
      <c r="F86" s="2" t="str">
        <f>IFERROR(INDEX(Movimientos!$G$2:$G$1998,MATCH(A86&amp;"ENTRADA",Movimientos!$R$2:$R$1998,0)),"-")</f>
        <v>-</v>
      </c>
      <c r="G86" s="2" t="str">
        <f>IFERROR(INDEX(Movimientos!$L$2:$L$1998,MATCH(A86&amp;"ENTRADA",Movimientos!$R$2:$R$1998,0)),"-")</f>
        <v>-</v>
      </c>
      <c r="H86" s="17" t="str">
        <f>IFERROR(IF(INDEX(Movimientos!$M$2:$M$1998,MATCH(A86&amp;"ENTRADA",Movimientos!$R$2:$R$1998,0))=0,"S/D",INDEX(Movimientos!$M$2:$M$1998,MATCH(A86&amp;"ENTRADA",Movimientos!$R$2:$R$1998,0))),"S/D")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 ht="14.25">
      <c r="A87" s="16" t="s">
        <v>2252</v>
      </c>
      <c r="B87" s="2" t="str">
        <f>IFERROR(INDEX(Movimientos!$C$2:$C$1998,MATCH(A87&amp;"ENTRADA",Movimientos!$R$2:$R$1998,0)),"-")</f>
        <v>-</v>
      </c>
      <c r="C87" s="2" t="str">
        <f>IFERROR(INDEX(Movimientos!$D$2:$D$1998,MATCH(A87&amp;"ENTRADA",Movimientos!$R$2:$R$1998,0)),"-")</f>
        <v>-</v>
      </c>
      <c r="D87" s="2" t="str">
        <f>IFERROR(INDEX(Movimientos!$E$2:$E$1998,MATCH(A87&amp;"ENTRADA",Movimientos!$R$2:$R$1998,0)),"-")</f>
        <v>-</v>
      </c>
      <c r="E87" s="2" t="str">
        <f>IFERROR(INDEX(Movimientos!$F$2:$F$1998,MATCH(A87&amp;"ENTRADA",Movimientos!$R$2:$R$1998,0)),"-")</f>
        <v>-</v>
      </c>
      <c r="F87" s="2" t="str">
        <f>IFERROR(INDEX(Movimientos!$G$2:$G$1998,MATCH(A87&amp;"ENTRADA",Movimientos!$R$2:$R$1998,0)),"-")</f>
        <v>-</v>
      </c>
      <c r="G87" s="2" t="str">
        <f>IFERROR(INDEX(Movimientos!$L$2:$L$1998,MATCH(A87&amp;"ENTRADA",Movimientos!$R$2:$R$1998,0)),"-")</f>
        <v>-</v>
      </c>
      <c r="H87" s="17" t="str">
        <f>IFERROR(IF(INDEX(Movimientos!$M$2:$M$1998,MATCH(A87&amp;"ENTRADA",Movimientos!$R$2:$R$1998,0))=0,"S/D",INDEX(Movimientos!$M$2:$M$1998,MATCH(A87&amp;"ENTRADA",Movimientos!$R$2:$R$1998,0))),"S/D")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 ht="14.25">
      <c r="A88" s="16" t="s">
        <v>2253</v>
      </c>
      <c r="B88" s="2" t="str">
        <f>IFERROR(INDEX(Movimientos!$C$2:$C$1998,MATCH(A88&amp;"ENTRADA",Movimientos!$R$2:$R$1998,0)),"-")</f>
        <v>-</v>
      </c>
      <c r="C88" s="2" t="str">
        <f>IFERROR(INDEX(Movimientos!$D$2:$D$1998,MATCH(A88&amp;"ENTRADA",Movimientos!$R$2:$R$1998,0)),"-")</f>
        <v>-</v>
      </c>
      <c r="D88" s="2" t="str">
        <f>IFERROR(INDEX(Movimientos!$E$2:$E$1998,MATCH(A88&amp;"ENTRADA",Movimientos!$R$2:$R$1998,0)),"-")</f>
        <v>-</v>
      </c>
      <c r="E88" s="2" t="str">
        <f>IFERROR(INDEX(Movimientos!$F$2:$F$1998,MATCH(A88&amp;"ENTRADA",Movimientos!$R$2:$R$1998,0)),"-")</f>
        <v>-</v>
      </c>
      <c r="F88" s="2" t="str">
        <f>IFERROR(INDEX(Movimientos!$G$2:$G$1998,MATCH(A88&amp;"ENTRADA",Movimientos!$R$2:$R$1998,0)),"-")</f>
        <v>-</v>
      </c>
      <c r="G88" s="2" t="str">
        <f>IFERROR(INDEX(Movimientos!$L$2:$L$1998,MATCH(A88&amp;"ENTRADA",Movimientos!$R$2:$R$1998,0)),"-")</f>
        <v>-</v>
      </c>
      <c r="H88" s="17" t="str">
        <f>IFERROR(IF(INDEX(Movimientos!$M$2:$M$1998,MATCH(A88&amp;"ENTRADA",Movimientos!$R$2:$R$1998,0))=0,"S/D",INDEX(Movimientos!$M$2:$M$1998,MATCH(A88&amp;"ENTRADA",Movimientos!$R$2:$R$1998,0))),"S/D")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 ht="14.25">
      <c r="A89" s="16" t="s">
        <v>2254</v>
      </c>
      <c r="B89" s="2" t="str">
        <f>IFERROR(INDEX(Movimientos!$C$2:$C$1998,MATCH(A89&amp;"ENTRADA",Movimientos!$R$2:$R$1998,0)),"-")</f>
        <v>-</v>
      </c>
      <c r="C89" s="2" t="str">
        <f>IFERROR(INDEX(Movimientos!$D$2:$D$1998,MATCH(A89&amp;"ENTRADA",Movimientos!$R$2:$R$1998,0)),"-")</f>
        <v>-</v>
      </c>
      <c r="D89" s="2" t="str">
        <f>IFERROR(INDEX(Movimientos!$E$2:$E$1998,MATCH(A89&amp;"ENTRADA",Movimientos!$R$2:$R$1998,0)),"-")</f>
        <v>-</v>
      </c>
      <c r="E89" s="2" t="str">
        <f>IFERROR(INDEX(Movimientos!$F$2:$F$1998,MATCH(A89&amp;"ENTRADA",Movimientos!$R$2:$R$1998,0)),"-")</f>
        <v>-</v>
      </c>
      <c r="F89" s="2" t="str">
        <f>IFERROR(INDEX(Movimientos!$G$2:$G$1998,MATCH(A89&amp;"ENTRADA",Movimientos!$R$2:$R$1998,0)),"-")</f>
        <v>-</v>
      </c>
      <c r="G89" s="2" t="str">
        <f>IFERROR(INDEX(Movimientos!$L$2:$L$1998,MATCH(A89&amp;"ENTRADA",Movimientos!$R$2:$R$1998,0)),"-")</f>
        <v>-</v>
      </c>
      <c r="H89" s="17" t="str">
        <f>IFERROR(IF(INDEX(Movimientos!$M$2:$M$1998,MATCH(A89&amp;"ENTRADA",Movimientos!$R$2:$R$1998,0))=0,"S/D",INDEX(Movimientos!$M$2:$M$1998,MATCH(A89&amp;"ENTRADA",Movimientos!$R$2:$R$1998,0))),"S/D")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 ht="14.25">
      <c r="A90" s="16" t="s">
        <v>2255</v>
      </c>
      <c r="B90" s="2" t="str">
        <f>IFERROR(INDEX(Movimientos!$C$2:$C$1998,MATCH(A90&amp;"ENTRADA",Movimientos!$R$2:$R$1998,0)),"-")</f>
        <v>-</v>
      </c>
      <c r="C90" s="2" t="str">
        <f>IFERROR(INDEX(Movimientos!$D$2:$D$1998,MATCH(A90&amp;"ENTRADA",Movimientos!$R$2:$R$1998,0)),"-")</f>
        <v>-</v>
      </c>
      <c r="D90" s="2" t="str">
        <f>IFERROR(INDEX(Movimientos!$E$2:$E$1998,MATCH(A90&amp;"ENTRADA",Movimientos!$R$2:$R$1998,0)),"-")</f>
        <v>-</v>
      </c>
      <c r="E90" s="2" t="str">
        <f>IFERROR(INDEX(Movimientos!$F$2:$F$1998,MATCH(A90&amp;"ENTRADA",Movimientos!$R$2:$R$1998,0)),"-")</f>
        <v>-</v>
      </c>
      <c r="F90" s="2" t="str">
        <f>IFERROR(INDEX(Movimientos!$G$2:$G$1998,MATCH(A90&amp;"ENTRADA",Movimientos!$R$2:$R$1998,0)),"-")</f>
        <v>-</v>
      </c>
      <c r="G90" s="2" t="str">
        <f>IFERROR(INDEX(Movimientos!$L$2:$L$1998,MATCH(A90&amp;"ENTRADA",Movimientos!$R$2:$R$1998,0)),"-")</f>
        <v>-</v>
      </c>
      <c r="H90" s="17" t="str">
        <f>IFERROR(IF(INDEX(Movimientos!$M$2:$M$1998,MATCH(A90&amp;"ENTRADA",Movimientos!$R$2:$R$1998,0))=0,"S/D",INDEX(Movimientos!$M$2:$M$1998,MATCH(A90&amp;"ENTRADA",Movimientos!$R$2:$R$1998,0))),"S/D")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 ht="14.25">
      <c r="A91" s="16" t="s">
        <v>2256</v>
      </c>
      <c r="B91" s="2" t="str">
        <f>IFERROR(INDEX(Movimientos!$C$2:$C$1998,MATCH(A91&amp;"ENTRADA",Movimientos!$R$2:$R$1998,0)),"-")</f>
        <v>-</v>
      </c>
      <c r="C91" s="2" t="str">
        <f>IFERROR(INDEX(Movimientos!$D$2:$D$1998,MATCH(A91&amp;"ENTRADA",Movimientos!$R$2:$R$1998,0)),"-")</f>
        <v>-</v>
      </c>
      <c r="D91" s="2" t="str">
        <f>IFERROR(INDEX(Movimientos!$E$2:$E$1998,MATCH(A91&amp;"ENTRADA",Movimientos!$R$2:$R$1998,0)),"-")</f>
        <v>-</v>
      </c>
      <c r="E91" s="2" t="str">
        <f>IFERROR(INDEX(Movimientos!$F$2:$F$1998,MATCH(A91&amp;"ENTRADA",Movimientos!$R$2:$R$1998,0)),"-")</f>
        <v>-</v>
      </c>
      <c r="F91" s="2" t="str">
        <f>IFERROR(INDEX(Movimientos!$G$2:$G$1998,MATCH(A91&amp;"ENTRADA",Movimientos!$R$2:$R$1998,0)),"-")</f>
        <v>-</v>
      </c>
      <c r="G91" s="2" t="str">
        <f>IFERROR(INDEX(Movimientos!$L$2:$L$1998,MATCH(A91&amp;"ENTRADA",Movimientos!$R$2:$R$1998,0)),"-")</f>
        <v>-</v>
      </c>
      <c r="H91" s="17" t="str">
        <f>IFERROR(IF(INDEX(Movimientos!$M$2:$M$1998,MATCH(A91&amp;"ENTRADA",Movimientos!$R$2:$R$1998,0))=0,"S/D",INDEX(Movimientos!$M$2:$M$1998,MATCH(A91&amp;"ENTRADA",Movimientos!$R$2:$R$1998,0))),"S/D")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 ht="14.25">
      <c r="A92" s="16" t="s">
        <v>2257</v>
      </c>
      <c r="B92" s="2" t="str">
        <f>IFERROR(INDEX(Movimientos!$C$2:$C$1998,MATCH(A92&amp;"ENTRADA",Movimientos!$R$2:$R$1998,0)),"-")</f>
        <v>-</v>
      </c>
      <c r="C92" s="2" t="str">
        <f>IFERROR(INDEX(Movimientos!$D$2:$D$1998,MATCH(A92&amp;"ENTRADA",Movimientos!$R$2:$R$1998,0)),"-")</f>
        <v>-</v>
      </c>
      <c r="D92" s="2" t="str">
        <f>IFERROR(INDEX(Movimientos!$E$2:$E$1998,MATCH(A92&amp;"ENTRADA",Movimientos!$R$2:$R$1998,0)),"-")</f>
        <v>-</v>
      </c>
      <c r="E92" s="2" t="str">
        <f>IFERROR(INDEX(Movimientos!$F$2:$F$1998,MATCH(A92&amp;"ENTRADA",Movimientos!$R$2:$R$1998,0)),"-")</f>
        <v>-</v>
      </c>
      <c r="F92" s="2" t="str">
        <f>IFERROR(INDEX(Movimientos!$G$2:$G$1998,MATCH(A92&amp;"ENTRADA",Movimientos!$R$2:$R$1998,0)),"-")</f>
        <v>-</v>
      </c>
      <c r="G92" s="2" t="str">
        <f>IFERROR(INDEX(Movimientos!$L$2:$L$1998,MATCH(A92&amp;"ENTRADA",Movimientos!$R$2:$R$1998,0)),"-")</f>
        <v>-</v>
      </c>
      <c r="H92" s="17" t="str">
        <f>IFERROR(IF(INDEX(Movimientos!$M$2:$M$1998,MATCH(A92&amp;"ENTRADA",Movimientos!$R$2:$R$1998,0))=0,"S/D",INDEX(Movimientos!$M$2:$M$1998,MATCH(A92&amp;"ENTRADA",Movimientos!$R$2:$R$1998,0))),"S/D")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 ht="14.25">
      <c r="A93" s="16" t="s">
        <v>2258</v>
      </c>
      <c r="B93" s="2" t="str">
        <f>IFERROR(INDEX(Movimientos!$C$2:$C$1998,MATCH(A93&amp;"ENTRADA",Movimientos!$R$2:$R$1998,0)),"-")</f>
        <v>-</v>
      </c>
      <c r="C93" s="2" t="str">
        <f>IFERROR(INDEX(Movimientos!$D$2:$D$1998,MATCH(A93&amp;"ENTRADA",Movimientos!$R$2:$R$1998,0)),"-")</f>
        <v>-</v>
      </c>
      <c r="D93" s="2" t="str">
        <f>IFERROR(INDEX(Movimientos!$E$2:$E$1998,MATCH(A93&amp;"ENTRADA",Movimientos!$R$2:$R$1998,0)),"-")</f>
        <v>-</v>
      </c>
      <c r="E93" s="2" t="str">
        <f>IFERROR(INDEX(Movimientos!$F$2:$F$1998,MATCH(A93&amp;"ENTRADA",Movimientos!$R$2:$R$1998,0)),"-")</f>
        <v>-</v>
      </c>
      <c r="F93" s="2" t="str">
        <f>IFERROR(INDEX(Movimientos!$G$2:$G$1998,MATCH(A93&amp;"ENTRADA",Movimientos!$R$2:$R$1998,0)),"-")</f>
        <v>-</v>
      </c>
      <c r="G93" s="2" t="str">
        <f>IFERROR(INDEX(Movimientos!$L$2:$L$1998,MATCH(A93&amp;"ENTRADA",Movimientos!$R$2:$R$1998,0)),"-")</f>
        <v>-</v>
      </c>
      <c r="H93" s="17" t="str">
        <f>IFERROR(IF(INDEX(Movimientos!$M$2:$M$1998,MATCH(A93&amp;"ENTRADA",Movimientos!$R$2:$R$1998,0))=0,"S/D",INDEX(Movimientos!$M$2:$M$1998,MATCH(A93&amp;"ENTRADA",Movimientos!$R$2:$R$1998,0))),"S/D")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 ht="14.25">
      <c r="A94" s="16" t="s">
        <v>2259</v>
      </c>
      <c r="B94" s="2" t="str">
        <f>IFERROR(INDEX(Movimientos!$C$2:$C$1998,MATCH(A94&amp;"ENTRADA",Movimientos!$R$2:$R$1998,0)),"-")</f>
        <v>-</v>
      </c>
      <c r="C94" s="2" t="str">
        <f>IFERROR(INDEX(Movimientos!$D$2:$D$1998,MATCH(A94&amp;"ENTRADA",Movimientos!$R$2:$R$1998,0)),"-")</f>
        <v>-</v>
      </c>
      <c r="D94" s="2" t="str">
        <f>IFERROR(INDEX(Movimientos!$E$2:$E$1998,MATCH(A94&amp;"ENTRADA",Movimientos!$R$2:$R$1998,0)),"-")</f>
        <v>-</v>
      </c>
      <c r="E94" s="2" t="str">
        <f>IFERROR(INDEX(Movimientos!$F$2:$F$1998,MATCH(A94&amp;"ENTRADA",Movimientos!$R$2:$R$1998,0)),"-")</f>
        <v>-</v>
      </c>
      <c r="F94" s="2" t="str">
        <f>IFERROR(INDEX(Movimientos!$G$2:$G$1998,MATCH(A94&amp;"ENTRADA",Movimientos!$R$2:$R$1998,0)),"-")</f>
        <v>-</v>
      </c>
      <c r="G94" s="2" t="str">
        <f>IFERROR(INDEX(Movimientos!$L$2:$L$1998,MATCH(A94&amp;"ENTRADA",Movimientos!$R$2:$R$1998,0)),"-")</f>
        <v>-</v>
      </c>
      <c r="H94" s="17" t="str">
        <f>IFERROR(IF(INDEX(Movimientos!$M$2:$M$1998,MATCH(A94&amp;"ENTRADA",Movimientos!$R$2:$R$1998,0))=0,"S/D",INDEX(Movimientos!$M$2:$M$1998,MATCH(A94&amp;"ENTRADA",Movimientos!$R$2:$R$1998,0))),"S/D")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 ht="14.25">
      <c r="A95" s="16" t="s">
        <v>2260</v>
      </c>
      <c r="B95" s="2" t="str">
        <f>IFERROR(INDEX(Movimientos!$C$2:$C$1998,MATCH(A95&amp;"ENTRADA",Movimientos!$R$2:$R$1998,0)),"-")</f>
        <v>-</v>
      </c>
      <c r="C95" s="2" t="str">
        <f>IFERROR(INDEX(Movimientos!$D$2:$D$1998,MATCH(A95&amp;"ENTRADA",Movimientos!$R$2:$R$1998,0)),"-")</f>
        <v>-</v>
      </c>
      <c r="D95" s="2" t="str">
        <f>IFERROR(INDEX(Movimientos!$E$2:$E$1998,MATCH(A95&amp;"ENTRADA",Movimientos!$R$2:$R$1998,0)),"-")</f>
        <v>-</v>
      </c>
      <c r="E95" s="2" t="str">
        <f>IFERROR(INDEX(Movimientos!$F$2:$F$1998,MATCH(A95&amp;"ENTRADA",Movimientos!$R$2:$R$1998,0)),"-")</f>
        <v>-</v>
      </c>
      <c r="F95" s="2" t="str">
        <f>IFERROR(INDEX(Movimientos!$G$2:$G$1998,MATCH(A95&amp;"ENTRADA",Movimientos!$R$2:$R$1998,0)),"-")</f>
        <v>-</v>
      </c>
      <c r="G95" s="2" t="str">
        <f>IFERROR(INDEX(Movimientos!$L$2:$L$1998,MATCH(A95&amp;"ENTRADA",Movimientos!$R$2:$R$1998,0)),"-")</f>
        <v>-</v>
      </c>
      <c r="H95" s="17" t="str">
        <f>IFERROR(IF(INDEX(Movimientos!$M$2:$M$1998,MATCH(A95&amp;"ENTRADA",Movimientos!$R$2:$R$1998,0))=0,"S/D",INDEX(Movimientos!$M$2:$M$1998,MATCH(A95&amp;"ENTRADA",Movimientos!$R$2:$R$1998,0))),"S/D")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 ht="14.25">
      <c r="A96" s="16" t="s">
        <v>2261</v>
      </c>
      <c r="B96" s="2" t="str">
        <f>IFERROR(INDEX(Movimientos!$C$2:$C$1998,MATCH(A96&amp;"ENTRADA",Movimientos!$R$2:$R$1998,0)),"-")</f>
        <v>-</v>
      </c>
      <c r="C96" s="2" t="str">
        <f>IFERROR(INDEX(Movimientos!$D$2:$D$1998,MATCH(A96&amp;"ENTRADA",Movimientos!$R$2:$R$1998,0)),"-")</f>
        <v>-</v>
      </c>
      <c r="D96" s="2" t="str">
        <f>IFERROR(INDEX(Movimientos!$E$2:$E$1998,MATCH(A96&amp;"ENTRADA",Movimientos!$R$2:$R$1998,0)),"-")</f>
        <v>-</v>
      </c>
      <c r="E96" s="2" t="str">
        <f>IFERROR(INDEX(Movimientos!$F$2:$F$1998,MATCH(A96&amp;"ENTRADA",Movimientos!$R$2:$R$1998,0)),"-")</f>
        <v>-</v>
      </c>
      <c r="F96" s="2" t="str">
        <f>IFERROR(INDEX(Movimientos!$G$2:$G$1998,MATCH(A96&amp;"ENTRADA",Movimientos!$R$2:$R$1998,0)),"-")</f>
        <v>-</v>
      </c>
      <c r="G96" s="2" t="str">
        <f>IFERROR(INDEX(Movimientos!$L$2:$L$1998,MATCH(A96&amp;"ENTRADA",Movimientos!$R$2:$R$1998,0)),"-")</f>
        <v>-</v>
      </c>
      <c r="H96" s="17" t="str">
        <f>IFERROR(IF(INDEX(Movimientos!$M$2:$M$1998,MATCH(A96&amp;"ENTRADA",Movimientos!$R$2:$R$1998,0))=0,"S/D",INDEX(Movimientos!$M$2:$M$1998,MATCH(A96&amp;"ENTRADA",Movimientos!$R$2:$R$1998,0))),"S/D")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 ht="14.25">
      <c r="A97" s="16" t="s">
        <v>2262</v>
      </c>
      <c r="B97" s="2" t="str">
        <f>IFERROR(INDEX(Movimientos!$C$2:$C$1998,MATCH(A97&amp;"ENTRADA",Movimientos!$R$2:$R$1998,0)),"-")</f>
        <v>-</v>
      </c>
      <c r="C97" s="2" t="str">
        <f>IFERROR(INDEX(Movimientos!$D$2:$D$1998,MATCH(A97&amp;"ENTRADA",Movimientos!$R$2:$R$1998,0)),"-")</f>
        <v>-</v>
      </c>
      <c r="D97" s="2" t="str">
        <f>IFERROR(INDEX(Movimientos!$E$2:$E$1998,MATCH(A97&amp;"ENTRADA",Movimientos!$R$2:$R$1998,0)),"-")</f>
        <v>-</v>
      </c>
      <c r="E97" s="2" t="str">
        <f>IFERROR(INDEX(Movimientos!$F$2:$F$1998,MATCH(A97&amp;"ENTRADA",Movimientos!$R$2:$R$1998,0)),"-")</f>
        <v>-</v>
      </c>
      <c r="F97" s="2" t="str">
        <f>IFERROR(INDEX(Movimientos!$G$2:$G$1998,MATCH(A97&amp;"ENTRADA",Movimientos!$R$2:$R$1998,0)),"-")</f>
        <v>-</v>
      </c>
      <c r="G97" s="2" t="str">
        <f>IFERROR(INDEX(Movimientos!$L$2:$L$1998,MATCH(A97&amp;"ENTRADA",Movimientos!$R$2:$R$1998,0)),"-")</f>
        <v>-</v>
      </c>
      <c r="H97" s="17" t="str">
        <f>IFERROR(IF(INDEX(Movimientos!$M$2:$M$1998,MATCH(A97&amp;"ENTRADA",Movimientos!$R$2:$R$1998,0))=0,"S/D",INDEX(Movimientos!$M$2:$M$1998,MATCH(A97&amp;"ENTRADA",Movimientos!$R$2:$R$1998,0))),"S/D")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 ht="14.25">
      <c r="A98" s="16" t="s">
        <v>2263</v>
      </c>
      <c r="B98" s="2" t="str">
        <f>IFERROR(INDEX(Movimientos!$C$2:$C$1998,MATCH(A98&amp;"ENTRADA",Movimientos!$R$2:$R$1998,0)),"-")</f>
        <v>-</v>
      </c>
      <c r="C98" s="2" t="str">
        <f>IFERROR(INDEX(Movimientos!$D$2:$D$1998,MATCH(A98&amp;"ENTRADA",Movimientos!$R$2:$R$1998,0)),"-")</f>
        <v>-</v>
      </c>
      <c r="D98" s="2" t="str">
        <f>IFERROR(INDEX(Movimientos!$E$2:$E$1998,MATCH(A98&amp;"ENTRADA",Movimientos!$R$2:$R$1998,0)),"-")</f>
        <v>-</v>
      </c>
      <c r="E98" s="2" t="str">
        <f>IFERROR(INDEX(Movimientos!$F$2:$F$1998,MATCH(A98&amp;"ENTRADA",Movimientos!$R$2:$R$1998,0)),"-")</f>
        <v>-</v>
      </c>
      <c r="F98" s="2" t="str">
        <f>IFERROR(INDEX(Movimientos!$G$2:$G$1998,MATCH(A98&amp;"ENTRADA",Movimientos!$R$2:$R$1998,0)),"-")</f>
        <v>-</v>
      </c>
      <c r="G98" s="2" t="str">
        <f>IFERROR(INDEX(Movimientos!$L$2:$L$1998,MATCH(A98&amp;"ENTRADA",Movimientos!$R$2:$R$1998,0)),"-")</f>
        <v>-</v>
      </c>
      <c r="H98" s="17" t="str">
        <f>IFERROR(IF(INDEX(Movimientos!$M$2:$M$1998,MATCH(A98&amp;"ENTRADA",Movimientos!$R$2:$R$1998,0))=0,"S/D",INDEX(Movimientos!$M$2:$M$1998,MATCH(A98&amp;"ENTRADA",Movimientos!$R$2:$R$1998,0))),"S/D")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 ht="14.25">
      <c r="A99" s="16" t="s">
        <v>2264</v>
      </c>
      <c r="B99" s="2" t="str">
        <f>IFERROR(INDEX(Movimientos!$C$2:$C$1998,MATCH(A99&amp;"ENTRADA",Movimientos!$R$2:$R$1998,0)),"-")</f>
        <v>-</v>
      </c>
      <c r="C99" s="2" t="str">
        <f>IFERROR(INDEX(Movimientos!$D$2:$D$1998,MATCH(A99&amp;"ENTRADA",Movimientos!$R$2:$R$1998,0)),"-")</f>
        <v>-</v>
      </c>
      <c r="D99" s="2" t="str">
        <f>IFERROR(INDEX(Movimientos!$E$2:$E$1998,MATCH(A99&amp;"ENTRADA",Movimientos!$R$2:$R$1998,0)),"-")</f>
        <v>-</v>
      </c>
      <c r="E99" s="2" t="str">
        <f>IFERROR(INDEX(Movimientos!$F$2:$F$1998,MATCH(A99&amp;"ENTRADA",Movimientos!$R$2:$R$1998,0)),"-")</f>
        <v>-</v>
      </c>
      <c r="F99" s="2" t="str">
        <f>IFERROR(INDEX(Movimientos!$G$2:$G$1998,MATCH(A99&amp;"ENTRADA",Movimientos!$R$2:$R$1998,0)),"-")</f>
        <v>-</v>
      </c>
      <c r="G99" s="2" t="str">
        <f>IFERROR(INDEX(Movimientos!$L$2:$L$1998,MATCH(A99&amp;"ENTRADA",Movimientos!$R$2:$R$1998,0)),"-")</f>
        <v>-</v>
      </c>
      <c r="H99" s="17" t="str">
        <f>IFERROR(IF(INDEX(Movimientos!$M$2:$M$1998,MATCH(A99&amp;"ENTRADA",Movimientos!$R$2:$R$1998,0))=0,"S/D",INDEX(Movimientos!$M$2:$M$1998,MATCH(A99&amp;"ENTRADA",Movimientos!$R$2:$R$1998,0))),"S/D")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 ht="14.25">
      <c r="A100" s="16" t="s">
        <v>2265</v>
      </c>
      <c r="B100" s="2" t="str">
        <f>IFERROR(INDEX(Movimientos!$C$2:$C$1998,MATCH(A100&amp;"ENTRADA",Movimientos!$R$2:$R$1998,0)),"-")</f>
        <v>-</v>
      </c>
      <c r="C100" s="2" t="str">
        <f>IFERROR(INDEX(Movimientos!$D$2:$D$1998,MATCH(A100&amp;"ENTRADA",Movimientos!$R$2:$R$1998,0)),"-")</f>
        <v>-</v>
      </c>
      <c r="D100" s="2" t="str">
        <f>IFERROR(INDEX(Movimientos!$E$2:$E$1998,MATCH(A100&amp;"ENTRADA",Movimientos!$R$2:$R$1998,0)),"-")</f>
        <v>-</v>
      </c>
      <c r="E100" s="2" t="str">
        <f>IFERROR(INDEX(Movimientos!$F$2:$F$1998,MATCH(A100&amp;"ENTRADA",Movimientos!$R$2:$R$1998,0)),"-")</f>
        <v>-</v>
      </c>
      <c r="F100" s="2" t="str">
        <f>IFERROR(INDEX(Movimientos!$G$2:$G$1998,MATCH(A100&amp;"ENTRADA",Movimientos!$R$2:$R$1998,0)),"-")</f>
        <v>-</v>
      </c>
      <c r="G100" s="2" t="str">
        <f>IFERROR(INDEX(Movimientos!$L$2:$L$1998,MATCH(A100&amp;"ENTRADA",Movimientos!$R$2:$R$1998,0)),"-")</f>
        <v>-</v>
      </c>
      <c r="H100" s="17" t="str">
        <f>IFERROR(IF(INDEX(Movimientos!$M$2:$M$1998,MATCH(A100&amp;"ENTRADA",Movimientos!$R$2:$R$1998,0))=0,"S/D",INDEX(Movimientos!$M$2:$M$1998,MATCH(A100&amp;"ENTRADA",Movimientos!$R$2:$R$1998,0))),"S/D")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 ht="14.25">
      <c r="A101" s="16" t="s">
        <v>2266</v>
      </c>
      <c r="B101" s="2" t="str">
        <f>IFERROR(INDEX(Movimientos!$C$2:$C$1998,MATCH(A101&amp;"ENTRADA",Movimientos!$R$2:$R$1998,0)),"-")</f>
        <v>-</v>
      </c>
      <c r="C101" s="2" t="str">
        <f>IFERROR(INDEX(Movimientos!$D$2:$D$1998,MATCH(A101&amp;"ENTRADA",Movimientos!$R$2:$R$1998,0)),"-")</f>
        <v>-</v>
      </c>
      <c r="D101" s="2" t="str">
        <f>IFERROR(INDEX(Movimientos!$E$2:$E$1998,MATCH(A101&amp;"ENTRADA",Movimientos!$R$2:$R$1998,0)),"-")</f>
        <v>-</v>
      </c>
      <c r="E101" s="2" t="str">
        <f>IFERROR(INDEX(Movimientos!$F$2:$F$1998,MATCH(A101&amp;"ENTRADA",Movimientos!$R$2:$R$1998,0)),"-")</f>
        <v>-</v>
      </c>
      <c r="F101" s="2" t="str">
        <f>IFERROR(INDEX(Movimientos!$G$2:$G$1998,MATCH(A101&amp;"ENTRADA",Movimientos!$R$2:$R$1998,0)),"-")</f>
        <v>-</v>
      </c>
      <c r="G101" s="2" t="str">
        <f>IFERROR(INDEX(Movimientos!$L$2:$L$1998,MATCH(A101&amp;"ENTRADA",Movimientos!$R$2:$R$1998,0)),"-")</f>
        <v>-</v>
      </c>
      <c r="H101" s="17" t="str">
        <f>IFERROR(IF(INDEX(Movimientos!$M$2:$M$1998,MATCH(A101&amp;"ENTRADA",Movimientos!$R$2:$R$1998,0))=0,"S/D",INDEX(Movimientos!$M$2:$M$1998,MATCH(A101&amp;"ENTRADA",Movimientos!$R$2:$R$1998,0))),"S/D")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 ht="14.25">
      <c r="A102" s="16" t="s">
        <v>2267</v>
      </c>
      <c r="B102" s="2" t="str">
        <f>IFERROR(INDEX(Movimientos!$C$2:$C$1998,MATCH(A102&amp;"ENTRADA",Movimientos!$R$2:$R$1998,0)),"-")</f>
        <v>-</v>
      </c>
      <c r="C102" s="2" t="str">
        <f>IFERROR(INDEX(Movimientos!$D$2:$D$1998,MATCH(A102&amp;"ENTRADA",Movimientos!$R$2:$R$1998,0)),"-")</f>
        <v>-</v>
      </c>
      <c r="D102" s="2" t="str">
        <f>IFERROR(INDEX(Movimientos!$E$2:$E$1998,MATCH(A102&amp;"ENTRADA",Movimientos!$R$2:$R$1998,0)),"-")</f>
        <v>-</v>
      </c>
      <c r="E102" s="2" t="str">
        <f>IFERROR(INDEX(Movimientos!$F$2:$F$1998,MATCH(A102&amp;"ENTRADA",Movimientos!$R$2:$R$1998,0)),"-")</f>
        <v>-</v>
      </c>
      <c r="F102" s="2" t="str">
        <f>IFERROR(INDEX(Movimientos!$G$2:$G$1998,MATCH(A102&amp;"ENTRADA",Movimientos!$R$2:$R$1998,0)),"-")</f>
        <v>-</v>
      </c>
      <c r="G102" s="2" t="str">
        <f>IFERROR(INDEX(Movimientos!$L$2:$L$1998,MATCH(A102&amp;"ENTRADA",Movimientos!$R$2:$R$1998,0)),"-")</f>
        <v>-</v>
      </c>
      <c r="H102" s="17" t="str">
        <f>IFERROR(IF(INDEX(Movimientos!$M$2:$M$1998,MATCH(A102&amp;"ENTRADA",Movimientos!$R$2:$R$1998,0))=0,"S/D",INDEX(Movimientos!$M$2:$M$1998,MATCH(A102&amp;"ENTRADA",Movimientos!$R$2:$R$1998,0))),"S/D")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 ht="14.25">
      <c r="A103" s="16" t="s">
        <v>2268</v>
      </c>
      <c r="B103" s="2" t="str">
        <f>IFERROR(INDEX(Movimientos!$C$2:$C$1998,MATCH(A103&amp;"ENTRADA",Movimientos!$R$2:$R$1998,0)),"-")</f>
        <v>-</v>
      </c>
      <c r="C103" s="2" t="str">
        <f>IFERROR(INDEX(Movimientos!$D$2:$D$1998,MATCH(A103&amp;"ENTRADA",Movimientos!$R$2:$R$1998,0)),"-")</f>
        <v>-</v>
      </c>
      <c r="D103" s="2" t="str">
        <f>IFERROR(INDEX(Movimientos!$E$2:$E$1998,MATCH(A103&amp;"ENTRADA",Movimientos!$R$2:$R$1998,0)),"-")</f>
        <v>-</v>
      </c>
      <c r="E103" s="2" t="str">
        <f>IFERROR(INDEX(Movimientos!$F$2:$F$1998,MATCH(A103&amp;"ENTRADA",Movimientos!$R$2:$R$1998,0)),"-")</f>
        <v>-</v>
      </c>
      <c r="F103" s="2" t="str">
        <f>IFERROR(INDEX(Movimientos!$G$2:$G$1998,MATCH(A103&amp;"ENTRADA",Movimientos!$R$2:$R$1998,0)),"-")</f>
        <v>-</v>
      </c>
      <c r="G103" s="2" t="str">
        <f>IFERROR(INDEX(Movimientos!$L$2:$L$1998,MATCH(A103&amp;"ENTRADA",Movimientos!$R$2:$R$1998,0)),"-")</f>
        <v>-</v>
      </c>
      <c r="H103" s="17" t="str">
        <f>IFERROR(IF(INDEX(Movimientos!$M$2:$M$1998,MATCH(A103&amp;"ENTRADA",Movimientos!$R$2:$R$1998,0))=0,"S/D",INDEX(Movimientos!$M$2:$M$1998,MATCH(A103&amp;"ENTRADA",Movimientos!$R$2:$R$1998,0))),"S/D")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 ht="14.25">
      <c r="A104" s="16" t="s">
        <v>2269</v>
      </c>
      <c r="B104" s="2" t="str">
        <f>IFERROR(INDEX(Movimientos!$C$2:$C$1998,MATCH(A104&amp;"ENTRADA",Movimientos!$R$2:$R$1998,0)),"-")</f>
        <v>-</v>
      </c>
      <c r="C104" s="2" t="str">
        <f>IFERROR(INDEX(Movimientos!$D$2:$D$1998,MATCH(A104&amp;"ENTRADA",Movimientos!$R$2:$R$1998,0)),"-")</f>
        <v>-</v>
      </c>
      <c r="D104" s="2" t="str">
        <f>IFERROR(INDEX(Movimientos!$E$2:$E$1998,MATCH(A104&amp;"ENTRADA",Movimientos!$R$2:$R$1998,0)),"-")</f>
        <v>-</v>
      </c>
      <c r="E104" s="2" t="str">
        <f>IFERROR(INDEX(Movimientos!$F$2:$F$1998,MATCH(A104&amp;"ENTRADA",Movimientos!$R$2:$R$1998,0)),"-")</f>
        <v>-</v>
      </c>
      <c r="F104" s="2" t="str">
        <f>IFERROR(INDEX(Movimientos!$G$2:$G$1998,MATCH(A104&amp;"ENTRADA",Movimientos!$R$2:$R$1998,0)),"-")</f>
        <v>-</v>
      </c>
      <c r="G104" s="2" t="str">
        <f>IFERROR(INDEX(Movimientos!$L$2:$L$1998,MATCH(A104&amp;"ENTRADA",Movimientos!$R$2:$R$1998,0)),"-")</f>
        <v>-</v>
      </c>
      <c r="H104" s="17" t="str">
        <f>IFERROR(IF(INDEX(Movimientos!$M$2:$M$1998,MATCH(A104&amp;"ENTRADA",Movimientos!$R$2:$R$1998,0))=0,"S/D",INDEX(Movimientos!$M$2:$M$1998,MATCH(A104&amp;"ENTRADA",Movimientos!$R$2:$R$1998,0))),"S/D")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 ht="14.25">
      <c r="A105" s="16" t="s">
        <v>2270</v>
      </c>
      <c r="B105" s="2" t="str">
        <f>IFERROR(INDEX(Movimientos!$C$2:$C$1998,MATCH(A105&amp;"ENTRADA",Movimientos!$R$2:$R$1998,0)),"-")</f>
        <v>-</v>
      </c>
      <c r="C105" s="2" t="str">
        <f>IFERROR(INDEX(Movimientos!$D$2:$D$1998,MATCH(A105&amp;"ENTRADA",Movimientos!$R$2:$R$1998,0)),"-")</f>
        <v>-</v>
      </c>
      <c r="D105" s="2" t="str">
        <f>IFERROR(INDEX(Movimientos!$E$2:$E$1998,MATCH(A105&amp;"ENTRADA",Movimientos!$R$2:$R$1998,0)),"-")</f>
        <v>-</v>
      </c>
      <c r="E105" s="2" t="str">
        <f>IFERROR(INDEX(Movimientos!$F$2:$F$1998,MATCH(A105&amp;"ENTRADA",Movimientos!$R$2:$R$1998,0)),"-")</f>
        <v>-</v>
      </c>
      <c r="F105" s="2" t="str">
        <f>IFERROR(INDEX(Movimientos!$G$2:$G$1998,MATCH(A105&amp;"ENTRADA",Movimientos!$R$2:$R$1998,0)),"-")</f>
        <v>-</v>
      </c>
      <c r="G105" s="2" t="str">
        <f>IFERROR(INDEX(Movimientos!$L$2:$L$1998,MATCH(A105&amp;"ENTRADA",Movimientos!$R$2:$R$1998,0)),"-")</f>
        <v>-</v>
      </c>
      <c r="H105" s="17" t="str">
        <f>IFERROR(IF(INDEX(Movimientos!$M$2:$M$1998,MATCH(A105&amp;"ENTRADA",Movimientos!$R$2:$R$1998,0))=0,"S/D",INDEX(Movimientos!$M$2:$M$1998,MATCH(A105&amp;"ENTRADA",Movimientos!$R$2:$R$1998,0))),"S/D")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 ht="14.25">
      <c r="A106" s="16" t="s">
        <v>2271</v>
      </c>
      <c r="B106" s="2" t="str">
        <f>IFERROR(INDEX(Movimientos!$C$2:$C$1998,MATCH(A106&amp;"ENTRADA",Movimientos!$R$2:$R$1998,0)),"-")</f>
        <v>-</v>
      </c>
      <c r="C106" s="2" t="str">
        <f>IFERROR(INDEX(Movimientos!$D$2:$D$1998,MATCH(A106&amp;"ENTRADA",Movimientos!$R$2:$R$1998,0)),"-")</f>
        <v>-</v>
      </c>
      <c r="D106" s="2" t="str">
        <f>IFERROR(INDEX(Movimientos!$E$2:$E$1998,MATCH(A106&amp;"ENTRADA",Movimientos!$R$2:$R$1998,0)),"-")</f>
        <v>-</v>
      </c>
      <c r="E106" s="2" t="str">
        <f>IFERROR(INDEX(Movimientos!$F$2:$F$1998,MATCH(A106&amp;"ENTRADA",Movimientos!$R$2:$R$1998,0)),"-")</f>
        <v>-</v>
      </c>
      <c r="F106" s="2" t="str">
        <f>IFERROR(INDEX(Movimientos!$G$2:$G$1998,MATCH(A106&amp;"ENTRADA",Movimientos!$R$2:$R$1998,0)),"-")</f>
        <v>-</v>
      </c>
      <c r="G106" s="2" t="str">
        <f>IFERROR(INDEX(Movimientos!$L$2:$L$1998,MATCH(A106&amp;"ENTRADA",Movimientos!$R$2:$R$1998,0)),"-")</f>
        <v>-</v>
      </c>
      <c r="H106" s="17" t="str">
        <f>IFERROR(IF(INDEX(Movimientos!$M$2:$M$1998,MATCH(A106&amp;"ENTRADA",Movimientos!$R$2:$R$1998,0))=0,"S/D",INDEX(Movimientos!$M$2:$M$1998,MATCH(A106&amp;"ENTRADA",Movimientos!$R$2:$R$1998,0))),"S/D")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 ht="14.25">
      <c r="A107" s="16" t="s">
        <v>2272</v>
      </c>
      <c r="B107" s="2" t="str">
        <f>IFERROR(INDEX(Movimientos!$C$2:$C$1998,MATCH(A107&amp;"ENTRADA",Movimientos!$R$2:$R$1998,0)),"-")</f>
        <v>-</v>
      </c>
      <c r="C107" s="2" t="str">
        <f>IFERROR(INDEX(Movimientos!$D$2:$D$1998,MATCH(A107&amp;"ENTRADA",Movimientos!$R$2:$R$1998,0)),"-")</f>
        <v>-</v>
      </c>
      <c r="D107" s="2" t="str">
        <f>IFERROR(INDEX(Movimientos!$E$2:$E$1998,MATCH(A107&amp;"ENTRADA",Movimientos!$R$2:$R$1998,0)),"-")</f>
        <v>-</v>
      </c>
      <c r="E107" s="2" t="str">
        <f>IFERROR(INDEX(Movimientos!$F$2:$F$1998,MATCH(A107&amp;"ENTRADA",Movimientos!$R$2:$R$1998,0)),"-")</f>
        <v>-</v>
      </c>
      <c r="F107" s="2" t="str">
        <f>IFERROR(INDEX(Movimientos!$G$2:$G$1998,MATCH(A107&amp;"ENTRADA",Movimientos!$R$2:$R$1998,0)),"-")</f>
        <v>-</v>
      </c>
      <c r="G107" s="2" t="str">
        <f>IFERROR(INDEX(Movimientos!$L$2:$L$1998,MATCH(A107&amp;"ENTRADA",Movimientos!$R$2:$R$1998,0)),"-")</f>
        <v>-</v>
      </c>
      <c r="H107" s="17" t="str">
        <f>IFERROR(IF(INDEX(Movimientos!$M$2:$M$1998,MATCH(A107&amp;"ENTRADA",Movimientos!$R$2:$R$1998,0))=0,"S/D",INDEX(Movimientos!$M$2:$M$1998,MATCH(A107&amp;"ENTRADA",Movimientos!$R$2:$R$1998,0))),"S/D")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 ht="14.25">
      <c r="A108" s="16" t="s">
        <v>2273</v>
      </c>
      <c r="B108" s="2" t="str">
        <f>IFERROR(INDEX(Movimientos!$C$2:$C$1998,MATCH(A108&amp;"ENTRADA",Movimientos!$R$2:$R$1998,0)),"-")</f>
        <v>-</v>
      </c>
      <c r="C108" s="2" t="str">
        <f>IFERROR(INDEX(Movimientos!$D$2:$D$1998,MATCH(A108&amp;"ENTRADA",Movimientos!$R$2:$R$1998,0)),"-")</f>
        <v>-</v>
      </c>
      <c r="D108" s="2" t="str">
        <f>IFERROR(INDEX(Movimientos!$E$2:$E$1998,MATCH(A108&amp;"ENTRADA",Movimientos!$R$2:$R$1998,0)),"-")</f>
        <v>-</v>
      </c>
      <c r="E108" s="2" t="str">
        <f>IFERROR(INDEX(Movimientos!$F$2:$F$1998,MATCH(A108&amp;"ENTRADA",Movimientos!$R$2:$R$1998,0)),"-")</f>
        <v>-</v>
      </c>
      <c r="F108" s="2" t="str">
        <f>IFERROR(INDEX(Movimientos!$G$2:$G$1998,MATCH(A108&amp;"ENTRADA",Movimientos!$R$2:$R$1998,0)),"-")</f>
        <v>-</v>
      </c>
      <c r="G108" s="2" t="str">
        <f>IFERROR(INDEX(Movimientos!$L$2:$L$1998,MATCH(A108&amp;"ENTRADA",Movimientos!$R$2:$R$1998,0)),"-")</f>
        <v>-</v>
      </c>
      <c r="H108" s="17" t="str">
        <f>IFERROR(IF(INDEX(Movimientos!$M$2:$M$1998,MATCH(A108&amp;"ENTRADA",Movimientos!$R$2:$R$1998,0))=0,"S/D",INDEX(Movimientos!$M$2:$M$1998,MATCH(A108&amp;"ENTRADA",Movimientos!$R$2:$R$1998,0))),"S/D")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 ht="14.25">
      <c r="A109" s="16" t="s">
        <v>2274</v>
      </c>
      <c r="B109" s="2" t="str">
        <f>IFERROR(INDEX(Movimientos!$C$2:$C$1998,MATCH(A109&amp;"ENTRADA",Movimientos!$R$2:$R$1998,0)),"-")</f>
        <v>-</v>
      </c>
      <c r="C109" s="2" t="str">
        <f>IFERROR(INDEX(Movimientos!$D$2:$D$1998,MATCH(A109&amp;"ENTRADA",Movimientos!$R$2:$R$1998,0)),"-")</f>
        <v>-</v>
      </c>
      <c r="D109" s="2" t="str">
        <f>IFERROR(INDEX(Movimientos!$E$2:$E$1998,MATCH(A109&amp;"ENTRADA",Movimientos!$R$2:$R$1998,0)),"-")</f>
        <v>-</v>
      </c>
      <c r="E109" s="2" t="str">
        <f>IFERROR(INDEX(Movimientos!$F$2:$F$1998,MATCH(A109&amp;"ENTRADA",Movimientos!$R$2:$R$1998,0)),"-")</f>
        <v>-</v>
      </c>
      <c r="F109" s="2" t="str">
        <f>IFERROR(INDEX(Movimientos!$G$2:$G$1998,MATCH(A109&amp;"ENTRADA",Movimientos!$R$2:$R$1998,0)),"-")</f>
        <v>-</v>
      </c>
      <c r="G109" s="2" t="str">
        <f>IFERROR(INDEX(Movimientos!$L$2:$L$1998,MATCH(A109&amp;"ENTRADA",Movimientos!$R$2:$R$1998,0)),"-")</f>
        <v>-</v>
      </c>
      <c r="H109" s="17" t="str">
        <f>IFERROR(IF(INDEX(Movimientos!$M$2:$M$1998,MATCH(A109&amp;"ENTRADA",Movimientos!$R$2:$R$1998,0))=0,"S/D",INDEX(Movimientos!$M$2:$M$1998,MATCH(A109&amp;"ENTRADA",Movimientos!$R$2:$R$1998,0))),"S/D")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 ht="14.25">
      <c r="A110" s="16" t="s">
        <v>2275</v>
      </c>
      <c r="B110" s="2" t="str">
        <f>IFERROR(INDEX(Movimientos!$C$2:$C$1998,MATCH(A110&amp;"ENTRADA",Movimientos!$R$2:$R$1998,0)),"-")</f>
        <v>-</v>
      </c>
      <c r="C110" s="2" t="str">
        <f>IFERROR(INDEX(Movimientos!$D$2:$D$1998,MATCH(A110&amp;"ENTRADA",Movimientos!$R$2:$R$1998,0)),"-")</f>
        <v>-</v>
      </c>
      <c r="D110" s="2" t="str">
        <f>IFERROR(INDEX(Movimientos!$E$2:$E$1998,MATCH(A110&amp;"ENTRADA",Movimientos!$R$2:$R$1998,0)),"-")</f>
        <v>-</v>
      </c>
      <c r="E110" s="2" t="str">
        <f>IFERROR(INDEX(Movimientos!$F$2:$F$1998,MATCH(A110&amp;"ENTRADA",Movimientos!$R$2:$R$1998,0)),"-")</f>
        <v>-</v>
      </c>
      <c r="F110" s="2" t="str">
        <f>IFERROR(INDEX(Movimientos!$G$2:$G$1998,MATCH(A110&amp;"ENTRADA",Movimientos!$R$2:$R$1998,0)),"-")</f>
        <v>-</v>
      </c>
      <c r="G110" s="2" t="str">
        <f>IFERROR(INDEX(Movimientos!$L$2:$L$1998,MATCH(A110&amp;"ENTRADA",Movimientos!$R$2:$R$1998,0)),"-")</f>
        <v>-</v>
      </c>
      <c r="H110" s="17" t="str">
        <f>IFERROR(IF(INDEX(Movimientos!$M$2:$M$1998,MATCH(A110&amp;"ENTRADA",Movimientos!$R$2:$R$1998,0))=0,"S/D",INDEX(Movimientos!$M$2:$M$1998,MATCH(A110&amp;"ENTRADA",Movimientos!$R$2:$R$1998,0))),"S/D")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 ht="14.25">
      <c r="A111" s="16" t="s">
        <v>2276</v>
      </c>
      <c r="B111" s="2" t="str">
        <f>IFERROR(INDEX(Movimientos!$C$2:$C$1998,MATCH(A111&amp;"ENTRADA",Movimientos!$R$2:$R$1998,0)),"-")</f>
        <v>-</v>
      </c>
      <c r="C111" s="2" t="str">
        <f>IFERROR(INDEX(Movimientos!$D$2:$D$1998,MATCH(A111&amp;"ENTRADA",Movimientos!$R$2:$R$1998,0)),"-")</f>
        <v>-</v>
      </c>
      <c r="D111" s="2" t="str">
        <f>IFERROR(INDEX(Movimientos!$E$2:$E$1998,MATCH(A111&amp;"ENTRADA",Movimientos!$R$2:$R$1998,0)),"-")</f>
        <v>-</v>
      </c>
      <c r="E111" s="2" t="str">
        <f>IFERROR(INDEX(Movimientos!$F$2:$F$1998,MATCH(A111&amp;"ENTRADA",Movimientos!$R$2:$R$1998,0)),"-")</f>
        <v>-</v>
      </c>
      <c r="F111" s="2" t="str">
        <f>IFERROR(INDEX(Movimientos!$G$2:$G$1998,MATCH(A111&amp;"ENTRADA",Movimientos!$R$2:$R$1998,0)),"-")</f>
        <v>-</v>
      </c>
      <c r="G111" s="2" t="str">
        <f>IFERROR(INDEX(Movimientos!$L$2:$L$1998,MATCH(A111&amp;"ENTRADA",Movimientos!$R$2:$R$1998,0)),"-")</f>
        <v>-</v>
      </c>
      <c r="H111" s="17" t="str">
        <f>IFERROR(IF(INDEX(Movimientos!$M$2:$M$1998,MATCH(A111&amp;"ENTRADA",Movimientos!$R$2:$R$1998,0))=0,"S/D",INDEX(Movimientos!$M$2:$M$1998,MATCH(A111&amp;"ENTRADA",Movimientos!$R$2:$R$1998,0))),"S/D")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 ht="14.25">
      <c r="A112" s="16" t="s">
        <v>2277</v>
      </c>
      <c r="B112" s="2" t="str">
        <f>IFERROR(INDEX(Movimientos!$C$2:$C$1998,MATCH(A112&amp;"ENTRADA",Movimientos!$R$2:$R$1998,0)),"-")</f>
        <v>-</v>
      </c>
      <c r="C112" s="2" t="str">
        <f>IFERROR(INDEX(Movimientos!$D$2:$D$1998,MATCH(A112&amp;"ENTRADA",Movimientos!$R$2:$R$1998,0)),"-")</f>
        <v>-</v>
      </c>
      <c r="D112" s="2" t="str">
        <f>IFERROR(INDEX(Movimientos!$E$2:$E$1998,MATCH(A112&amp;"ENTRADA",Movimientos!$R$2:$R$1998,0)),"-")</f>
        <v>-</v>
      </c>
      <c r="E112" s="2" t="str">
        <f>IFERROR(INDEX(Movimientos!$F$2:$F$1998,MATCH(A112&amp;"ENTRADA",Movimientos!$R$2:$R$1998,0)),"-")</f>
        <v>-</v>
      </c>
      <c r="F112" s="2" t="str">
        <f>IFERROR(INDEX(Movimientos!$G$2:$G$1998,MATCH(A112&amp;"ENTRADA",Movimientos!$R$2:$R$1998,0)),"-")</f>
        <v>-</v>
      </c>
      <c r="G112" s="2" t="str">
        <f>IFERROR(INDEX(Movimientos!$L$2:$L$1998,MATCH(A112&amp;"ENTRADA",Movimientos!$R$2:$R$1998,0)),"-")</f>
        <v>-</v>
      </c>
      <c r="H112" s="17" t="str">
        <f>IFERROR(IF(INDEX(Movimientos!$M$2:$M$1998,MATCH(A112&amp;"ENTRADA",Movimientos!$R$2:$R$1998,0))=0,"S/D",INDEX(Movimientos!$M$2:$M$1998,MATCH(A112&amp;"ENTRADA",Movimientos!$R$2:$R$1998,0))),"S/D")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 ht="14.25">
      <c r="A113" s="16" t="s">
        <v>2278</v>
      </c>
      <c r="B113" s="2" t="str">
        <f>IFERROR(INDEX(Movimientos!$C$2:$C$1998,MATCH(A113&amp;"ENTRADA",Movimientos!$R$2:$R$1998,0)),"-")</f>
        <v>-</v>
      </c>
      <c r="C113" s="2" t="str">
        <f>IFERROR(INDEX(Movimientos!$D$2:$D$1998,MATCH(A113&amp;"ENTRADA",Movimientos!$R$2:$R$1998,0)),"-")</f>
        <v>-</v>
      </c>
      <c r="D113" s="2" t="str">
        <f>IFERROR(INDEX(Movimientos!$E$2:$E$1998,MATCH(A113&amp;"ENTRADA",Movimientos!$R$2:$R$1998,0)),"-")</f>
        <v>-</v>
      </c>
      <c r="E113" s="2" t="str">
        <f>IFERROR(INDEX(Movimientos!$F$2:$F$1998,MATCH(A113&amp;"ENTRADA",Movimientos!$R$2:$R$1998,0)),"-")</f>
        <v>-</v>
      </c>
      <c r="F113" s="2" t="str">
        <f>IFERROR(INDEX(Movimientos!$G$2:$G$1998,MATCH(A113&amp;"ENTRADA",Movimientos!$R$2:$R$1998,0)),"-")</f>
        <v>-</v>
      </c>
      <c r="G113" s="2" t="str">
        <f>IFERROR(INDEX(Movimientos!$L$2:$L$1998,MATCH(A113&amp;"ENTRADA",Movimientos!$R$2:$R$1998,0)),"-")</f>
        <v>-</v>
      </c>
      <c r="H113" s="17" t="str">
        <f>IFERROR(IF(INDEX(Movimientos!$M$2:$M$1998,MATCH(A113&amp;"ENTRADA",Movimientos!$R$2:$R$1998,0))=0,"S/D",INDEX(Movimientos!$M$2:$M$1998,MATCH(A113&amp;"ENTRADA",Movimientos!$R$2:$R$1998,0))),"S/D")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 ht="14.25">
      <c r="A114" s="16" t="s">
        <v>2279</v>
      </c>
      <c r="B114" s="2" t="str">
        <f>IFERROR(INDEX(Movimientos!$C$2:$C$1998,MATCH(A114&amp;"ENTRADA",Movimientos!$R$2:$R$1998,0)),"-")</f>
        <v>-</v>
      </c>
      <c r="C114" s="2" t="str">
        <f>IFERROR(INDEX(Movimientos!$D$2:$D$1998,MATCH(A114&amp;"ENTRADA",Movimientos!$R$2:$R$1998,0)),"-")</f>
        <v>-</v>
      </c>
      <c r="D114" s="2" t="str">
        <f>IFERROR(INDEX(Movimientos!$E$2:$E$1998,MATCH(A114&amp;"ENTRADA",Movimientos!$R$2:$R$1998,0)),"-")</f>
        <v>-</v>
      </c>
      <c r="E114" s="2" t="str">
        <f>IFERROR(INDEX(Movimientos!$F$2:$F$1998,MATCH(A114&amp;"ENTRADA",Movimientos!$R$2:$R$1998,0)),"-")</f>
        <v>-</v>
      </c>
      <c r="F114" s="2" t="str">
        <f>IFERROR(INDEX(Movimientos!$G$2:$G$1998,MATCH(A114&amp;"ENTRADA",Movimientos!$R$2:$R$1998,0)),"-")</f>
        <v>-</v>
      </c>
      <c r="G114" s="2" t="str">
        <f>IFERROR(INDEX(Movimientos!$L$2:$L$1998,MATCH(A114&amp;"ENTRADA",Movimientos!$R$2:$R$1998,0)),"-")</f>
        <v>-</v>
      </c>
      <c r="H114" s="17" t="str">
        <f>IFERROR(IF(INDEX(Movimientos!$M$2:$M$1998,MATCH(A114&amp;"ENTRADA",Movimientos!$R$2:$R$1998,0))=0,"S/D",INDEX(Movimientos!$M$2:$M$1998,MATCH(A114&amp;"ENTRADA",Movimientos!$R$2:$R$1998,0))),"S/D")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 ht="14.25">
      <c r="A115" s="16" t="s">
        <v>2280</v>
      </c>
      <c r="B115" s="2" t="str">
        <f>IFERROR(INDEX(Movimientos!$C$2:$C$1998,MATCH(A115&amp;"ENTRADA",Movimientos!$R$2:$R$1998,0)),"-")</f>
        <v>-</v>
      </c>
      <c r="C115" s="2" t="str">
        <f>IFERROR(INDEX(Movimientos!$D$2:$D$1998,MATCH(A115&amp;"ENTRADA",Movimientos!$R$2:$R$1998,0)),"-")</f>
        <v>-</v>
      </c>
      <c r="D115" s="2" t="str">
        <f>IFERROR(INDEX(Movimientos!$E$2:$E$1998,MATCH(A115&amp;"ENTRADA",Movimientos!$R$2:$R$1998,0)),"-")</f>
        <v>-</v>
      </c>
      <c r="E115" s="2" t="str">
        <f>IFERROR(INDEX(Movimientos!$F$2:$F$1998,MATCH(A115&amp;"ENTRADA",Movimientos!$R$2:$R$1998,0)),"-")</f>
        <v>-</v>
      </c>
      <c r="F115" s="2" t="str">
        <f>IFERROR(INDEX(Movimientos!$G$2:$G$1998,MATCH(A115&amp;"ENTRADA",Movimientos!$R$2:$R$1998,0)),"-")</f>
        <v>-</v>
      </c>
      <c r="G115" s="2" t="str">
        <f>IFERROR(INDEX(Movimientos!$L$2:$L$1998,MATCH(A115&amp;"ENTRADA",Movimientos!$R$2:$R$1998,0)),"-")</f>
        <v>-</v>
      </c>
      <c r="H115" s="17" t="str">
        <f>IFERROR(IF(INDEX(Movimientos!$M$2:$M$1998,MATCH(A115&amp;"ENTRADA",Movimientos!$R$2:$R$1998,0))=0,"S/D",INDEX(Movimientos!$M$2:$M$1998,MATCH(A115&amp;"ENTRADA",Movimientos!$R$2:$R$1998,0))),"S/D")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 ht="14.25">
      <c r="A116" s="16" t="s">
        <v>2281</v>
      </c>
      <c r="B116" s="2" t="str">
        <f>IFERROR(INDEX(Movimientos!$C$2:$C$1998,MATCH(A116&amp;"ENTRADA",Movimientos!$R$2:$R$1998,0)),"-")</f>
        <v>-</v>
      </c>
      <c r="C116" s="2" t="str">
        <f>IFERROR(INDEX(Movimientos!$D$2:$D$1998,MATCH(A116&amp;"ENTRADA",Movimientos!$R$2:$R$1998,0)),"-")</f>
        <v>-</v>
      </c>
      <c r="D116" s="2" t="str">
        <f>IFERROR(INDEX(Movimientos!$E$2:$E$1998,MATCH(A116&amp;"ENTRADA",Movimientos!$R$2:$R$1998,0)),"-")</f>
        <v>-</v>
      </c>
      <c r="E116" s="2" t="str">
        <f>IFERROR(INDEX(Movimientos!$F$2:$F$1998,MATCH(A116&amp;"ENTRADA",Movimientos!$R$2:$R$1998,0)),"-")</f>
        <v>-</v>
      </c>
      <c r="F116" s="2" t="str">
        <f>IFERROR(INDEX(Movimientos!$G$2:$G$1998,MATCH(A116&amp;"ENTRADA",Movimientos!$R$2:$R$1998,0)),"-")</f>
        <v>-</v>
      </c>
      <c r="G116" s="2" t="str">
        <f>IFERROR(INDEX(Movimientos!$L$2:$L$1998,MATCH(A116&amp;"ENTRADA",Movimientos!$R$2:$R$1998,0)),"-")</f>
        <v>-</v>
      </c>
      <c r="H116" s="17" t="str">
        <f>IFERROR(IF(INDEX(Movimientos!$M$2:$M$1998,MATCH(A116&amp;"ENTRADA",Movimientos!$R$2:$R$1998,0))=0,"S/D",INDEX(Movimientos!$M$2:$M$1998,MATCH(A116&amp;"ENTRADA",Movimientos!$R$2:$R$1998,0))),"S/D")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 ht="14.25">
      <c r="A117" s="16" t="s">
        <v>2282</v>
      </c>
      <c r="B117" s="2" t="str">
        <f>IFERROR(INDEX(Movimientos!$C$2:$C$1998,MATCH(A117&amp;"ENTRADA",Movimientos!$R$2:$R$1998,0)),"-")</f>
        <v>-</v>
      </c>
      <c r="C117" s="2" t="str">
        <f>IFERROR(INDEX(Movimientos!$D$2:$D$1998,MATCH(A117&amp;"ENTRADA",Movimientos!$R$2:$R$1998,0)),"-")</f>
        <v>-</v>
      </c>
      <c r="D117" s="2" t="str">
        <f>IFERROR(INDEX(Movimientos!$E$2:$E$1998,MATCH(A117&amp;"ENTRADA",Movimientos!$R$2:$R$1998,0)),"-")</f>
        <v>-</v>
      </c>
      <c r="E117" s="2" t="str">
        <f>IFERROR(INDEX(Movimientos!$F$2:$F$1998,MATCH(A117&amp;"ENTRADA",Movimientos!$R$2:$R$1998,0)),"-")</f>
        <v>-</v>
      </c>
      <c r="F117" s="2" t="str">
        <f>IFERROR(INDEX(Movimientos!$G$2:$G$1998,MATCH(A117&amp;"ENTRADA",Movimientos!$R$2:$R$1998,0)),"-")</f>
        <v>-</v>
      </c>
      <c r="G117" s="2" t="str">
        <f>IFERROR(INDEX(Movimientos!$L$2:$L$1998,MATCH(A117&amp;"ENTRADA",Movimientos!$R$2:$R$1998,0)),"-")</f>
        <v>-</v>
      </c>
      <c r="H117" s="17" t="str">
        <f>IFERROR(IF(INDEX(Movimientos!$M$2:$M$1998,MATCH(A117&amp;"ENTRADA",Movimientos!$R$2:$R$1998,0))=0,"S/D",INDEX(Movimientos!$M$2:$M$1998,MATCH(A117&amp;"ENTRADA",Movimientos!$R$2:$R$1998,0))),"S/D")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 ht="14.25">
      <c r="A118" s="16" t="s">
        <v>2283</v>
      </c>
      <c r="B118" s="2" t="str">
        <f>IFERROR(INDEX(Movimientos!$C$2:$C$1998,MATCH(A118&amp;"ENTRADA",Movimientos!$R$2:$R$1998,0)),"-")</f>
        <v>-</v>
      </c>
      <c r="C118" s="2" t="str">
        <f>IFERROR(INDEX(Movimientos!$D$2:$D$1998,MATCH(A118&amp;"ENTRADA",Movimientos!$R$2:$R$1998,0)),"-")</f>
        <v>-</v>
      </c>
      <c r="D118" s="2" t="str">
        <f>IFERROR(INDEX(Movimientos!$E$2:$E$1998,MATCH(A118&amp;"ENTRADA",Movimientos!$R$2:$R$1998,0)),"-")</f>
        <v>-</v>
      </c>
      <c r="E118" s="2" t="str">
        <f>IFERROR(INDEX(Movimientos!$F$2:$F$1998,MATCH(A118&amp;"ENTRADA",Movimientos!$R$2:$R$1998,0)),"-")</f>
        <v>-</v>
      </c>
      <c r="F118" s="2" t="str">
        <f>IFERROR(INDEX(Movimientos!$G$2:$G$1998,MATCH(A118&amp;"ENTRADA",Movimientos!$R$2:$R$1998,0)),"-")</f>
        <v>-</v>
      </c>
      <c r="G118" s="2" t="str">
        <f>IFERROR(INDEX(Movimientos!$L$2:$L$1998,MATCH(A118&amp;"ENTRADA",Movimientos!$R$2:$R$1998,0)),"-")</f>
        <v>-</v>
      </c>
      <c r="H118" s="17" t="str">
        <f>IFERROR(IF(INDEX(Movimientos!$M$2:$M$1998,MATCH(A118&amp;"ENTRADA",Movimientos!$R$2:$R$1998,0))=0,"S/D",INDEX(Movimientos!$M$2:$M$1998,MATCH(A118&amp;"ENTRADA",Movimientos!$R$2:$R$1998,0))),"S/D")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 ht="14.25">
      <c r="A119" s="16" t="s">
        <v>2284</v>
      </c>
      <c r="B119" s="2" t="str">
        <f>IFERROR(INDEX(Movimientos!$C$2:$C$1998,MATCH(A119&amp;"ENTRADA",Movimientos!$R$2:$R$1998,0)),"-")</f>
        <v>-</v>
      </c>
      <c r="C119" s="2" t="str">
        <f>IFERROR(INDEX(Movimientos!$D$2:$D$1998,MATCH(A119&amp;"ENTRADA",Movimientos!$R$2:$R$1998,0)),"-")</f>
        <v>-</v>
      </c>
      <c r="D119" s="2" t="str">
        <f>IFERROR(INDEX(Movimientos!$E$2:$E$1998,MATCH(A119&amp;"ENTRADA",Movimientos!$R$2:$R$1998,0)),"-")</f>
        <v>-</v>
      </c>
      <c r="E119" s="2" t="str">
        <f>IFERROR(INDEX(Movimientos!$F$2:$F$1998,MATCH(A119&amp;"ENTRADA",Movimientos!$R$2:$R$1998,0)),"-")</f>
        <v>-</v>
      </c>
      <c r="F119" s="2" t="str">
        <f>IFERROR(INDEX(Movimientos!$G$2:$G$1998,MATCH(A119&amp;"ENTRADA",Movimientos!$R$2:$R$1998,0)),"-")</f>
        <v>-</v>
      </c>
      <c r="G119" s="2" t="str">
        <f>IFERROR(INDEX(Movimientos!$L$2:$L$1998,MATCH(A119&amp;"ENTRADA",Movimientos!$R$2:$R$1998,0)),"-")</f>
        <v>-</v>
      </c>
      <c r="H119" s="17" t="str">
        <f>IFERROR(IF(INDEX(Movimientos!$M$2:$M$1998,MATCH(A119&amp;"ENTRADA",Movimientos!$R$2:$R$1998,0))=0,"S/D",INDEX(Movimientos!$M$2:$M$1998,MATCH(A119&amp;"ENTRADA",Movimientos!$R$2:$R$1998,0))),"S/D")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 ht="14.25">
      <c r="A120" s="16" t="s">
        <v>2285</v>
      </c>
      <c r="B120" s="2" t="str">
        <f>IFERROR(INDEX(Movimientos!$C$2:$C$1998,MATCH(A120&amp;"ENTRADA",Movimientos!$R$2:$R$1998,0)),"-")</f>
        <v>-</v>
      </c>
      <c r="C120" s="2" t="str">
        <f>IFERROR(INDEX(Movimientos!$D$2:$D$1998,MATCH(A120&amp;"ENTRADA",Movimientos!$R$2:$R$1998,0)),"-")</f>
        <v>-</v>
      </c>
      <c r="D120" s="2" t="str">
        <f>IFERROR(INDEX(Movimientos!$E$2:$E$1998,MATCH(A120&amp;"ENTRADA",Movimientos!$R$2:$R$1998,0)),"-")</f>
        <v>-</v>
      </c>
      <c r="E120" s="2" t="str">
        <f>IFERROR(INDEX(Movimientos!$F$2:$F$1998,MATCH(A120&amp;"ENTRADA",Movimientos!$R$2:$R$1998,0)),"-")</f>
        <v>-</v>
      </c>
      <c r="F120" s="2" t="str">
        <f>IFERROR(INDEX(Movimientos!$G$2:$G$1998,MATCH(A120&amp;"ENTRADA",Movimientos!$R$2:$R$1998,0)),"-")</f>
        <v>-</v>
      </c>
      <c r="G120" s="2" t="str">
        <f>IFERROR(INDEX(Movimientos!$L$2:$L$1998,MATCH(A120&amp;"ENTRADA",Movimientos!$R$2:$R$1998,0)),"-")</f>
        <v>-</v>
      </c>
      <c r="H120" s="17" t="str">
        <f>IFERROR(IF(INDEX(Movimientos!$M$2:$M$1998,MATCH(A120&amp;"ENTRADA",Movimientos!$R$2:$R$1998,0))=0,"S/D",INDEX(Movimientos!$M$2:$M$1998,MATCH(A120&amp;"ENTRADA",Movimientos!$R$2:$R$1998,0))),"S/D")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 ht="14.25">
      <c r="A121" s="16" t="s">
        <v>2286</v>
      </c>
      <c r="B121" s="2" t="str">
        <f>IFERROR(INDEX(Movimientos!$C$2:$C$1998,MATCH(A121&amp;"ENTRADA",Movimientos!$R$2:$R$1998,0)),"-")</f>
        <v>-</v>
      </c>
      <c r="C121" s="2" t="str">
        <f>IFERROR(INDEX(Movimientos!$D$2:$D$1998,MATCH(A121&amp;"ENTRADA",Movimientos!$R$2:$R$1998,0)),"-")</f>
        <v>-</v>
      </c>
      <c r="D121" s="2" t="str">
        <f>IFERROR(INDEX(Movimientos!$E$2:$E$1998,MATCH(A121&amp;"ENTRADA",Movimientos!$R$2:$R$1998,0)),"-")</f>
        <v>-</v>
      </c>
      <c r="E121" s="2" t="str">
        <f>IFERROR(INDEX(Movimientos!$F$2:$F$1998,MATCH(A121&amp;"ENTRADA",Movimientos!$R$2:$R$1998,0)),"-")</f>
        <v>-</v>
      </c>
      <c r="F121" s="2" t="str">
        <f>IFERROR(INDEX(Movimientos!$G$2:$G$1998,MATCH(A121&amp;"ENTRADA",Movimientos!$R$2:$R$1998,0)),"-")</f>
        <v>-</v>
      </c>
      <c r="G121" s="2" t="str">
        <f>IFERROR(INDEX(Movimientos!$L$2:$L$1998,MATCH(A121&amp;"ENTRADA",Movimientos!$R$2:$R$1998,0)),"-")</f>
        <v>-</v>
      </c>
      <c r="H121" s="17" t="str">
        <f>IFERROR(IF(INDEX(Movimientos!$M$2:$M$1998,MATCH(A121&amp;"ENTRADA",Movimientos!$R$2:$R$1998,0))=0,"S/D",INDEX(Movimientos!$M$2:$M$1998,MATCH(A121&amp;"ENTRADA",Movimientos!$R$2:$R$1998,0))),"S/D")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 ht="14.25">
      <c r="A122" s="16" t="s">
        <v>2287</v>
      </c>
      <c r="B122" s="2" t="str">
        <f>IFERROR(INDEX(Movimientos!$C$2:$C$1998,MATCH(A122&amp;"ENTRADA",Movimientos!$R$2:$R$1998,0)),"-")</f>
        <v>-</v>
      </c>
      <c r="C122" s="2" t="str">
        <f>IFERROR(INDEX(Movimientos!$D$2:$D$1998,MATCH(A122&amp;"ENTRADA",Movimientos!$R$2:$R$1998,0)),"-")</f>
        <v>-</v>
      </c>
      <c r="D122" s="2" t="str">
        <f>IFERROR(INDEX(Movimientos!$E$2:$E$1998,MATCH(A122&amp;"ENTRADA",Movimientos!$R$2:$R$1998,0)),"-")</f>
        <v>-</v>
      </c>
      <c r="E122" s="2" t="str">
        <f>IFERROR(INDEX(Movimientos!$F$2:$F$1998,MATCH(A122&amp;"ENTRADA",Movimientos!$R$2:$R$1998,0)),"-")</f>
        <v>-</v>
      </c>
      <c r="F122" s="2" t="str">
        <f>IFERROR(INDEX(Movimientos!$G$2:$G$1998,MATCH(A122&amp;"ENTRADA",Movimientos!$R$2:$R$1998,0)),"-")</f>
        <v>-</v>
      </c>
      <c r="G122" s="2" t="str">
        <f>IFERROR(INDEX(Movimientos!$L$2:$L$1998,MATCH(A122&amp;"ENTRADA",Movimientos!$R$2:$R$1998,0)),"-")</f>
        <v>-</v>
      </c>
      <c r="H122" s="17" t="str">
        <f>IFERROR(IF(INDEX(Movimientos!$M$2:$M$1998,MATCH(A122&amp;"ENTRADA",Movimientos!$R$2:$R$1998,0))=0,"S/D",INDEX(Movimientos!$M$2:$M$1998,MATCH(A122&amp;"ENTRADA",Movimientos!$R$2:$R$1998,0))),"S/D")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 ht="14.25">
      <c r="A123" s="16" t="s">
        <v>2288</v>
      </c>
      <c r="B123" s="2" t="str">
        <f>IFERROR(INDEX(Movimientos!$C$2:$C$1998,MATCH(A123&amp;"ENTRADA",Movimientos!$R$2:$R$1998,0)),"-")</f>
        <v>-</v>
      </c>
      <c r="C123" s="2" t="str">
        <f>IFERROR(INDEX(Movimientos!$D$2:$D$1998,MATCH(A123&amp;"ENTRADA",Movimientos!$R$2:$R$1998,0)),"-")</f>
        <v>-</v>
      </c>
      <c r="D123" s="2" t="str">
        <f>IFERROR(INDEX(Movimientos!$E$2:$E$1998,MATCH(A123&amp;"ENTRADA",Movimientos!$R$2:$R$1998,0)),"-")</f>
        <v>-</v>
      </c>
      <c r="E123" s="2" t="str">
        <f>IFERROR(INDEX(Movimientos!$F$2:$F$1998,MATCH(A123&amp;"ENTRADA",Movimientos!$R$2:$R$1998,0)),"-")</f>
        <v>-</v>
      </c>
      <c r="F123" s="2" t="str">
        <f>IFERROR(INDEX(Movimientos!$G$2:$G$1998,MATCH(A123&amp;"ENTRADA",Movimientos!$R$2:$R$1998,0)),"-")</f>
        <v>-</v>
      </c>
      <c r="G123" s="2" t="str">
        <f>IFERROR(INDEX(Movimientos!$L$2:$L$1998,MATCH(A123&amp;"ENTRADA",Movimientos!$R$2:$R$1998,0)),"-")</f>
        <v>-</v>
      </c>
      <c r="H123" s="17" t="str">
        <f>IFERROR(IF(INDEX(Movimientos!$M$2:$M$1998,MATCH(A123&amp;"ENTRADA",Movimientos!$R$2:$R$1998,0))=0,"S/D",INDEX(Movimientos!$M$2:$M$1998,MATCH(A123&amp;"ENTRADA",Movimientos!$R$2:$R$1998,0))),"S/D")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 ht="14.25">
      <c r="A124" s="16" t="s">
        <v>2289</v>
      </c>
      <c r="B124" s="2" t="str">
        <f>IFERROR(INDEX(Movimientos!$C$2:$C$1998,MATCH(A124&amp;"ENTRADA",Movimientos!$R$2:$R$1998,0)),"-")</f>
        <v>-</v>
      </c>
      <c r="C124" s="2" t="str">
        <f>IFERROR(INDEX(Movimientos!$D$2:$D$1998,MATCH(A124&amp;"ENTRADA",Movimientos!$R$2:$R$1998,0)),"-")</f>
        <v>-</v>
      </c>
      <c r="D124" s="2" t="str">
        <f>IFERROR(INDEX(Movimientos!$E$2:$E$1998,MATCH(A124&amp;"ENTRADA",Movimientos!$R$2:$R$1998,0)),"-")</f>
        <v>-</v>
      </c>
      <c r="E124" s="2" t="str">
        <f>IFERROR(INDEX(Movimientos!$F$2:$F$1998,MATCH(A124&amp;"ENTRADA",Movimientos!$R$2:$R$1998,0)),"-")</f>
        <v>-</v>
      </c>
      <c r="F124" s="2" t="str">
        <f>IFERROR(INDEX(Movimientos!$G$2:$G$1998,MATCH(A124&amp;"ENTRADA",Movimientos!$R$2:$R$1998,0)),"-")</f>
        <v>-</v>
      </c>
      <c r="G124" s="2" t="str">
        <f>IFERROR(INDEX(Movimientos!$L$2:$L$1998,MATCH(A124&amp;"ENTRADA",Movimientos!$R$2:$R$1998,0)),"-")</f>
        <v>-</v>
      </c>
      <c r="H124" s="17" t="str">
        <f>IFERROR(IF(INDEX(Movimientos!$M$2:$M$1998,MATCH(A124&amp;"ENTRADA",Movimientos!$R$2:$R$1998,0))=0,"S/D",INDEX(Movimientos!$M$2:$M$1998,MATCH(A124&amp;"ENTRADA",Movimientos!$R$2:$R$1998,0))),"S/D")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 ht="14.25">
      <c r="A125" s="16" t="s">
        <v>2290</v>
      </c>
      <c r="B125" s="2" t="str">
        <f>IFERROR(INDEX(Movimientos!$C$2:$C$1998,MATCH(A125&amp;"ENTRADA",Movimientos!$R$2:$R$1998,0)),"-")</f>
        <v>-</v>
      </c>
      <c r="C125" s="2" t="str">
        <f>IFERROR(INDEX(Movimientos!$D$2:$D$1998,MATCH(A125&amp;"ENTRADA",Movimientos!$R$2:$R$1998,0)),"-")</f>
        <v>-</v>
      </c>
      <c r="D125" s="2" t="str">
        <f>IFERROR(INDEX(Movimientos!$E$2:$E$1998,MATCH(A125&amp;"ENTRADA",Movimientos!$R$2:$R$1998,0)),"-")</f>
        <v>-</v>
      </c>
      <c r="E125" s="2" t="str">
        <f>IFERROR(INDEX(Movimientos!$F$2:$F$1998,MATCH(A125&amp;"ENTRADA",Movimientos!$R$2:$R$1998,0)),"-")</f>
        <v>-</v>
      </c>
      <c r="F125" s="2" t="str">
        <f>IFERROR(INDEX(Movimientos!$G$2:$G$1998,MATCH(A125&amp;"ENTRADA",Movimientos!$R$2:$R$1998,0)),"-")</f>
        <v>-</v>
      </c>
      <c r="G125" s="2" t="str">
        <f>IFERROR(INDEX(Movimientos!$L$2:$L$1998,MATCH(A125&amp;"ENTRADA",Movimientos!$R$2:$R$1998,0)),"-")</f>
        <v>-</v>
      </c>
      <c r="H125" s="17" t="str">
        <f>IFERROR(IF(INDEX(Movimientos!$M$2:$M$1998,MATCH(A125&amp;"ENTRADA",Movimientos!$R$2:$R$1998,0))=0,"S/D",INDEX(Movimientos!$M$2:$M$1998,MATCH(A125&amp;"ENTRADA",Movimientos!$R$2:$R$1998,0))),"S/D")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 ht="14.25">
      <c r="A126" s="16" t="s">
        <v>2291</v>
      </c>
      <c r="B126" s="2" t="str">
        <f>IFERROR(INDEX(Movimientos!$C$2:$C$1998,MATCH(A126&amp;"ENTRADA",Movimientos!$R$2:$R$1998,0)),"-")</f>
        <v>-</v>
      </c>
      <c r="C126" s="2" t="str">
        <f>IFERROR(INDEX(Movimientos!$D$2:$D$1998,MATCH(A126&amp;"ENTRADA",Movimientos!$R$2:$R$1998,0)),"-")</f>
        <v>-</v>
      </c>
      <c r="D126" s="2" t="str">
        <f>IFERROR(INDEX(Movimientos!$E$2:$E$1998,MATCH(A126&amp;"ENTRADA",Movimientos!$R$2:$R$1998,0)),"-")</f>
        <v>-</v>
      </c>
      <c r="E126" s="2" t="str">
        <f>IFERROR(INDEX(Movimientos!$F$2:$F$1998,MATCH(A126&amp;"ENTRADA",Movimientos!$R$2:$R$1998,0)),"-")</f>
        <v>-</v>
      </c>
      <c r="F126" s="2" t="str">
        <f>IFERROR(INDEX(Movimientos!$G$2:$G$1998,MATCH(A126&amp;"ENTRADA",Movimientos!$R$2:$R$1998,0)),"-")</f>
        <v>-</v>
      </c>
      <c r="G126" s="2" t="str">
        <f>IFERROR(INDEX(Movimientos!$L$2:$L$1998,MATCH(A126&amp;"ENTRADA",Movimientos!$R$2:$R$1998,0)),"-")</f>
        <v>-</v>
      </c>
      <c r="H126" s="17" t="str">
        <f>IFERROR(IF(INDEX(Movimientos!$M$2:$M$1998,MATCH(A126&amp;"ENTRADA",Movimientos!$R$2:$R$1998,0))=0,"S/D",INDEX(Movimientos!$M$2:$M$1998,MATCH(A126&amp;"ENTRADA",Movimientos!$R$2:$R$1998,0))),"S/D")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 ht="14.25">
      <c r="A127" s="16" t="s">
        <v>2292</v>
      </c>
      <c r="B127" s="2" t="str">
        <f>IFERROR(INDEX(Movimientos!$C$2:$C$1998,MATCH(A127&amp;"ENTRADA",Movimientos!$R$2:$R$1998,0)),"-")</f>
        <v>-</v>
      </c>
      <c r="C127" s="2" t="str">
        <f>IFERROR(INDEX(Movimientos!$D$2:$D$1998,MATCH(A127&amp;"ENTRADA",Movimientos!$R$2:$R$1998,0)),"-")</f>
        <v>-</v>
      </c>
      <c r="D127" s="2" t="str">
        <f>IFERROR(INDEX(Movimientos!$E$2:$E$1998,MATCH(A127&amp;"ENTRADA",Movimientos!$R$2:$R$1998,0)),"-")</f>
        <v>-</v>
      </c>
      <c r="E127" s="2" t="str">
        <f>IFERROR(INDEX(Movimientos!$F$2:$F$1998,MATCH(A127&amp;"ENTRADA",Movimientos!$R$2:$R$1998,0)),"-")</f>
        <v>-</v>
      </c>
      <c r="F127" s="2" t="str">
        <f>IFERROR(INDEX(Movimientos!$G$2:$G$1998,MATCH(A127&amp;"ENTRADA",Movimientos!$R$2:$R$1998,0)),"-")</f>
        <v>-</v>
      </c>
      <c r="G127" s="2" t="str">
        <f>IFERROR(INDEX(Movimientos!$L$2:$L$1998,MATCH(A127&amp;"ENTRADA",Movimientos!$R$2:$R$1998,0)),"-")</f>
        <v>-</v>
      </c>
      <c r="H127" s="17" t="str">
        <f>IFERROR(IF(INDEX(Movimientos!$M$2:$M$1998,MATCH(A127&amp;"ENTRADA",Movimientos!$R$2:$R$1998,0))=0,"S/D",INDEX(Movimientos!$M$2:$M$1998,MATCH(A127&amp;"ENTRADA",Movimientos!$R$2:$R$1998,0))),"S/D")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 ht="14.25">
      <c r="A128" s="16" t="s">
        <v>2293</v>
      </c>
      <c r="B128" s="2" t="str">
        <f>IFERROR(INDEX(Movimientos!$C$2:$C$1998,MATCH(A128&amp;"ENTRADA",Movimientos!$R$2:$R$1998,0)),"-")</f>
        <v>-</v>
      </c>
      <c r="C128" s="2" t="str">
        <f>IFERROR(INDEX(Movimientos!$D$2:$D$1998,MATCH(A128&amp;"ENTRADA",Movimientos!$R$2:$R$1998,0)),"-")</f>
        <v>-</v>
      </c>
      <c r="D128" s="2" t="str">
        <f>IFERROR(INDEX(Movimientos!$E$2:$E$1998,MATCH(A128&amp;"ENTRADA",Movimientos!$R$2:$R$1998,0)),"-")</f>
        <v>-</v>
      </c>
      <c r="E128" s="2" t="str">
        <f>IFERROR(INDEX(Movimientos!$F$2:$F$1998,MATCH(A128&amp;"ENTRADA",Movimientos!$R$2:$R$1998,0)),"-")</f>
        <v>-</v>
      </c>
      <c r="F128" s="2" t="str">
        <f>IFERROR(INDEX(Movimientos!$G$2:$G$1998,MATCH(A128&amp;"ENTRADA",Movimientos!$R$2:$R$1998,0)),"-")</f>
        <v>-</v>
      </c>
      <c r="G128" s="2" t="str">
        <f>IFERROR(INDEX(Movimientos!$L$2:$L$1998,MATCH(A128&amp;"ENTRADA",Movimientos!$R$2:$R$1998,0)),"-")</f>
        <v>-</v>
      </c>
      <c r="H128" s="17" t="str">
        <f>IFERROR(IF(INDEX(Movimientos!$M$2:$M$1998,MATCH(A128&amp;"ENTRADA",Movimientos!$R$2:$R$1998,0))=0,"S/D",INDEX(Movimientos!$M$2:$M$1998,MATCH(A128&amp;"ENTRADA",Movimientos!$R$2:$R$1998,0))),"S/D")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 ht="14.25">
      <c r="A129" s="16" t="s">
        <v>2294</v>
      </c>
      <c r="B129" s="2" t="str">
        <f>IFERROR(INDEX(Movimientos!$C$2:$C$1998,MATCH(A129&amp;"ENTRADA",Movimientos!$R$2:$R$1998,0)),"-")</f>
        <v>-</v>
      </c>
      <c r="C129" s="2" t="str">
        <f>IFERROR(INDEX(Movimientos!$D$2:$D$1998,MATCH(A129&amp;"ENTRADA",Movimientos!$R$2:$R$1998,0)),"-")</f>
        <v>-</v>
      </c>
      <c r="D129" s="2" t="str">
        <f>IFERROR(INDEX(Movimientos!$E$2:$E$1998,MATCH(A129&amp;"ENTRADA",Movimientos!$R$2:$R$1998,0)),"-")</f>
        <v>-</v>
      </c>
      <c r="E129" s="2" t="str">
        <f>IFERROR(INDEX(Movimientos!$F$2:$F$1998,MATCH(A129&amp;"ENTRADA",Movimientos!$R$2:$R$1998,0)),"-")</f>
        <v>-</v>
      </c>
      <c r="F129" s="2" t="str">
        <f>IFERROR(INDEX(Movimientos!$G$2:$G$1998,MATCH(A129&amp;"ENTRADA",Movimientos!$R$2:$R$1998,0)),"-")</f>
        <v>-</v>
      </c>
      <c r="G129" s="2" t="str">
        <f>IFERROR(INDEX(Movimientos!$L$2:$L$1998,MATCH(A129&amp;"ENTRADA",Movimientos!$R$2:$R$1998,0)),"-")</f>
        <v>-</v>
      </c>
      <c r="H129" s="17" t="str">
        <f>IFERROR(IF(INDEX(Movimientos!$M$2:$M$1998,MATCH(A129&amp;"ENTRADA",Movimientos!$R$2:$R$1998,0))=0,"S/D",INDEX(Movimientos!$M$2:$M$1998,MATCH(A129&amp;"ENTRADA",Movimientos!$R$2:$R$1998,0))),"S/D")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 ht="14.25">
      <c r="A130" s="16" t="s">
        <v>2295</v>
      </c>
      <c r="B130" s="2" t="str">
        <f>IFERROR(INDEX(Movimientos!$C$2:$C$1998,MATCH(A130&amp;"ENTRADA",Movimientos!$R$2:$R$1998,0)),"-")</f>
        <v>-</v>
      </c>
      <c r="C130" s="2" t="str">
        <f>IFERROR(INDEX(Movimientos!$D$2:$D$1998,MATCH(A130&amp;"ENTRADA",Movimientos!$R$2:$R$1998,0)),"-")</f>
        <v>-</v>
      </c>
      <c r="D130" s="2" t="str">
        <f>IFERROR(INDEX(Movimientos!$E$2:$E$1998,MATCH(A130&amp;"ENTRADA",Movimientos!$R$2:$R$1998,0)),"-")</f>
        <v>-</v>
      </c>
      <c r="E130" s="2" t="str">
        <f>IFERROR(INDEX(Movimientos!$F$2:$F$1998,MATCH(A130&amp;"ENTRADA",Movimientos!$R$2:$R$1998,0)),"-")</f>
        <v>-</v>
      </c>
      <c r="F130" s="2" t="str">
        <f>IFERROR(INDEX(Movimientos!$G$2:$G$1998,MATCH(A130&amp;"ENTRADA",Movimientos!$R$2:$R$1998,0)),"-")</f>
        <v>-</v>
      </c>
      <c r="G130" s="2" t="str">
        <f>IFERROR(INDEX(Movimientos!$L$2:$L$1998,MATCH(A130&amp;"ENTRADA",Movimientos!$R$2:$R$1998,0)),"-")</f>
        <v>-</v>
      </c>
      <c r="H130" s="17" t="str">
        <f>IFERROR(IF(INDEX(Movimientos!$M$2:$M$1998,MATCH(A130&amp;"ENTRADA",Movimientos!$R$2:$R$1998,0))=0,"S/D",INDEX(Movimientos!$M$2:$M$1998,MATCH(A130&amp;"ENTRADA",Movimientos!$R$2:$R$1998,0))),"S/D")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 ht="14.25">
      <c r="A131" s="16" t="s">
        <v>2296</v>
      </c>
      <c r="B131" s="2" t="str">
        <f>IFERROR(INDEX(Movimientos!$C$2:$C$1998,MATCH(A131&amp;"ENTRADA",Movimientos!$R$2:$R$1998,0)),"-")</f>
        <v>-</v>
      </c>
      <c r="C131" s="2" t="str">
        <f>IFERROR(INDEX(Movimientos!$D$2:$D$1998,MATCH(A131&amp;"ENTRADA",Movimientos!$R$2:$R$1998,0)),"-")</f>
        <v>-</v>
      </c>
      <c r="D131" s="2" t="str">
        <f>IFERROR(INDEX(Movimientos!$E$2:$E$1998,MATCH(A131&amp;"ENTRADA",Movimientos!$R$2:$R$1998,0)),"-")</f>
        <v>-</v>
      </c>
      <c r="E131" s="2" t="str">
        <f>IFERROR(INDEX(Movimientos!$F$2:$F$1998,MATCH(A131&amp;"ENTRADA",Movimientos!$R$2:$R$1998,0)),"-")</f>
        <v>-</v>
      </c>
      <c r="F131" s="2" t="str">
        <f>IFERROR(INDEX(Movimientos!$G$2:$G$1998,MATCH(A131&amp;"ENTRADA",Movimientos!$R$2:$R$1998,0)),"-")</f>
        <v>-</v>
      </c>
      <c r="G131" s="2" t="str">
        <f>IFERROR(INDEX(Movimientos!$L$2:$L$1998,MATCH(A131&amp;"ENTRADA",Movimientos!$R$2:$R$1998,0)),"-")</f>
        <v>-</v>
      </c>
      <c r="H131" s="17" t="str">
        <f>IFERROR(IF(INDEX(Movimientos!$M$2:$M$1998,MATCH(A131&amp;"ENTRADA",Movimientos!$R$2:$R$1998,0))=0,"S/D",INDEX(Movimientos!$M$2:$M$1998,MATCH(A131&amp;"ENTRADA",Movimientos!$R$2:$R$1998,0))),"S/D")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 ht="14.25">
      <c r="A132" s="16" t="s">
        <v>2297</v>
      </c>
      <c r="B132" s="2" t="str">
        <f>IFERROR(INDEX(Movimientos!$C$2:$C$1998,MATCH(A132&amp;"ENTRADA",Movimientos!$R$2:$R$1998,0)),"-")</f>
        <v>-</v>
      </c>
      <c r="C132" s="2" t="str">
        <f>IFERROR(INDEX(Movimientos!$D$2:$D$1998,MATCH(A132&amp;"ENTRADA",Movimientos!$R$2:$R$1998,0)),"-")</f>
        <v>-</v>
      </c>
      <c r="D132" s="2" t="str">
        <f>IFERROR(INDEX(Movimientos!$E$2:$E$1998,MATCH(A132&amp;"ENTRADA",Movimientos!$R$2:$R$1998,0)),"-")</f>
        <v>-</v>
      </c>
      <c r="E132" s="2" t="str">
        <f>IFERROR(INDEX(Movimientos!$F$2:$F$1998,MATCH(A132&amp;"ENTRADA",Movimientos!$R$2:$R$1998,0)),"-")</f>
        <v>-</v>
      </c>
      <c r="F132" s="2" t="str">
        <f>IFERROR(INDEX(Movimientos!$G$2:$G$1998,MATCH(A132&amp;"ENTRADA",Movimientos!$R$2:$R$1998,0)),"-")</f>
        <v>-</v>
      </c>
      <c r="G132" s="2" t="str">
        <f>IFERROR(INDEX(Movimientos!$L$2:$L$1998,MATCH(A132&amp;"ENTRADA",Movimientos!$R$2:$R$1998,0)),"-")</f>
        <v>-</v>
      </c>
      <c r="H132" s="17" t="str">
        <f>IFERROR(IF(INDEX(Movimientos!$M$2:$M$1998,MATCH(A132&amp;"ENTRADA",Movimientos!$R$2:$R$1998,0))=0,"S/D",INDEX(Movimientos!$M$2:$M$1998,MATCH(A132&amp;"ENTRADA",Movimientos!$R$2:$R$1998,0))),"S/D")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 ht="14.25">
      <c r="A133" s="16" t="s">
        <v>2298</v>
      </c>
      <c r="B133" s="2" t="str">
        <f>IFERROR(INDEX(Movimientos!$C$2:$C$1998,MATCH(A133&amp;"ENTRADA",Movimientos!$R$2:$R$1998,0)),"-")</f>
        <v>-</v>
      </c>
      <c r="C133" s="2" t="str">
        <f>IFERROR(INDEX(Movimientos!$D$2:$D$1998,MATCH(A133&amp;"ENTRADA",Movimientos!$R$2:$R$1998,0)),"-")</f>
        <v>-</v>
      </c>
      <c r="D133" s="2" t="str">
        <f>IFERROR(INDEX(Movimientos!$E$2:$E$1998,MATCH(A133&amp;"ENTRADA",Movimientos!$R$2:$R$1998,0)),"-")</f>
        <v>-</v>
      </c>
      <c r="E133" s="2" t="str">
        <f>IFERROR(INDEX(Movimientos!$F$2:$F$1998,MATCH(A133&amp;"ENTRADA",Movimientos!$R$2:$R$1998,0)),"-")</f>
        <v>-</v>
      </c>
      <c r="F133" s="2" t="str">
        <f>IFERROR(INDEX(Movimientos!$G$2:$G$1998,MATCH(A133&amp;"ENTRADA",Movimientos!$R$2:$R$1998,0)),"-")</f>
        <v>-</v>
      </c>
      <c r="G133" s="2" t="str">
        <f>IFERROR(INDEX(Movimientos!$L$2:$L$1998,MATCH(A133&amp;"ENTRADA",Movimientos!$R$2:$R$1998,0)),"-")</f>
        <v>-</v>
      </c>
      <c r="H133" s="17" t="str">
        <f>IFERROR(IF(INDEX(Movimientos!$M$2:$M$1998,MATCH(A133&amp;"ENTRADA",Movimientos!$R$2:$R$1998,0))=0,"S/D",INDEX(Movimientos!$M$2:$M$1998,MATCH(A133&amp;"ENTRADA",Movimientos!$R$2:$R$1998,0))),"S/D")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 ht="14.25">
      <c r="A134" s="16" t="s">
        <v>2299</v>
      </c>
      <c r="B134" s="2" t="str">
        <f>IFERROR(INDEX(Movimientos!$C$2:$C$1998,MATCH(A134&amp;"ENTRADA",Movimientos!$R$2:$R$1998,0)),"-")</f>
        <v>-</v>
      </c>
      <c r="C134" s="2" t="str">
        <f>IFERROR(INDEX(Movimientos!$D$2:$D$1998,MATCH(A134&amp;"ENTRADA",Movimientos!$R$2:$R$1998,0)),"-")</f>
        <v>-</v>
      </c>
      <c r="D134" s="2" t="str">
        <f>IFERROR(INDEX(Movimientos!$E$2:$E$1998,MATCH(A134&amp;"ENTRADA",Movimientos!$R$2:$R$1998,0)),"-")</f>
        <v>-</v>
      </c>
      <c r="E134" s="2" t="str">
        <f>IFERROR(INDEX(Movimientos!$F$2:$F$1998,MATCH(A134&amp;"ENTRADA",Movimientos!$R$2:$R$1998,0)),"-")</f>
        <v>-</v>
      </c>
      <c r="F134" s="2" t="str">
        <f>IFERROR(INDEX(Movimientos!$G$2:$G$1998,MATCH(A134&amp;"ENTRADA",Movimientos!$R$2:$R$1998,0)),"-")</f>
        <v>-</v>
      </c>
      <c r="G134" s="2" t="str">
        <f>IFERROR(INDEX(Movimientos!$L$2:$L$1998,MATCH(A134&amp;"ENTRADA",Movimientos!$R$2:$R$1998,0)),"-")</f>
        <v>-</v>
      </c>
      <c r="H134" s="17" t="str">
        <f>IFERROR(IF(INDEX(Movimientos!$M$2:$M$1998,MATCH(A134&amp;"ENTRADA",Movimientos!$R$2:$R$1998,0))=0,"S/D",INDEX(Movimientos!$M$2:$M$1998,MATCH(A134&amp;"ENTRADA",Movimientos!$R$2:$R$1998,0))),"S/D")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 ht="14.25">
      <c r="A135" s="16" t="s">
        <v>2300</v>
      </c>
      <c r="B135" s="2" t="str">
        <f>IFERROR(INDEX(Movimientos!$C$2:$C$1998,MATCH(A135&amp;"ENTRADA",Movimientos!$R$2:$R$1998,0)),"-")</f>
        <v>-</v>
      </c>
      <c r="C135" s="2" t="str">
        <f>IFERROR(INDEX(Movimientos!$D$2:$D$1998,MATCH(A135&amp;"ENTRADA",Movimientos!$R$2:$R$1998,0)),"-")</f>
        <v>-</v>
      </c>
      <c r="D135" s="2" t="str">
        <f>IFERROR(INDEX(Movimientos!$E$2:$E$1998,MATCH(A135&amp;"ENTRADA",Movimientos!$R$2:$R$1998,0)),"-")</f>
        <v>-</v>
      </c>
      <c r="E135" s="2" t="str">
        <f>IFERROR(INDEX(Movimientos!$F$2:$F$1998,MATCH(A135&amp;"ENTRADA",Movimientos!$R$2:$R$1998,0)),"-")</f>
        <v>-</v>
      </c>
      <c r="F135" s="2" t="str">
        <f>IFERROR(INDEX(Movimientos!$G$2:$G$1998,MATCH(A135&amp;"ENTRADA",Movimientos!$R$2:$R$1998,0)),"-")</f>
        <v>-</v>
      </c>
      <c r="G135" s="2" t="str">
        <f>IFERROR(INDEX(Movimientos!$L$2:$L$1998,MATCH(A135&amp;"ENTRADA",Movimientos!$R$2:$R$1998,0)),"-")</f>
        <v>-</v>
      </c>
      <c r="H135" s="17" t="str">
        <f>IFERROR(IF(INDEX(Movimientos!$M$2:$M$1998,MATCH(A135&amp;"ENTRADA",Movimientos!$R$2:$R$1998,0))=0,"S/D",INDEX(Movimientos!$M$2:$M$1998,MATCH(A135&amp;"ENTRADA",Movimientos!$R$2:$R$1998,0))),"S/D")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 ht="14.25">
      <c r="A136" s="16" t="s">
        <v>2301</v>
      </c>
      <c r="B136" s="2" t="str">
        <f>IFERROR(INDEX(Movimientos!$C$2:$C$1998,MATCH(A136&amp;"ENTRADA",Movimientos!$R$2:$R$1998,0)),"-")</f>
        <v>-</v>
      </c>
      <c r="C136" s="2" t="str">
        <f>IFERROR(INDEX(Movimientos!$D$2:$D$1998,MATCH(A136&amp;"ENTRADA",Movimientos!$R$2:$R$1998,0)),"-")</f>
        <v>-</v>
      </c>
      <c r="D136" s="2" t="str">
        <f>IFERROR(INDEX(Movimientos!$E$2:$E$1998,MATCH(A136&amp;"ENTRADA",Movimientos!$R$2:$R$1998,0)),"-")</f>
        <v>-</v>
      </c>
      <c r="E136" s="2" t="str">
        <f>IFERROR(INDEX(Movimientos!$F$2:$F$1998,MATCH(A136&amp;"ENTRADA",Movimientos!$R$2:$R$1998,0)),"-")</f>
        <v>-</v>
      </c>
      <c r="F136" s="2" t="str">
        <f>IFERROR(INDEX(Movimientos!$G$2:$G$1998,MATCH(A136&amp;"ENTRADA",Movimientos!$R$2:$R$1998,0)),"-")</f>
        <v>-</v>
      </c>
      <c r="G136" s="2" t="str">
        <f>IFERROR(INDEX(Movimientos!$L$2:$L$1998,MATCH(A136&amp;"ENTRADA",Movimientos!$R$2:$R$1998,0)),"-")</f>
        <v>-</v>
      </c>
      <c r="H136" s="17" t="str">
        <f>IFERROR(IF(INDEX(Movimientos!$M$2:$M$1998,MATCH(A136&amp;"ENTRADA",Movimientos!$R$2:$R$1998,0))=0,"S/D",INDEX(Movimientos!$M$2:$M$1998,MATCH(A136&amp;"ENTRADA",Movimientos!$R$2:$R$1998,0))),"S/D")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 ht="14.25">
      <c r="A137" s="16" t="s">
        <v>2302</v>
      </c>
      <c r="B137" s="2" t="str">
        <f>IFERROR(INDEX(Movimientos!$C$2:$C$1998,MATCH(A137&amp;"ENTRADA",Movimientos!$R$2:$R$1998,0)),"-")</f>
        <v>-</v>
      </c>
      <c r="C137" s="2" t="str">
        <f>IFERROR(INDEX(Movimientos!$D$2:$D$1998,MATCH(A137&amp;"ENTRADA",Movimientos!$R$2:$R$1998,0)),"-")</f>
        <v>-</v>
      </c>
      <c r="D137" s="2" t="str">
        <f>IFERROR(INDEX(Movimientos!$E$2:$E$1998,MATCH(A137&amp;"ENTRADA",Movimientos!$R$2:$R$1998,0)),"-")</f>
        <v>-</v>
      </c>
      <c r="E137" s="2" t="str">
        <f>IFERROR(INDEX(Movimientos!$F$2:$F$1998,MATCH(A137&amp;"ENTRADA",Movimientos!$R$2:$R$1998,0)),"-")</f>
        <v>-</v>
      </c>
      <c r="F137" s="2" t="str">
        <f>IFERROR(INDEX(Movimientos!$G$2:$G$1998,MATCH(A137&amp;"ENTRADA",Movimientos!$R$2:$R$1998,0)),"-")</f>
        <v>-</v>
      </c>
      <c r="G137" s="2" t="str">
        <f>IFERROR(INDEX(Movimientos!$L$2:$L$1998,MATCH(A137&amp;"ENTRADA",Movimientos!$R$2:$R$1998,0)),"-")</f>
        <v>-</v>
      </c>
      <c r="H137" s="17" t="str">
        <f>IFERROR(IF(INDEX(Movimientos!$M$2:$M$1998,MATCH(A137&amp;"ENTRADA",Movimientos!$R$2:$R$1998,0))=0,"S/D",INDEX(Movimientos!$M$2:$M$1998,MATCH(A137&amp;"ENTRADA",Movimientos!$R$2:$R$1998,0))),"S/D")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 ht="14.25">
      <c r="A138" s="16" t="s">
        <v>2303</v>
      </c>
      <c r="B138" s="2" t="str">
        <f>IFERROR(INDEX(Movimientos!$C$2:$C$1998,MATCH(A138&amp;"ENTRADA",Movimientos!$R$2:$R$1998,0)),"-")</f>
        <v>-</v>
      </c>
      <c r="C138" s="2" t="str">
        <f>IFERROR(INDEX(Movimientos!$D$2:$D$1998,MATCH(A138&amp;"ENTRADA",Movimientos!$R$2:$R$1998,0)),"-")</f>
        <v>-</v>
      </c>
      <c r="D138" s="2" t="str">
        <f>IFERROR(INDEX(Movimientos!$E$2:$E$1998,MATCH(A138&amp;"ENTRADA",Movimientos!$R$2:$R$1998,0)),"-")</f>
        <v>-</v>
      </c>
      <c r="E138" s="2" t="str">
        <f>IFERROR(INDEX(Movimientos!$F$2:$F$1998,MATCH(A138&amp;"ENTRADA",Movimientos!$R$2:$R$1998,0)),"-")</f>
        <v>-</v>
      </c>
      <c r="F138" s="2" t="str">
        <f>IFERROR(INDEX(Movimientos!$G$2:$G$1998,MATCH(A138&amp;"ENTRADA",Movimientos!$R$2:$R$1998,0)),"-")</f>
        <v>-</v>
      </c>
      <c r="G138" s="2" t="str">
        <f>IFERROR(INDEX(Movimientos!$L$2:$L$1998,MATCH(A138&amp;"ENTRADA",Movimientos!$R$2:$R$1998,0)),"-")</f>
        <v>-</v>
      </c>
      <c r="H138" s="17" t="str">
        <f>IFERROR(IF(INDEX(Movimientos!$M$2:$M$1998,MATCH(A138&amp;"ENTRADA",Movimientos!$R$2:$R$1998,0))=0,"S/D",INDEX(Movimientos!$M$2:$M$1998,MATCH(A138&amp;"ENTRADA",Movimientos!$R$2:$R$1998,0))),"S/D")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 ht="14.25">
      <c r="A139" s="16" t="s">
        <v>2304</v>
      </c>
      <c r="B139" s="2" t="str">
        <f>IFERROR(INDEX(Movimientos!$C$2:$C$1998,MATCH(A139&amp;"ENTRADA",Movimientos!$R$2:$R$1998,0)),"-")</f>
        <v>-</v>
      </c>
      <c r="C139" s="2" t="str">
        <f>IFERROR(INDEX(Movimientos!$D$2:$D$1998,MATCH(A139&amp;"ENTRADA",Movimientos!$R$2:$R$1998,0)),"-")</f>
        <v>-</v>
      </c>
      <c r="D139" s="2" t="str">
        <f>IFERROR(INDEX(Movimientos!$E$2:$E$1998,MATCH(A139&amp;"ENTRADA",Movimientos!$R$2:$R$1998,0)),"-")</f>
        <v>-</v>
      </c>
      <c r="E139" s="2" t="str">
        <f>IFERROR(INDEX(Movimientos!$F$2:$F$1998,MATCH(A139&amp;"ENTRADA",Movimientos!$R$2:$R$1998,0)),"-")</f>
        <v>-</v>
      </c>
      <c r="F139" s="2" t="str">
        <f>IFERROR(INDEX(Movimientos!$G$2:$G$1998,MATCH(A139&amp;"ENTRADA",Movimientos!$R$2:$R$1998,0)),"-")</f>
        <v>-</v>
      </c>
      <c r="G139" s="2" t="str">
        <f>IFERROR(INDEX(Movimientos!$L$2:$L$1998,MATCH(A139&amp;"ENTRADA",Movimientos!$R$2:$R$1998,0)),"-")</f>
        <v>-</v>
      </c>
      <c r="H139" s="17" t="str">
        <f>IFERROR(IF(INDEX(Movimientos!$M$2:$M$1998,MATCH(A139&amp;"ENTRADA",Movimientos!$R$2:$R$1998,0))=0,"S/D",INDEX(Movimientos!$M$2:$M$1998,MATCH(A139&amp;"ENTRADA",Movimientos!$R$2:$R$1998,0))),"S/D")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 ht="14.25">
      <c r="A140" s="16" t="s">
        <v>2305</v>
      </c>
      <c r="B140" s="2" t="str">
        <f>IFERROR(INDEX(Movimientos!$C$2:$C$1998,MATCH(A140&amp;"ENTRADA",Movimientos!$R$2:$R$1998,0)),"-")</f>
        <v>-</v>
      </c>
      <c r="C140" s="2" t="str">
        <f>IFERROR(INDEX(Movimientos!$D$2:$D$1998,MATCH(A140&amp;"ENTRADA",Movimientos!$R$2:$R$1998,0)),"-")</f>
        <v>-</v>
      </c>
      <c r="D140" s="2" t="str">
        <f>IFERROR(INDEX(Movimientos!$E$2:$E$1998,MATCH(A140&amp;"ENTRADA",Movimientos!$R$2:$R$1998,0)),"-")</f>
        <v>-</v>
      </c>
      <c r="E140" s="2" t="str">
        <f>IFERROR(INDEX(Movimientos!$F$2:$F$1998,MATCH(A140&amp;"ENTRADA",Movimientos!$R$2:$R$1998,0)),"-")</f>
        <v>-</v>
      </c>
      <c r="F140" s="2" t="str">
        <f>IFERROR(INDEX(Movimientos!$G$2:$G$1998,MATCH(A140&amp;"ENTRADA",Movimientos!$R$2:$R$1998,0)),"-")</f>
        <v>-</v>
      </c>
      <c r="G140" s="2" t="str">
        <f>IFERROR(INDEX(Movimientos!$L$2:$L$1998,MATCH(A140&amp;"ENTRADA",Movimientos!$R$2:$R$1998,0)),"-")</f>
        <v>-</v>
      </c>
      <c r="H140" s="17" t="str">
        <f>IFERROR(IF(INDEX(Movimientos!$M$2:$M$1998,MATCH(A140&amp;"ENTRADA",Movimientos!$R$2:$R$1998,0))=0,"S/D",INDEX(Movimientos!$M$2:$M$1998,MATCH(A140&amp;"ENTRADA",Movimientos!$R$2:$R$1998,0))),"S/D")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 ht="14.25">
      <c r="A141" s="16" t="s">
        <v>2306</v>
      </c>
      <c r="B141" s="2" t="str">
        <f>IFERROR(INDEX(Movimientos!$C$2:$C$1998,MATCH(A141&amp;"ENTRADA",Movimientos!$R$2:$R$1998,0)),"-")</f>
        <v>-</v>
      </c>
      <c r="C141" s="2" t="str">
        <f>IFERROR(INDEX(Movimientos!$D$2:$D$1998,MATCH(A141&amp;"ENTRADA",Movimientos!$R$2:$R$1998,0)),"-")</f>
        <v>-</v>
      </c>
      <c r="D141" s="2" t="str">
        <f>IFERROR(INDEX(Movimientos!$E$2:$E$1998,MATCH(A141&amp;"ENTRADA",Movimientos!$R$2:$R$1998,0)),"-")</f>
        <v>-</v>
      </c>
      <c r="E141" s="2" t="str">
        <f>IFERROR(INDEX(Movimientos!$F$2:$F$1998,MATCH(A141&amp;"ENTRADA",Movimientos!$R$2:$R$1998,0)),"-")</f>
        <v>-</v>
      </c>
      <c r="F141" s="2" t="str">
        <f>IFERROR(INDEX(Movimientos!$G$2:$G$1998,MATCH(A141&amp;"ENTRADA",Movimientos!$R$2:$R$1998,0)),"-")</f>
        <v>-</v>
      </c>
      <c r="G141" s="2" t="str">
        <f>IFERROR(INDEX(Movimientos!$L$2:$L$1998,MATCH(A141&amp;"ENTRADA",Movimientos!$R$2:$R$1998,0)),"-")</f>
        <v>-</v>
      </c>
      <c r="H141" s="17" t="str">
        <f>IFERROR(IF(INDEX(Movimientos!$M$2:$M$1998,MATCH(A141&amp;"ENTRADA",Movimientos!$R$2:$R$1998,0))=0,"S/D",INDEX(Movimientos!$M$2:$M$1998,MATCH(A141&amp;"ENTRADA",Movimientos!$R$2:$R$1998,0))),"S/D")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 ht="14.25">
      <c r="A142" s="16" t="s">
        <v>2307</v>
      </c>
      <c r="B142" s="2" t="str">
        <f>IFERROR(INDEX(Movimientos!$C$2:$C$1998,MATCH(A142&amp;"ENTRADA",Movimientos!$R$2:$R$1998,0)),"-")</f>
        <v>-</v>
      </c>
      <c r="C142" s="2" t="str">
        <f>IFERROR(INDEX(Movimientos!$D$2:$D$1998,MATCH(A142&amp;"ENTRADA",Movimientos!$R$2:$R$1998,0)),"-")</f>
        <v>-</v>
      </c>
      <c r="D142" s="2" t="str">
        <f>IFERROR(INDEX(Movimientos!$E$2:$E$1998,MATCH(A142&amp;"ENTRADA",Movimientos!$R$2:$R$1998,0)),"-")</f>
        <v>-</v>
      </c>
      <c r="E142" s="2" t="str">
        <f>IFERROR(INDEX(Movimientos!$F$2:$F$1998,MATCH(A142&amp;"ENTRADA",Movimientos!$R$2:$R$1998,0)),"-")</f>
        <v>-</v>
      </c>
      <c r="F142" s="2" t="str">
        <f>IFERROR(INDEX(Movimientos!$G$2:$G$1998,MATCH(A142&amp;"ENTRADA",Movimientos!$R$2:$R$1998,0)),"-")</f>
        <v>-</v>
      </c>
      <c r="G142" s="2" t="str">
        <f>IFERROR(INDEX(Movimientos!$L$2:$L$1998,MATCH(A142&amp;"ENTRADA",Movimientos!$R$2:$R$1998,0)),"-")</f>
        <v>-</v>
      </c>
      <c r="H142" s="17" t="str">
        <f>IFERROR(IF(INDEX(Movimientos!$M$2:$M$1998,MATCH(A142&amp;"ENTRADA",Movimientos!$R$2:$R$1998,0))=0,"S/D",INDEX(Movimientos!$M$2:$M$1998,MATCH(A142&amp;"ENTRADA",Movimientos!$R$2:$R$1998,0))),"S/D")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 ht="14.25">
      <c r="A143" s="16" t="s">
        <v>2308</v>
      </c>
      <c r="B143" s="2" t="str">
        <f>IFERROR(INDEX(Movimientos!$C$2:$C$1998,MATCH(A143&amp;"ENTRADA",Movimientos!$R$2:$R$1998,0)),"-")</f>
        <v>-</v>
      </c>
      <c r="C143" s="2" t="str">
        <f>IFERROR(INDEX(Movimientos!$D$2:$D$1998,MATCH(A143&amp;"ENTRADA",Movimientos!$R$2:$R$1998,0)),"-")</f>
        <v>-</v>
      </c>
      <c r="D143" s="2" t="str">
        <f>IFERROR(INDEX(Movimientos!$E$2:$E$1998,MATCH(A143&amp;"ENTRADA",Movimientos!$R$2:$R$1998,0)),"-")</f>
        <v>-</v>
      </c>
      <c r="E143" s="2" t="str">
        <f>IFERROR(INDEX(Movimientos!$F$2:$F$1998,MATCH(A143&amp;"ENTRADA",Movimientos!$R$2:$R$1998,0)),"-")</f>
        <v>-</v>
      </c>
      <c r="F143" s="2" t="str">
        <f>IFERROR(INDEX(Movimientos!$G$2:$G$1998,MATCH(A143&amp;"ENTRADA",Movimientos!$R$2:$R$1998,0)),"-")</f>
        <v>-</v>
      </c>
      <c r="G143" s="2" t="str">
        <f>IFERROR(INDEX(Movimientos!$L$2:$L$1998,MATCH(A143&amp;"ENTRADA",Movimientos!$R$2:$R$1998,0)),"-")</f>
        <v>-</v>
      </c>
      <c r="H143" s="17" t="str">
        <f>IFERROR(IF(INDEX(Movimientos!$M$2:$M$1998,MATCH(A143&amp;"ENTRADA",Movimientos!$R$2:$R$1998,0))=0,"S/D",INDEX(Movimientos!$M$2:$M$1998,MATCH(A143&amp;"ENTRADA",Movimientos!$R$2:$R$1998,0))),"S/D")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 ht="14.25">
      <c r="A144" s="16" t="s">
        <v>2309</v>
      </c>
      <c r="B144" s="2" t="str">
        <f>IFERROR(INDEX(Movimientos!$C$2:$C$1998,MATCH(A144&amp;"ENTRADA",Movimientos!$R$2:$R$1998,0)),"-")</f>
        <v>-</v>
      </c>
      <c r="C144" s="2" t="str">
        <f>IFERROR(INDEX(Movimientos!$D$2:$D$1998,MATCH(A144&amp;"ENTRADA",Movimientos!$R$2:$R$1998,0)),"-")</f>
        <v>-</v>
      </c>
      <c r="D144" s="2" t="str">
        <f>IFERROR(INDEX(Movimientos!$E$2:$E$1998,MATCH(A144&amp;"ENTRADA",Movimientos!$R$2:$R$1998,0)),"-")</f>
        <v>-</v>
      </c>
      <c r="E144" s="2" t="str">
        <f>IFERROR(INDEX(Movimientos!$F$2:$F$1998,MATCH(A144&amp;"ENTRADA",Movimientos!$R$2:$R$1998,0)),"-")</f>
        <v>-</v>
      </c>
      <c r="F144" s="2" t="str">
        <f>IFERROR(INDEX(Movimientos!$G$2:$G$1998,MATCH(A144&amp;"ENTRADA",Movimientos!$R$2:$R$1998,0)),"-")</f>
        <v>-</v>
      </c>
      <c r="G144" s="2" t="str">
        <f>IFERROR(INDEX(Movimientos!$L$2:$L$1998,MATCH(A144&amp;"ENTRADA",Movimientos!$R$2:$R$1998,0)),"-")</f>
        <v>-</v>
      </c>
      <c r="H144" s="17" t="str">
        <f>IFERROR(IF(INDEX(Movimientos!$M$2:$M$1998,MATCH(A144&amp;"ENTRADA",Movimientos!$R$2:$R$1998,0))=0,"S/D",INDEX(Movimientos!$M$2:$M$1998,MATCH(A144&amp;"ENTRADA",Movimientos!$R$2:$R$1998,0))),"S/D")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 ht="14.25">
      <c r="A145" s="16" t="s">
        <v>2310</v>
      </c>
      <c r="B145" s="2" t="str">
        <f>IFERROR(INDEX(Movimientos!$C$2:$C$1998,MATCH(A145&amp;"ENTRADA",Movimientos!$R$2:$R$1998,0)),"-")</f>
        <v>-</v>
      </c>
      <c r="C145" s="2" t="str">
        <f>IFERROR(INDEX(Movimientos!$D$2:$D$1998,MATCH(A145&amp;"ENTRADA",Movimientos!$R$2:$R$1998,0)),"-")</f>
        <v>-</v>
      </c>
      <c r="D145" s="2" t="str">
        <f>IFERROR(INDEX(Movimientos!$E$2:$E$1998,MATCH(A145&amp;"ENTRADA",Movimientos!$R$2:$R$1998,0)),"-")</f>
        <v>-</v>
      </c>
      <c r="E145" s="2" t="str">
        <f>IFERROR(INDEX(Movimientos!$F$2:$F$1998,MATCH(A145&amp;"ENTRADA",Movimientos!$R$2:$R$1998,0)),"-")</f>
        <v>-</v>
      </c>
      <c r="F145" s="2" t="str">
        <f>IFERROR(INDEX(Movimientos!$G$2:$G$1998,MATCH(A145&amp;"ENTRADA",Movimientos!$R$2:$R$1998,0)),"-")</f>
        <v>-</v>
      </c>
      <c r="G145" s="2" t="str">
        <f>IFERROR(INDEX(Movimientos!$L$2:$L$1998,MATCH(A145&amp;"ENTRADA",Movimientos!$R$2:$R$1998,0)),"-")</f>
        <v>-</v>
      </c>
      <c r="H145" s="17" t="str">
        <f>IFERROR(IF(INDEX(Movimientos!$M$2:$M$1998,MATCH(A145&amp;"ENTRADA",Movimientos!$R$2:$R$1998,0))=0,"S/D",INDEX(Movimientos!$M$2:$M$1998,MATCH(A145&amp;"ENTRADA",Movimientos!$R$2:$R$1998,0))),"S/D")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 ht="14.25">
      <c r="A146" s="16" t="s">
        <v>2311</v>
      </c>
      <c r="B146" s="2" t="str">
        <f>IFERROR(INDEX(Movimientos!$C$2:$C$1998,MATCH(A146&amp;"ENTRADA",Movimientos!$R$2:$R$1998,0)),"-")</f>
        <v>-</v>
      </c>
      <c r="C146" s="2" t="str">
        <f>IFERROR(INDEX(Movimientos!$D$2:$D$1998,MATCH(A146&amp;"ENTRADA",Movimientos!$R$2:$R$1998,0)),"-")</f>
        <v>-</v>
      </c>
      <c r="D146" s="2" t="str">
        <f>IFERROR(INDEX(Movimientos!$E$2:$E$1998,MATCH(A146&amp;"ENTRADA",Movimientos!$R$2:$R$1998,0)),"-")</f>
        <v>-</v>
      </c>
      <c r="E146" s="2" t="str">
        <f>IFERROR(INDEX(Movimientos!$F$2:$F$1998,MATCH(A146&amp;"ENTRADA",Movimientos!$R$2:$R$1998,0)),"-")</f>
        <v>-</v>
      </c>
      <c r="F146" s="2" t="str">
        <f>IFERROR(INDEX(Movimientos!$G$2:$G$1998,MATCH(A146&amp;"ENTRADA",Movimientos!$R$2:$R$1998,0)),"-")</f>
        <v>-</v>
      </c>
      <c r="G146" s="2" t="str">
        <f>IFERROR(INDEX(Movimientos!$L$2:$L$1998,MATCH(A146&amp;"ENTRADA",Movimientos!$R$2:$R$1998,0)),"-")</f>
        <v>-</v>
      </c>
      <c r="H146" s="17" t="str">
        <f>IFERROR(IF(INDEX(Movimientos!$M$2:$M$1998,MATCH(A146&amp;"ENTRADA",Movimientos!$R$2:$R$1998,0))=0,"S/D",INDEX(Movimientos!$M$2:$M$1998,MATCH(A146&amp;"ENTRADA",Movimientos!$R$2:$R$1998,0))),"S/D")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 ht="14.25">
      <c r="A147" s="16" t="s">
        <v>2312</v>
      </c>
      <c r="B147" s="2" t="str">
        <f>IFERROR(INDEX(Movimientos!$C$2:$C$1998,MATCH(A147&amp;"ENTRADA",Movimientos!$R$2:$R$1998,0)),"-")</f>
        <v>-</v>
      </c>
      <c r="C147" s="2" t="str">
        <f>IFERROR(INDEX(Movimientos!$D$2:$D$1998,MATCH(A147&amp;"ENTRADA",Movimientos!$R$2:$R$1998,0)),"-")</f>
        <v>-</v>
      </c>
      <c r="D147" s="2" t="str">
        <f>IFERROR(INDEX(Movimientos!$E$2:$E$1998,MATCH(A147&amp;"ENTRADA",Movimientos!$R$2:$R$1998,0)),"-")</f>
        <v>-</v>
      </c>
      <c r="E147" s="2" t="str">
        <f>IFERROR(INDEX(Movimientos!$F$2:$F$1998,MATCH(A147&amp;"ENTRADA",Movimientos!$R$2:$R$1998,0)),"-")</f>
        <v>-</v>
      </c>
      <c r="F147" s="2" t="str">
        <f>IFERROR(INDEX(Movimientos!$G$2:$G$1998,MATCH(A147&amp;"ENTRADA",Movimientos!$R$2:$R$1998,0)),"-")</f>
        <v>-</v>
      </c>
      <c r="G147" s="2" t="str">
        <f>IFERROR(INDEX(Movimientos!$L$2:$L$1998,MATCH(A147&amp;"ENTRADA",Movimientos!$R$2:$R$1998,0)),"-")</f>
        <v>-</v>
      </c>
      <c r="H147" s="17" t="str">
        <f>IFERROR(IF(INDEX(Movimientos!$M$2:$M$1998,MATCH(A147&amp;"ENTRADA",Movimientos!$R$2:$R$1998,0))=0,"S/D",INDEX(Movimientos!$M$2:$M$1998,MATCH(A147&amp;"ENTRADA",Movimientos!$R$2:$R$1998,0))),"S/D")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 ht="14.25">
      <c r="A148" s="16" t="s">
        <v>2313</v>
      </c>
      <c r="B148" s="2" t="str">
        <f>IFERROR(INDEX(Movimientos!$C$2:$C$1998,MATCH(A148&amp;"ENTRADA",Movimientos!$R$2:$R$1998,0)),"-")</f>
        <v>-</v>
      </c>
      <c r="C148" s="2" t="str">
        <f>IFERROR(INDEX(Movimientos!$D$2:$D$1998,MATCH(A148&amp;"ENTRADA",Movimientos!$R$2:$R$1998,0)),"-")</f>
        <v>-</v>
      </c>
      <c r="D148" s="2" t="str">
        <f>IFERROR(INDEX(Movimientos!$E$2:$E$1998,MATCH(A148&amp;"ENTRADA",Movimientos!$R$2:$R$1998,0)),"-")</f>
        <v>-</v>
      </c>
      <c r="E148" s="2" t="str">
        <f>IFERROR(INDEX(Movimientos!$F$2:$F$1998,MATCH(A148&amp;"ENTRADA",Movimientos!$R$2:$R$1998,0)),"-")</f>
        <v>-</v>
      </c>
      <c r="F148" s="2" t="str">
        <f>IFERROR(INDEX(Movimientos!$G$2:$G$1998,MATCH(A148&amp;"ENTRADA",Movimientos!$R$2:$R$1998,0)),"-")</f>
        <v>-</v>
      </c>
      <c r="G148" s="2" t="str">
        <f>IFERROR(INDEX(Movimientos!$L$2:$L$1998,MATCH(A148&amp;"ENTRADA",Movimientos!$R$2:$R$1998,0)),"-")</f>
        <v>-</v>
      </c>
      <c r="H148" s="17" t="str">
        <f>IFERROR(IF(INDEX(Movimientos!$M$2:$M$1998,MATCH(A148&amp;"ENTRADA",Movimientos!$R$2:$R$1998,0))=0,"S/D",INDEX(Movimientos!$M$2:$M$1998,MATCH(A148&amp;"ENTRADA",Movimientos!$R$2:$R$1998,0))),"S/D")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 ht="14.25">
      <c r="A149" s="16" t="s">
        <v>2314</v>
      </c>
      <c r="B149" s="2" t="str">
        <f>IFERROR(INDEX(Movimientos!$C$2:$C$1998,MATCH(A149&amp;"ENTRADA",Movimientos!$R$2:$R$1998,0)),"-")</f>
        <v>-</v>
      </c>
      <c r="C149" s="2" t="str">
        <f>IFERROR(INDEX(Movimientos!$D$2:$D$1998,MATCH(A149&amp;"ENTRADA",Movimientos!$R$2:$R$1998,0)),"-")</f>
        <v>-</v>
      </c>
      <c r="D149" s="2" t="str">
        <f>IFERROR(INDEX(Movimientos!$E$2:$E$1998,MATCH(A149&amp;"ENTRADA",Movimientos!$R$2:$R$1998,0)),"-")</f>
        <v>-</v>
      </c>
      <c r="E149" s="2" t="str">
        <f>IFERROR(INDEX(Movimientos!$F$2:$F$1998,MATCH(A149&amp;"ENTRADA",Movimientos!$R$2:$R$1998,0)),"-")</f>
        <v>-</v>
      </c>
      <c r="F149" s="2" t="str">
        <f>IFERROR(INDEX(Movimientos!$G$2:$G$1998,MATCH(A149&amp;"ENTRADA",Movimientos!$R$2:$R$1998,0)),"-")</f>
        <v>-</v>
      </c>
      <c r="G149" s="2" t="str">
        <f>IFERROR(INDEX(Movimientos!$L$2:$L$1998,MATCH(A149&amp;"ENTRADA",Movimientos!$R$2:$R$1998,0)),"-")</f>
        <v>-</v>
      </c>
      <c r="H149" s="17" t="str">
        <f>IFERROR(IF(INDEX(Movimientos!$M$2:$M$1998,MATCH(A149&amp;"ENTRADA",Movimientos!$R$2:$R$1998,0))=0,"S/D",INDEX(Movimientos!$M$2:$M$1998,MATCH(A149&amp;"ENTRADA",Movimientos!$R$2:$R$1998,0))),"S/D")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 ht="14.25">
      <c r="A150" s="16" t="s">
        <v>2315</v>
      </c>
      <c r="B150" s="2" t="str">
        <f>IFERROR(INDEX(Movimientos!$C$2:$C$1998,MATCH(A150&amp;"ENTRADA",Movimientos!$R$2:$R$1998,0)),"-")</f>
        <v>-</v>
      </c>
      <c r="C150" s="2" t="str">
        <f>IFERROR(INDEX(Movimientos!$D$2:$D$1998,MATCH(A150&amp;"ENTRADA",Movimientos!$R$2:$R$1998,0)),"-")</f>
        <v>-</v>
      </c>
      <c r="D150" s="2" t="str">
        <f>IFERROR(INDEX(Movimientos!$E$2:$E$1998,MATCH(A150&amp;"ENTRADA",Movimientos!$R$2:$R$1998,0)),"-")</f>
        <v>-</v>
      </c>
      <c r="E150" s="2" t="str">
        <f>IFERROR(INDEX(Movimientos!$F$2:$F$1998,MATCH(A150&amp;"ENTRADA",Movimientos!$R$2:$R$1998,0)),"-")</f>
        <v>-</v>
      </c>
      <c r="F150" s="2" t="str">
        <f>IFERROR(INDEX(Movimientos!$G$2:$G$1998,MATCH(A150&amp;"ENTRADA",Movimientos!$R$2:$R$1998,0)),"-")</f>
        <v>-</v>
      </c>
      <c r="G150" s="2" t="str">
        <f>IFERROR(INDEX(Movimientos!$L$2:$L$1998,MATCH(A150&amp;"ENTRADA",Movimientos!$R$2:$R$1998,0)),"-")</f>
        <v>-</v>
      </c>
      <c r="H150" s="17" t="str">
        <f>IFERROR(IF(INDEX(Movimientos!$M$2:$M$1998,MATCH(A150&amp;"ENTRADA",Movimientos!$R$2:$R$1998,0))=0,"S/D",INDEX(Movimientos!$M$2:$M$1998,MATCH(A150&amp;"ENTRADA",Movimientos!$R$2:$R$1998,0))),"S/D")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 ht="14.25">
      <c r="A151" s="16" t="s">
        <v>2316</v>
      </c>
      <c r="B151" s="2" t="str">
        <f>IFERROR(INDEX(Movimientos!$C$2:$C$1998,MATCH(A151&amp;"ENTRADA",Movimientos!$R$2:$R$1998,0)),"-")</f>
        <v>-</v>
      </c>
      <c r="C151" s="2" t="str">
        <f>IFERROR(INDEX(Movimientos!$D$2:$D$1998,MATCH(A151&amp;"ENTRADA",Movimientos!$R$2:$R$1998,0)),"-")</f>
        <v>-</v>
      </c>
      <c r="D151" s="2" t="str">
        <f>IFERROR(INDEX(Movimientos!$E$2:$E$1998,MATCH(A151&amp;"ENTRADA",Movimientos!$R$2:$R$1998,0)),"-")</f>
        <v>-</v>
      </c>
      <c r="E151" s="2" t="str">
        <f>IFERROR(INDEX(Movimientos!$F$2:$F$1998,MATCH(A151&amp;"ENTRADA",Movimientos!$R$2:$R$1998,0)),"-")</f>
        <v>-</v>
      </c>
      <c r="F151" s="2" t="str">
        <f>IFERROR(INDEX(Movimientos!$G$2:$G$1998,MATCH(A151&amp;"ENTRADA",Movimientos!$R$2:$R$1998,0)),"-")</f>
        <v>-</v>
      </c>
      <c r="G151" s="2" t="str">
        <f>IFERROR(INDEX(Movimientos!$L$2:$L$1998,MATCH(A151&amp;"ENTRADA",Movimientos!$R$2:$R$1998,0)),"-")</f>
        <v>-</v>
      </c>
      <c r="H151" s="17" t="str">
        <f>IFERROR(IF(INDEX(Movimientos!$M$2:$M$1998,MATCH(A151&amp;"ENTRADA",Movimientos!$R$2:$R$1998,0))=0,"S/D",INDEX(Movimientos!$M$2:$M$1998,MATCH(A151&amp;"ENTRADA",Movimientos!$R$2:$R$1998,0))),"S/D")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 ht="14.25">
      <c r="A152" s="16" t="s">
        <v>2317</v>
      </c>
      <c r="B152" s="2" t="str">
        <f>IFERROR(INDEX(Movimientos!$C$2:$C$1998,MATCH(A152&amp;"ENTRADA",Movimientos!$R$2:$R$1998,0)),"-")</f>
        <v>-</v>
      </c>
      <c r="C152" s="2" t="str">
        <f>IFERROR(INDEX(Movimientos!$D$2:$D$1998,MATCH(A152&amp;"ENTRADA",Movimientos!$R$2:$R$1998,0)),"-")</f>
        <v>-</v>
      </c>
      <c r="D152" s="2" t="str">
        <f>IFERROR(INDEX(Movimientos!$E$2:$E$1998,MATCH(A152&amp;"ENTRADA",Movimientos!$R$2:$R$1998,0)),"-")</f>
        <v>-</v>
      </c>
      <c r="E152" s="2" t="str">
        <f>IFERROR(INDEX(Movimientos!$F$2:$F$1998,MATCH(A152&amp;"ENTRADA",Movimientos!$R$2:$R$1998,0)),"-")</f>
        <v>-</v>
      </c>
      <c r="F152" s="2" t="str">
        <f>IFERROR(INDEX(Movimientos!$G$2:$G$1998,MATCH(A152&amp;"ENTRADA",Movimientos!$R$2:$R$1998,0)),"-")</f>
        <v>-</v>
      </c>
      <c r="G152" s="2" t="str">
        <f>IFERROR(INDEX(Movimientos!$L$2:$L$1998,MATCH(A152&amp;"ENTRADA",Movimientos!$R$2:$R$1998,0)),"-")</f>
        <v>-</v>
      </c>
      <c r="H152" s="17" t="str">
        <f>IFERROR(IF(INDEX(Movimientos!$M$2:$M$1998,MATCH(A152&amp;"ENTRADA",Movimientos!$R$2:$R$1998,0))=0,"S/D",INDEX(Movimientos!$M$2:$M$1998,MATCH(A152&amp;"ENTRADA",Movimientos!$R$2:$R$1998,0))),"S/D")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 ht="14.25">
      <c r="A153" s="16" t="s">
        <v>2318</v>
      </c>
      <c r="B153" s="2" t="str">
        <f>IFERROR(INDEX(Movimientos!$C$2:$C$1998,MATCH(A153&amp;"ENTRADA",Movimientos!$R$2:$R$1998,0)),"-")</f>
        <v>-</v>
      </c>
      <c r="C153" s="2" t="str">
        <f>IFERROR(INDEX(Movimientos!$D$2:$D$1998,MATCH(A153&amp;"ENTRADA",Movimientos!$R$2:$R$1998,0)),"-")</f>
        <v>-</v>
      </c>
      <c r="D153" s="2" t="str">
        <f>IFERROR(INDEX(Movimientos!$E$2:$E$1998,MATCH(A153&amp;"ENTRADA",Movimientos!$R$2:$R$1998,0)),"-")</f>
        <v>-</v>
      </c>
      <c r="E153" s="2" t="str">
        <f>IFERROR(INDEX(Movimientos!$F$2:$F$1998,MATCH(A153&amp;"ENTRADA",Movimientos!$R$2:$R$1998,0)),"-")</f>
        <v>-</v>
      </c>
      <c r="F153" s="2" t="str">
        <f>IFERROR(INDEX(Movimientos!$G$2:$G$1998,MATCH(A153&amp;"ENTRADA",Movimientos!$R$2:$R$1998,0)),"-")</f>
        <v>-</v>
      </c>
      <c r="G153" s="2" t="str">
        <f>IFERROR(INDEX(Movimientos!$L$2:$L$1998,MATCH(A153&amp;"ENTRADA",Movimientos!$R$2:$R$1998,0)),"-")</f>
        <v>-</v>
      </c>
      <c r="H153" s="17" t="str">
        <f>IFERROR(IF(INDEX(Movimientos!$M$2:$M$1998,MATCH(A153&amp;"ENTRADA",Movimientos!$R$2:$R$1998,0))=0,"S/D",INDEX(Movimientos!$M$2:$M$1998,MATCH(A153&amp;"ENTRADA",Movimientos!$R$2:$R$1998,0))),"S/D")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 ht="14.25">
      <c r="A154" s="16" t="s">
        <v>2319</v>
      </c>
      <c r="B154" s="2" t="str">
        <f>IFERROR(INDEX(Movimientos!$C$2:$C$1998,MATCH(A154&amp;"ENTRADA",Movimientos!$R$2:$R$1998,0)),"-")</f>
        <v>-</v>
      </c>
      <c r="C154" s="2" t="str">
        <f>IFERROR(INDEX(Movimientos!$D$2:$D$1998,MATCH(A154&amp;"ENTRADA",Movimientos!$R$2:$R$1998,0)),"-")</f>
        <v>-</v>
      </c>
      <c r="D154" s="2" t="str">
        <f>IFERROR(INDEX(Movimientos!$E$2:$E$1998,MATCH(A154&amp;"ENTRADA",Movimientos!$R$2:$R$1998,0)),"-")</f>
        <v>-</v>
      </c>
      <c r="E154" s="2" t="str">
        <f>IFERROR(INDEX(Movimientos!$F$2:$F$1998,MATCH(A154&amp;"ENTRADA",Movimientos!$R$2:$R$1998,0)),"-")</f>
        <v>-</v>
      </c>
      <c r="F154" s="2" t="str">
        <f>IFERROR(INDEX(Movimientos!$G$2:$G$1998,MATCH(A154&amp;"ENTRADA",Movimientos!$R$2:$R$1998,0)),"-")</f>
        <v>-</v>
      </c>
      <c r="G154" s="2" t="str">
        <f>IFERROR(INDEX(Movimientos!$L$2:$L$1998,MATCH(A154&amp;"ENTRADA",Movimientos!$R$2:$R$1998,0)),"-")</f>
        <v>-</v>
      </c>
      <c r="H154" s="17" t="str">
        <f>IFERROR(IF(INDEX(Movimientos!$M$2:$M$1998,MATCH(A154&amp;"ENTRADA",Movimientos!$R$2:$R$1998,0))=0,"S/D",INDEX(Movimientos!$M$2:$M$1998,MATCH(A154&amp;"ENTRADA",Movimientos!$R$2:$R$1998,0))),"S/D")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 ht="14.25">
      <c r="A155" s="16" t="s">
        <v>2320</v>
      </c>
      <c r="B155" s="2" t="str">
        <f>IFERROR(INDEX(Movimientos!$C$2:$C$1998,MATCH(A155&amp;"ENTRADA",Movimientos!$R$2:$R$1998,0)),"-")</f>
        <v>-</v>
      </c>
      <c r="C155" s="2" t="str">
        <f>IFERROR(INDEX(Movimientos!$D$2:$D$1998,MATCH(A155&amp;"ENTRADA",Movimientos!$R$2:$R$1998,0)),"-")</f>
        <v>-</v>
      </c>
      <c r="D155" s="2" t="str">
        <f>IFERROR(INDEX(Movimientos!$E$2:$E$1998,MATCH(A155&amp;"ENTRADA",Movimientos!$R$2:$R$1998,0)),"-")</f>
        <v>-</v>
      </c>
      <c r="E155" s="2" t="str">
        <f>IFERROR(INDEX(Movimientos!$F$2:$F$1998,MATCH(A155&amp;"ENTRADA",Movimientos!$R$2:$R$1998,0)),"-")</f>
        <v>-</v>
      </c>
      <c r="F155" s="2" t="str">
        <f>IFERROR(INDEX(Movimientos!$G$2:$G$1998,MATCH(A155&amp;"ENTRADA",Movimientos!$R$2:$R$1998,0)),"-")</f>
        <v>-</v>
      </c>
      <c r="G155" s="2" t="str">
        <f>IFERROR(INDEX(Movimientos!$L$2:$L$1998,MATCH(A155&amp;"ENTRADA",Movimientos!$R$2:$R$1998,0)),"-")</f>
        <v>-</v>
      </c>
      <c r="H155" s="17" t="str">
        <f>IFERROR(IF(INDEX(Movimientos!$M$2:$M$1998,MATCH(A155&amp;"ENTRADA",Movimientos!$R$2:$R$1998,0))=0,"S/D",INDEX(Movimientos!$M$2:$M$1998,MATCH(A155&amp;"ENTRADA",Movimientos!$R$2:$R$1998,0))),"S/D")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 ht="14.25">
      <c r="A156" s="16" t="s">
        <v>2321</v>
      </c>
      <c r="B156" s="2" t="str">
        <f>IFERROR(INDEX(Movimientos!$C$2:$C$1998,MATCH(A156&amp;"ENTRADA",Movimientos!$R$2:$R$1998,0)),"-")</f>
        <v>-</v>
      </c>
      <c r="C156" s="2" t="str">
        <f>IFERROR(INDEX(Movimientos!$D$2:$D$1998,MATCH(A156&amp;"ENTRADA",Movimientos!$R$2:$R$1998,0)),"-")</f>
        <v>-</v>
      </c>
      <c r="D156" s="2" t="str">
        <f>IFERROR(INDEX(Movimientos!$E$2:$E$1998,MATCH(A156&amp;"ENTRADA",Movimientos!$R$2:$R$1998,0)),"-")</f>
        <v>-</v>
      </c>
      <c r="E156" s="2" t="str">
        <f>IFERROR(INDEX(Movimientos!$F$2:$F$1998,MATCH(A156&amp;"ENTRADA",Movimientos!$R$2:$R$1998,0)),"-")</f>
        <v>-</v>
      </c>
      <c r="F156" s="2" t="str">
        <f>IFERROR(INDEX(Movimientos!$G$2:$G$1998,MATCH(A156&amp;"ENTRADA",Movimientos!$R$2:$R$1998,0)),"-")</f>
        <v>-</v>
      </c>
      <c r="G156" s="2" t="str">
        <f>IFERROR(INDEX(Movimientos!$L$2:$L$1998,MATCH(A156&amp;"ENTRADA",Movimientos!$R$2:$R$1998,0)),"-")</f>
        <v>-</v>
      </c>
      <c r="H156" s="17" t="str">
        <f>IFERROR(IF(INDEX(Movimientos!$M$2:$M$1998,MATCH(A156&amp;"ENTRADA",Movimientos!$R$2:$R$1998,0))=0,"S/D",INDEX(Movimientos!$M$2:$M$1998,MATCH(A156&amp;"ENTRADA",Movimientos!$R$2:$R$1998,0))),"S/D")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 ht="14.25">
      <c r="A157" s="16" t="s">
        <v>2322</v>
      </c>
      <c r="B157" s="2" t="str">
        <f>IFERROR(INDEX(Movimientos!$C$2:$C$1998,MATCH(A157&amp;"ENTRADA",Movimientos!$R$2:$R$1998,0)),"-")</f>
        <v>-</v>
      </c>
      <c r="C157" s="2" t="str">
        <f>IFERROR(INDEX(Movimientos!$D$2:$D$1998,MATCH(A157&amp;"ENTRADA",Movimientos!$R$2:$R$1998,0)),"-")</f>
        <v>-</v>
      </c>
      <c r="D157" s="2" t="str">
        <f>IFERROR(INDEX(Movimientos!$E$2:$E$1998,MATCH(A157&amp;"ENTRADA",Movimientos!$R$2:$R$1998,0)),"-")</f>
        <v>-</v>
      </c>
      <c r="E157" s="2" t="str">
        <f>IFERROR(INDEX(Movimientos!$F$2:$F$1998,MATCH(A157&amp;"ENTRADA",Movimientos!$R$2:$R$1998,0)),"-")</f>
        <v>-</v>
      </c>
      <c r="F157" s="2" t="str">
        <f>IFERROR(INDEX(Movimientos!$G$2:$G$1998,MATCH(A157&amp;"ENTRADA",Movimientos!$R$2:$R$1998,0)),"-")</f>
        <v>-</v>
      </c>
      <c r="G157" s="2" t="str">
        <f>IFERROR(INDEX(Movimientos!$L$2:$L$1998,MATCH(A157&amp;"ENTRADA",Movimientos!$R$2:$R$1998,0)),"-")</f>
        <v>-</v>
      </c>
      <c r="H157" s="17" t="str">
        <f>IFERROR(IF(INDEX(Movimientos!$M$2:$M$1998,MATCH(A157&amp;"ENTRADA",Movimientos!$R$2:$R$1998,0))=0,"S/D",INDEX(Movimientos!$M$2:$M$1998,MATCH(A157&amp;"ENTRADA",Movimientos!$R$2:$R$1998,0))),"S/D")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 ht="14.25">
      <c r="A158" s="16" t="s">
        <v>2323</v>
      </c>
      <c r="B158" s="2" t="str">
        <f>IFERROR(INDEX(Movimientos!$C$2:$C$1998,MATCH(A158&amp;"ENTRADA",Movimientos!$R$2:$R$1998,0)),"-")</f>
        <v>-</v>
      </c>
      <c r="C158" s="2" t="str">
        <f>IFERROR(INDEX(Movimientos!$D$2:$D$1998,MATCH(A158&amp;"ENTRADA",Movimientos!$R$2:$R$1998,0)),"-")</f>
        <v>-</v>
      </c>
      <c r="D158" s="2" t="str">
        <f>IFERROR(INDEX(Movimientos!$E$2:$E$1998,MATCH(A158&amp;"ENTRADA",Movimientos!$R$2:$R$1998,0)),"-")</f>
        <v>-</v>
      </c>
      <c r="E158" s="2" t="str">
        <f>IFERROR(INDEX(Movimientos!$F$2:$F$1998,MATCH(A158&amp;"ENTRADA",Movimientos!$R$2:$R$1998,0)),"-")</f>
        <v>-</v>
      </c>
      <c r="F158" s="2" t="str">
        <f>IFERROR(INDEX(Movimientos!$G$2:$G$1998,MATCH(A158&amp;"ENTRADA",Movimientos!$R$2:$R$1998,0)),"-")</f>
        <v>-</v>
      </c>
      <c r="G158" s="2" t="str">
        <f>IFERROR(INDEX(Movimientos!$L$2:$L$1998,MATCH(A158&amp;"ENTRADA",Movimientos!$R$2:$R$1998,0)),"-")</f>
        <v>-</v>
      </c>
      <c r="H158" s="17" t="str">
        <f>IFERROR(IF(INDEX(Movimientos!$M$2:$M$1998,MATCH(A158&amp;"ENTRADA",Movimientos!$R$2:$R$1998,0))=0,"S/D",INDEX(Movimientos!$M$2:$M$1998,MATCH(A158&amp;"ENTRADA",Movimientos!$R$2:$R$1998,0))),"S/D")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 ht="14.25">
      <c r="A159" s="16" t="s">
        <v>2324</v>
      </c>
      <c r="B159" s="2" t="str">
        <f>IFERROR(INDEX(Movimientos!$C$2:$C$1998,MATCH(A159&amp;"ENTRADA",Movimientos!$R$2:$R$1998,0)),"-")</f>
        <v>-</v>
      </c>
      <c r="C159" s="2" t="str">
        <f>IFERROR(INDEX(Movimientos!$D$2:$D$1998,MATCH(A159&amp;"ENTRADA",Movimientos!$R$2:$R$1998,0)),"-")</f>
        <v>-</v>
      </c>
      <c r="D159" s="2" t="str">
        <f>IFERROR(INDEX(Movimientos!$E$2:$E$1998,MATCH(A159&amp;"ENTRADA",Movimientos!$R$2:$R$1998,0)),"-")</f>
        <v>-</v>
      </c>
      <c r="E159" s="2" t="str">
        <f>IFERROR(INDEX(Movimientos!$F$2:$F$1998,MATCH(A159&amp;"ENTRADA",Movimientos!$R$2:$R$1998,0)),"-")</f>
        <v>-</v>
      </c>
      <c r="F159" s="2" t="str">
        <f>IFERROR(INDEX(Movimientos!$G$2:$G$1998,MATCH(A159&amp;"ENTRADA",Movimientos!$R$2:$R$1998,0)),"-")</f>
        <v>-</v>
      </c>
      <c r="G159" s="2" t="str">
        <f>IFERROR(INDEX(Movimientos!$L$2:$L$1998,MATCH(A159&amp;"ENTRADA",Movimientos!$R$2:$R$1998,0)),"-")</f>
        <v>-</v>
      </c>
      <c r="H159" s="17" t="str">
        <f>IFERROR(IF(INDEX(Movimientos!$M$2:$M$1998,MATCH(A159&amp;"ENTRADA",Movimientos!$R$2:$R$1998,0))=0,"S/D",INDEX(Movimientos!$M$2:$M$1998,MATCH(A159&amp;"ENTRADA",Movimientos!$R$2:$R$1998,0))),"S/D")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 ht="14.25">
      <c r="A160" s="16" t="s">
        <v>2325</v>
      </c>
      <c r="B160" s="2" t="str">
        <f>IFERROR(INDEX(Movimientos!$C$2:$C$1998,MATCH(A160&amp;"ENTRADA",Movimientos!$R$2:$R$1998,0)),"-")</f>
        <v>-</v>
      </c>
      <c r="C160" s="2" t="str">
        <f>IFERROR(INDEX(Movimientos!$D$2:$D$1998,MATCH(A160&amp;"ENTRADA",Movimientos!$R$2:$R$1998,0)),"-")</f>
        <v>-</v>
      </c>
      <c r="D160" s="2" t="str">
        <f>IFERROR(INDEX(Movimientos!$E$2:$E$1998,MATCH(A160&amp;"ENTRADA",Movimientos!$R$2:$R$1998,0)),"-")</f>
        <v>-</v>
      </c>
      <c r="E160" s="2" t="str">
        <f>IFERROR(INDEX(Movimientos!$F$2:$F$1998,MATCH(A160&amp;"ENTRADA",Movimientos!$R$2:$R$1998,0)),"-")</f>
        <v>-</v>
      </c>
      <c r="F160" s="2" t="str">
        <f>IFERROR(INDEX(Movimientos!$G$2:$G$1998,MATCH(A160&amp;"ENTRADA",Movimientos!$R$2:$R$1998,0)),"-")</f>
        <v>-</v>
      </c>
      <c r="G160" s="2" t="str">
        <f>IFERROR(INDEX(Movimientos!$L$2:$L$1998,MATCH(A160&amp;"ENTRADA",Movimientos!$R$2:$R$1998,0)),"-")</f>
        <v>-</v>
      </c>
      <c r="H160" s="17" t="str">
        <f>IFERROR(IF(INDEX(Movimientos!$M$2:$M$1998,MATCH(A160&amp;"ENTRADA",Movimientos!$R$2:$R$1998,0))=0,"S/D",INDEX(Movimientos!$M$2:$M$1998,MATCH(A160&amp;"ENTRADA",Movimientos!$R$2:$R$1998,0))),"S/D")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 ht="14.25">
      <c r="A161" s="16" t="s">
        <v>2326</v>
      </c>
      <c r="B161" s="2" t="str">
        <f>IFERROR(INDEX(Movimientos!$C$2:$C$1998,MATCH(A161&amp;"ENTRADA",Movimientos!$R$2:$R$1998,0)),"-")</f>
        <v>-</v>
      </c>
      <c r="C161" s="2" t="str">
        <f>IFERROR(INDEX(Movimientos!$D$2:$D$1998,MATCH(A161&amp;"ENTRADA",Movimientos!$R$2:$R$1998,0)),"-")</f>
        <v>-</v>
      </c>
      <c r="D161" s="2" t="str">
        <f>IFERROR(INDEX(Movimientos!$E$2:$E$1998,MATCH(A161&amp;"ENTRADA",Movimientos!$R$2:$R$1998,0)),"-")</f>
        <v>-</v>
      </c>
      <c r="E161" s="2" t="str">
        <f>IFERROR(INDEX(Movimientos!$F$2:$F$1998,MATCH(A161&amp;"ENTRADA",Movimientos!$R$2:$R$1998,0)),"-")</f>
        <v>-</v>
      </c>
      <c r="F161" s="2" t="str">
        <f>IFERROR(INDEX(Movimientos!$G$2:$G$1998,MATCH(A161&amp;"ENTRADA",Movimientos!$R$2:$R$1998,0)),"-")</f>
        <v>-</v>
      </c>
      <c r="G161" s="2" t="str">
        <f>IFERROR(INDEX(Movimientos!$L$2:$L$1998,MATCH(A161&amp;"ENTRADA",Movimientos!$R$2:$R$1998,0)),"-")</f>
        <v>-</v>
      </c>
      <c r="H161" s="17" t="str">
        <f>IFERROR(IF(INDEX(Movimientos!$M$2:$M$1998,MATCH(A161&amp;"ENTRADA",Movimientos!$R$2:$R$1998,0))=0,"S/D",INDEX(Movimientos!$M$2:$M$1998,MATCH(A161&amp;"ENTRADA",Movimientos!$R$2:$R$1998,0))),"S/D")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 ht="14.25">
      <c r="A162" s="16" t="s">
        <v>2327</v>
      </c>
      <c r="B162" s="2" t="str">
        <f>IFERROR(INDEX(Movimientos!$C$2:$C$1998,MATCH(A162&amp;"ENTRADA",Movimientos!$R$2:$R$1998,0)),"-")</f>
        <v>-</v>
      </c>
      <c r="C162" s="2" t="str">
        <f>IFERROR(INDEX(Movimientos!$D$2:$D$1998,MATCH(A162&amp;"ENTRADA",Movimientos!$R$2:$R$1998,0)),"-")</f>
        <v>-</v>
      </c>
      <c r="D162" s="2" t="str">
        <f>IFERROR(INDEX(Movimientos!$E$2:$E$1998,MATCH(A162&amp;"ENTRADA",Movimientos!$R$2:$R$1998,0)),"-")</f>
        <v>-</v>
      </c>
      <c r="E162" s="2" t="str">
        <f>IFERROR(INDEX(Movimientos!$F$2:$F$1998,MATCH(A162&amp;"ENTRADA",Movimientos!$R$2:$R$1998,0)),"-")</f>
        <v>-</v>
      </c>
      <c r="F162" s="2" t="str">
        <f>IFERROR(INDEX(Movimientos!$G$2:$G$1998,MATCH(A162&amp;"ENTRADA",Movimientos!$R$2:$R$1998,0)),"-")</f>
        <v>-</v>
      </c>
      <c r="G162" s="2" t="str">
        <f>IFERROR(INDEX(Movimientos!$L$2:$L$1998,MATCH(A162&amp;"ENTRADA",Movimientos!$R$2:$R$1998,0)),"-")</f>
        <v>-</v>
      </c>
      <c r="H162" s="17" t="str">
        <f>IFERROR(IF(INDEX(Movimientos!$M$2:$M$1998,MATCH(A162&amp;"ENTRADA",Movimientos!$R$2:$R$1998,0))=0,"S/D",INDEX(Movimientos!$M$2:$M$1998,MATCH(A162&amp;"ENTRADA",Movimientos!$R$2:$R$1998,0))),"S/D")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 ht="14.25">
      <c r="A163" s="16" t="s">
        <v>2328</v>
      </c>
      <c r="B163" s="2" t="str">
        <f>IFERROR(INDEX(Movimientos!$C$2:$C$1998,MATCH(A163&amp;"ENTRADA",Movimientos!$R$2:$R$1998,0)),"-")</f>
        <v>-</v>
      </c>
      <c r="C163" s="2" t="str">
        <f>IFERROR(INDEX(Movimientos!$D$2:$D$1998,MATCH(A163&amp;"ENTRADA",Movimientos!$R$2:$R$1998,0)),"-")</f>
        <v>-</v>
      </c>
      <c r="D163" s="2" t="str">
        <f>IFERROR(INDEX(Movimientos!$E$2:$E$1998,MATCH(A163&amp;"ENTRADA",Movimientos!$R$2:$R$1998,0)),"-")</f>
        <v>-</v>
      </c>
      <c r="E163" s="2" t="str">
        <f>IFERROR(INDEX(Movimientos!$F$2:$F$1998,MATCH(A163&amp;"ENTRADA",Movimientos!$R$2:$R$1998,0)),"-")</f>
        <v>-</v>
      </c>
      <c r="F163" s="2" t="str">
        <f>IFERROR(INDEX(Movimientos!$G$2:$G$1998,MATCH(A163&amp;"ENTRADA",Movimientos!$R$2:$R$1998,0)),"-")</f>
        <v>-</v>
      </c>
      <c r="G163" s="2" t="str">
        <f>IFERROR(INDEX(Movimientos!$L$2:$L$1998,MATCH(A163&amp;"ENTRADA",Movimientos!$R$2:$R$1998,0)),"-")</f>
        <v>-</v>
      </c>
      <c r="H163" s="17" t="str">
        <f>IFERROR(IF(INDEX(Movimientos!$M$2:$M$1998,MATCH(A163&amp;"ENTRADA",Movimientos!$R$2:$R$1998,0))=0,"S/D",INDEX(Movimientos!$M$2:$M$1998,MATCH(A163&amp;"ENTRADA",Movimientos!$R$2:$R$1998,0))),"S/D")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 ht="14.25">
      <c r="A164" s="16" t="s">
        <v>2329</v>
      </c>
      <c r="B164" s="2" t="str">
        <f>IFERROR(INDEX(Movimientos!$C$2:$C$1998,MATCH(A164&amp;"ENTRADA",Movimientos!$R$2:$R$1998,0)),"-")</f>
        <v>-</v>
      </c>
      <c r="C164" s="2" t="str">
        <f>IFERROR(INDEX(Movimientos!$D$2:$D$1998,MATCH(A164&amp;"ENTRADA",Movimientos!$R$2:$R$1998,0)),"-")</f>
        <v>-</v>
      </c>
      <c r="D164" s="2" t="str">
        <f>IFERROR(INDEX(Movimientos!$E$2:$E$1998,MATCH(A164&amp;"ENTRADA",Movimientos!$R$2:$R$1998,0)),"-")</f>
        <v>-</v>
      </c>
      <c r="E164" s="2" t="str">
        <f>IFERROR(INDEX(Movimientos!$F$2:$F$1998,MATCH(A164&amp;"ENTRADA",Movimientos!$R$2:$R$1998,0)),"-")</f>
        <v>-</v>
      </c>
      <c r="F164" s="2" t="str">
        <f>IFERROR(INDEX(Movimientos!$G$2:$G$1998,MATCH(A164&amp;"ENTRADA",Movimientos!$R$2:$R$1998,0)),"-")</f>
        <v>-</v>
      </c>
      <c r="G164" s="2" t="str">
        <f>IFERROR(INDEX(Movimientos!$L$2:$L$1998,MATCH(A164&amp;"ENTRADA",Movimientos!$R$2:$R$1998,0)),"-")</f>
        <v>-</v>
      </c>
      <c r="H164" s="17" t="str">
        <f>IFERROR(IF(INDEX(Movimientos!$M$2:$M$1998,MATCH(A164&amp;"ENTRADA",Movimientos!$R$2:$R$1998,0))=0,"S/D",INDEX(Movimientos!$M$2:$M$1998,MATCH(A164&amp;"ENTRADA",Movimientos!$R$2:$R$1998,0))),"S/D")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 ht="14.25">
      <c r="A165" s="16" t="s">
        <v>2330</v>
      </c>
      <c r="B165" s="2" t="str">
        <f>IFERROR(INDEX(Movimientos!$C$2:$C$1998,MATCH(A165&amp;"ENTRADA",Movimientos!$R$2:$R$1998,0)),"-")</f>
        <v>-</v>
      </c>
      <c r="C165" s="2" t="str">
        <f>IFERROR(INDEX(Movimientos!$D$2:$D$1998,MATCH(A165&amp;"ENTRADA",Movimientos!$R$2:$R$1998,0)),"-")</f>
        <v>-</v>
      </c>
      <c r="D165" s="2" t="str">
        <f>IFERROR(INDEX(Movimientos!$E$2:$E$1998,MATCH(A165&amp;"ENTRADA",Movimientos!$R$2:$R$1998,0)),"-")</f>
        <v>-</v>
      </c>
      <c r="E165" s="2" t="str">
        <f>IFERROR(INDEX(Movimientos!$F$2:$F$1998,MATCH(A165&amp;"ENTRADA",Movimientos!$R$2:$R$1998,0)),"-")</f>
        <v>-</v>
      </c>
      <c r="F165" s="2" t="str">
        <f>IFERROR(INDEX(Movimientos!$G$2:$G$1998,MATCH(A165&amp;"ENTRADA",Movimientos!$R$2:$R$1998,0)),"-")</f>
        <v>-</v>
      </c>
      <c r="G165" s="2" t="str">
        <f>IFERROR(INDEX(Movimientos!$L$2:$L$1998,MATCH(A165&amp;"ENTRADA",Movimientos!$R$2:$R$1998,0)),"-")</f>
        <v>-</v>
      </c>
      <c r="H165" s="17" t="str">
        <f>IFERROR(IF(INDEX(Movimientos!$M$2:$M$1998,MATCH(A165&amp;"ENTRADA",Movimientos!$R$2:$R$1998,0))=0,"S/D",INDEX(Movimientos!$M$2:$M$1998,MATCH(A165&amp;"ENTRADA",Movimientos!$R$2:$R$1998,0))),"S/D")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 ht="14.25">
      <c r="A166" s="16" t="s">
        <v>2331</v>
      </c>
      <c r="B166" s="2" t="str">
        <f>IFERROR(INDEX(Movimientos!$C$2:$C$1998,MATCH(A166&amp;"ENTRADA",Movimientos!$R$2:$R$1998,0)),"-")</f>
        <v>-</v>
      </c>
      <c r="C166" s="2" t="str">
        <f>IFERROR(INDEX(Movimientos!$D$2:$D$1998,MATCH(A166&amp;"ENTRADA",Movimientos!$R$2:$R$1998,0)),"-")</f>
        <v>-</v>
      </c>
      <c r="D166" s="2" t="str">
        <f>IFERROR(INDEX(Movimientos!$E$2:$E$1998,MATCH(A166&amp;"ENTRADA",Movimientos!$R$2:$R$1998,0)),"-")</f>
        <v>-</v>
      </c>
      <c r="E166" s="2" t="str">
        <f>IFERROR(INDEX(Movimientos!$F$2:$F$1998,MATCH(A166&amp;"ENTRADA",Movimientos!$R$2:$R$1998,0)),"-")</f>
        <v>-</v>
      </c>
      <c r="F166" s="2" t="str">
        <f>IFERROR(INDEX(Movimientos!$G$2:$G$1998,MATCH(A166&amp;"ENTRADA",Movimientos!$R$2:$R$1998,0)),"-")</f>
        <v>-</v>
      </c>
      <c r="G166" s="2" t="str">
        <f>IFERROR(INDEX(Movimientos!$L$2:$L$1998,MATCH(A166&amp;"ENTRADA",Movimientos!$R$2:$R$1998,0)),"-")</f>
        <v>-</v>
      </c>
      <c r="H166" s="17" t="str">
        <f>IFERROR(IF(INDEX(Movimientos!$M$2:$M$1998,MATCH(A166&amp;"ENTRADA",Movimientos!$R$2:$R$1998,0))=0,"S/D",INDEX(Movimientos!$M$2:$M$1998,MATCH(A166&amp;"ENTRADA",Movimientos!$R$2:$R$1998,0))),"S/D")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 ht="14.25">
      <c r="A167" s="16" t="s">
        <v>2332</v>
      </c>
      <c r="B167" s="2" t="str">
        <f>IFERROR(INDEX(Movimientos!$C$2:$C$1998,MATCH(A167&amp;"ENTRADA",Movimientos!$R$2:$R$1998,0)),"-")</f>
        <v>-</v>
      </c>
      <c r="C167" s="2" t="str">
        <f>IFERROR(INDEX(Movimientos!$D$2:$D$1998,MATCH(A167&amp;"ENTRADA",Movimientos!$R$2:$R$1998,0)),"-")</f>
        <v>-</v>
      </c>
      <c r="D167" s="2" t="str">
        <f>IFERROR(INDEX(Movimientos!$E$2:$E$1998,MATCH(A167&amp;"ENTRADA",Movimientos!$R$2:$R$1998,0)),"-")</f>
        <v>-</v>
      </c>
      <c r="E167" s="2" t="str">
        <f>IFERROR(INDEX(Movimientos!$F$2:$F$1998,MATCH(A167&amp;"ENTRADA",Movimientos!$R$2:$R$1998,0)),"-")</f>
        <v>-</v>
      </c>
      <c r="F167" s="2" t="str">
        <f>IFERROR(INDEX(Movimientos!$G$2:$G$1998,MATCH(A167&amp;"ENTRADA",Movimientos!$R$2:$R$1998,0)),"-")</f>
        <v>-</v>
      </c>
      <c r="G167" s="2" t="str">
        <f>IFERROR(INDEX(Movimientos!$L$2:$L$1998,MATCH(A167&amp;"ENTRADA",Movimientos!$R$2:$R$1998,0)),"-")</f>
        <v>-</v>
      </c>
      <c r="H167" s="17" t="str">
        <f>IFERROR(IF(INDEX(Movimientos!$M$2:$M$1998,MATCH(A167&amp;"ENTRADA",Movimientos!$R$2:$R$1998,0))=0,"S/D",INDEX(Movimientos!$M$2:$M$1998,MATCH(A167&amp;"ENTRADA",Movimientos!$R$2:$R$1998,0))),"S/D")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 ht="14.25">
      <c r="A168" s="16" t="s">
        <v>2333</v>
      </c>
      <c r="B168" s="2" t="str">
        <f>IFERROR(INDEX(Movimientos!$C$2:$C$1998,MATCH(A168&amp;"ENTRADA",Movimientos!$R$2:$R$1998,0)),"-")</f>
        <v>-</v>
      </c>
      <c r="C168" s="2" t="str">
        <f>IFERROR(INDEX(Movimientos!$D$2:$D$1998,MATCH(A168&amp;"ENTRADA",Movimientos!$R$2:$R$1998,0)),"-")</f>
        <v>-</v>
      </c>
      <c r="D168" s="2" t="str">
        <f>IFERROR(INDEX(Movimientos!$E$2:$E$1998,MATCH(A168&amp;"ENTRADA",Movimientos!$R$2:$R$1998,0)),"-")</f>
        <v>-</v>
      </c>
      <c r="E168" s="2" t="str">
        <f>IFERROR(INDEX(Movimientos!$F$2:$F$1998,MATCH(A168&amp;"ENTRADA",Movimientos!$R$2:$R$1998,0)),"-")</f>
        <v>-</v>
      </c>
      <c r="F168" s="2" t="str">
        <f>IFERROR(INDEX(Movimientos!$G$2:$G$1998,MATCH(A168&amp;"ENTRADA",Movimientos!$R$2:$R$1998,0)),"-")</f>
        <v>-</v>
      </c>
      <c r="G168" s="2" t="str">
        <f>IFERROR(INDEX(Movimientos!$L$2:$L$1998,MATCH(A168&amp;"ENTRADA",Movimientos!$R$2:$R$1998,0)),"-")</f>
        <v>-</v>
      </c>
      <c r="H168" s="17" t="str">
        <f>IFERROR(IF(INDEX(Movimientos!$M$2:$M$1998,MATCH(A168&amp;"ENTRADA",Movimientos!$R$2:$R$1998,0))=0,"S/D",INDEX(Movimientos!$M$2:$M$1998,MATCH(A168&amp;"ENTRADA",Movimientos!$R$2:$R$1998,0))),"S/D")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 ht="14.25">
      <c r="A169" s="16" t="s">
        <v>2334</v>
      </c>
      <c r="B169" s="2" t="str">
        <f>IFERROR(INDEX(Movimientos!$C$2:$C$1998,MATCH(A169&amp;"ENTRADA",Movimientos!$R$2:$R$1998,0)),"-")</f>
        <v>-</v>
      </c>
      <c r="C169" s="2" t="str">
        <f>IFERROR(INDEX(Movimientos!$D$2:$D$1998,MATCH(A169&amp;"ENTRADA",Movimientos!$R$2:$R$1998,0)),"-")</f>
        <v>-</v>
      </c>
      <c r="D169" s="2" t="str">
        <f>IFERROR(INDEX(Movimientos!$E$2:$E$1998,MATCH(A169&amp;"ENTRADA",Movimientos!$R$2:$R$1998,0)),"-")</f>
        <v>-</v>
      </c>
      <c r="E169" s="2" t="str">
        <f>IFERROR(INDEX(Movimientos!$F$2:$F$1998,MATCH(A169&amp;"ENTRADA",Movimientos!$R$2:$R$1998,0)),"-")</f>
        <v>-</v>
      </c>
      <c r="F169" s="2" t="str">
        <f>IFERROR(INDEX(Movimientos!$G$2:$G$1998,MATCH(A169&amp;"ENTRADA",Movimientos!$R$2:$R$1998,0)),"-")</f>
        <v>-</v>
      </c>
      <c r="G169" s="2" t="str">
        <f>IFERROR(INDEX(Movimientos!$L$2:$L$1998,MATCH(A169&amp;"ENTRADA",Movimientos!$R$2:$R$1998,0)),"-")</f>
        <v>-</v>
      </c>
      <c r="H169" s="17" t="str">
        <f>IFERROR(IF(INDEX(Movimientos!$M$2:$M$1998,MATCH(A169&amp;"ENTRADA",Movimientos!$R$2:$R$1998,0))=0,"S/D",INDEX(Movimientos!$M$2:$M$1998,MATCH(A169&amp;"ENTRADA",Movimientos!$R$2:$R$1998,0))),"S/D")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 ht="14.25">
      <c r="A170" s="16" t="s">
        <v>2335</v>
      </c>
      <c r="B170" s="2" t="str">
        <f>IFERROR(INDEX(Movimientos!$C$2:$C$1998,MATCH(A170&amp;"ENTRADA",Movimientos!$R$2:$R$1998,0)),"-")</f>
        <v>-</v>
      </c>
      <c r="C170" s="2" t="str">
        <f>IFERROR(INDEX(Movimientos!$D$2:$D$1998,MATCH(A170&amp;"ENTRADA",Movimientos!$R$2:$R$1998,0)),"-")</f>
        <v>-</v>
      </c>
      <c r="D170" s="2" t="str">
        <f>IFERROR(INDEX(Movimientos!$E$2:$E$1998,MATCH(A170&amp;"ENTRADA",Movimientos!$R$2:$R$1998,0)),"-")</f>
        <v>-</v>
      </c>
      <c r="E170" s="2" t="str">
        <f>IFERROR(INDEX(Movimientos!$F$2:$F$1998,MATCH(A170&amp;"ENTRADA",Movimientos!$R$2:$R$1998,0)),"-")</f>
        <v>-</v>
      </c>
      <c r="F170" s="2" t="str">
        <f>IFERROR(INDEX(Movimientos!$G$2:$G$1998,MATCH(A170&amp;"ENTRADA",Movimientos!$R$2:$R$1998,0)),"-")</f>
        <v>-</v>
      </c>
      <c r="G170" s="2" t="str">
        <f>IFERROR(INDEX(Movimientos!$L$2:$L$1998,MATCH(A170&amp;"ENTRADA",Movimientos!$R$2:$R$1998,0)),"-")</f>
        <v>-</v>
      </c>
      <c r="H170" s="17" t="str">
        <f>IFERROR(IF(INDEX(Movimientos!$M$2:$M$1998,MATCH(A170&amp;"ENTRADA",Movimientos!$R$2:$R$1998,0))=0,"S/D",INDEX(Movimientos!$M$2:$M$1998,MATCH(A170&amp;"ENTRADA",Movimientos!$R$2:$R$1998,0))),"S/D")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 ht="14.25">
      <c r="A171" s="16" t="s">
        <v>2336</v>
      </c>
      <c r="B171" s="2" t="str">
        <f>IFERROR(INDEX(Movimientos!$C$2:$C$1998,MATCH(A171&amp;"ENTRADA",Movimientos!$R$2:$R$1998,0)),"-")</f>
        <v>-</v>
      </c>
      <c r="C171" s="2" t="str">
        <f>IFERROR(INDEX(Movimientos!$D$2:$D$1998,MATCH(A171&amp;"ENTRADA",Movimientos!$R$2:$R$1998,0)),"-")</f>
        <v>-</v>
      </c>
      <c r="D171" s="2" t="str">
        <f>IFERROR(INDEX(Movimientos!$E$2:$E$1998,MATCH(A171&amp;"ENTRADA",Movimientos!$R$2:$R$1998,0)),"-")</f>
        <v>-</v>
      </c>
      <c r="E171" s="2" t="str">
        <f>IFERROR(INDEX(Movimientos!$F$2:$F$1998,MATCH(A171&amp;"ENTRADA",Movimientos!$R$2:$R$1998,0)),"-")</f>
        <v>-</v>
      </c>
      <c r="F171" s="2" t="str">
        <f>IFERROR(INDEX(Movimientos!$G$2:$G$1998,MATCH(A171&amp;"ENTRADA",Movimientos!$R$2:$R$1998,0)),"-")</f>
        <v>-</v>
      </c>
      <c r="G171" s="2" t="str">
        <f>IFERROR(INDEX(Movimientos!$L$2:$L$1998,MATCH(A171&amp;"ENTRADA",Movimientos!$R$2:$R$1998,0)),"-")</f>
        <v>-</v>
      </c>
      <c r="H171" s="17" t="str">
        <f>IFERROR(IF(INDEX(Movimientos!$M$2:$M$1998,MATCH(A171&amp;"ENTRADA",Movimientos!$R$2:$R$1998,0))=0,"S/D",INDEX(Movimientos!$M$2:$M$1998,MATCH(A171&amp;"ENTRADA",Movimientos!$R$2:$R$1998,0))),"S/D")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 ht="14.25">
      <c r="A172" s="16" t="s">
        <v>2337</v>
      </c>
      <c r="B172" s="2" t="str">
        <f>IFERROR(INDEX(Movimientos!$C$2:$C$1998,MATCH(A172&amp;"ENTRADA",Movimientos!$R$2:$R$1998,0)),"-")</f>
        <v>-</v>
      </c>
      <c r="C172" s="2" t="str">
        <f>IFERROR(INDEX(Movimientos!$D$2:$D$1998,MATCH(A172&amp;"ENTRADA",Movimientos!$R$2:$R$1998,0)),"-")</f>
        <v>-</v>
      </c>
      <c r="D172" s="2" t="str">
        <f>IFERROR(INDEX(Movimientos!$E$2:$E$1998,MATCH(A172&amp;"ENTRADA",Movimientos!$R$2:$R$1998,0)),"-")</f>
        <v>-</v>
      </c>
      <c r="E172" s="2" t="str">
        <f>IFERROR(INDEX(Movimientos!$F$2:$F$1998,MATCH(A172&amp;"ENTRADA",Movimientos!$R$2:$R$1998,0)),"-")</f>
        <v>-</v>
      </c>
      <c r="F172" s="2" t="str">
        <f>IFERROR(INDEX(Movimientos!$G$2:$G$1998,MATCH(A172&amp;"ENTRADA",Movimientos!$R$2:$R$1998,0)),"-")</f>
        <v>-</v>
      </c>
      <c r="G172" s="2" t="str">
        <f>IFERROR(INDEX(Movimientos!$L$2:$L$1998,MATCH(A172&amp;"ENTRADA",Movimientos!$R$2:$R$1998,0)),"-")</f>
        <v>-</v>
      </c>
      <c r="H172" s="17" t="str">
        <f>IFERROR(IF(INDEX(Movimientos!$M$2:$M$1998,MATCH(A172&amp;"ENTRADA",Movimientos!$R$2:$R$1998,0))=0,"S/D",INDEX(Movimientos!$M$2:$M$1998,MATCH(A172&amp;"ENTRADA",Movimientos!$R$2:$R$1998,0))),"S/D")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 ht="14.25">
      <c r="A173" s="16" t="s">
        <v>2338</v>
      </c>
      <c r="B173" s="2" t="str">
        <f>IFERROR(INDEX(Movimientos!$C$2:$C$1998,MATCH(A173&amp;"ENTRADA",Movimientos!$R$2:$R$1998,0)),"-")</f>
        <v>-</v>
      </c>
      <c r="C173" s="2" t="str">
        <f>IFERROR(INDEX(Movimientos!$D$2:$D$1998,MATCH(A173&amp;"ENTRADA",Movimientos!$R$2:$R$1998,0)),"-")</f>
        <v>-</v>
      </c>
      <c r="D173" s="2" t="str">
        <f>IFERROR(INDEX(Movimientos!$E$2:$E$1998,MATCH(A173&amp;"ENTRADA",Movimientos!$R$2:$R$1998,0)),"-")</f>
        <v>-</v>
      </c>
      <c r="E173" s="2" t="str">
        <f>IFERROR(INDEX(Movimientos!$F$2:$F$1998,MATCH(A173&amp;"ENTRADA",Movimientos!$R$2:$R$1998,0)),"-")</f>
        <v>-</v>
      </c>
      <c r="F173" s="2" t="str">
        <f>IFERROR(INDEX(Movimientos!$G$2:$G$1998,MATCH(A173&amp;"ENTRADA",Movimientos!$R$2:$R$1998,0)),"-")</f>
        <v>-</v>
      </c>
      <c r="G173" s="2" t="str">
        <f>IFERROR(INDEX(Movimientos!$L$2:$L$1998,MATCH(A173&amp;"ENTRADA",Movimientos!$R$2:$R$1998,0)),"-")</f>
        <v>-</v>
      </c>
      <c r="H173" s="17" t="str">
        <f>IFERROR(IF(INDEX(Movimientos!$M$2:$M$1998,MATCH(A173&amp;"ENTRADA",Movimientos!$R$2:$R$1998,0))=0,"S/D",INDEX(Movimientos!$M$2:$M$1998,MATCH(A173&amp;"ENTRADA",Movimientos!$R$2:$R$1998,0))),"S/D")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 ht="14.25">
      <c r="A174" s="16" t="s">
        <v>2339</v>
      </c>
      <c r="B174" s="2" t="str">
        <f>IFERROR(INDEX(Movimientos!$C$2:$C$1998,MATCH(A174&amp;"ENTRADA",Movimientos!$R$2:$R$1998,0)),"-")</f>
        <v>-</v>
      </c>
      <c r="C174" s="2" t="str">
        <f>IFERROR(INDEX(Movimientos!$D$2:$D$1998,MATCH(A174&amp;"ENTRADA",Movimientos!$R$2:$R$1998,0)),"-")</f>
        <v>-</v>
      </c>
      <c r="D174" s="2" t="str">
        <f>IFERROR(INDEX(Movimientos!$E$2:$E$1998,MATCH(A174&amp;"ENTRADA",Movimientos!$R$2:$R$1998,0)),"-")</f>
        <v>-</v>
      </c>
      <c r="E174" s="2" t="str">
        <f>IFERROR(INDEX(Movimientos!$F$2:$F$1998,MATCH(A174&amp;"ENTRADA",Movimientos!$R$2:$R$1998,0)),"-")</f>
        <v>-</v>
      </c>
      <c r="F174" s="2" t="str">
        <f>IFERROR(INDEX(Movimientos!$G$2:$G$1998,MATCH(A174&amp;"ENTRADA",Movimientos!$R$2:$R$1998,0)),"-")</f>
        <v>-</v>
      </c>
      <c r="G174" s="2" t="str">
        <f>IFERROR(INDEX(Movimientos!$L$2:$L$1998,MATCH(A174&amp;"ENTRADA",Movimientos!$R$2:$R$1998,0)),"-")</f>
        <v>-</v>
      </c>
      <c r="H174" s="17" t="str">
        <f>IFERROR(IF(INDEX(Movimientos!$M$2:$M$1998,MATCH(A174&amp;"ENTRADA",Movimientos!$R$2:$R$1998,0))=0,"S/D",INDEX(Movimientos!$M$2:$M$1998,MATCH(A174&amp;"ENTRADA",Movimientos!$R$2:$R$1998,0))),"S/D")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 ht="14.25">
      <c r="A175" s="16" t="s">
        <v>2340</v>
      </c>
      <c r="B175" s="2" t="str">
        <f>IFERROR(INDEX(Movimientos!$C$2:$C$1998,MATCH(A175&amp;"ENTRADA",Movimientos!$R$2:$R$1998,0)),"-")</f>
        <v>-</v>
      </c>
      <c r="C175" s="2" t="str">
        <f>IFERROR(INDEX(Movimientos!$D$2:$D$1998,MATCH(A175&amp;"ENTRADA",Movimientos!$R$2:$R$1998,0)),"-")</f>
        <v>-</v>
      </c>
      <c r="D175" s="2" t="str">
        <f>IFERROR(INDEX(Movimientos!$E$2:$E$1998,MATCH(A175&amp;"ENTRADA",Movimientos!$R$2:$R$1998,0)),"-")</f>
        <v>-</v>
      </c>
      <c r="E175" s="2" t="str">
        <f>IFERROR(INDEX(Movimientos!$F$2:$F$1998,MATCH(A175&amp;"ENTRADA",Movimientos!$R$2:$R$1998,0)),"-")</f>
        <v>-</v>
      </c>
      <c r="F175" s="2" t="str">
        <f>IFERROR(INDEX(Movimientos!$G$2:$G$1998,MATCH(A175&amp;"ENTRADA",Movimientos!$R$2:$R$1998,0)),"-")</f>
        <v>-</v>
      </c>
      <c r="G175" s="2" t="str">
        <f>IFERROR(INDEX(Movimientos!$L$2:$L$1998,MATCH(A175&amp;"ENTRADA",Movimientos!$R$2:$R$1998,0)),"-")</f>
        <v>-</v>
      </c>
      <c r="H175" s="17" t="str">
        <f>IFERROR(IF(INDEX(Movimientos!$M$2:$M$1998,MATCH(A175&amp;"ENTRADA",Movimientos!$R$2:$R$1998,0))=0,"S/D",INDEX(Movimientos!$M$2:$M$1998,MATCH(A175&amp;"ENTRADA",Movimientos!$R$2:$R$1998,0))),"S/D")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 ht="14.25">
      <c r="A176" s="16" t="s">
        <v>2341</v>
      </c>
      <c r="B176" s="2" t="str">
        <f>IFERROR(INDEX(Movimientos!$C$2:$C$1998,MATCH(A176&amp;"ENTRADA",Movimientos!$R$2:$R$1998,0)),"-")</f>
        <v>-</v>
      </c>
      <c r="C176" s="2" t="str">
        <f>IFERROR(INDEX(Movimientos!$D$2:$D$1998,MATCH(A176&amp;"ENTRADA",Movimientos!$R$2:$R$1998,0)),"-")</f>
        <v>-</v>
      </c>
      <c r="D176" s="2" t="str">
        <f>IFERROR(INDEX(Movimientos!$E$2:$E$1998,MATCH(A176&amp;"ENTRADA",Movimientos!$R$2:$R$1998,0)),"-")</f>
        <v>-</v>
      </c>
      <c r="E176" s="2" t="str">
        <f>IFERROR(INDEX(Movimientos!$F$2:$F$1998,MATCH(A176&amp;"ENTRADA",Movimientos!$R$2:$R$1998,0)),"-")</f>
        <v>-</v>
      </c>
      <c r="F176" s="2" t="str">
        <f>IFERROR(INDEX(Movimientos!$G$2:$G$1998,MATCH(A176&amp;"ENTRADA",Movimientos!$R$2:$R$1998,0)),"-")</f>
        <v>-</v>
      </c>
      <c r="G176" s="2" t="str">
        <f>IFERROR(INDEX(Movimientos!$L$2:$L$1998,MATCH(A176&amp;"ENTRADA",Movimientos!$R$2:$R$1998,0)),"-")</f>
        <v>-</v>
      </c>
      <c r="H176" s="17" t="str">
        <f>IFERROR(IF(INDEX(Movimientos!$M$2:$M$1998,MATCH(A176&amp;"ENTRADA",Movimientos!$R$2:$R$1998,0))=0,"S/D",INDEX(Movimientos!$M$2:$M$1998,MATCH(A176&amp;"ENTRADA",Movimientos!$R$2:$R$1998,0))),"S/D")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 ht="14.25">
      <c r="A177" s="16" t="s">
        <v>2342</v>
      </c>
      <c r="B177" s="2" t="str">
        <f>IFERROR(INDEX(Movimientos!$C$2:$C$1998,MATCH(A177&amp;"ENTRADA",Movimientos!$R$2:$R$1998,0)),"-")</f>
        <v>-</v>
      </c>
      <c r="C177" s="2" t="str">
        <f>IFERROR(INDEX(Movimientos!$D$2:$D$1998,MATCH(A177&amp;"ENTRADA",Movimientos!$R$2:$R$1998,0)),"-")</f>
        <v>-</v>
      </c>
      <c r="D177" s="2" t="str">
        <f>IFERROR(INDEX(Movimientos!$E$2:$E$1998,MATCH(A177&amp;"ENTRADA",Movimientos!$R$2:$R$1998,0)),"-")</f>
        <v>-</v>
      </c>
      <c r="E177" s="2" t="str">
        <f>IFERROR(INDEX(Movimientos!$F$2:$F$1998,MATCH(A177&amp;"ENTRADA",Movimientos!$R$2:$R$1998,0)),"-")</f>
        <v>-</v>
      </c>
      <c r="F177" s="2" t="str">
        <f>IFERROR(INDEX(Movimientos!$G$2:$G$1998,MATCH(A177&amp;"ENTRADA",Movimientos!$R$2:$R$1998,0)),"-")</f>
        <v>-</v>
      </c>
      <c r="G177" s="2" t="str">
        <f>IFERROR(INDEX(Movimientos!$L$2:$L$1998,MATCH(A177&amp;"ENTRADA",Movimientos!$R$2:$R$1998,0)),"-")</f>
        <v>-</v>
      </c>
      <c r="H177" s="17" t="str">
        <f>IFERROR(IF(INDEX(Movimientos!$M$2:$M$1998,MATCH(A177&amp;"ENTRADA",Movimientos!$R$2:$R$1998,0))=0,"S/D",INDEX(Movimientos!$M$2:$M$1998,MATCH(A177&amp;"ENTRADA",Movimientos!$R$2:$R$1998,0))),"S/D")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 ht="14.25">
      <c r="A178" s="16" t="s">
        <v>2343</v>
      </c>
      <c r="B178" s="2" t="str">
        <f>IFERROR(INDEX(Movimientos!$C$2:$C$1998,MATCH(A178&amp;"ENTRADA",Movimientos!$R$2:$R$1998,0)),"-")</f>
        <v>-</v>
      </c>
      <c r="C178" s="2" t="str">
        <f>IFERROR(INDEX(Movimientos!$D$2:$D$1998,MATCH(A178&amp;"ENTRADA",Movimientos!$R$2:$R$1998,0)),"-")</f>
        <v>-</v>
      </c>
      <c r="D178" s="2" t="str">
        <f>IFERROR(INDEX(Movimientos!$E$2:$E$1998,MATCH(A178&amp;"ENTRADA",Movimientos!$R$2:$R$1998,0)),"-")</f>
        <v>-</v>
      </c>
      <c r="E178" s="2" t="str">
        <f>IFERROR(INDEX(Movimientos!$F$2:$F$1998,MATCH(A178&amp;"ENTRADA",Movimientos!$R$2:$R$1998,0)),"-")</f>
        <v>-</v>
      </c>
      <c r="F178" s="2" t="str">
        <f>IFERROR(INDEX(Movimientos!$G$2:$G$1998,MATCH(A178&amp;"ENTRADA",Movimientos!$R$2:$R$1998,0)),"-")</f>
        <v>-</v>
      </c>
      <c r="G178" s="2" t="str">
        <f>IFERROR(INDEX(Movimientos!$L$2:$L$1998,MATCH(A178&amp;"ENTRADA",Movimientos!$R$2:$R$1998,0)),"-")</f>
        <v>-</v>
      </c>
      <c r="H178" s="17" t="str">
        <f>IFERROR(IF(INDEX(Movimientos!$M$2:$M$1998,MATCH(A178&amp;"ENTRADA",Movimientos!$R$2:$R$1998,0))=0,"S/D",INDEX(Movimientos!$M$2:$M$1998,MATCH(A178&amp;"ENTRADA",Movimientos!$R$2:$R$1998,0))),"S/D")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 ht="14.25">
      <c r="A179" s="16" t="s">
        <v>2344</v>
      </c>
      <c r="B179" s="2" t="str">
        <f>IFERROR(INDEX(Movimientos!$C$2:$C$1998,MATCH(A179&amp;"ENTRADA",Movimientos!$R$2:$R$1998,0)),"-")</f>
        <v>-</v>
      </c>
      <c r="C179" s="2" t="str">
        <f>IFERROR(INDEX(Movimientos!$D$2:$D$1998,MATCH(A179&amp;"ENTRADA",Movimientos!$R$2:$R$1998,0)),"-")</f>
        <v>-</v>
      </c>
      <c r="D179" s="2" t="str">
        <f>IFERROR(INDEX(Movimientos!$E$2:$E$1998,MATCH(A179&amp;"ENTRADA",Movimientos!$R$2:$R$1998,0)),"-")</f>
        <v>-</v>
      </c>
      <c r="E179" s="2" t="str">
        <f>IFERROR(INDEX(Movimientos!$F$2:$F$1998,MATCH(A179&amp;"ENTRADA",Movimientos!$R$2:$R$1998,0)),"-")</f>
        <v>-</v>
      </c>
      <c r="F179" s="2" t="str">
        <f>IFERROR(INDEX(Movimientos!$G$2:$G$1998,MATCH(A179&amp;"ENTRADA",Movimientos!$R$2:$R$1998,0)),"-")</f>
        <v>-</v>
      </c>
      <c r="G179" s="2" t="str">
        <f>IFERROR(INDEX(Movimientos!$L$2:$L$1998,MATCH(A179&amp;"ENTRADA",Movimientos!$R$2:$R$1998,0)),"-")</f>
        <v>-</v>
      </c>
      <c r="H179" s="17" t="str">
        <f>IFERROR(IF(INDEX(Movimientos!$M$2:$M$1998,MATCH(A179&amp;"ENTRADA",Movimientos!$R$2:$R$1998,0))=0,"S/D",INDEX(Movimientos!$M$2:$M$1998,MATCH(A179&amp;"ENTRADA",Movimientos!$R$2:$R$1998,0))),"S/D")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 ht="14.25">
      <c r="A180" s="16" t="s">
        <v>2345</v>
      </c>
      <c r="B180" s="2" t="str">
        <f>IFERROR(INDEX(Movimientos!$C$2:$C$1998,MATCH(A180&amp;"ENTRADA",Movimientos!$R$2:$R$1998,0)),"-")</f>
        <v>-</v>
      </c>
      <c r="C180" s="2" t="str">
        <f>IFERROR(INDEX(Movimientos!$D$2:$D$1998,MATCH(A180&amp;"ENTRADA",Movimientos!$R$2:$R$1998,0)),"-")</f>
        <v>-</v>
      </c>
      <c r="D180" s="2" t="str">
        <f>IFERROR(INDEX(Movimientos!$E$2:$E$1998,MATCH(A180&amp;"ENTRADA",Movimientos!$R$2:$R$1998,0)),"-")</f>
        <v>-</v>
      </c>
      <c r="E180" s="2" t="str">
        <f>IFERROR(INDEX(Movimientos!$F$2:$F$1998,MATCH(A180&amp;"ENTRADA",Movimientos!$R$2:$R$1998,0)),"-")</f>
        <v>-</v>
      </c>
      <c r="F180" s="2" t="str">
        <f>IFERROR(INDEX(Movimientos!$G$2:$G$1998,MATCH(A180&amp;"ENTRADA",Movimientos!$R$2:$R$1998,0)),"-")</f>
        <v>-</v>
      </c>
      <c r="G180" s="2" t="str">
        <f>IFERROR(INDEX(Movimientos!$L$2:$L$1998,MATCH(A180&amp;"ENTRADA",Movimientos!$R$2:$R$1998,0)),"-")</f>
        <v>-</v>
      </c>
      <c r="H180" s="17" t="str">
        <f>IFERROR(IF(INDEX(Movimientos!$M$2:$M$1998,MATCH(A180&amp;"ENTRADA",Movimientos!$R$2:$R$1998,0))=0,"S/D",INDEX(Movimientos!$M$2:$M$1998,MATCH(A180&amp;"ENTRADA",Movimientos!$R$2:$R$1998,0))),"S/D")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 ht="14.25">
      <c r="A181" s="16" t="s">
        <v>2346</v>
      </c>
      <c r="B181" s="2" t="str">
        <f>IFERROR(INDEX(Movimientos!$C$2:$C$1998,MATCH(A181&amp;"ENTRADA",Movimientos!$R$2:$R$1998,0)),"-")</f>
        <v>-</v>
      </c>
      <c r="C181" s="2" t="str">
        <f>IFERROR(INDEX(Movimientos!$D$2:$D$1998,MATCH(A181&amp;"ENTRADA",Movimientos!$R$2:$R$1998,0)),"-")</f>
        <v>-</v>
      </c>
      <c r="D181" s="2" t="str">
        <f>IFERROR(INDEX(Movimientos!$E$2:$E$1998,MATCH(A181&amp;"ENTRADA",Movimientos!$R$2:$R$1998,0)),"-")</f>
        <v>-</v>
      </c>
      <c r="E181" s="2" t="str">
        <f>IFERROR(INDEX(Movimientos!$F$2:$F$1998,MATCH(A181&amp;"ENTRADA",Movimientos!$R$2:$R$1998,0)),"-")</f>
        <v>-</v>
      </c>
      <c r="F181" s="2" t="str">
        <f>IFERROR(INDEX(Movimientos!$G$2:$G$1998,MATCH(A181&amp;"ENTRADA",Movimientos!$R$2:$R$1998,0)),"-")</f>
        <v>-</v>
      </c>
      <c r="G181" s="2" t="str">
        <f>IFERROR(INDEX(Movimientos!$L$2:$L$1998,MATCH(A181&amp;"ENTRADA",Movimientos!$R$2:$R$1998,0)),"-")</f>
        <v>-</v>
      </c>
      <c r="H181" s="17" t="str">
        <f>IFERROR(IF(INDEX(Movimientos!$M$2:$M$1998,MATCH(A181&amp;"ENTRADA",Movimientos!$R$2:$R$1998,0))=0,"S/D",INDEX(Movimientos!$M$2:$M$1998,MATCH(A181&amp;"ENTRADA",Movimientos!$R$2:$R$1998,0))),"S/D")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 ht="14.25">
      <c r="A182" s="16" t="s">
        <v>2347</v>
      </c>
      <c r="B182" s="2" t="str">
        <f>IFERROR(INDEX(Movimientos!$C$2:$C$1998,MATCH(A182&amp;"ENTRADA",Movimientos!$R$2:$R$1998,0)),"-")</f>
        <v>-</v>
      </c>
      <c r="C182" s="2" t="str">
        <f>IFERROR(INDEX(Movimientos!$D$2:$D$1998,MATCH(A182&amp;"ENTRADA",Movimientos!$R$2:$R$1998,0)),"-")</f>
        <v>-</v>
      </c>
      <c r="D182" s="2" t="str">
        <f>IFERROR(INDEX(Movimientos!$E$2:$E$1998,MATCH(A182&amp;"ENTRADA",Movimientos!$R$2:$R$1998,0)),"-")</f>
        <v>-</v>
      </c>
      <c r="E182" s="2" t="str">
        <f>IFERROR(INDEX(Movimientos!$F$2:$F$1998,MATCH(A182&amp;"ENTRADA",Movimientos!$R$2:$R$1998,0)),"-")</f>
        <v>-</v>
      </c>
      <c r="F182" s="2" t="str">
        <f>IFERROR(INDEX(Movimientos!$G$2:$G$1998,MATCH(A182&amp;"ENTRADA",Movimientos!$R$2:$R$1998,0)),"-")</f>
        <v>-</v>
      </c>
      <c r="G182" s="2" t="str">
        <f>IFERROR(INDEX(Movimientos!$L$2:$L$1998,MATCH(A182&amp;"ENTRADA",Movimientos!$R$2:$R$1998,0)),"-")</f>
        <v>-</v>
      </c>
      <c r="H182" s="17" t="str">
        <f>IFERROR(IF(INDEX(Movimientos!$M$2:$M$1998,MATCH(A182&amp;"ENTRADA",Movimientos!$R$2:$R$1998,0))=0,"S/D",INDEX(Movimientos!$M$2:$M$1998,MATCH(A182&amp;"ENTRADA",Movimientos!$R$2:$R$1998,0))),"S/D")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 ht="14.25">
      <c r="A183" s="16" t="s">
        <v>2348</v>
      </c>
      <c r="B183" s="2" t="str">
        <f>IFERROR(INDEX(Movimientos!$C$2:$C$1998,MATCH(A183&amp;"ENTRADA",Movimientos!$R$2:$R$1998,0)),"-")</f>
        <v>-</v>
      </c>
      <c r="C183" s="2" t="str">
        <f>IFERROR(INDEX(Movimientos!$D$2:$D$1998,MATCH(A183&amp;"ENTRADA",Movimientos!$R$2:$R$1998,0)),"-")</f>
        <v>-</v>
      </c>
      <c r="D183" s="2" t="str">
        <f>IFERROR(INDEX(Movimientos!$E$2:$E$1998,MATCH(A183&amp;"ENTRADA",Movimientos!$R$2:$R$1998,0)),"-")</f>
        <v>-</v>
      </c>
      <c r="E183" s="2" t="str">
        <f>IFERROR(INDEX(Movimientos!$F$2:$F$1998,MATCH(A183&amp;"ENTRADA",Movimientos!$R$2:$R$1998,0)),"-")</f>
        <v>-</v>
      </c>
      <c r="F183" s="2" t="str">
        <f>IFERROR(INDEX(Movimientos!$G$2:$G$1998,MATCH(A183&amp;"ENTRADA",Movimientos!$R$2:$R$1998,0)),"-")</f>
        <v>-</v>
      </c>
      <c r="G183" s="2" t="str">
        <f>IFERROR(INDEX(Movimientos!$L$2:$L$1998,MATCH(A183&amp;"ENTRADA",Movimientos!$R$2:$R$1998,0)),"-")</f>
        <v>-</v>
      </c>
      <c r="H183" s="17" t="str">
        <f>IFERROR(IF(INDEX(Movimientos!$M$2:$M$1998,MATCH(A183&amp;"ENTRADA",Movimientos!$R$2:$R$1998,0))=0,"S/D",INDEX(Movimientos!$M$2:$M$1998,MATCH(A183&amp;"ENTRADA",Movimientos!$R$2:$R$1998,0))),"S/D")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 ht="14.25">
      <c r="A184" s="16" t="s">
        <v>2349</v>
      </c>
      <c r="B184" s="2" t="str">
        <f>IFERROR(INDEX(Movimientos!$C$2:$C$1998,MATCH(A184&amp;"ENTRADA",Movimientos!$R$2:$R$1998,0)),"-")</f>
        <v>-</v>
      </c>
      <c r="C184" s="2" t="str">
        <f>IFERROR(INDEX(Movimientos!$D$2:$D$1998,MATCH(A184&amp;"ENTRADA",Movimientos!$R$2:$R$1998,0)),"-")</f>
        <v>-</v>
      </c>
      <c r="D184" s="2" t="str">
        <f>IFERROR(INDEX(Movimientos!$E$2:$E$1998,MATCH(A184&amp;"ENTRADA",Movimientos!$R$2:$R$1998,0)),"-")</f>
        <v>-</v>
      </c>
      <c r="E184" s="2" t="str">
        <f>IFERROR(INDEX(Movimientos!$F$2:$F$1998,MATCH(A184&amp;"ENTRADA",Movimientos!$R$2:$R$1998,0)),"-")</f>
        <v>-</v>
      </c>
      <c r="F184" s="2" t="str">
        <f>IFERROR(INDEX(Movimientos!$G$2:$G$1998,MATCH(A184&amp;"ENTRADA",Movimientos!$R$2:$R$1998,0)),"-")</f>
        <v>-</v>
      </c>
      <c r="G184" s="2" t="str">
        <f>IFERROR(INDEX(Movimientos!$L$2:$L$1998,MATCH(A184&amp;"ENTRADA",Movimientos!$R$2:$R$1998,0)),"-")</f>
        <v>-</v>
      </c>
      <c r="H184" s="17" t="str">
        <f>IFERROR(IF(INDEX(Movimientos!$M$2:$M$1998,MATCH(A184&amp;"ENTRADA",Movimientos!$R$2:$R$1998,0))=0,"S/D",INDEX(Movimientos!$M$2:$M$1998,MATCH(A184&amp;"ENTRADA",Movimientos!$R$2:$R$1998,0))),"S/D")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 ht="14.25">
      <c r="A185" s="16" t="s">
        <v>2350</v>
      </c>
      <c r="B185" s="2" t="str">
        <f>IFERROR(INDEX(Movimientos!$C$2:$C$1998,MATCH(A185&amp;"ENTRADA",Movimientos!$R$2:$R$1998,0)),"-")</f>
        <v>-</v>
      </c>
      <c r="C185" s="2" t="str">
        <f>IFERROR(INDEX(Movimientos!$D$2:$D$1998,MATCH(A185&amp;"ENTRADA",Movimientos!$R$2:$R$1998,0)),"-")</f>
        <v>-</v>
      </c>
      <c r="D185" s="2" t="str">
        <f>IFERROR(INDEX(Movimientos!$E$2:$E$1998,MATCH(A185&amp;"ENTRADA",Movimientos!$R$2:$R$1998,0)),"-")</f>
        <v>-</v>
      </c>
      <c r="E185" s="2" t="str">
        <f>IFERROR(INDEX(Movimientos!$F$2:$F$1998,MATCH(A185&amp;"ENTRADA",Movimientos!$R$2:$R$1998,0)),"-")</f>
        <v>-</v>
      </c>
      <c r="F185" s="2" t="str">
        <f>IFERROR(INDEX(Movimientos!$G$2:$G$1998,MATCH(A185&amp;"ENTRADA",Movimientos!$R$2:$R$1998,0)),"-")</f>
        <v>-</v>
      </c>
      <c r="G185" s="2" t="str">
        <f>IFERROR(INDEX(Movimientos!$L$2:$L$1998,MATCH(A185&amp;"ENTRADA",Movimientos!$R$2:$R$1998,0)),"-")</f>
        <v>-</v>
      </c>
      <c r="H185" s="17" t="str">
        <f>IFERROR(IF(INDEX(Movimientos!$M$2:$M$1998,MATCH(A185&amp;"ENTRADA",Movimientos!$R$2:$R$1998,0))=0,"S/D",INDEX(Movimientos!$M$2:$M$1998,MATCH(A185&amp;"ENTRADA",Movimientos!$R$2:$R$1998,0))),"S/D")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 ht="14.25">
      <c r="A186" s="16" t="s">
        <v>2351</v>
      </c>
      <c r="B186" s="2" t="str">
        <f>IFERROR(INDEX(Movimientos!$C$2:$C$1998,MATCH(A186&amp;"ENTRADA",Movimientos!$R$2:$R$1998,0)),"-")</f>
        <v>-</v>
      </c>
      <c r="C186" s="2" t="str">
        <f>IFERROR(INDEX(Movimientos!$D$2:$D$1998,MATCH(A186&amp;"ENTRADA",Movimientos!$R$2:$R$1998,0)),"-")</f>
        <v>-</v>
      </c>
      <c r="D186" s="2" t="str">
        <f>IFERROR(INDEX(Movimientos!$E$2:$E$1998,MATCH(A186&amp;"ENTRADA",Movimientos!$R$2:$R$1998,0)),"-")</f>
        <v>-</v>
      </c>
      <c r="E186" s="2" t="str">
        <f>IFERROR(INDEX(Movimientos!$F$2:$F$1998,MATCH(A186&amp;"ENTRADA",Movimientos!$R$2:$R$1998,0)),"-")</f>
        <v>-</v>
      </c>
      <c r="F186" s="2" t="str">
        <f>IFERROR(INDEX(Movimientos!$G$2:$G$1998,MATCH(A186&amp;"ENTRADA",Movimientos!$R$2:$R$1998,0)),"-")</f>
        <v>-</v>
      </c>
      <c r="G186" s="2" t="str">
        <f>IFERROR(INDEX(Movimientos!$L$2:$L$1998,MATCH(A186&amp;"ENTRADA",Movimientos!$R$2:$R$1998,0)),"-")</f>
        <v>-</v>
      </c>
      <c r="H186" s="17" t="str">
        <f>IFERROR(IF(INDEX(Movimientos!$M$2:$M$1998,MATCH(A186&amp;"ENTRADA",Movimientos!$R$2:$R$1998,0))=0,"S/D",INDEX(Movimientos!$M$2:$M$1998,MATCH(A186&amp;"ENTRADA",Movimientos!$R$2:$R$1998,0))),"S/D")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 ht="14.25">
      <c r="A187" s="16" t="s">
        <v>2352</v>
      </c>
      <c r="B187" s="2" t="str">
        <f>IFERROR(INDEX(Movimientos!$C$2:$C$1998,MATCH(A187&amp;"ENTRADA",Movimientos!$R$2:$R$1998,0)),"-")</f>
        <v>-</v>
      </c>
      <c r="C187" s="2" t="str">
        <f>IFERROR(INDEX(Movimientos!$D$2:$D$1998,MATCH(A187&amp;"ENTRADA",Movimientos!$R$2:$R$1998,0)),"-")</f>
        <v>-</v>
      </c>
      <c r="D187" s="2" t="str">
        <f>IFERROR(INDEX(Movimientos!$E$2:$E$1998,MATCH(A187&amp;"ENTRADA",Movimientos!$R$2:$R$1998,0)),"-")</f>
        <v>-</v>
      </c>
      <c r="E187" s="2" t="str">
        <f>IFERROR(INDEX(Movimientos!$F$2:$F$1998,MATCH(A187&amp;"ENTRADA",Movimientos!$R$2:$R$1998,0)),"-")</f>
        <v>-</v>
      </c>
      <c r="F187" s="2" t="str">
        <f>IFERROR(INDEX(Movimientos!$G$2:$G$1998,MATCH(A187&amp;"ENTRADA",Movimientos!$R$2:$R$1998,0)),"-")</f>
        <v>-</v>
      </c>
      <c r="G187" s="2" t="str">
        <f>IFERROR(INDEX(Movimientos!$L$2:$L$1998,MATCH(A187&amp;"ENTRADA",Movimientos!$R$2:$R$1998,0)),"-")</f>
        <v>-</v>
      </c>
      <c r="H187" s="17" t="str">
        <f>IFERROR(IF(INDEX(Movimientos!$M$2:$M$1998,MATCH(A187&amp;"ENTRADA",Movimientos!$R$2:$R$1998,0))=0,"S/D",INDEX(Movimientos!$M$2:$M$1998,MATCH(A187&amp;"ENTRADA",Movimientos!$R$2:$R$1998,0))),"S/D")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 ht="14.25">
      <c r="A188" s="16" t="s">
        <v>2353</v>
      </c>
      <c r="B188" s="2" t="str">
        <f>IFERROR(INDEX(Movimientos!$C$2:$C$1998,MATCH(A188&amp;"ENTRADA",Movimientos!$R$2:$R$1998,0)),"-")</f>
        <v>-</v>
      </c>
      <c r="C188" s="2" t="str">
        <f>IFERROR(INDEX(Movimientos!$D$2:$D$1998,MATCH(A188&amp;"ENTRADA",Movimientos!$R$2:$R$1998,0)),"-")</f>
        <v>-</v>
      </c>
      <c r="D188" s="2" t="str">
        <f>IFERROR(INDEX(Movimientos!$E$2:$E$1998,MATCH(A188&amp;"ENTRADA",Movimientos!$R$2:$R$1998,0)),"-")</f>
        <v>-</v>
      </c>
      <c r="E188" s="2" t="str">
        <f>IFERROR(INDEX(Movimientos!$F$2:$F$1998,MATCH(A188&amp;"ENTRADA",Movimientos!$R$2:$R$1998,0)),"-")</f>
        <v>-</v>
      </c>
      <c r="F188" s="2" t="str">
        <f>IFERROR(INDEX(Movimientos!$G$2:$G$1998,MATCH(A188&amp;"ENTRADA",Movimientos!$R$2:$R$1998,0)),"-")</f>
        <v>-</v>
      </c>
      <c r="G188" s="2" t="str">
        <f>IFERROR(INDEX(Movimientos!$L$2:$L$1998,MATCH(A188&amp;"ENTRADA",Movimientos!$R$2:$R$1998,0)),"-")</f>
        <v>-</v>
      </c>
      <c r="H188" s="17" t="str">
        <f>IFERROR(IF(INDEX(Movimientos!$M$2:$M$1998,MATCH(A188&amp;"ENTRADA",Movimientos!$R$2:$R$1998,0))=0,"S/D",INDEX(Movimientos!$M$2:$M$1998,MATCH(A188&amp;"ENTRADA",Movimientos!$R$2:$R$1998,0))),"S/D")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 ht="14.25">
      <c r="A189" s="16" t="s">
        <v>2354</v>
      </c>
      <c r="B189" s="2" t="str">
        <f>IFERROR(INDEX(Movimientos!$C$2:$C$1998,MATCH(A189&amp;"ENTRADA",Movimientos!$R$2:$R$1998,0)),"-")</f>
        <v>-</v>
      </c>
      <c r="C189" s="2" t="str">
        <f>IFERROR(INDEX(Movimientos!$D$2:$D$1998,MATCH(A189&amp;"ENTRADA",Movimientos!$R$2:$R$1998,0)),"-")</f>
        <v>-</v>
      </c>
      <c r="D189" s="2" t="str">
        <f>IFERROR(INDEX(Movimientos!$E$2:$E$1998,MATCH(A189&amp;"ENTRADA",Movimientos!$R$2:$R$1998,0)),"-")</f>
        <v>-</v>
      </c>
      <c r="E189" s="2" t="str">
        <f>IFERROR(INDEX(Movimientos!$F$2:$F$1998,MATCH(A189&amp;"ENTRADA",Movimientos!$R$2:$R$1998,0)),"-")</f>
        <v>-</v>
      </c>
      <c r="F189" s="2" t="str">
        <f>IFERROR(INDEX(Movimientos!$G$2:$G$1998,MATCH(A189&amp;"ENTRADA",Movimientos!$R$2:$R$1998,0)),"-")</f>
        <v>-</v>
      </c>
      <c r="G189" s="2" t="str">
        <f>IFERROR(INDEX(Movimientos!$L$2:$L$1998,MATCH(A189&amp;"ENTRADA",Movimientos!$R$2:$R$1998,0)),"-")</f>
        <v>-</v>
      </c>
      <c r="H189" s="17" t="str">
        <f>IFERROR(IF(INDEX(Movimientos!$M$2:$M$1998,MATCH(A189&amp;"ENTRADA",Movimientos!$R$2:$R$1998,0))=0,"S/D",INDEX(Movimientos!$M$2:$M$1998,MATCH(A189&amp;"ENTRADA",Movimientos!$R$2:$R$1998,0))),"S/D")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 ht="14.25">
      <c r="A190" s="16" t="s">
        <v>2355</v>
      </c>
      <c r="B190" s="2" t="str">
        <f>IFERROR(INDEX(Movimientos!$C$2:$C$1998,MATCH(A190&amp;"ENTRADA",Movimientos!$R$2:$R$1998,0)),"-")</f>
        <v>-</v>
      </c>
      <c r="C190" s="2" t="str">
        <f>IFERROR(INDEX(Movimientos!$D$2:$D$1998,MATCH(A190&amp;"ENTRADA",Movimientos!$R$2:$R$1998,0)),"-")</f>
        <v>-</v>
      </c>
      <c r="D190" s="2" t="str">
        <f>IFERROR(INDEX(Movimientos!$E$2:$E$1998,MATCH(A190&amp;"ENTRADA",Movimientos!$R$2:$R$1998,0)),"-")</f>
        <v>-</v>
      </c>
      <c r="E190" s="2" t="str">
        <f>IFERROR(INDEX(Movimientos!$F$2:$F$1998,MATCH(A190&amp;"ENTRADA",Movimientos!$R$2:$R$1998,0)),"-")</f>
        <v>-</v>
      </c>
      <c r="F190" s="2" t="str">
        <f>IFERROR(INDEX(Movimientos!$G$2:$G$1998,MATCH(A190&amp;"ENTRADA",Movimientos!$R$2:$R$1998,0)),"-")</f>
        <v>-</v>
      </c>
      <c r="G190" s="2" t="str">
        <f>IFERROR(INDEX(Movimientos!$L$2:$L$1998,MATCH(A190&amp;"ENTRADA",Movimientos!$R$2:$R$1998,0)),"-")</f>
        <v>-</v>
      </c>
      <c r="H190" s="17" t="str">
        <f>IFERROR(IF(INDEX(Movimientos!$M$2:$M$1998,MATCH(A190&amp;"ENTRADA",Movimientos!$R$2:$R$1998,0))=0,"S/D",INDEX(Movimientos!$M$2:$M$1998,MATCH(A190&amp;"ENTRADA",Movimientos!$R$2:$R$1998,0))),"S/D")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 ht="14.25">
      <c r="A191" s="16" t="s">
        <v>2356</v>
      </c>
      <c r="B191" s="2" t="str">
        <f>IFERROR(INDEX(Movimientos!$C$2:$C$1998,MATCH(A191&amp;"ENTRADA",Movimientos!$R$2:$R$1998,0)),"-")</f>
        <v>-</v>
      </c>
      <c r="C191" s="2" t="str">
        <f>IFERROR(INDEX(Movimientos!$D$2:$D$1998,MATCH(A191&amp;"ENTRADA",Movimientos!$R$2:$R$1998,0)),"-")</f>
        <v>-</v>
      </c>
      <c r="D191" s="2" t="str">
        <f>IFERROR(INDEX(Movimientos!$E$2:$E$1998,MATCH(A191&amp;"ENTRADA",Movimientos!$R$2:$R$1998,0)),"-")</f>
        <v>-</v>
      </c>
      <c r="E191" s="2" t="str">
        <f>IFERROR(INDEX(Movimientos!$F$2:$F$1998,MATCH(A191&amp;"ENTRADA",Movimientos!$R$2:$R$1998,0)),"-")</f>
        <v>-</v>
      </c>
      <c r="F191" s="2" t="str">
        <f>IFERROR(INDEX(Movimientos!$G$2:$G$1998,MATCH(A191&amp;"ENTRADA",Movimientos!$R$2:$R$1998,0)),"-")</f>
        <v>-</v>
      </c>
      <c r="G191" s="2" t="str">
        <f>IFERROR(INDEX(Movimientos!$L$2:$L$1998,MATCH(A191&amp;"ENTRADA",Movimientos!$R$2:$R$1998,0)),"-")</f>
        <v>-</v>
      </c>
      <c r="H191" s="17" t="str">
        <f>IFERROR(IF(INDEX(Movimientos!$M$2:$M$1998,MATCH(A191&amp;"ENTRADA",Movimientos!$R$2:$R$1998,0))=0,"S/D",INDEX(Movimientos!$M$2:$M$1998,MATCH(A191&amp;"ENTRADA",Movimientos!$R$2:$R$1998,0))),"S/D")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 ht="14.25">
      <c r="A192" s="16" t="s">
        <v>2357</v>
      </c>
      <c r="B192" s="2" t="str">
        <f>IFERROR(INDEX(Movimientos!$C$2:$C$1998,MATCH(A192&amp;"ENTRADA",Movimientos!$R$2:$R$1998,0)),"-")</f>
        <v>-</v>
      </c>
      <c r="C192" s="2" t="str">
        <f>IFERROR(INDEX(Movimientos!$D$2:$D$1998,MATCH(A192&amp;"ENTRADA",Movimientos!$R$2:$R$1998,0)),"-")</f>
        <v>-</v>
      </c>
      <c r="D192" s="2" t="str">
        <f>IFERROR(INDEX(Movimientos!$E$2:$E$1998,MATCH(A192&amp;"ENTRADA",Movimientos!$R$2:$R$1998,0)),"-")</f>
        <v>-</v>
      </c>
      <c r="E192" s="2" t="str">
        <f>IFERROR(INDEX(Movimientos!$F$2:$F$1998,MATCH(A192&amp;"ENTRADA",Movimientos!$R$2:$R$1998,0)),"-")</f>
        <v>-</v>
      </c>
      <c r="F192" s="2" t="str">
        <f>IFERROR(INDEX(Movimientos!$G$2:$G$1998,MATCH(A192&amp;"ENTRADA",Movimientos!$R$2:$R$1998,0)),"-")</f>
        <v>-</v>
      </c>
      <c r="G192" s="2" t="str">
        <f>IFERROR(INDEX(Movimientos!$L$2:$L$1998,MATCH(A192&amp;"ENTRADA",Movimientos!$R$2:$R$1998,0)),"-")</f>
        <v>-</v>
      </c>
      <c r="H192" s="17" t="str">
        <f>IFERROR(IF(INDEX(Movimientos!$M$2:$M$1998,MATCH(A192&amp;"ENTRADA",Movimientos!$R$2:$R$1998,0))=0,"S/D",INDEX(Movimientos!$M$2:$M$1998,MATCH(A192&amp;"ENTRADA",Movimientos!$R$2:$R$1998,0))),"S/D")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 ht="14.25">
      <c r="A193" s="16" t="s">
        <v>2358</v>
      </c>
      <c r="B193" s="2" t="str">
        <f>IFERROR(INDEX(Movimientos!$C$2:$C$1998,MATCH(A193&amp;"ENTRADA",Movimientos!$R$2:$R$1998,0)),"-")</f>
        <v>-</v>
      </c>
      <c r="C193" s="2" t="str">
        <f>IFERROR(INDEX(Movimientos!$D$2:$D$1998,MATCH(A193&amp;"ENTRADA",Movimientos!$R$2:$R$1998,0)),"-")</f>
        <v>-</v>
      </c>
      <c r="D193" s="2" t="str">
        <f>IFERROR(INDEX(Movimientos!$E$2:$E$1998,MATCH(A193&amp;"ENTRADA",Movimientos!$R$2:$R$1998,0)),"-")</f>
        <v>-</v>
      </c>
      <c r="E193" s="2" t="str">
        <f>IFERROR(INDEX(Movimientos!$F$2:$F$1998,MATCH(A193&amp;"ENTRADA",Movimientos!$R$2:$R$1998,0)),"-")</f>
        <v>-</v>
      </c>
      <c r="F193" s="2" t="str">
        <f>IFERROR(INDEX(Movimientos!$G$2:$G$1998,MATCH(A193&amp;"ENTRADA",Movimientos!$R$2:$R$1998,0)),"-")</f>
        <v>-</v>
      </c>
      <c r="G193" s="2" t="str">
        <f>IFERROR(INDEX(Movimientos!$L$2:$L$1998,MATCH(A193&amp;"ENTRADA",Movimientos!$R$2:$R$1998,0)),"-")</f>
        <v>-</v>
      </c>
      <c r="H193" s="17" t="str">
        <f>IFERROR(IF(INDEX(Movimientos!$M$2:$M$1998,MATCH(A193&amp;"ENTRADA",Movimientos!$R$2:$R$1998,0))=0,"S/D",INDEX(Movimientos!$M$2:$M$1998,MATCH(A193&amp;"ENTRADA",Movimientos!$R$2:$R$1998,0))),"S/D")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 ht="14.25">
      <c r="A194" s="16" t="s">
        <v>2359</v>
      </c>
      <c r="B194" s="2" t="str">
        <f>IFERROR(INDEX(Movimientos!$C$2:$C$1998,MATCH(A194&amp;"ENTRADA",Movimientos!$R$2:$R$1998,0)),"-")</f>
        <v>-</v>
      </c>
      <c r="C194" s="2" t="str">
        <f>IFERROR(INDEX(Movimientos!$D$2:$D$1998,MATCH(A194&amp;"ENTRADA",Movimientos!$R$2:$R$1998,0)),"-")</f>
        <v>-</v>
      </c>
      <c r="D194" s="2" t="str">
        <f>IFERROR(INDEX(Movimientos!$E$2:$E$1998,MATCH(A194&amp;"ENTRADA",Movimientos!$R$2:$R$1998,0)),"-")</f>
        <v>-</v>
      </c>
      <c r="E194" s="2" t="str">
        <f>IFERROR(INDEX(Movimientos!$F$2:$F$1998,MATCH(A194&amp;"ENTRADA",Movimientos!$R$2:$R$1998,0)),"-")</f>
        <v>-</v>
      </c>
      <c r="F194" s="2" t="str">
        <f>IFERROR(INDEX(Movimientos!$G$2:$G$1998,MATCH(A194&amp;"ENTRADA",Movimientos!$R$2:$R$1998,0)),"-")</f>
        <v>-</v>
      </c>
      <c r="G194" s="2" t="str">
        <f>IFERROR(INDEX(Movimientos!$L$2:$L$1998,MATCH(A194&amp;"ENTRADA",Movimientos!$R$2:$R$1998,0)),"-")</f>
        <v>-</v>
      </c>
      <c r="H194" s="17" t="str">
        <f>IFERROR(IF(INDEX(Movimientos!$M$2:$M$1998,MATCH(A194&amp;"ENTRADA",Movimientos!$R$2:$R$1998,0))=0,"S/D",INDEX(Movimientos!$M$2:$M$1998,MATCH(A194&amp;"ENTRADA",Movimientos!$R$2:$R$1998,0))),"S/D")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 ht="14.25">
      <c r="A195" s="16" t="s">
        <v>2360</v>
      </c>
      <c r="B195" s="2" t="str">
        <f>IFERROR(INDEX(Movimientos!$C$2:$C$1998,MATCH(A195&amp;"ENTRADA",Movimientos!$R$2:$R$1998,0)),"-")</f>
        <v>-</v>
      </c>
      <c r="C195" s="2" t="str">
        <f>IFERROR(INDEX(Movimientos!$D$2:$D$1998,MATCH(A195&amp;"ENTRADA",Movimientos!$R$2:$R$1998,0)),"-")</f>
        <v>-</v>
      </c>
      <c r="D195" s="2" t="str">
        <f>IFERROR(INDEX(Movimientos!$E$2:$E$1998,MATCH(A195&amp;"ENTRADA",Movimientos!$R$2:$R$1998,0)),"-")</f>
        <v>-</v>
      </c>
      <c r="E195" s="2" t="str">
        <f>IFERROR(INDEX(Movimientos!$F$2:$F$1998,MATCH(A195&amp;"ENTRADA",Movimientos!$R$2:$R$1998,0)),"-")</f>
        <v>-</v>
      </c>
      <c r="F195" s="2" t="str">
        <f>IFERROR(INDEX(Movimientos!$G$2:$G$1998,MATCH(A195&amp;"ENTRADA",Movimientos!$R$2:$R$1998,0)),"-")</f>
        <v>-</v>
      </c>
      <c r="G195" s="2" t="str">
        <f>IFERROR(INDEX(Movimientos!$L$2:$L$1998,MATCH(A195&amp;"ENTRADA",Movimientos!$R$2:$R$1998,0)),"-")</f>
        <v>-</v>
      </c>
      <c r="H195" s="17" t="str">
        <f>IFERROR(IF(INDEX(Movimientos!$M$2:$M$1998,MATCH(A195&amp;"ENTRADA",Movimientos!$R$2:$R$1998,0))=0,"S/D",INDEX(Movimientos!$M$2:$M$1998,MATCH(A195&amp;"ENTRADA",Movimientos!$R$2:$R$1998,0))),"S/D")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 ht="14.25">
      <c r="A196" s="16" t="s">
        <v>2361</v>
      </c>
      <c r="B196" s="2" t="str">
        <f>IFERROR(INDEX(Movimientos!$C$2:$C$1998,MATCH(A196&amp;"ENTRADA",Movimientos!$R$2:$R$1998,0)),"-")</f>
        <v>-</v>
      </c>
      <c r="C196" s="2" t="str">
        <f>IFERROR(INDEX(Movimientos!$D$2:$D$1998,MATCH(A196&amp;"ENTRADA",Movimientos!$R$2:$R$1998,0)),"-")</f>
        <v>-</v>
      </c>
      <c r="D196" s="2" t="str">
        <f>IFERROR(INDEX(Movimientos!$E$2:$E$1998,MATCH(A196&amp;"ENTRADA",Movimientos!$R$2:$R$1998,0)),"-")</f>
        <v>-</v>
      </c>
      <c r="E196" s="2" t="str">
        <f>IFERROR(INDEX(Movimientos!$F$2:$F$1998,MATCH(A196&amp;"ENTRADA",Movimientos!$R$2:$R$1998,0)),"-")</f>
        <v>-</v>
      </c>
      <c r="F196" s="2" t="str">
        <f>IFERROR(INDEX(Movimientos!$G$2:$G$1998,MATCH(A196&amp;"ENTRADA",Movimientos!$R$2:$R$1998,0)),"-")</f>
        <v>-</v>
      </c>
      <c r="G196" s="2" t="str">
        <f>IFERROR(INDEX(Movimientos!$L$2:$L$1998,MATCH(A196&amp;"ENTRADA",Movimientos!$R$2:$R$1998,0)),"-")</f>
        <v>-</v>
      </c>
      <c r="H196" s="17" t="str">
        <f>IFERROR(IF(INDEX(Movimientos!$M$2:$M$1998,MATCH(A196&amp;"ENTRADA",Movimientos!$R$2:$R$1998,0))=0,"S/D",INDEX(Movimientos!$M$2:$M$1998,MATCH(A196&amp;"ENTRADA",Movimientos!$R$2:$R$1998,0))),"S/D")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 ht="14.25">
      <c r="A197" s="16" t="s">
        <v>2362</v>
      </c>
      <c r="B197" s="2" t="str">
        <f>IFERROR(INDEX(Movimientos!$C$2:$C$1998,MATCH(A197&amp;"ENTRADA",Movimientos!$R$2:$R$1998,0)),"-")</f>
        <v>-</v>
      </c>
      <c r="C197" s="2" t="str">
        <f>IFERROR(INDEX(Movimientos!$D$2:$D$1998,MATCH(A197&amp;"ENTRADA",Movimientos!$R$2:$R$1998,0)),"-")</f>
        <v>-</v>
      </c>
      <c r="D197" s="2" t="str">
        <f>IFERROR(INDEX(Movimientos!$E$2:$E$1998,MATCH(A197&amp;"ENTRADA",Movimientos!$R$2:$R$1998,0)),"-")</f>
        <v>-</v>
      </c>
      <c r="E197" s="2" t="str">
        <f>IFERROR(INDEX(Movimientos!$F$2:$F$1998,MATCH(A197&amp;"ENTRADA",Movimientos!$R$2:$R$1998,0)),"-")</f>
        <v>-</v>
      </c>
      <c r="F197" s="2" t="str">
        <f>IFERROR(INDEX(Movimientos!$G$2:$G$1998,MATCH(A197&amp;"ENTRADA",Movimientos!$R$2:$R$1998,0)),"-")</f>
        <v>-</v>
      </c>
      <c r="G197" s="2" t="str">
        <f>IFERROR(INDEX(Movimientos!$L$2:$L$1998,MATCH(A197&amp;"ENTRADA",Movimientos!$R$2:$R$1998,0)),"-")</f>
        <v>-</v>
      </c>
      <c r="H197" s="17" t="str">
        <f>IFERROR(IF(INDEX(Movimientos!$M$2:$M$1998,MATCH(A197&amp;"ENTRADA",Movimientos!$R$2:$R$1998,0))=0,"S/D",INDEX(Movimientos!$M$2:$M$1998,MATCH(A197&amp;"ENTRADA",Movimientos!$R$2:$R$1998,0))),"S/D")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 ht="14.25">
      <c r="A198" s="16" t="s">
        <v>2363</v>
      </c>
      <c r="B198" s="2" t="str">
        <f>IFERROR(INDEX(Movimientos!$C$2:$C$1998,MATCH(A198&amp;"ENTRADA",Movimientos!$R$2:$R$1998,0)),"-")</f>
        <v>-</v>
      </c>
      <c r="C198" s="2" t="str">
        <f>IFERROR(INDEX(Movimientos!$D$2:$D$1998,MATCH(A198&amp;"ENTRADA",Movimientos!$R$2:$R$1998,0)),"-")</f>
        <v>-</v>
      </c>
      <c r="D198" s="2" t="str">
        <f>IFERROR(INDEX(Movimientos!$E$2:$E$1998,MATCH(A198&amp;"ENTRADA",Movimientos!$R$2:$R$1998,0)),"-")</f>
        <v>-</v>
      </c>
      <c r="E198" s="2" t="str">
        <f>IFERROR(INDEX(Movimientos!$F$2:$F$1998,MATCH(A198&amp;"ENTRADA",Movimientos!$R$2:$R$1998,0)),"-")</f>
        <v>-</v>
      </c>
      <c r="F198" s="2" t="str">
        <f>IFERROR(INDEX(Movimientos!$G$2:$G$1998,MATCH(A198&amp;"ENTRADA",Movimientos!$R$2:$R$1998,0)),"-")</f>
        <v>-</v>
      </c>
      <c r="G198" s="2" t="str">
        <f>IFERROR(INDEX(Movimientos!$L$2:$L$1998,MATCH(A198&amp;"ENTRADA",Movimientos!$R$2:$R$1998,0)),"-")</f>
        <v>-</v>
      </c>
      <c r="H198" s="17" t="str">
        <f>IFERROR(IF(INDEX(Movimientos!$M$2:$M$1998,MATCH(A198&amp;"ENTRADA",Movimientos!$R$2:$R$1998,0))=0,"S/D",INDEX(Movimientos!$M$2:$M$1998,MATCH(A198&amp;"ENTRADA",Movimientos!$R$2:$R$1998,0))),"S/D")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 ht="14.25">
      <c r="A199" s="16" t="s">
        <v>2364</v>
      </c>
      <c r="B199" s="2" t="str">
        <f>IFERROR(INDEX(Movimientos!$C$2:$C$1998,MATCH(A199&amp;"ENTRADA",Movimientos!$R$2:$R$1998,0)),"-")</f>
        <v>-</v>
      </c>
      <c r="C199" s="2" t="str">
        <f>IFERROR(INDEX(Movimientos!$D$2:$D$1998,MATCH(A199&amp;"ENTRADA",Movimientos!$R$2:$R$1998,0)),"-")</f>
        <v>-</v>
      </c>
      <c r="D199" s="2" t="str">
        <f>IFERROR(INDEX(Movimientos!$E$2:$E$1998,MATCH(A199&amp;"ENTRADA",Movimientos!$R$2:$R$1998,0)),"-")</f>
        <v>-</v>
      </c>
      <c r="E199" s="2" t="str">
        <f>IFERROR(INDEX(Movimientos!$F$2:$F$1998,MATCH(A199&amp;"ENTRADA",Movimientos!$R$2:$R$1998,0)),"-")</f>
        <v>-</v>
      </c>
      <c r="F199" s="2" t="str">
        <f>IFERROR(INDEX(Movimientos!$G$2:$G$1998,MATCH(A199&amp;"ENTRADA",Movimientos!$R$2:$R$1998,0)),"-")</f>
        <v>-</v>
      </c>
      <c r="G199" s="2" t="str">
        <f>IFERROR(INDEX(Movimientos!$L$2:$L$1998,MATCH(A199&amp;"ENTRADA",Movimientos!$R$2:$R$1998,0)),"-")</f>
        <v>-</v>
      </c>
      <c r="H199" s="17" t="str">
        <f>IFERROR(IF(INDEX(Movimientos!$M$2:$M$1998,MATCH(A199&amp;"ENTRADA",Movimientos!$R$2:$R$1998,0))=0,"S/D",INDEX(Movimientos!$M$2:$M$1998,MATCH(A199&amp;"ENTRADA",Movimientos!$R$2:$R$1998,0))),"S/D")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 ht="14.25">
      <c r="A200" s="16" t="s">
        <v>2365</v>
      </c>
      <c r="B200" s="2" t="str">
        <f>IFERROR(INDEX(Movimientos!$C$2:$C$1998,MATCH(A200&amp;"ENTRADA",Movimientos!$R$2:$R$1998,0)),"-")</f>
        <v>-</v>
      </c>
      <c r="C200" s="2" t="str">
        <f>IFERROR(INDEX(Movimientos!$D$2:$D$1998,MATCH(A200&amp;"ENTRADA",Movimientos!$R$2:$R$1998,0)),"-")</f>
        <v>-</v>
      </c>
      <c r="D200" s="2" t="str">
        <f>IFERROR(INDEX(Movimientos!$E$2:$E$1998,MATCH(A200&amp;"ENTRADA",Movimientos!$R$2:$R$1998,0)),"-")</f>
        <v>-</v>
      </c>
      <c r="E200" s="2" t="str">
        <f>IFERROR(INDEX(Movimientos!$F$2:$F$1998,MATCH(A200&amp;"ENTRADA",Movimientos!$R$2:$R$1998,0)),"-")</f>
        <v>-</v>
      </c>
      <c r="F200" s="2" t="str">
        <f>IFERROR(INDEX(Movimientos!$G$2:$G$1998,MATCH(A200&amp;"ENTRADA",Movimientos!$R$2:$R$1998,0)),"-")</f>
        <v>-</v>
      </c>
      <c r="G200" s="2" t="str">
        <f>IFERROR(INDEX(Movimientos!$L$2:$L$1998,MATCH(A200&amp;"ENTRADA",Movimientos!$R$2:$R$1998,0)),"-")</f>
        <v>-</v>
      </c>
      <c r="H200" s="17" t="str">
        <f>IFERROR(IF(INDEX(Movimientos!$M$2:$M$1998,MATCH(A200&amp;"ENTRADA",Movimientos!$R$2:$R$1998,0))=0,"S/D",INDEX(Movimientos!$M$2:$M$1998,MATCH(A200&amp;"ENTRADA",Movimientos!$R$2:$R$1998,0))),"S/D")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 ht="14.25">
      <c r="A201" s="16" t="s">
        <v>2366</v>
      </c>
      <c r="B201" s="2" t="str">
        <f>IFERROR(INDEX(Movimientos!$C$2:$C$1998,MATCH(A201&amp;"ENTRADA",Movimientos!$R$2:$R$1998,0)),"-")</f>
        <v>-</v>
      </c>
      <c r="C201" s="2" t="str">
        <f>IFERROR(INDEX(Movimientos!$D$2:$D$1998,MATCH(A201&amp;"ENTRADA",Movimientos!$R$2:$R$1998,0)),"-")</f>
        <v>-</v>
      </c>
      <c r="D201" s="2" t="str">
        <f>IFERROR(INDEX(Movimientos!$E$2:$E$1998,MATCH(A201&amp;"ENTRADA",Movimientos!$R$2:$R$1998,0)),"-")</f>
        <v>-</v>
      </c>
      <c r="E201" s="2" t="str">
        <f>IFERROR(INDEX(Movimientos!$F$2:$F$1998,MATCH(A201&amp;"ENTRADA",Movimientos!$R$2:$R$1998,0)),"-")</f>
        <v>-</v>
      </c>
      <c r="F201" s="2" t="str">
        <f>IFERROR(INDEX(Movimientos!$G$2:$G$1998,MATCH(A201&amp;"ENTRADA",Movimientos!$R$2:$R$1998,0)),"-")</f>
        <v>-</v>
      </c>
      <c r="G201" s="2" t="str">
        <f>IFERROR(INDEX(Movimientos!$L$2:$L$1998,MATCH(A201&amp;"ENTRADA",Movimientos!$R$2:$R$1998,0)),"-")</f>
        <v>-</v>
      </c>
      <c r="H201" s="17" t="str">
        <f>IFERROR(IF(INDEX(Movimientos!$M$2:$M$1998,MATCH(A201&amp;"ENTRADA",Movimientos!$R$2:$R$1998,0))=0,"S/D",INDEX(Movimientos!$M$2:$M$1998,MATCH(A201&amp;"ENTRADA",Movimientos!$R$2:$R$1998,0))),"S/D")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 ht="14.25">
      <c r="A202" s="16" t="s">
        <v>2367</v>
      </c>
      <c r="B202" s="2" t="str">
        <f>IFERROR(INDEX(Movimientos!$C$2:$C$1998,MATCH(A202&amp;"ENTRADA",Movimientos!$R$2:$R$1998,0)),"-")</f>
        <v>-</v>
      </c>
      <c r="C202" s="2" t="str">
        <f>IFERROR(INDEX(Movimientos!$D$2:$D$1998,MATCH(A202&amp;"ENTRADA",Movimientos!$R$2:$R$1998,0)),"-")</f>
        <v>-</v>
      </c>
      <c r="D202" s="2" t="str">
        <f>IFERROR(INDEX(Movimientos!$E$2:$E$1998,MATCH(A202&amp;"ENTRADA",Movimientos!$R$2:$R$1998,0)),"-")</f>
        <v>-</v>
      </c>
      <c r="E202" s="2" t="str">
        <f>IFERROR(INDEX(Movimientos!$F$2:$F$1998,MATCH(A202&amp;"ENTRADA",Movimientos!$R$2:$R$1998,0)),"-")</f>
        <v>-</v>
      </c>
      <c r="F202" s="2" t="str">
        <f>IFERROR(INDEX(Movimientos!$G$2:$G$1998,MATCH(A202&amp;"ENTRADA",Movimientos!$R$2:$R$1998,0)),"-")</f>
        <v>-</v>
      </c>
      <c r="G202" s="2" t="str">
        <f>IFERROR(INDEX(Movimientos!$L$2:$L$1998,MATCH(A202&amp;"ENTRADA",Movimientos!$R$2:$R$1998,0)),"-")</f>
        <v>-</v>
      </c>
      <c r="H202" s="17" t="str">
        <f>IFERROR(IF(INDEX(Movimientos!$M$2:$M$1998,MATCH(A202&amp;"ENTRADA",Movimientos!$R$2:$R$1998,0))=0,"S/D",INDEX(Movimientos!$M$2:$M$1998,MATCH(A202&amp;"ENTRADA",Movimientos!$R$2:$R$1998,0))),"S/D")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 ht="14.25">
      <c r="A203" s="16" t="s">
        <v>2368</v>
      </c>
      <c r="B203" s="2" t="str">
        <f>IFERROR(INDEX(Movimientos!$C$2:$C$1998,MATCH(A203&amp;"ENTRADA",Movimientos!$R$2:$R$1998,0)),"-")</f>
        <v>-</v>
      </c>
      <c r="C203" s="2" t="str">
        <f>IFERROR(INDEX(Movimientos!$D$2:$D$1998,MATCH(A203&amp;"ENTRADA",Movimientos!$R$2:$R$1998,0)),"-")</f>
        <v>-</v>
      </c>
      <c r="D203" s="2" t="str">
        <f>IFERROR(INDEX(Movimientos!$E$2:$E$1998,MATCH(A203&amp;"ENTRADA",Movimientos!$R$2:$R$1998,0)),"-")</f>
        <v>-</v>
      </c>
      <c r="E203" s="2" t="str">
        <f>IFERROR(INDEX(Movimientos!$F$2:$F$1998,MATCH(A203&amp;"ENTRADA",Movimientos!$R$2:$R$1998,0)),"-")</f>
        <v>-</v>
      </c>
      <c r="F203" s="2" t="str">
        <f>IFERROR(INDEX(Movimientos!$G$2:$G$1998,MATCH(A203&amp;"ENTRADA",Movimientos!$R$2:$R$1998,0)),"-")</f>
        <v>-</v>
      </c>
      <c r="G203" s="2" t="str">
        <f>IFERROR(INDEX(Movimientos!$L$2:$L$1998,MATCH(A203&amp;"ENTRADA",Movimientos!$R$2:$R$1998,0)),"-")</f>
        <v>-</v>
      </c>
      <c r="H203" s="17" t="str">
        <f>IFERROR(IF(INDEX(Movimientos!$M$2:$M$1998,MATCH(A203&amp;"ENTRADA",Movimientos!$R$2:$R$1998,0))=0,"S/D",INDEX(Movimientos!$M$2:$M$1998,MATCH(A203&amp;"ENTRADA",Movimientos!$R$2:$R$1998,0))),"S/D")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 ht="14.25">
      <c r="A204" s="16" t="s">
        <v>2369</v>
      </c>
      <c r="B204" s="2" t="str">
        <f>IFERROR(INDEX(Movimientos!$C$2:$C$1998,MATCH(A204&amp;"ENTRADA",Movimientos!$R$2:$R$1998,0)),"-")</f>
        <v>-</v>
      </c>
      <c r="C204" s="2" t="str">
        <f>IFERROR(INDEX(Movimientos!$D$2:$D$1998,MATCH(A204&amp;"ENTRADA",Movimientos!$R$2:$R$1998,0)),"-")</f>
        <v>-</v>
      </c>
      <c r="D204" s="2" t="str">
        <f>IFERROR(INDEX(Movimientos!$E$2:$E$1998,MATCH(A204&amp;"ENTRADA",Movimientos!$R$2:$R$1998,0)),"-")</f>
        <v>-</v>
      </c>
      <c r="E204" s="2" t="str">
        <f>IFERROR(INDEX(Movimientos!$F$2:$F$1998,MATCH(A204&amp;"ENTRADA",Movimientos!$R$2:$R$1998,0)),"-")</f>
        <v>-</v>
      </c>
      <c r="F204" s="2" t="str">
        <f>IFERROR(INDEX(Movimientos!$G$2:$G$1998,MATCH(A204&amp;"ENTRADA",Movimientos!$R$2:$R$1998,0)),"-")</f>
        <v>-</v>
      </c>
      <c r="G204" s="2" t="str">
        <f>IFERROR(INDEX(Movimientos!$L$2:$L$1998,MATCH(A204&amp;"ENTRADA",Movimientos!$R$2:$R$1998,0)),"-")</f>
        <v>-</v>
      </c>
      <c r="H204" s="17" t="str">
        <f>IFERROR(IF(INDEX(Movimientos!$M$2:$M$1998,MATCH(A204&amp;"ENTRADA",Movimientos!$R$2:$R$1998,0))=0,"S/D",INDEX(Movimientos!$M$2:$M$1998,MATCH(A204&amp;"ENTRADA",Movimientos!$R$2:$R$1998,0))),"S/D")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 ht="14.25">
      <c r="A205" s="16" t="s">
        <v>2370</v>
      </c>
      <c r="B205" s="2" t="str">
        <f>IFERROR(INDEX(Movimientos!$C$2:$C$1998,MATCH(A205&amp;"ENTRADA",Movimientos!$R$2:$R$1998,0)),"-")</f>
        <v>-</v>
      </c>
      <c r="C205" s="2" t="str">
        <f>IFERROR(INDEX(Movimientos!$D$2:$D$1998,MATCH(A205&amp;"ENTRADA",Movimientos!$R$2:$R$1998,0)),"-")</f>
        <v>-</v>
      </c>
      <c r="D205" s="2" t="str">
        <f>IFERROR(INDEX(Movimientos!$E$2:$E$1998,MATCH(A205&amp;"ENTRADA",Movimientos!$R$2:$R$1998,0)),"-")</f>
        <v>-</v>
      </c>
      <c r="E205" s="2" t="str">
        <f>IFERROR(INDEX(Movimientos!$F$2:$F$1998,MATCH(A205&amp;"ENTRADA",Movimientos!$R$2:$R$1998,0)),"-")</f>
        <v>-</v>
      </c>
      <c r="F205" s="2" t="str">
        <f>IFERROR(INDEX(Movimientos!$G$2:$G$1998,MATCH(A205&amp;"ENTRADA",Movimientos!$R$2:$R$1998,0)),"-")</f>
        <v>-</v>
      </c>
      <c r="G205" s="2" t="str">
        <f>IFERROR(INDEX(Movimientos!$L$2:$L$1998,MATCH(A205&amp;"ENTRADA",Movimientos!$R$2:$R$1998,0)),"-")</f>
        <v>-</v>
      </c>
      <c r="H205" s="17" t="str">
        <f>IFERROR(IF(INDEX(Movimientos!$M$2:$M$1998,MATCH(A205&amp;"ENTRADA",Movimientos!$R$2:$R$1998,0))=0,"S/D",INDEX(Movimientos!$M$2:$M$1998,MATCH(A205&amp;"ENTRADA",Movimientos!$R$2:$R$1998,0))),"S/D")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 ht="14.25">
      <c r="A206" s="16" t="s">
        <v>2371</v>
      </c>
      <c r="B206" s="2" t="str">
        <f>IFERROR(INDEX(Movimientos!$C$2:$C$1998,MATCH(A206&amp;"ENTRADA",Movimientos!$R$2:$R$1998,0)),"-")</f>
        <v>-</v>
      </c>
      <c r="C206" s="2" t="str">
        <f>IFERROR(INDEX(Movimientos!$D$2:$D$1998,MATCH(A206&amp;"ENTRADA",Movimientos!$R$2:$R$1998,0)),"-")</f>
        <v>-</v>
      </c>
      <c r="D206" s="2" t="str">
        <f>IFERROR(INDEX(Movimientos!$E$2:$E$1998,MATCH(A206&amp;"ENTRADA",Movimientos!$R$2:$R$1998,0)),"-")</f>
        <v>-</v>
      </c>
      <c r="E206" s="2" t="str">
        <f>IFERROR(INDEX(Movimientos!$F$2:$F$1998,MATCH(A206&amp;"ENTRADA",Movimientos!$R$2:$R$1998,0)),"-")</f>
        <v>-</v>
      </c>
      <c r="F206" s="2" t="str">
        <f>IFERROR(INDEX(Movimientos!$G$2:$G$1998,MATCH(A206&amp;"ENTRADA",Movimientos!$R$2:$R$1998,0)),"-")</f>
        <v>-</v>
      </c>
      <c r="G206" s="2" t="str">
        <f>IFERROR(INDEX(Movimientos!$L$2:$L$1998,MATCH(A206&amp;"ENTRADA",Movimientos!$R$2:$R$1998,0)),"-")</f>
        <v>-</v>
      </c>
      <c r="H206" s="17" t="str">
        <f>IFERROR(IF(INDEX(Movimientos!$M$2:$M$1998,MATCH(A206&amp;"ENTRADA",Movimientos!$R$2:$R$1998,0))=0,"S/D",INDEX(Movimientos!$M$2:$M$1998,MATCH(A206&amp;"ENTRADA",Movimientos!$R$2:$R$1998,0))),"S/D")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 ht="14.25">
      <c r="A207" s="16" t="s">
        <v>2372</v>
      </c>
      <c r="B207" s="2" t="str">
        <f>IFERROR(INDEX(Movimientos!$C$2:$C$1998,MATCH(A207&amp;"ENTRADA",Movimientos!$R$2:$R$1998,0)),"-")</f>
        <v>-</v>
      </c>
      <c r="C207" s="2" t="str">
        <f>IFERROR(INDEX(Movimientos!$D$2:$D$1998,MATCH(A207&amp;"ENTRADA",Movimientos!$R$2:$R$1998,0)),"-")</f>
        <v>-</v>
      </c>
      <c r="D207" s="2" t="str">
        <f>IFERROR(INDEX(Movimientos!$E$2:$E$1998,MATCH(A207&amp;"ENTRADA",Movimientos!$R$2:$R$1998,0)),"-")</f>
        <v>-</v>
      </c>
      <c r="E207" s="2" t="str">
        <f>IFERROR(INDEX(Movimientos!$F$2:$F$1998,MATCH(A207&amp;"ENTRADA",Movimientos!$R$2:$R$1998,0)),"-")</f>
        <v>-</v>
      </c>
      <c r="F207" s="2" t="str">
        <f>IFERROR(INDEX(Movimientos!$G$2:$G$1998,MATCH(A207&amp;"ENTRADA",Movimientos!$R$2:$R$1998,0)),"-")</f>
        <v>-</v>
      </c>
      <c r="G207" s="2" t="str">
        <f>IFERROR(INDEX(Movimientos!$L$2:$L$1998,MATCH(A207&amp;"ENTRADA",Movimientos!$R$2:$R$1998,0)),"-")</f>
        <v>-</v>
      </c>
      <c r="H207" s="17" t="str">
        <f>IFERROR(IF(INDEX(Movimientos!$M$2:$M$1998,MATCH(A207&amp;"ENTRADA",Movimientos!$R$2:$R$1998,0))=0,"S/D",INDEX(Movimientos!$M$2:$M$1998,MATCH(A207&amp;"ENTRADA",Movimientos!$R$2:$R$1998,0))),"S/D")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 ht="14.25">
      <c r="A208" s="16" t="s">
        <v>2373</v>
      </c>
      <c r="B208" s="2" t="str">
        <f>IFERROR(INDEX(Movimientos!$C$2:$C$1998,MATCH(A208&amp;"ENTRADA",Movimientos!$R$2:$R$1998,0)),"-")</f>
        <v>-</v>
      </c>
      <c r="C208" s="2" t="str">
        <f>IFERROR(INDEX(Movimientos!$D$2:$D$1998,MATCH(A208&amp;"ENTRADA",Movimientos!$R$2:$R$1998,0)),"-")</f>
        <v>-</v>
      </c>
      <c r="D208" s="2" t="str">
        <f>IFERROR(INDEX(Movimientos!$E$2:$E$1998,MATCH(A208&amp;"ENTRADA",Movimientos!$R$2:$R$1998,0)),"-")</f>
        <v>-</v>
      </c>
      <c r="E208" s="2" t="str">
        <f>IFERROR(INDEX(Movimientos!$F$2:$F$1998,MATCH(A208&amp;"ENTRADA",Movimientos!$R$2:$R$1998,0)),"-")</f>
        <v>-</v>
      </c>
      <c r="F208" s="2" t="str">
        <f>IFERROR(INDEX(Movimientos!$G$2:$G$1998,MATCH(A208&amp;"ENTRADA",Movimientos!$R$2:$R$1998,0)),"-")</f>
        <v>-</v>
      </c>
      <c r="G208" s="2" t="str">
        <f>IFERROR(INDEX(Movimientos!$L$2:$L$1998,MATCH(A208&amp;"ENTRADA",Movimientos!$R$2:$R$1998,0)),"-")</f>
        <v>-</v>
      </c>
      <c r="H208" s="17" t="str">
        <f>IFERROR(IF(INDEX(Movimientos!$M$2:$M$1998,MATCH(A208&amp;"ENTRADA",Movimientos!$R$2:$R$1998,0))=0,"S/D",INDEX(Movimientos!$M$2:$M$1998,MATCH(A208&amp;"ENTRADA",Movimientos!$R$2:$R$1998,0))),"S/D")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 ht="14.25">
      <c r="A209" s="16" t="s">
        <v>2374</v>
      </c>
      <c r="B209" s="2" t="str">
        <f>IFERROR(INDEX(Movimientos!$C$2:$C$1998,MATCH(A209&amp;"ENTRADA",Movimientos!$R$2:$R$1998,0)),"-")</f>
        <v>-</v>
      </c>
      <c r="C209" s="2" t="str">
        <f>IFERROR(INDEX(Movimientos!$D$2:$D$1998,MATCH(A209&amp;"ENTRADA",Movimientos!$R$2:$R$1998,0)),"-")</f>
        <v>-</v>
      </c>
      <c r="D209" s="2" t="str">
        <f>IFERROR(INDEX(Movimientos!$E$2:$E$1998,MATCH(A209&amp;"ENTRADA",Movimientos!$R$2:$R$1998,0)),"-")</f>
        <v>-</v>
      </c>
      <c r="E209" s="2" t="str">
        <f>IFERROR(INDEX(Movimientos!$F$2:$F$1998,MATCH(A209&amp;"ENTRADA",Movimientos!$R$2:$R$1998,0)),"-")</f>
        <v>-</v>
      </c>
      <c r="F209" s="2" t="str">
        <f>IFERROR(INDEX(Movimientos!$G$2:$G$1998,MATCH(A209&amp;"ENTRADA",Movimientos!$R$2:$R$1998,0)),"-")</f>
        <v>-</v>
      </c>
      <c r="G209" s="2" t="str">
        <f>IFERROR(INDEX(Movimientos!$L$2:$L$1998,MATCH(A209&amp;"ENTRADA",Movimientos!$R$2:$R$1998,0)),"-")</f>
        <v>-</v>
      </c>
      <c r="H209" s="17" t="str">
        <f>IFERROR(IF(INDEX(Movimientos!$M$2:$M$1998,MATCH(A209&amp;"ENTRADA",Movimientos!$R$2:$R$1998,0))=0,"S/D",INDEX(Movimientos!$M$2:$M$1998,MATCH(A209&amp;"ENTRADA",Movimientos!$R$2:$R$1998,0))),"S/D")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 ht="14.25">
      <c r="A210" s="16" t="s">
        <v>2375</v>
      </c>
      <c r="B210" s="2" t="str">
        <f>IFERROR(INDEX(Movimientos!$C$2:$C$1998,MATCH(A210&amp;"ENTRADA",Movimientos!$R$2:$R$1998,0)),"-")</f>
        <v>-</v>
      </c>
      <c r="C210" s="2" t="str">
        <f>IFERROR(INDEX(Movimientos!$D$2:$D$1998,MATCH(A210&amp;"ENTRADA",Movimientos!$R$2:$R$1998,0)),"-")</f>
        <v>-</v>
      </c>
      <c r="D210" s="2" t="str">
        <f>IFERROR(INDEX(Movimientos!$E$2:$E$1998,MATCH(A210&amp;"ENTRADA",Movimientos!$R$2:$R$1998,0)),"-")</f>
        <v>-</v>
      </c>
      <c r="E210" s="2" t="str">
        <f>IFERROR(INDEX(Movimientos!$F$2:$F$1998,MATCH(A210&amp;"ENTRADA",Movimientos!$R$2:$R$1998,0)),"-")</f>
        <v>-</v>
      </c>
      <c r="F210" s="2" t="str">
        <f>IFERROR(INDEX(Movimientos!$G$2:$G$1998,MATCH(A210&amp;"ENTRADA",Movimientos!$R$2:$R$1998,0)),"-")</f>
        <v>-</v>
      </c>
      <c r="G210" s="2" t="str">
        <f>IFERROR(INDEX(Movimientos!$L$2:$L$1998,MATCH(A210&amp;"ENTRADA",Movimientos!$R$2:$R$1998,0)),"-")</f>
        <v>-</v>
      </c>
      <c r="H210" s="17" t="str">
        <f>IFERROR(IF(INDEX(Movimientos!$M$2:$M$1998,MATCH(A210&amp;"ENTRADA",Movimientos!$R$2:$R$1998,0))=0,"S/D",INDEX(Movimientos!$M$2:$M$1998,MATCH(A210&amp;"ENTRADA",Movimientos!$R$2:$R$1998,0))),"S/D")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 ht="14.25">
      <c r="A211" s="16" t="s">
        <v>2376</v>
      </c>
      <c r="B211" s="2" t="str">
        <f>IFERROR(INDEX(Movimientos!$C$2:$C$1998,MATCH(A211&amp;"ENTRADA",Movimientos!$R$2:$R$1998,0)),"-")</f>
        <v>-</v>
      </c>
      <c r="C211" s="2" t="str">
        <f>IFERROR(INDEX(Movimientos!$D$2:$D$1998,MATCH(A211&amp;"ENTRADA",Movimientos!$R$2:$R$1998,0)),"-")</f>
        <v>-</v>
      </c>
      <c r="D211" s="2" t="str">
        <f>IFERROR(INDEX(Movimientos!$E$2:$E$1998,MATCH(A211&amp;"ENTRADA",Movimientos!$R$2:$R$1998,0)),"-")</f>
        <v>-</v>
      </c>
      <c r="E211" s="2" t="str">
        <f>IFERROR(INDEX(Movimientos!$F$2:$F$1998,MATCH(A211&amp;"ENTRADA",Movimientos!$R$2:$R$1998,0)),"-")</f>
        <v>-</v>
      </c>
      <c r="F211" s="2" t="str">
        <f>IFERROR(INDEX(Movimientos!$G$2:$G$1998,MATCH(A211&amp;"ENTRADA",Movimientos!$R$2:$R$1998,0)),"-")</f>
        <v>-</v>
      </c>
      <c r="G211" s="2" t="str">
        <f>IFERROR(INDEX(Movimientos!$L$2:$L$1998,MATCH(A211&amp;"ENTRADA",Movimientos!$R$2:$R$1998,0)),"-")</f>
        <v>-</v>
      </c>
      <c r="H211" s="17" t="str">
        <f>IFERROR(IF(INDEX(Movimientos!$M$2:$M$1998,MATCH(A211&amp;"ENTRADA",Movimientos!$R$2:$R$1998,0))=0,"S/D",INDEX(Movimientos!$M$2:$M$1998,MATCH(A211&amp;"ENTRADA",Movimientos!$R$2:$R$1998,0))),"S/D")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 ht="14.25">
      <c r="A212" s="16" t="s">
        <v>2377</v>
      </c>
      <c r="B212" s="2" t="str">
        <f>IFERROR(INDEX(Movimientos!$C$2:$C$1998,MATCH(A212&amp;"ENTRADA",Movimientos!$R$2:$R$1998,0)),"-")</f>
        <v>-</v>
      </c>
      <c r="C212" s="2" t="str">
        <f>IFERROR(INDEX(Movimientos!$D$2:$D$1998,MATCH(A212&amp;"ENTRADA",Movimientos!$R$2:$R$1998,0)),"-")</f>
        <v>-</v>
      </c>
      <c r="D212" s="2" t="str">
        <f>IFERROR(INDEX(Movimientos!$E$2:$E$1998,MATCH(A212&amp;"ENTRADA",Movimientos!$R$2:$R$1998,0)),"-")</f>
        <v>-</v>
      </c>
      <c r="E212" s="2" t="str">
        <f>IFERROR(INDEX(Movimientos!$F$2:$F$1998,MATCH(A212&amp;"ENTRADA",Movimientos!$R$2:$R$1998,0)),"-")</f>
        <v>-</v>
      </c>
      <c r="F212" s="2" t="str">
        <f>IFERROR(INDEX(Movimientos!$G$2:$G$1998,MATCH(A212&amp;"ENTRADA",Movimientos!$R$2:$R$1998,0)),"-")</f>
        <v>-</v>
      </c>
      <c r="G212" s="2" t="str">
        <f>IFERROR(INDEX(Movimientos!$L$2:$L$1998,MATCH(A212&amp;"ENTRADA",Movimientos!$R$2:$R$1998,0)),"-")</f>
        <v>-</v>
      </c>
      <c r="H212" s="17" t="str">
        <f>IFERROR(IF(INDEX(Movimientos!$M$2:$M$1998,MATCH(A212&amp;"ENTRADA",Movimientos!$R$2:$R$1998,0))=0,"S/D",INDEX(Movimientos!$M$2:$M$1998,MATCH(A212&amp;"ENTRADA",Movimientos!$R$2:$R$1998,0))),"S/D")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 ht="14.25">
      <c r="A213" s="16" t="s">
        <v>2378</v>
      </c>
      <c r="B213" s="2" t="str">
        <f>IFERROR(INDEX(Movimientos!$C$2:$C$1998,MATCH(A213&amp;"ENTRADA",Movimientos!$R$2:$R$1998,0)),"-")</f>
        <v>-</v>
      </c>
      <c r="C213" s="2" t="str">
        <f>IFERROR(INDEX(Movimientos!$D$2:$D$1998,MATCH(A213&amp;"ENTRADA",Movimientos!$R$2:$R$1998,0)),"-")</f>
        <v>-</v>
      </c>
      <c r="D213" s="2" t="str">
        <f>IFERROR(INDEX(Movimientos!$E$2:$E$1998,MATCH(A213&amp;"ENTRADA",Movimientos!$R$2:$R$1998,0)),"-")</f>
        <v>-</v>
      </c>
      <c r="E213" s="2" t="str">
        <f>IFERROR(INDEX(Movimientos!$F$2:$F$1998,MATCH(A213&amp;"ENTRADA",Movimientos!$R$2:$R$1998,0)),"-")</f>
        <v>-</v>
      </c>
      <c r="F213" s="2" t="str">
        <f>IFERROR(INDEX(Movimientos!$G$2:$G$1998,MATCH(A213&amp;"ENTRADA",Movimientos!$R$2:$R$1998,0)),"-")</f>
        <v>-</v>
      </c>
      <c r="G213" s="2" t="str">
        <f>IFERROR(INDEX(Movimientos!$L$2:$L$1998,MATCH(A213&amp;"ENTRADA",Movimientos!$R$2:$R$1998,0)),"-")</f>
        <v>-</v>
      </c>
      <c r="H213" s="17" t="str">
        <f>IFERROR(IF(INDEX(Movimientos!$M$2:$M$1998,MATCH(A213&amp;"ENTRADA",Movimientos!$R$2:$R$1998,0))=0,"S/D",INDEX(Movimientos!$M$2:$M$1998,MATCH(A213&amp;"ENTRADA",Movimientos!$R$2:$R$1998,0))),"S/D")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 ht="14.25">
      <c r="A214" s="16" t="s">
        <v>2379</v>
      </c>
      <c r="B214" s="2" t="str">
        <f>IFERROR(INDEX(Movimientos!$C$2:$C$1998,MATCH(A214&amp;"ENTRADA",Movimientos!$R$2:$R$1998,0)),"-")</f>
        <v>-</v>
      </c>
      <c r="C214" s="2" t="str">
        <f>IFERROR(INDEX(Movimientos!$D$2:$D$1998,MATCH(A214&amp;"ENTRADA",Movimientos!$R$2:$R$1998,0)),"-")</f>
        <v>-</v>
      </c>
      <c r="D214" s="2" t="str">
        <f>IFERROR(INDEX(Movimientos!$E$2:$E$1998,MATCH(A214&amp;"ENTRADA",Movimientos!$R$2:$R$1998,0)),"-")</f>
        <v>-</v>
      </c>
      <c r="E214" s="2" t="str">
        <f>IFERROR(INDEX(Movimientos!$F$2:$F$1998,MATCH(A214&amp;"ENTRADA",Movimientos!$R$2:$R$1998,0)),"-")</f>
        <v>-</v>
      </c>
      <c r="F214" s="2" t="str">
        <f>IFERROR(INDEX(Movimientos!$G$2:$G$1998,MATCH(A214&amp;"ENTRADA",Movimientos!$R$2:$R$1998,0)),"-")</f>
        <v>-</v>
      </c>
      <c r="G214" s="2" t="str">
        <f>IFERROR(INDEX(Movimientos!$L$2:$L$1998,MATCH(A214&amp;"ENTRADA",Movimientos!$R$2:$R$1998,0)),"-")</f>
        <v>-</v>
      </c>
      <c r="H214" s="17" t="str">
        <f>IFERROR(IF(INDEX(Movimientos!$M$2:$M$1998,MATCH(A214&amp;"ENTRADA",Movimientos!$R$2:$R$1998,0))=0,"S/D",INDEX(Movimientos!$M$2:$M$1998,MATCH(A214&amp;"ENTRADA",Movimientos!$R$2:$R$1998,0))),"S/D")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 ht="14.25">
      <c r="A215" s="16" t="s">
        <v>2380</v>
      </c>
      <c r="B215" s="2" t="str">
        <f>IFERROR(INDEX(Movimientos!$C$2:$C$1998,MATCH(A215&amp;"ENTRADA",Movimientos!$R$2:$R$1998,0)),"-")</f>
        <v>-</v>
      </c>
      <c r="C215" s="2" t="str">
        <f>IFERROR(INDEX(Movimientos!$D$2:$D$1998,MATCH(A215&amp;"ENTRADA",Movimientos!$R$2:$R$1998,0)),"-")</f>
        <v>-</v>
      </c>
      <c r="D215" s="2" t="str">
        <f>IFERROR(INDEX(Movimientos!$E$2:$E$1998,MATCH(A215&amp;"ENTRADA",Movimientos!$R$2:$R$1998,0)),"-")</f>
        <v>-</v>
      </c>
      <c r="E215" s="2" t="str">
        <f>IFERROR(INDEX(Movimientos!$F$2:$F$1998,MATCH(A215&amp;"ENTRADA",Movimientos!$R$2:$R$1998,0)),"-")</f>
        <v>-</v>
      </c>
      <c r="F215" s="2" t="str">
        <f>IFERROR(INDEX(Movimientos!$G$2:$G$1998,MATCH(A215&amp;"ENTRADA",Movimientos!$R$2:$R$1998,0)),"-")</f>
        <v>-</v>
      </c>
      <c r="G215" s="2" t="str">
        <f>IFERROR(INDEX(Movimientos!$L$2:$L$1998,MATCH(A215&amp;"ENTRADA",Movimientos!$R$2:$R$1998,0)),"-")</f>
        <v>-</v>
      </c>
      <c r="H215" s="17" t="str">
        <f>IFERROR(IF(INDEX(Movimientos!$M$2:$M$1998,MATCH(A215&amp;"ENTRADA",Movimientos!$R$2:$R$1998,0))=0,"S/D",INDEX(Movimientos!$M$2:$M$1998,MATCH(A215&amp;"ENTRADA",Movimientos!$R$2:$R$1998,0))),"S/D")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 ht="14.25">
      <c r="A216" s="16" t="s">
        <v>2381</v>
      </c>
      <c r="B216" s="2" t="str">
        <f>IFERROR(INDEX(Movimientos!$C$2:$C$1998,MATCH(A216&amp;"ENTRADA",Movimientos!$R$2:$R$1998,0)),"-")</f>
        <v>-</v>
      </c>
      <c r="C216" s="2" t="str">
        <f>IFERROR(INDEX(Movimientos!$D$2:$D$1998,MATCH(A216&amp;"ENTRADA",Movimientos!$R$2:$R$1998,0)),"-")</f>
        <v>-</v>
      </c>
      <c r="D216" s="2" t="str">
        <f>IFERROR(INDEX(Movimientos!$E$2:$E$1998,MATCH(A216&amp;"ENTRADA",Movimientos!$R$2:$R$1998,0)),"-")</f>
        <v>-</v>
      </c>
      <c r="E216" s="2" t="str">
        <f>IFERROR(INDEX(Movimientos!$F$2:$F$1998,MATCH(A216&amp;"ENTRADA",Movimientos!$R$2:$R$1998,0)),"-")</f>
        <v>-</v>
      </c>
      <c r="F216" s="2" t="str">
        <f>IFERROR(INDEX(Movimientos!$G$2:$G$1998,MATCH(A216&amp;"ENTRADA",Movimientos!$R$2:$R$1998,0)),"-")</f>
        <v>-</v>
      </c>
      <c r="G216" s="2" t="str">
        <f>IFERROR(INDEX(Movimientos!$L$2:$L$1998,MATCH(A216&amp;"ENTRADA",Movimientos!$R$2:$R$1998,0)),"-")</f>
        <v>-</v>
      </c>
      <c r="H216" s="17" t="str">
        <f>IFERROR(IF(INDEX(Movimientos!$M$2:$M$1998,MATCH(A216&amp;"ENTRADA",Movimientos!$R$2:$R$1998,0))=0,"S/D",INDEX(Movimientos!$M$2:$M$1998,MATCH(A216&amp;"ENTRADA",Movimientos!$R$2:$R$1998,0))),"S/D")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 ht="14.25">
      <c r="A217" s="16" t="s">
        <v>2382</v>
      </c>
      <c r="B217" s="2" t="str">
        <f>IFERROR(INDEX(Movimientos!$C$2:$C$1998,MATCH(A217&amp;"ENTRADA",Movimientos!$R$2:$R$1998,0)),"-")</f>
        <v>-</v>
      </c>
      <c r="C217" s="2" t="str">
        <f>IFERROR(INDEX(Movimientos!$D$2:$D$1998,MATCH(A217&amp;"ENTRADA",Movimientos!$R$2:$R$1998,0)),"-")</f>
        <v>-</v>
      </c>
      <c r="D217" s="2" t="str">
        <f>IFERROR(INDEX(Movimientos!$E$2:$E$1998,MATCH(A217&amp;"ENTRADA",Movimientos!$R$2:$R$1998,0)),"-")</f>
        <v>-</v>
      </c>
      <c r="E217" s="2" t="str">
        <f>IFERROR(INDEX(Movimientos!$F$2:$F$1998,MATCH(A217&amp;"ENTRADA",Movimientos!$R$2:$R$1998,0)),"-")</f>
        <v>-</v>
      </c>
      <c r="F217" s="2" t="str">
        <f>IFERROR(INDEX(Movimientos!$G$2:$G$1998,MATCH(A217&amp;"ENTRADA",Movimientos!$R$2:$R$1998,0)),"-")</f>
        <v>-</v>
      </c>
      <c r="G217" s="2" t="str">
        <f>IFERROR(INDEX(Movimientos!$L$2:$L$1998,MATCH(A217&amp;"ENTRADA",Movimientos!$R$2:$R$1998,0)),"-")</f>
        <v>-</v>
      </c>
      <c r="H217" s="17" t="str">
        <f>IFERROR(IF(INDEX(Movimientos!$M$2:$M$1998,MATCH(A217&amp;"ENTRADA",Movimientos!$R$2:$R$1998,0))=0,"S/D",INDEX(Movimientos!$M$2:$M$1998,MATCH(A217&amp;"ENTRADA",Movimientos!$R$2:$R$1998,0))),"S/D")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 ht="14.25">
      <c r="A218" s="16" t="s">
        <v>2383</v>
      </c>
      <c r="B218" s="2" t="str">
        <f>IFERROR(INDEX(Movimientos!$C$2:$C$1998,MATCH(A218&amp;"ENTRADA",Movimientos!$R$2:$R$1998,0)),"-")</f>
        <v>-</v>
      </c>
      <c r="C218" s="2" t="str">
        <f>IFERROR(INDEX(Movimientos!$D$2:$D$1998,MATCH(A218&amp;"ENTRADA",Movimientos!$R$2:$R$1998,0)),"-")</f>
        <v>-</v>
      </c>
      <c r="D218" s="2" t="str">
        <f>IFERROR(INDEX(Movimientos!$E$2:$E$1998,MATCH(A218&amp;"ENTRADA",Movimientos!$R$2:$R$1998,0)),"-")</f>
        <v>-</v>
      </c>
      <c r="E218" s="2" t="str">
        <f>IFERROR(INDEX(Movimientos!$F$2:$F$1998,MATCH(A218&amp;"ENTRADA",Movimientos!$R$2:$R$1998,0)),"-")</f>
        <v>-</v>
      </c>
      <c r="F218" s="2" t="str">
        <f>IFERROR(INDEX(Movimientos!$G$2:$G$1998,MATCH(A218&amp;"ENTRADA",Movimientos!$R$2:$R$1998,0)),"-")</f>
        <v>-</v>
      </c>
      <c r="G218" s="2" t="str">
        <f>IFERROR(INDEX(Movimientos!$L$2:$L$1998,MATCH(A218&amp;"ENTRADA",Movimientos!$R$2:$R$1998,0)),"-")</f>
        <v>-</v>
      </c>
      <c r="H218" s="17" t="str">
        <f>IFERROR(IF(INDEX(Movimientos!$M$2:$M$1998,MATCH(A218&amp;"ENTRADA",Movimientos!$R$2:$R$1998,0))=0,"S/D",INDEX(Movimientos!$M$2:$M$1998,MATCH(A218&amp;"ENTRADA",Movimientos!$R$2:$R$1998,0))),"S/D")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 ht="14.25">
      <c r="A219" s="16" t="s">
        <v>2384</v>
      </c>
      <c r="B219" s="2" t="str">
        <f>IFERROR(INDEX(Movimientos!$C$2:$C$1998,MATCH(A219&amp;"ENTRADA",Movimientos!$R$2:$R$1998,0)),"-")</f>
        <v>-</v>
      </c>
      <c r="C219" s="2" t="str">
        <f>IFERROR(INDEX(Movimientos!$D$2:$D$1998,MATCH(A219&amp;"ENTRADA",Movimientos!$R$2:$R$1998,0)),"-")</f>
        <v>-</v>
      </c>
      <c r="D219" s="2" t="str">
        <f>IFERROR(INDEX(Movimientos!$E$2:$E$1998,MATCH(A219&amp;"ENTRADA",Movimientos!$R$2:$R$1998,0)),"-")</f>
        <v>-</v>
      </c>
      <c r="E219" s="2" t="str">
        <f>IFERROR(INDEX(Movimientos!$F$2:$F$1998,MATCH(A219&amp;"ENTRADA",Movimientos!$R$2:$R$1998,0)),"-")</f>
        <v>-</v>
      </c>
      <c r="F219" s="2" t="str">
        <f>IFERROR(INDEX(Movimientos!$G$2:$G$1998,MATCH(A219&amp;"ENTRADA",Movimientos!$R$2:$R$1998,0)),"-")</f>
        <v>-</v>
      </c>
      <c r="G219" s="2" t="str">
        <f>IFERROR(INDEX(Movimientos!$L$2:$L$1998,MATCH(A219&amp;"ENTRADA",Movimientos!$R$2:$R$1998,0)),"-")</f>
        <v>-</v>
      </c>
      <c r="H219" s="17" t="str">
        <f>IFERROR(IF(INDEX(Movimientos!$M$2:$M$1998,MATCH(A219&amp;"ENTRADA",Movimientos!$R$2:$R$1998,0))=0,"S/D",INDEX(Movimientos!$M$2:$M$1998,MATCH(A219&amp;"ENTRADA",Movimientos!$R$2:$R$1998,0))),"S/D")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 ht="14.25">
      <c r="A220" s="16" t="s">
        <v>2385</v>
      </c>
      <c r="B220" s="2" t="str">
        <f>IFERROR(INDEX(Movimientos!$C$2:$C$1998,MATCH(A220&amp;"ENTRADA",Movimientos!$R$2:$R$1998,0)),"-")</f>
        <v>-</v>
      </c>
      <c r="C220" s="2" t="str">
        <f>IFERROR(INDEX(Movimientos!$D$2:$D$1998,MATCH(A220&amp;"ENTRADA",Movimientos!$R$2:$R$1998,0)),"-")</f>
        <v>-</v>
      </c>
      <c r="D220" s="2" t="str">
        <f>IFERROR(INDEX(Movimientos!$E$2:$E$1998,MATCH(A220&amp;"ENTRADA",Movimientos!$R$2:$R$1998,0)),"-")</f>
        <v>-</v>
      </c>
      <c r="E220" s="2" t="str">
        <f>IFERROR(INDEX(Movimientos!$F$2:$F$1998,MATCH(A220&amp;"ENTRADA",Movimientos!$R$2:$R$1998,0)),"-")</f>
        <v>-</v>
      </c>
      <c r="F220" s="2" t="str">
        <f>IFERROR(INDEX(Movimientos!$G$2:$G$1998,MATCH(A220&amp;"ENTRADA",Movimientos!$R$2:$R$1998,0)),"-")</f>
        <v>-</v>
      </c>
      <c r="G220" s="2" t="str">
        <f>IFERROR(INDEX(Movimientos!$L$2:$L$1998,MATCH(A220&amp;"ENTRADA",Movimientos!$R$2:$R$1998,0)),"-")</f>
        <v>-</v>
      </c>
      <c r="H220" s="17" t="str">
        <f>IFERROR(IF(INDEX(Movimientos!$M$2:$M$1998,MATCH(A220&amp;"ENTRADA",Movimientos!$R$2:$R$1998,0))=0,"S/D",INDEX(Movimientos!$M$2:$M$1998,MATCH(A220&amp;"ENTRADA",Movimientos!$R$2:$R$1998,0))),"S/D")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 ht="14.25">
      <c r="A221" s="16" t="s">
        <v>2386</v>
      </c>
      <c r="B221" s="2" t="str">
        <f>IFERROR(INDEX(Movimientos!$C$2:$C$1998,MATCH(A221&amp;"ENTRADA",Movimientos!$R$2:$R$1998,0)),"-")</f>
        <v>-</v>
      </c>
      <c r="C221" s="2" t="str">
        <f>IFERROR(INDEX(Movimientos!$D$2:$D$1998,MATCH(A221&amp;"ENTRADA",Movimientos!$R$2:$R$1998,0)),"-")</f>
        <v>-</v>
      </c>
      <c r="D221" s="2" t="str">
        <f>IFERROR(INDEX(Movimientos!$E$2:$E$1998,MATCH(A221&amp;"ENTRADA",Movimientos!$R$2:$R$1998,0)),"-")</f>
        <v>-</v>
      </c>
      <c r="E221" s="2" t="str">
        <f>IFERROR(INDEX(Movimientos!$F$2:$F$1998,MATCH(A221&amp;"ENTRADA",Movimientos!$R$2:$R$1998,0)),"-")</f>
        <v>-</v>
      </c>
      <c r="F221" s="2" t="str">
        <f>IFERROR(INDEX(Movimientos!$G$2:$G$1998,MATCH(A221&amp;"ENTRADA",Movimientos!$R$2:$R$1998,0)),"-")</f>
        <v>-</v>
      </c>
      <c r="G221" s="2" t="str">
        <f>IFERROR(INDEX(Movimientos!$L$2:$L$1998,MATCH(A221&amp;"ENTRADA",Movimientos!$R$2:$R$1998,0)),"-")</f>
        <v>-</v>
      </c>
      <c r="H221" s="17" t="str">
        <f>IFERROR(IF(INDEX(Movimientos!$M$2:$M$1998,MATCH(A221&amp;"ENTRADA",Movimientos!$R$2:$R$1998,0))=0,"S/D",INDEX(Movimientos!$M$2:$M$1998,MATCH(A221&amp;"ENTRADA",Movimientos!$R$2:$R$1998,0))),"S/D")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 ht="14.25">
      <c r="A222" s="16" t="s">
        <v>2387</v>
      </c>
      <c r="B222" s="2" t="str">
        <f>IFERROR(INDEX(Movimientos!$C$2:$C$1998,MATCH(A222&amp;"ENTRADA",Movimientos!$R$2:$R$1998,0)),"-")</f>
        <v>-</v>
      </c>
      <c r="C222" s="2" t="str">
        <f>IFERROR(INDEX(Movimientos!$D$2:$D$1998,MATCH(A222&amp;"ENTRADA",Movimientos!$R$2:$R$1998,0)),"-")</f>
        <v>-</v>
      </c>
      <c r="D222" s="2" t="str">
        <f>IFERROR(INDEX(Movimientos!$E$2:$E$1998,MATCH(A222&amp;"ENTRADA",Movimientos!$R$2:$R$1998,0)),"-")</f>
        <v>-</v>
      </c>
      <c r="E222" s="2" t="str">
        <f>IFERROR(INDEX(Movimientos!$F$2:$F$1998,MATCH(A222&amp;"ENTRADA",Movimientos!$R$2:$R$1998,0)),"-")</f>
        <v>-</v>
      </c>
      <c r="F222" s="2" t="str">
        <f>IFERROR(INDEX(Movimientos!$G$2:$G$1998,MATCH(A222&amp;"ENTRADA",Movimientos!$R$2:$R$1998,0)),"-")</f>
        <v>-</v>
      </c>
      <c r="G222" s="2" t="str">
        <f>IFERROR(INDEX(Movimientos!$L$2:$L$1998,MATCH(A222&amp;"ENTRADA",Movimientos!$R$2:$R$1998,0)),"-")</f>
        <v>-</v>
      </c>
      <c r="H222" s="17" t="str">
        <f>IFERROR(IF(INDEX(Movimientos!$M$2:$M$1998,MATCH(A222&amp;"ENTRADA",Movimientos!$R$2:$R$1998,0))=0,"S/D",INDEX(Movimientos!$M$2:$M$1998,MATCH(A222&amp;"ENTRADA",Movimientos!$R$2:$R$1998,0))),"S/D")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 ht="14.25">
      <c r="A223" s="16" t="s">
        <v>2388</v>
      </c>
      <c r="B223" s="2" t="str">
        <f>IFERROR(INDEX(Movimientos!$C$2:$C$1998,MATCH(A223&amp;"ENTRADA",Movimientos!$R$2:$R$1998,0)),"-")</f>
        <v>-</v>
      </c>
      <c r="C223" s="2" t="str">
        <f>IFERROR(INDEX(Movimientos!$D$2:$D$1998,MATCH(A223&amp;"ENTRADA",Movimientos!$R$2:$R$1998,0)),"-")</f>
        <v>-</v>
      </c>
      <c r="D223" s="2" t="str">
        <f>IFERROR(INDEX(Movimientos!$E$2:$E$1998,MATCH(A223&amp;"ENTRADA",Movimientos!$R$2:$R$1998,0)),"-")</f>
        <v>-</v>
      </c>
      <c r="E223" s="2" t="str">
        <f>IFERROR(INDEX(Movimientos!$F$2:$F$1998,MATCH(A223&amp;"ENTRADA",Movimientos!$R$2:$R$1998,0)),"-")</f>
        <v>-</v>
      </c>
      <c r="F223" s="2" t="str">
        <f>IFERROR(INDEX(Movimientos!$G$2:$G$1998,MATCH(A223&amp;"ENTRADA",Movimientos!$R$2:$R$1998,0)),"-")</f>
        <v>-</v>
      </c>
      <c r="G223" s="2" t="str">
        <f>IFERROR(INDEX(Movimientos!$L$2:$L$1998,MATCH(A223&amp;"ENTRADA",Movimientos!$R$2:$R$1998,0)),"-")</f>
        <v>-</v>
      </c>
      <c r="H223" s="17" t="str">
        <f>IFERROR(IF(INDEX(Movimientos!$M$2:$M$1998,MATCH(A223&amp;"ENTRADA",Movimientos!$R$2:$R$1998,0))=0,"S/D",INDEX(Movimientos!$M$2:$M$1998,MATCH(A223&amp;"ENTRADA",Movimientos!$R$2:$R$1998,0))),"S/D")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 ht="14.25">
      <c r="A224" s="16" t="s">
        <v>2389</v>
      </c>
      <c r="B224" s="2" t="str">
        <f>IFERROR(INDEX(Movimientos!$C$2:$C$1998,MATCH(A224&amp;"ENTRADA",Movimientos!$R$2:$R$1998,0)),"-")</f>
        <v>-</v>
      </c>
      <c r="C224" s="2" t="str">
        <f>IFERROR(INDEX(Movimientos!$D$2:$D$1998,MATCH(A224&amp;"ENTRADA",Movimientos!$R$2:$R$1998,0)),"-")</f>
        <v>-</v>
      </c>
      <c r="D224" s="2" t="str">
        <f>IFERROR(INDEX(Movimientos!$E$2:$E$1998,MATCH(A224&amp;"ENTRADA",Movimientos!$R$2:$R$1998,0)),"-")</f>
        <v>-</v>
      </c>
      <c r="E224" s="2" t="str">
        <f>IFERROR(INDEX(Movimientos!$F$2:$F$1998,MATCH(A224&amp;"ENTRADA",Movimientos!$R$2:$R$1998,0)),"-")</f>
        <v>-</v>
      </c>
      <c r="F224" s="2" t="str">
        <f>IFERROR(INDEX(Movimientos!$G$2:$G$1998,MATCH(A224&amp;"ENTRADA",Movimientos!$R$2:$R$1998,0)),"-")</f>
        <v>-</v>
      </c>
      <c r="G224" s="2" t="str">
        <f>IFERROR(INDEX(Movimientos!$L$2:$L$1998,MATCH(A224&amp;"ENTRADA",Movimientos!$R$2:$R$1998,0)),"-")</f>
        <v>-</v>
      </c>
      <c r="H224" s="17" t="str">
        <f>IFERROR(IF(INDEX(Movimientos!$M$2:$M$1998,MATCH(A224&amp;"ENTRADA",Movimientos!$R$2:$R$1998,0))=0,"S/D",INDEX(Movimientos!$M$2:$M$1998,MATCH(A224&amp;"ENTRADA",Movimientos!$R$2:$R$1998,0))),"S/D")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 ht="14.25">
      <c r="A225" s="16" t="s">
        <v>2390</v>
      </c>
      <c r="B225" s="2" t="str">
        <f>IFERROR(INDEX(Movimientos!$C$2:$C$1998,MATCH(A225&amp;"ENTRADA",Movimientos!$R$2:$R$1998,0)),"-")</f>
        <v>-</v>
      </c>
      <c r="C225" s="2" t="str">
        <f>IFERROR(INDEX(Movimientos!$D$2:$D$1998,MATCH(A225&amp;"ENTRADA",Movimientos!$R$2:$R$1998,0)),"-")</f>
        <v>-</v>
      </c>
      <c r="D225" s="2" t="str">
        <f>IFERROR(INDEX(Movimientos!$E$2:$E$1998,MATCH(A225&amp;"ENTRADA",Movimientos!$R$2:$R$1998,0)),"-")</f>
        <v>-</v>
      </c>
      <c r="E225" s="2" t="str">
        <f>IFERROR(INDEX(Movimientos!$F$2:$F$1998,MATCH(A225&amp;"ENTRADA",Movimientos!$R$2:$R$1998,0)),"-")</f>
        <v>-</v>
      </c>
      <c r="F225" s="2" t="str">
        <f>IFERROR(INDEX(Movimientos!$G$2:$G$1998,MATCH(A225&amp;"ENTRADA",Movimientos!$R$2:$R$1998,0)),"-")</f>
        <v>-</v>
      </c>
      <c r="G225" s="2" t="str">
        <f>IFERROR(INDEX(Movimientos!$L$2:$L$1998,MATCH(A225&amp;"ENTRADA",Movimientos!$R$2:$R$1998,0)),"-")</f>
        <v>-</v>
      </c>
      <c r="H225" s="17" t="str">
        <f>IFERROR(IF(INDEX(Movimientos!$M$2:$M$1998,MATCH(A225&amp;"ENTRADA",Movimientos!$R$2:$R$1998,0))=0,"S/D",INDEX(Movimientos!$M$2:$M$1998,MATCH(A225&amp;"ENTRADA",Movimientos!$R$2:$R$1998,0))),"S/D")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 ht="14.25">
      <c r="A226" s="16" t="s">
        <v>2391</v>
      </c>
      <c r="B226" s="2" t="str">
        <f>IFERROR(INDEX(Movimientos!$C$2:$C$1998,MATCH(A226&amp;"ENTRADA",Movimientos!$R$2:$R$1998,0)),"-")</f>
        <v>-</v>
      </c>
      <c r="C226" s="2" t="str">
        <f>IFERROR(INDEX(Movimientos!$D$2:$D$1998,MATCH(A226&amp;"ENTRADA",Movimientos!$R$2:$R$1998,0)),"-")</f>
        <v>-</v>
      </c>
      <c r="D226" s="2" t="str">
        <f>IFERROR(INDEX(Movimientos!$E$2:$E$1998,MATCH(A226&amp;"ENTRADA",Movimientos!$R$2:$R$1998,0)),"-")</f>
        <v>-</v>
      </c>
      <c r="E226" s="2" t="str">
        <f>IFERROR(INDEX(Movimientos!$F$2:$F$1998,MATCH(A226&amp;"ENTRADA",Movimientos!$R$2:$R$1998,0)),"-")</f>
        <v>-</v>
      </c>
      <c r="F226" s="2" t="str">
        <f>IFERROR(INDEX(Movimientos!$G$2:$G$1998,MATCH(A226&amp;"ENTRADA",Movimientos!$R$2:$R$1998,0)),"-")</f>
        <v>-</v>
      </c>
      <c r="G226" s="2" t="str">
        <f>IFERROR(INDEX(Movimientos!$L$2:$L$1998,MATCH(A226&amp;"ENTRADA",Movimientos!$R$2:$R$1998,0)),"-")</f>
        <v>-</v>
      </c>
      <c r="H226" s="17" t="str">
        <f>IFERROR(IF(INDEX(Movimientos!$M$2:$M$1998,MATCH(A226&amp;"ENTRADA",Movimientos!$R$2:$R$1998,0))=0,"S/D",INDEX(Movimientos!$M$2:$M$1998,MATCH(A226&amp;"ENTRADA",Movimientos!$R$2:$R$1998,0))),"S/D")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 ht="14.25">
      <c r="A227" s="16" t="s">
        <v>2392</v>
      </c>
      <c r="B227" s="2" t="str">
        <f>IFERROR(INDEX(Movimientos!$C$2:$C$1998,MATCH(A227&amp;"ENTRADA",Movimientos!$R$2:$R$1998,0)),"-")</f>
        <v>-</v>
      </c>
      <c r="C227" s="2" t="str">
        <f>IFERROR(INDEX(Movimientos!$D$2:$D$1998,MATCH(A227&amp;"ENTRADA",Movimientos!$R$2:$R$1998,0)),"-")</f>
        <v>-</v>
      </c>
      <c r="D227" s="2" t="str">
        <f>IFERROR(INDEX(Movimientos!$E$2:$E$1998,MATCH(A227&amp;"ENTRADA",Movimientos!$R$2:$R$1998,0)),"-")</f>
        <v>-</v>
      </c>
      <c r="E227" s="2" t="str">
        <f>IFERROR(INDEX(Movimientos!$F$2:$F$1998,MATCH(A227&amp;"ENTRADA",Movimientos!$R$2:$R$1998,0)),"-")</f>
        <v>-</v>
      </c>
      <c r="F227" s="2" t="str">
        <f>IFERROR(INDEX(Movimientos!$G$2:$G$1998,MATCH(A227&amp;"ENTRADA",Movimientos!$R$2:$R$1998,0)),"-")</f>
        <v>-</v>
      </c>
      <c r="G227" s="2" t="str">
        <f>IFERROR(INDEX(Movimientos!$L$2:$L$1998,MATCH(A227&amp;"ENTRADA",Movimientos!$R$2:$R$1998,0)),"-")</f>
        <v>-</v>
      </c>
      <c r="H227" s="17" t="str">
        <f>IFERROR(IF(INDEX(Movimientos!$M$2:$M$1998,MATCH(A227&amp;"ENTRADA",Movimientos!$R$2:$R$1998,0))=0,"S/D",INDEX(Movimientos!$M$2:$M$1998,MATCH(A227&amp;"ENTRADA",Movimientos!$R$2:$R$1998,0))),"S/D")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 ht="14.25">
      <c r="A228" s="16" t="s">
        <v>2393</v>
      </c>
      <c r="B228" s="2" t="str">
        <f>IFERROR(INDEX(Movimientos!$C$2:$C$1998,MATCH(A228&amp;"ENTRADA",Movimientos!$R$2:$R$1998,0)),"-")</f>
        <v>-</v>
      </c>
      <c r="C228" s="2" t="str">
        <f>IFERROR(INDEX(Movimientos!$D$2:$D$1998,MATCH(A228&amp;"ENTRADA",Movimientos!$R$2:$R$1998,0)),"-")</f>
        <v>-</v>
      </c>
      <c r="D228" s="2" t="str">
        <f>IFERROR(INDEX(Movimientos!$E$2:$E$1998,MATCH(A228&amp;"ENTRADA",Movimientos!$R$2:$R$1998,0)),"-")</f>
        <v>-</v>
      </c>
      <c r="E228" s="2" t="str">
        <f>IFERROR(INDEX(Movimientos!$F$2:$F$1998,MATCH(A228&amp;"ENTRADA",Movimientos!$R$2:$R$1998,0)),"-")</f>
        <v>-</v>
      </c>
      <c r="F228" s="2" t="str">
        <f>IFERROR(INDEX(Movimientos!$G$2:$G$1998,MATCH(A228&amp;"ENTRADA",Movimientos!$R$2:$R$1998,0)),"-")</f>
        <v>-</v>
      </c>
      <c r="G228" s="2" t="str">
        <f>IFERROR(INDEX(Movimientos!$L$2:$L$1998,MATCH(A228&amp;"ENTRADA",Movimientos!$R$2:$R$1998,0)),"-")</f>
        <v>-</v>
      </c>
      <c r="H228" s="17" t="str">
        <f>IFERROR(IF(INDEX(Movimientos!$M$2:$M$1998,MATCH(A228&amp;"ENTRADA",Movimientos!$R$2:$R$1998,0))=0,"S/D",INDEX(Movimientos!$M$2:$M$1998,MATCH(A228&amp;"ENTRADA",Movimientos!$R$2:$R$1998,0))),"S/D")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 ht="14.25">
      <c r="A229" s="16" t="s">
        <v>2394</v>
      </c>
      <c r="B229" s="2" t="str">
        <f>IFERROR(INDEX(Movimientos!$C$2:$C$1998,MATCH(A229&amp;"ENTRADA",Movimientos!$R$2:$R$1998,0)),"-")</f>
        <v>-</v>
      </c>
      <c r="C229" s="2" t="str">
        <f>IFERROR(INDEX(Movimientos!$D$2:$D$1998,MATCH(A229&amp;"ENTRADA",Movimientos!$R$2:$R$1998,0)),"-")</f>
        <v>-</v>
      </c>
      <c r="D229" s="2" t="str">
        <f>IFERROR(INDEX(Movimientos!$E$2:$E$1998,MATCH(A229&amp;"ENTRADA",Movimientos!$R$2:$R$1998,0)),"-")</f>
        <v>-</v>
      </c>
      <c r="E229" s="2" t="str">
        <f>IFERROR(INDEX(Movimientos!$F$2:$F$1998,MATCH(A229&amp;"ENTRADA",Movimientos!$R$2:$R$1998,0)),"-")</f>
        <v>-</v>
      </c>
      <c r="F229" s="2" t="str">
        <f>IFERROR(INDEX(Movimientos!$G$2:$G$1998,MATCH(A229&amp;"ENTRADA",Movimientos!$R$2:$R$1998,0)),"-")</f>
        <v>-</v>
      </c>
      <c r="G229" s="2" t="str">
        <f>IFERROR(INDEX(Movimientos!$L$2:$L$1998,MATCH(A229&amp;"ENTRADA",Movimientos!$R$2:$R$1998,0)),"-")</f>
        <v>-</v>
      </c>
      <c r="H229" s="17" t="str">
        <f>IFERROR(IF(INDEX(Movimientos!$M$2:$M$1998,MATCH(A229&amp;"ENTRADA",Movimientos!$R$2:$R$1998,0))=0,"S/D",INDEX(Movimientos!$M$2:$M$1998,MATCH(A229&amp;"ENTRADA",Movimientos!$R$2:$R$1998,0))),"S/D")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 ht="14.25">
      <c r="A230" s="16" t="s">
        <v>2395</v>
      </c>
      <c r="B230" s="2" t="str">
        <f>IFERROR(INDEX(Movimientos!$C$2:$C$1998,MATCH(A230&amp;"ENTRADA",Movimientos!$R$2:$R$1998,0)),"-")</f>
        <v>-</v>
      </c>
      <c r="C230" s="2" t="str">
        <f>IFERROR(INDEX(Movimientos!$D$2:$D$1998,MATCH(A230&amp;"ENTRADA",Movimientos!$R$2:$R$1998,0)),"-")</f>
        <v>-</v>
      </c>
      <c r="D230" s="2" t="str">
        <f>IFERROR(INDEX(Movimientos!$E$2:$E$1998,MATCH(A230&amp;"ENTRADA",Movimientos!$R$2:$R$1998,0)),"-")</f>
        <v>-</v>
      </c>
      <c r="E230" s="2" t="str">
        <f>IFERROR(INDEX(Movimientos!$F$2:$F$1998,MATCH(A230&amp;"ENTRADA",Movimientos!$R$2:$R$1998,0)),"-")</f>
        <v>-</v>
      </c>
      <c r="F230" s="2" t="str">
        <f>IFERROR(INDEX(Movimientos!$G$2:$G$1998,MATCH(A230&amp;"ENTRADA",Movimientos!$R$2:$R$1998,0)),"-")</f>
        <v>-</v>
      </c>
      <c r="G230" s="2" t="str">
        <f>IFERROR(INDEX(Movimientos!$L$2:$L$1998,MATCH(A230&amp;"ENTRADA",Movimientos!$R$2:$R$1998,0)),"-")</f>
        <v>-</v>
      </c>
      <c r="H230" s="17" t="str">
        <f>IFERROR(IF(INDEX(Movimientos!$M$2:$M$1998,MATCH(A230&amp;"ENTRADA",Movimientos!$R$2:$R$1998,0))=0,"S/D",INDEX(Movimientos!$M$2:$M$1998,MATCH(A230&amp;"ENTRADA",Movimientos!$R$2:$R$1998,0))),"S/D")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 ht="14.25">
      <c r="A231" s="16" t="s">
        <v>2396</v>
      </c>
      <c r="B231" s="2" t="str">
        <f>IFERROR(INDEX(Movimientos!$C$2:$C$1998,MATCH(A231&amp;"ENTRADA",Movimientos!$R$2:$R$1998,0)),"-")</f>
        <v>-</v>
      </c>
      <c r="C231" s="2" t="str">
        <f>IFERROR(INDEX(Movimientos!$D$2:$D$1998,MATCH(A231&amp;"ENTRADA",Movimientos!$R$2:$R$1998,0)),"-")</f>
        <v>-</v>
      </c>
      <c r="D231" s="2" t="str">
        <f>IFERROR(INDEX(Movimientos!$E$2:$E$1998,MATCH(A231&amp;"ENTRADA",Movimientos!$R$2:$R$1998,0)),"-")</f>
        <v>-</v>
      </c>
      <c r="E231" s="2" t="str">
        <f>IFERROR(INDEX(Movimientos!$F$2:$F$1998,MATCH(A231&amp;"ENTRADA",Movimientos!$R$2:$R$1998,0)),"-")</f>
        <v>-</v>
      </c>
      <c r="F231" s="2" t="str">
        <f>IFERROR(INDEX(Movimientos!$G$2:$G$1998,MATCH(A231&amp;"ENTRADA",Movimientos!$R$2:$R$1998,0)),"-")</f>
        <v>-</v>
      </c>
      <c r="G231" s="2" t="str">
        <f>IFERROR(INDEX(Movimientos!$L$2:$L$1998,MATCH(A231&amp;"ENTRADA",Movimientos!$R$2:$R$1998,0)),"-")</f>
        <v>-</v>
      </c>
      <c r="H231" s="17" t="str">
        <f>IFERROR(IF(INDEX(Movimientos!$M$2:$M$1998,MATCH(A231&amp;"ENTRADA",Movimientos!$R$2:$R$1998,0))=0,"S/D",INDEX(Movimientos!$M$2:$M$1998,MATCH(A231&amp;"ENTRADA",Movimientos!$R$2:$R$1998,0))),"S/D")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 ht="14.25">
      <c r="A232" s="16" t="s">
        <v>2397</v>
      </c>
      <c r="B232" s="2" t="str">
        <f>IFERROR(INDEX(Movimientos!$C$2:$C$1998,MATCH(A232&amp;"ENTRADA",Movimientos!$R$2:$R$1998,0)),"-")</f>
        <v>-</v>
      </c>
      <c r="C232" s="2" t="str">
        <f>IFERROR(INDEX(Movimientos!$D$2:$D$1998,MATCH(A232&amp;"ENTRADA",Movimientos!$R$2:$R$1998,0)),"-")</f>
        <v>-</v>
      </c>
      <c r="D232" s="2" t="str">
        <f>IFERROR(INDEX(Movimientos!$E$2:$E$1998,MATCH(A232&amp;"ENTRADA",Movimientos!$R$2:$R$1998,0)),"-")</f>
        <v>-</v>
      </c>
      <c r="E232" s="2" t="str">
        <f>IFERROR(INDEX(Movimientos!$F$2:$F$1998,MATCH(A232&amp;"ENTRADA",Movimientos!$R$2:$R$1998,0)),"-")</f>
        <v>-</v>
      </c>
      <c r="F232" s="2" t="str">
        <f>IFERROR(INDEX(Movimientos!$G$2:$G$1998,MATCH(A232&amp;"ENTRADA",Movimientos!$R$2:$R$1998,0)),"-")</f>
        <v>-</v>
      </c>
      <c r="G232" s="2" t="str">
        <f>IFERROR(INDEX(Movimientos!$L$2:$L$1998,MATCH(A232&amp;"ENTRADA",Movimientos!$R$2:$R$1998,0)),"-")</f>
        <v>-</v>
      </c>
      <c r="H232" s="17" t="str">
        <f>IFERROR(IF(INDEX(Movimientos!$M$2:$M$1998,MATCH(A232&amp;"ENTRADA",Movimientos!$R$2:$R$1998,0))=0,"S/D",INDEX(Movimientos!$M$2:$M$1998,MATCH(A232&amp;"ENTRADA",Movimientos!$R$2:$R$1998,0))),"S/D")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 ht="14.25">
      <c r="A233" s="16" t="s">
        <v>2398</v>
      </c>
      <c r="B233" s="2" t="str">
        <f>IFERROR(INDEX(Movimientos!$C$2:$C$1998,MATCH(A233&amp;"ENTRADA",Movimientos!$R$2:$R$1998,0)),"-")</f>
        <v>-</v>
      </c>
      <c r="C233" s="2" t="str">
        <f>IFERROR(INDEX(Movimientos!$D$2:$D$1998,MATCH(A233&amp;"ENTRADA",Movimientos!$R$2:$R$1998,0)),"-")</f>
        <v>-</v>
      </c>
      <c r="D233" s="2" t="str">
        <f>IFERROR(INDEX(Movimientos!$E$2:$E$1998,MATCH(A233&amp;"ENTRADA",Movimientos!$R$2:$R$1998,0)),"-")</f>
        <v>-</v>
      </c>
      <c r="E233" s="2" t="str">
        <f>IFERROR(INDEX(Movimientos!$F$2:$F$1998,MATCH(A233&amp;"ENTRADA",Movimientos!$R$2:$R$1998,0)),"-")</f>
        <v>-</v>
      </c>
      <c r="F233" s="2" t="str">
        <f>IFERROR(INDEX(Movimientos!$G$2:$G$1998,MATCH(A233&amp;"ENTRADA",Movimientos!$R$2:$R$1998,0)),"-")</f>
        <v>-</v>
      </c>
      <c r="G233" s="2" t="str">
        <f>IFERROR(INDEX(Movimientos!$L$2:$L$1998,MATCH(A233&amp;"ENTRADA",Movimientos!$R$2:$R$1998,0)),"-")</f>
        <v>-</v>
      </c>
      <c r="H233" s="17" t="str">
        <f>IFERROR(IF(INDEX(Movimientos!$M$2:$M$1998,MATCH(A233&amp;"ENTRADA",Movimientos!$R$2:$R$1998,0))=0,"S/D",INDEX(Movimientos!$M$2:$M$1998,MATCH(A233&amp;"ENTRADA",Movimientos!$R$2:$R$1998,0))),"S/D")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 ht="14.25">
      <c r="A234" s="16" t="s">
        <v>2399</v>
      </c>
      <c r="B234" s="2" t="str">
        <f>IFERROR(INDEX(Movimientos!$C$2:$C$1998,MATCH(A234&amp;"ENTRADA",Movimientos!$R$2:$R$1998,0)),"-")</f>
        <v>-</v>
      </c>
      <c r="C234" s="2" t="str">
        <f>IFERROR(INDEX(Movimientos!$D$2:$D$1998,MATCH(A234&amp;"ENTRADA",Movimientos!$R$2:$R$1998,0)),"-")</f>
        <v>-</v>
      </c>
      <c r="D234" s="2" t="str">
        <f>IFERROR(INDEX(Movimientos!$E$2:$E$1998,MATCH(A234&amp;"ENTRADA",Movimientos!$R$2:$R$1998,0)),"-")</f>
        <v>-</v>
      </c>
      <c r="E234" s="2" t="str">
        <f>IFERROR(INDEX(Movimientos!$F$2:$F$1998,MATCH(A234&amp;"ENTRADA",Movimientos!$R$2:$R$1998,0)),"-")</f>
        <v>-</v>
      </c>
      <c r="F234" s="2" t="str">
        <f>IFERROR(INDEX(Movimientos!$G$2:$G$1998,MATCH(A234&amp;"ENTRADA",Movimientos!$R$2:$R$1998,0)),"-")</f>
        <v>-</v>
      </c>
      <c r="G234" s="2" t="str">
        <f>IFERROR(INDEX(Movimientos!$L$2:$L$1998,MATCH(A234&amp;"ENTRADA",Movimientos!$R$2:$R$1998,0)),"-")</f>
        <v>-</v>
      </c>
      <c r="H234" s="17" t="str">
        <f>IFERROR(IF(INDEX(Movimientos!$M$2:$M$1998,MATCH(A234&amp;"ENTRADA",Movimientos!$R$2:$R$1998,0))=0,"S/D",INDEX(Movimientos!$M$2:$M$1998,MATCH(A234&amp;"ENTRADA",Movimientos!$R$2:$R$1998,0))),"S/D")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 ht="14.25">
      <c r="A235" s="16" t="s">
        <v>2400</v>
      </c>
      <c r="B235" s="2" t="str">
        <f>IFERROR(INDEX(Movimientos!$C$2:$C$1998,MATCH(A235&amp;"ENTRADA",Movimientos!$R$2:$R$1998,0)),"-")</f>
        <v>-</v>
      </c>
      <c r="C235" s="2" t="str">
        <f>IFERROR(INDEX(Movimientos!$D$2:$D$1998,MATCH(A235&amp;"ENTRADA",Movimientos!$R$2:$R$1998,0)),"-")</f>
        <v>-</v>
      </c>
      <c r="D235" s="2" t="str">
        <f>IFERROR(INDEX(Movimientos!$E$2:$E$1998,MATCH(A235&amp;"ENTRADA",Movimientos!$R$2:$R$1998,0)),"-")</f>
        <v>-</v>
      </c>
      <c r="E235" s="2" t="str">
        <f>IFERROR(INDEX(Movimientos!$F$2:$F$1998,MATCH(A235&amp;"ENTRADA",Movimientos!$R$2:$R$1998,0)),"-")</f>
        <v>-</v>
      </c>
      <c r="F235" s="2" t="str">
        <f>IFERROR(INDEX(Movimientos!$G$2:$G$1998,MATCH(A235&amp;"ENTRADA",Movimientos!$R$2:$R$1998,0)),"-")</f>
        <v>-</v>
      </c>
      <c r="G235" s="2" t="str">
        <f>IFERROR(INDEX(Movimientos!$L$2:$L$1998,MATCH(A235&amp;"ENTRADA",Movimientos!$R$2:$R$1998,0)),"-")</f>
        <v>-</v>
      </c>
      <c r="H235" s="17" t="str">
        <f>IFERROR(IF(INDEX(Movimientos!$M$2:$M$1998,MATCH(A235&amp;"ENTRADA",Movimientos!$R$2:$R$1998,0))=0,"S/D",INDEX(Movimientos!$M$2:$M$1998,MATCH(A235&amp;"ENTRADA",Movimientos!$R$2:$R$1998,0))),"S/D")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 ht="14.25">
      <c r="A236" s="16" t="s">
        <v>2401</v>
      </c>
      <c r="B236" s="2" t="str">
        <f>IFERROR(INDEX(Movimientos!$C$2:$C$1998,MATCH(A236&amp;"ENTRADA",Movimientos!$R$2:$R$1998,0)),"-")</f>
        <v>-</v>
      </c>
      <c r="C236" s="2" t="str">
        <f>IFERROR(INDEX(Movimientos!$D$2:$D$1998,MATCH(A236&amp;"ENTRADA",Movimientos!$R$2:$R$1998,0)),"-")</f>
        <v>-</v>
      </c>
      <c r="D236" s="2" t="str">
        <f>IFERROR(INDEX(Movimientos!$E$2:$E$1998,MATCH(A236&amp;"ENTRADA",Movimientos!$R$2:$R$1998,0)),"-")</f>
        <v>-</v>
      </c>
      <c r="E236" s="2" t="str">
        <f>IFERROR(INDEX(Movimientos!$F$2:$F$1998,MATCH(A236&amp;"ENTRADA",Movimientos!$R$2:$R$1998,0)),"-")</f>
        <v>-</v>
      </c>
      <c r="F236" s="2" t="str">
        <f>IFERROR(INDEX(Movimientos!$G$2:$G$1998,MATCH(A236&amp;"ENTRADA",Movimientos!$R$2:$R$1998,0)),"-")</f>
        <v>-</v>
      </c>
      <c r="G236" s="2" t="str">
        <f>IFERROR(INDEX(Movimientos!$L$2:$L$1998,MATCH(A236&amp;"ENTRADA",Movimientos!$R$2:$R$1998,0)),"-")</f>
        <v>-</v>
      </c>
      <c r="H236" s="17" t="str">
        <f>IFERROR(IF(INDEX(Movimientos!$M$2:$M$1998,MATCH(A236&amp;"ENTRADA",Movimientos!$R$2:$R$1998,0))=0,"S/D",INDEX(Movimientos!$M$2:$M$1998,MATCH(A236&amp;"ENTRADA",Movimientos!$R$2:$R$1998,0))),"S/D")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 ht="14.25">
      <c r="A237" s="16" t="s">
        <v>2402</v>
      </c>
      <c r="B237" s="2" t="str">
        <f>IFERROR(INDEX(Movimientos!$C$2:$C$1998,MATCH(A237&amp;"ENTRADA",Movimientos!$R$2:$R$1998,0)),"-")</f>
        <v>-</v>
      </c>
      <c r="C237" s="2" t="str">
        <f>IFERROR(INDEX(Movimientos!$D$2:$D$1998,MATCH(A237&amp;"ENTRADA",Movimientos!$R$2:$R$1998,0)),"-")</f>
        <v>-</v>
      </c>
      <c r="D237" s="2" t="str">
        <f>IFERROR(INDEX(Movimientos!$E$2:$E$1998,MATCH(A237&amp;"ENTRADA",Movimientos!$R$2:$R$1998,0)),"-")</f>
        <v>-</v>
      </c>
      <c r="E237" s="2" t="str">
        <f>IFERROR(INDEX(Movimientos!$F$2:$F$1998,MATCH(A237&amp;"ENTRADA",Movimientos!$R$2:$R$1998,0)),"-")</f>
        <v>-</v>
      </c>
      <c r="F237" s="2" t="str">
        <f>IFERROR(INDEX(Movimientos!$G$2:$G$1998,MATCH(A237&amp;"ENTRADA",Movimientos!$R$2:$R$1998,0)),"-")</f>
        <v>-</v>
      </c>
      <c r="G237" s="2" t="str">
        <f>IFERROR(INDEX(Movimientos!$L$2:$L$1998,MATCH(A237&amp;"ENTRADA",Movimientos!$R$2:$R$1998,0)),"-")</f>
        <v>-</v>
      </c>
      <c r="H237" s="17" t="str">
        <f>IFERROR(IF(INDEX(Movimientos!$M$2:$M$1998,MATCH(A237&amp;"ENTRADA",Movimientos!$R$2:$R$1998,0))=0,"S/D",INDEX(Movimientos!$M$2:$M$1998,MATCH(A237&amp;"ENTRADA",Movimientos!$R$2:$R$1998,0))),"S/D")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 ht="14.25">
      <c r="A238" s="16" t="s">
        <v>2403</v>
      </c>
      <c r="B238" s="2" t="str">
        <f>IFERROR(INDEX(Movimientos!$C$2:$C$1998,MATCH(A238&amp;"ENTRADA",Movimientos!$R$2:$R$1998,0)),"-")</f>
        <v>-</v>
      </c>
      <c r="C238" s="2" t="str">
        <f>IFERROR(INDEX(Movimientos!$D$2:$D$1998,MATCH(A238&amp;"ENTRADA",Movimientos!$R$2:$R$1998,0)),"-")</f>
        <v>-</v>
      </c>
      <c r="D238" s="2" t="str">
        <f>IFERROR(INDEX(Movimientos!$E$2:$E$1998,MATCH(A238&amp;"ENTRADA",Movimientos!$R$2:$R$1998,0)),"-")</f>
        <v>-</v>
      </c>
      <c r="E238" s="2" t="str">
        <f>IFERROR(INDEX(Movimientos!$F$2:$F$1998,MATCH(A238&amp;"ENTRADA",Movimientos!$R$2:$R$1998,0)),"-")</f>
        <v>-</v>
      </c>
      <c r="F238" s="2" t="str">
        <f>IFERROR(INDEX(Movimientos!$G$2:$G$1998,MATCH(A238&amp;"ENTRADA",Movimientos!$R$2:$R$1998,0)),"-")</f>
        <v>-</v>
      </c>
      <c r="G238" s="2" t="str">
        <f>IFERROR(INDEX(Movimientos!$L$2:$L$1998,MATCH(A238&amp;"ENTRADA",Movimientos!$R$2:$R$1998,0)),"-")</f>
        <v>-</v>
      </c>
      <c r="H238" s="17" t="str">
        <f>IFERROR(IF(INDEX(Movimientos!$M$2:$M$1998,MATCH(A238&amp;"ENTRADA",Movimientos!$R$2:$R$1998,0))=0,"S/D",INDEX(Movimientos!$M$2:$M$1998,MATCH(A238&amp;"ENTRADA",Movimientos!$R$2:$R$1998,0))),"S/D")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 ht="14.25">
      <c r="A239" s="16" t="s">
        <v>2404</v>
      </c>
      <c r="B239" s="2" t="str">
        <f>IFERROR(INDEX(Movimientos!$C$2:$C$1998,MATCH(A239&amp;"ENTRADA",Movimientos!$R$2:$R$1998,0)),"-")</f>
        <v>-</v>
      </c>
      <c r="C239" s="2" t="str">
        <f>IFERROR(INDEX(Movimientos!$D$2:$D$1998,MATCH(A239&amp;"ENTRADA",Movimientos!$R$2:$R$1998,0)),"-")</f>
        <v>-</v>
      </c>
      <c r="D239" s="2" t="str">
        <f>IFERROR(INDEX(Movimientos!$E$2:$E$1998,MATCH(A239&amp;"ENTRADA",Movimientos!$R$2:$R$1998,0)),"-")</f>
        <v>-</v>
      </c>
      <c r="E239" s="2" t="str">
        <f>IFERROR(INDEX(Movimientos!$F$2:$F$1998,MATCH(A239&amp;"ENTRADA",Movimientos!$R$2:$R$1998,0)),"-")</f>
        <v>-</v>
      </c>
      <c r="F239" s="2" t="str">
        <f>IFERROR(INDEX(Movimientos!$G$2:$G$1998,MATCH(A239&amp;"ENTRADA",Movimientos!$R$2:$R$1998,0)),"-")</f>
        <v>-</v>
      </c>
      <c r="G239" s="2" t="str">
        <f>IFERROR(INDEX(Movimientos!$L$2:$L$1998,MATCH(A239&amp;"ENTRADA",Movimientos!$R$2:$R$1998,0)),"-")</f>
        <v>-</v>
      </c>
      <c r="H239" s="17" t="str">
        <f>IFERROR(IF(INDEX(Movimientos!$M$2:$M$1998,MATCH(A239&amp;"ENTRADA",Movimientos!$R$2:$R$1998,0))=0,"S/D",INDEX(Movimientos!$M$2:$M$1998,MATCH(A239&amp;"ENTRADA",Movimientos!$R$2:$R$1998,0))),"S/D")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 ht="14.25">
      <c r="A240" s="16" t="s">
        <v>2405</v>
      </c>
      <c r="B240" s="2" t="str">
        <f>IFERROR(INDEX(Movimientos!$C$2:$C$1998,MATCH(A240&amp;"ENTRADA",Movimientos!$R$2:$R$1998,0)),"-")</f>
        <v>-</v>
      </c>
      <c r="C240" s="2" t="str">
        <f>IFERROR(INDEX(Movimientos!$D$2:$D$1998,MATCH(A240&amp;"ENTRADA",Movimientos!$R$2:$R$1998,0)),"-")</f>
        <v>-</v>
      </c>
      <c r="D240" s="2" t="str">
        <f>IFERROR(INDEX(Movimientos!$E$2:$E$1998,MATCH(A240&amp;"ENTRADA",Movimientos!$R$2:$R$1998,0)),"-")</f>
        <v>-</v>
      </c>
      <c r="E240" s="2" t="str">
        <f>IFERROR(INDEX(Movimientos!$F$2:$F$1998,MATCH(A240&amp;"ENTRADA",Movimientos!$R$2:$R$1998,0)),"-")</f>
        <v>-</v>
      </c>
      <c r="F240" s="2" t="str">
        <f>IFERROR(INDEX(Movimientos!$G$2:$G$1998,MATCH(A240&amp;"ENTRADA",Movimientos!$R$2:$R$1998,0)),"-")</f>
        <v>-</v>
      </c>
      <c r="G240" s="2" t="str">
        <f>IFERROR(INDEX(Movimientos!$L$2:$L$1998,MATCH(A240&amp;"ENTRADA",Movimientos!$R$2:$R$1998,0)),"-")</f>
        <v>-</v>
      </c>
      <c r="H240" s="17" t="str">
        <f>IFERROR(IF(INDEX(Movimientos!$M$2:$M$1998,MATCH(A240&amp;"ENTRADA",Movimientos!$R$2:$R$1998,0))=0,"S/D",INDEX(Movimientos!$M$2:$M$1998,MATCH(A240&amp;"ENTRADA",Movimientos!$R$2:$R$1998,0))),"S/D")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 ht="14.25">
      <c r="A241" s="16" t="s">
        <v>2406</v>
      </c>
      <c r="B241" s="2" t="str">
        <f>IFERROR(INDEX(Movimientos!$C$2:$C$1998,MATCH(A241&amp;"ENTRADA",Movimientos!$R$2:$R$1998,0)),"-")</f>
        <v>-</v>
      </c>
      <c r="C241" s="2" t="str">
        <f>IFERROR(INDEX(Movimientos!$D$2:$D$1998,MATCH(A241&amp;"ENTRADA",Movimientos!$R$2:$R$1998,0)),"-")</f>
        <v>-</v>
      </c>
      <c r="D241" s="2" t="str">
        <f>IFERROR(INDEX(Movimientos!$E$2:$E$1998,MATCH(A241&amp;"ENTRADA",Movimientos!$R$2:$R$1998,0)),"-")</f>
        <v>-</v>
      </c>
      <c r="E241" s="2" t="str">
        <f>IFERROR(INDEX(Movimientos!$F$2:$F$1998,MATCH(A241&amp;"ENTRADA",Movimientos!$R$2:$R$1998,0)),"-")</f>
        <v>-</v>
      </c>
      <c r="F241" s="2" t="str">
        <f>IFERROR(INDEX(Movimientos!$G$2:$G$1998,MATCH(A241&amp;"ENTRADA",Movimientos!$R$2:$R$1998,0)),"-")</f>
        <v>-</v>
      </c>
      <c r="G241" s="2" t="str">
        <f>IFERROR(INDEX(Movimientos!$L$2:$L$1998,MATCH(A241&amp;"ENTRADA",Movimientos!$R$2:$R$1998,0)),"-")</f>
        <v>-</v>
      </c>
      <c r="H241" s="17" t="str">
        <f>IFERROR(IF(INDEX(Movimientos!$M$2:$M$1998,MATCH(A241&amp;"ENTRADA",Movimientos!$R$2:$R$1998,0))=0,"S/D",INDEX(Movimientos!$M$2:$M$1998,MATCH(A241&amp;"ENTRADA",Movimientos!$R$2:$R$1998,0))),"S/D")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 ht="14.25">
      <c r="A242" s="16" t="s">
        <v>2407</v>
      </c>
      <c r="B242" s="2" t="str">
        <f>IFERROR(INDEX(Movimientos!$C$2:$C$1998,MATCH(A242&amp;"ENTRADA",Movimientos!$R$2:$R$1998,0)),"-")</f>
        <v>-</v>
      </c>
      <c r="C242" s="2" t="str">
        <f>IFERROR(INDEX(Movimientos!$D$2:$D$1998,MATCH(A242&amp;"ENTRADA",Movimientos!$R$2:$R$1998,0)),"-")</f>
        <v>-</v>
      </c>
      <c r="D242" s="2" t="str">
        <f>IFERROR(INDEX(Movimientos!$E$2:$E$1998,MATCH(A242&amp;"ENTRADA",Movimientos!$R$2:$R$1998,0)),"-")</f>
        <v>-</v>
      </c>
      <c r="E242" s="2" t="str">
        <f>IFERROR(INDEX(Movimientos!$F$2:$F$1998,MATCH(A242&amp;"ENTRADA",Movimientos!$R$2:$R$1998,0)),"-")</f>
        <v>-</v>
      </c>
      <c r="F242" s="2" t="str">
        <f>IFERROR(INDEX(Movimientos!$G$2:$G$1998,MATCH(A242&amp;"ENTRADA",Movimientos!$R$2:$R$1998,0)),"-")</f>
        <v>-</v>
      </c>
      <c r="G242" s="2" t="str">
        <f>IFERROR(INDEX(Movimientos!$L$2:$L$1998,MATCH(A242&amp;"ENTRADA",Movimientos!$R$2:$R$1998,0)),"-")</f>
        <v>-</v>
      </c>
      <c r="H242" s="17" t="str">
        <f>IFERROR(IF(INDEX(Movimientos!$M$2:$M$1998,MATCH(A242&amp;"ENTRADA",Movimientos!$R$2:$R$1998,0))=0,"S/D",INDEX(Movimientos!$M$2:$M$1998,MATCH(A242&amp;"ENTRADA",Movimientos!$R$2:$R$1998,0))),"S/D")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 ht="14.25">
      <c r="A243" s="16" t="s">
        <v>2408</v>
      </c>
      <c r="B243" s="2" t="str">
        <f>IFERROR(INDEX(Movimientos!$C$2:$C$1998,MATCH(A243&amp;"ENTRADA",Movimientos!$R$2:$R$1998,0)),"-")</f>
        <v>-</v>
      </c>
      <c r="C243" s="2" t="str">
        <f>IFERROR(INDEX(Movimientos!$D$2:$D$1998,MATCH(A243&amp;"ENTRADA",Movimientos!$R$2:$R$1998,0)),"-")</f>
        <v>-</v>
      </c>
      <c r="D243" s="2" t="str">
        <f>IFERROR(INDEX(Movimientos!$E$2:$E$1998,MATCH(A243&amp;"ENTRADA",Movimientos!$R$2:$R$1998,0)),"-")</f>
        <v>-</v>
      </c>
      <c r="E243" s="2" t="str">
        <f>IFERROR(INDEX(Movimientos!$F$2:$F$1998,MATCH(A243&amp;"ENTRADA",Movimientos!$R$2:$R$1998,0)),"-")</f>
        <v>-</v>
      </c>
      <c r="F243" s="2" t="str">
        <f>IFERROR(INDEX(Movimientos!$G$2:$G$1998,MATCH(A243&amp;"ENTRADA",Movimientos!$R$2:$R$1998,0)),"-")</f>
        <v>-</v>
      </c>
      <c r="G243" s="2" t="str">
        <f>IFERROR(INDEX(Movimientos!$L$2:$L$1998,MATCH(A243&amp;"ENTRADA",Movimientos!$R$2:$R$1998,0)),"-")</f>
        <v>-</v>
      </c>
      <c r="H243" s="17" t="str">
        <f>IFERROR(IF(INDEX(Movimientos!$M$2:$M$1998,MATCH(A243&amp;"ENTRADA",Movimientos!$R$2:$R$1998,0))=0,"S/D",INDEX(Movimientos!$M$2:$M$1998,MATCH(A243&amp;"ENTRADA",Movimientos!$R$2:$R$1998,0))),"S/D")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 ht="14.25">
      <c r="A244" s="16" t="s">
        <v>2409</v>
      </c>
      <c r="B244" s="2" t="str">
        <f>IFERROR(INDEX(Movimientos!$C$2:$C$1998,MATCH(A244&amp;"ENTRADA",Movimientos!$R$2:$R$1998,0)),"-")</f>
        <v>-</v>
      </c>
      <c r="C244" s="2" t="str">
        <f>IFERROR(INDEX(Movimientos!$D$2:$D$1998,MATCH(A244&amp;"ENTRADA",Movimientos!$R$2:$R$1998,0)),"-")</f>
        <v>-</v>
      </c>
      <c r="D244" s="2" t="str">
        <f>IFERROR(INDEX(Movimientos!$E$2:$E$1998,MATCH(A244&amp;"ENTRADA",Movimientos!$R$2:$R$1998,0)),"-")</f>
        <v>-</v>
      </c>
      <c r="E244" s="2" t="str">
        <f>IFERROR(INDEX(Movimientos!$F$2:$F$1998,MATCH(A244&amp;"ENTRADA",Movimientos!$R$2:$R$1998,0)),"-")</f>
        <v>-</v>
      </c>
      <c r="F244" s="2" t="str">
        <f>IFERROR(INDEX(Movimientos!$G$2:$G$1998,MATCH(A244&amp;"ENTRADA",Movimientos!$R$2:$R$1998,0)),"-")</f>
        <v>-</v>
      </c>
      <c r="G244" s="2" t="str">
        <f>IFERROR(INDEX(Movimientos!$L$2:$L$1998,MATCH(A244&amp;"ENTRADA",Movimientos!$R$2:$R$1998,0)),"-")</f>
        <v>-</v>
      </c>
      <c r="H244" s="17" t="str">
        <f>IFERROR(IF(INDEX(Movimientos!$M$2:$M$1998,MATCH(A244&amp;"ENTRADA",Movimientos!$R$2:$R$1998,0))=0,"S/D",INDEX(Movimientos!$M$2:$M$1998,MATCH(A244&amp;"ENTRADA",Movimientos!$R$2:$R$1998,0))),"S/D")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 ht="14.25">
      <c r="A245" s="16" t="s">
        <v>2410</v>
      </c>
      <c r="B245" s="2" t="str">
        <f>IFERROR(INDEX(Movimientos!$C$2:$C$1998,MATCH(A245&amp;"ENTRADA",Movimientos!$R$2:$R$1998,0)),"-")</f>
        <v>-</v>
      </c>
      <c r="C245" s="2" t="str">
        <f>IFERROR(INDEX(Movimientos!$D$2:$D$1998,MATCH(A245&amp;"ENTRADA",Movimientos!$R$2:$R$1998,0)),"-")</f>
        <v>-</v>
      </c>
      <c r="D245" s="2" t="str">
        <f>IFERROR(INDEX(Movimientos!$E$2:$E$1998,MATCH(A245&amp;"ENTRADA",Movimientos!$R$2:$R$1998,0)),"-")</f>
        <v>-</v>
      </c>
      <c r="E245" s="2" t="str">
        <f>IFERROR(INDEX(Movimientos!$F$2:$F$1998,MATCH(A245&amp;"ENTRADA",Movimientos!$R$2:$R$1998,0)),"-")</f>
        <v>-</v>
      </c>
      <c r="F245" s="2" t="str">
        <f>IFERROR(INDEX(Movimientos!$G$2:$G$1998,MATCH(A245&amp;"ENTRADA",Movimientos!$R$2:$R$1998,0)),"-")</f>
        <v>-</v>
      </c>
      <c r="G245" s="2" t="str">
        <f>IFERROR(INDEX(Movimientos!$L$2:$L$1998,MATCH(A245&amp;"ENTRADA",Movimientos!$R$2:$R$1998,0)),"-")</f>
        <v>-</v>
      </c>
      <c r="H245" s="17" t="str">
        <f>IFERROR(IF(INDEX(Movimientos!$M$2:$M$1998,MATCH(A245&amp;"ENTRADA",Movimientos!$R$2:$R$1998,0))=0,"S/D",INDEX(Movimientos!$M$2:$M$1998,MATCH(A245&amp;"ENTRADA",Movimientos!$R$2:$R$1998,0))),"S/D")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 ht="14.25">
      <c r="A246" s="16" t="s">
        <v>2411</v>
      </c>
      <c r="B246" s="2" t="str">
        <f>IFERROR(INDEX(Movimientos!$C$2:$C$1998,MATCH(A246&amp;"ENTRADA",Movimientos!$R$2:$R$1998,0)),"-")</f>
        <v>-</v>
      </c>
      <c r="C246" s="2" t="str">
        <f>IFERROR(INDEX(Movimientos!$D$2:$D$1998,MATCH(A246&amp;"ENTRADA",Movimientos!$R$2:$R$1998,0)),"-")</f>
        <v>-</v>
      </c>
      <c r="D246" s="2" t="str">
        <f>IFERROR(INDEX(Movimientos!$E$2:$E$1998,MATCH(A246&amp;"ENTRADA",Movimientos!$R$2:$R$1998,0)),"-")</f>
        <v>-</v>
      </c>
      <c r="E246" s="2" t="str">
        <f>IFERROR(INDEX(Movimientos!$F$2:$F$1998,MATCH(A246&amp;"ENTRADA",Movimientos!$R$2:$R$1998,0)),"-")</f>
        <v>-</v>
      </c>
      <c r="F246" s="2" t="str">
        <f>IFERROR(INDEX(Movimientos!$G$2:$G$1998,MATCH(A246&amp;"ENTRADA",Movimientos!$R$2:$R$1998,0)),"-")</f>
        <v>-</v>
      </c>
      <c r="G246" s="2" t="str">
        <f>IFERROR(INDEX(Movimientos!$L$2:$L$1998,MATCH(A246&amp;"ENTRADA",Movimientos!$R$2:$R$1998,0)),"-")</f>
        <v>-</v>
      </c>
      <c r="H246" s="17" t="str">
        <f>IFERROR(IF(INDEX(Movimientos!$M$2:$M$1998,MATCH(A246&amp;"ENTRADA",Movimientos!$R$2:$R$1998,0))=0,"S/D",INDEX(Movimientos!$M$2:$M$1998,MATCH(A246&amp;"ENTRADA",Movimientos!$R$2:$R$1998,0))),"S/D")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 ht="14.25">
      <c r="A247" s="16" t="s">
        <v>2412</v>
      </c>
      <c r="B247" s="2" t="str">
        <f>IFERROR(INDEX(Movimientos!$C$2:$C$1998,MATCH(A247&amp;"ENTRADA",Movimientos!$R$2:$R$1998,0)),"-")</f>
        <v>-</v>
      </c>
      <c r="C247" s="2" t="str">
        <f>IFERROR(INDEX(Movimientos!$D$2:$D$1998,MATCH(A247&amp;"ENTRADA",Movimientos!$R$2:$R$1998,0)),"-")</f>
        <v>-</v>
      </c>
      <c r="D247" s="2" t="str">
        <f>IFERROR(INDEX(Movimientos!$E$2:$E$1998,MATCH(A247&amp;"ENTRADA",Movimientos!$R$2:$R$1998,0)),"-")</f>
        <v>-</v>
      </c>
      <c r="E247" s="2" t="str">
        <f>IFERROR(INDEX(Movimientos!$F$2:$F$1998,MATCH(A247&amp;"ENTRADA",Movimientos!$R$2:$R$1998,0)),"-")</f>
        <v>-</v>
      </c>
      <c r="F247" s="2" t="str">
        <f>IFERROR(INDEX(Movimientos!$G$2:$G$1998,MATCH(A247&amp;"ENTRADA",Movimientos!$R$2:$R$1998,0)),"-")</f>
        <v>-</v>
      </c>
      <c r="G247" s="2" t="str">
        <f>IFERROR(INDEX(Movimientos!$L$2:$L$1998,MATCH(A247&amp;"ENTRADA",Movimientos!$R$2:$R$1998,0)),"-")</f>
        <v>-</v>
      </c>
      <c r="H247" s="17" t="str">
        <f>IFERROR(IF(INDEX(Movimientos!$M$2:$M$1998,MATCH(A247&amp;"ENTRADA",Movimientos!$R$2:$R$1998,0))=0,"S/D",INDEX(Movimientos!$M$2:$M$1998,MATCH(A247&amp;"ENTRADA",Movimientos!$R$2:$R$1998,0))),"S/D")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 ht="14.25">
      <c r="A248" s="16" t="s">
        <v>2413</v>
      </c>
      <c r="B248" s="2" t="str">
        <f>IFERROR(INDEX(Movimientos!$C$2:$C$1998,MATCH(A248&amp;"ENTRADA",Movimientos!$R$2:$R$1998,0)),"-")</f>
        <v>-</v>
      </c>
      <c r="C248" s="2" t="str">
        <f>IFERROR(INDEX(Movimientos!$D$2:$D$1998,MATCH(A248&amp;"ENTRADA",Movimientos!$R$2:$R$1998,0)),"-")</f>
        <v>-</v>
      </c>
      <c r="D248" s="2" t="str">
        <f>IFERROR(INDEX(Movimientos!$E$2:$E$1998,MATCH(A248&amp;"ENTRADA",Movimientos!$R$2:$R$1998,0)),"-")</f>
        <v>-</v>
      </c>
      <c r="E248" s="2" t="str">
        <f>IFERROR(INDEX(Movimientos!$F$2:$F$1998,MATCH(A248&amp;"ENTRADA",Movimientos!$R$2:$R$1998,0)),"-")</f>
        <v>-</v>
      </c>
      <c r="F248" s="2" t="str">
        <f>IFERROR(INDEX(Movimientos!$G$2:$G$1998,MATCH(A248&amp;"ENTRADA",Movimientos!$R$2:$R$1998,0)),"-")</f>
        <v>-</v>
      </c>
      <c r="G248" s="2" t="str">
        <f>IFERROR(INDEX(Movimientos!$L$2:$L$1998,MATCH(A248&amp;"ENTRADA",Movimientos!$R$2:$R$1998,0)),"-")</f>
        <v>-</v>
      </c>
      <c r="H248" s="17" t="str">
        <f>IFERROR(IF(INDEX(Movimientos!$M$2:$M$1998,MATCH(A248&amp;"ENTRADA",Movimientos!$R$2:$R$1998,0))=0,"S/D",INDEX(Movimientos!$M$2:$M$1998,MATCH(A248&amp;"ENTRADA",Movimientos!$R$2:$R$1998,0))),"S/D")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 ht="14.25">
      <c r="A249" s="16" t="s">
        <v>2414</v>
      </c>
      <c r="B249" s="2" t="str">
        <f>IFERROR(INDEX(Movimientos!$C$2:$C$1998,MATCH(A249&amp;"ENTRADA",Movimientos!$R$2:$R$1998,0)),"-")</f>
        <v>-</v>
      </c>
      <c r="C249" s="2" t="str">
        <f>IFERROR(INDEX(Movimientos!$D$2:$D$1998,MATCH(A249&amp;"ENTRADA",Movimientos!$R$2:$R$1998,0)),"-")</f>
        <v>-</v>
      </c>
      <c r="D249" s="2" t="str">
        <f>IFERROR(INDEX(Movimientos!$E$2:$E$1998,MATCH(A249&amp;"ENTRADA",Movimientos!$R$2:$R$1998,0)),"-")</f>
        <v>-</v>
      </c>
      <c r="E249" s="2" t="str">
        <f>IFERROR(INDEX(Movimientos!$F$2:$F$1998,MATCH(A249&amp;"ENTRADA",Movimientos!$R$2:$R$1998,0)),"-")</f>
        <v>-</v>
      </c>
      <c r="F249" s="2" t="str">
        <f>IFERROR(INDEX(Movimientos!$G$2:$G$1998,MATCH(A249&amp;"ENTRADA",Movimientos!$R$2:$R$1998,0)),"-")</f>
        <v>-</v>
      </c>
      <c r="G249" s="2" t="str">
        <f>IFERROR(INDEX(Movimientos!$L$2:$L$1998,MATCH(A249&amp;"ENTRADA",Movimientos!$R$2:$R$1998,0)),"-")</f>
        <v>-</v>
      </c>
      <c r="H249" s="17" t="str">
        <f>IFERROR(IF(INDEX(Movimientos!$M$2:$M$1998,MATCH(A249&amp;"ENTRADA",Movimientos!$R$2:$R$1998,0))=0,"S/D",INDEX(Movimientos!$M$2:$M$1998,MATCH(A249&amp;"ENTRADA",Movimientos!$R$2:$R$1998,0))),"S/D")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 ht="14.25">
      <c r="A250" s="16" t="s">
        <v>2415</v>
      </c>
      <c r="B250" s="2" t="str">
        <f>IFERROR(INDEX(Movimientos!$C$2:$C$1998,MATCH(A250&amp;"ENTRADA",Movimientos!$R$2:$R$1998,0)),"-")</f>
        <v>-</v>
      </c>
      <c r="C250" s="2" t="str">
        <f>IFERROR(INDEX(Movimientos!$D$2:$D$1998,MATCH(A250&amp;"ENTRADA",Movimientos!$R$2:$R$1998,0)),"-")</f>
        <v>-</v>
      </c>
      <c r="D250" s="2" t="str">
        <f>IFERROR(INDEX(Movimientos!$E$2:$E$1998,MATCH(A250&amp;"ENTRADA",Movimientos!$R$2:$R$1998,0)),"-")</f>
        <v>-</v>
      </c>
      <c r="E250" s="2" t="str">
        <f>IFERROR(INDEX(Movimientos!$F$2:$F$1998,MATCH(A250&amp;"ENTRADA",Movimientos!$R$2:$R$1998,0)),"-")</f>
        <v>-</v>
      </c>
      <c r="F250" s="2" t="str">
        <f>IFERROR(INDEX(Movimientos!$G$2:$G$1998,MATCH(A250&amp;"ENTRADA",Movimientos!$R$2:$R$1998,0)),"-")</f>
        <v>-</v>
      </c>
      <c r="G250" s="2" t="str">
        <f>IFERROR(INDEX(Movimientos!$L$2:$L$1998,MATCH(A250&amp;"ENTRADA",Movimientos!$R$2:$R$1998,0)),"-")</f>
        <v>-</v>
      </c>
      <c r="H250" s="17" t="str">
        <f>IFERROR(IF(INDEX(Movimientos!$M$2:$M$1998,MATCH(A250&amp;"ENTRADA",Movimientos!$R$2:$R$1998,0))=0,"S/D",INDEX(Movimientos!$M$2:$M$1998,MATCH(A250&amp;"ENTRADA",Movimientos!$R$2:$R$1998,0))),"S/D")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 ht="14.25">
      <c r="A251" s="16" t="s">
        <v>2416</v>
      </c>
      <c r="B251" s="2" t="str">
        <f>IFERROR(INDEX(Movimientos!$C$2:$C$1998,MATCH(A251&amp;"ENTRADA",Movimientos!$R$2:$R$1998,0)),"-")</f>
        <v>-</v>
      </c>
      <c r="C251" s="2" t="str">
        <f>IFERROR(INDEX(Movimientos!$D$2:$D$1998,MATCH(A251&amp;"ENTRADA",Movimientos!$R$2:$R$1998,0)),"-")</f>
        <v>-</v>
      </c>
      <c r="D251" s="2" t="str">
        <f>IFERROR(INDEX(Movimientos!$E$2:$E$1998,MATCH(A251&amp;"ENTRADA",Movimientos!$R$2:$R$1998,0)),"-")</f>
        <v>-</v>
      </c>
      <c r="E251" s="2" t="str">
        <f>IFERROR(INDEX(Movimientos!$F$2:$F$1998,MATCH(A251&amp;"ENTRADA",Movimientos!$R$2:$R$1998,0)),"-")</f>
        <v>-</v>
      </c>
      <c r="F251" s="2" t="str">
        <f>IFERROR(INDEX(Movimientos!$G$2:$G$1998,MATCH(A251&amp;"ENTRADA",Movimientos!$R$2:$R$1998,0)),"-")</f>
        <v>-</v>
      </c>
      <c r="G251" s="2" t="str">
        <f>IFERROR(INDEX(Movimientos!$L$2:$L$1998,MATCH(A251&amp;"ENTRADA",Movimientos!$R$2:$R$1998,0)),"-")</f>
        <v>-</v>
      </c>
      <c r="H251" s="17" t="str">
        <f>IFERROR(IF(INDEX(Movimientos!$M$2:$M$1998,MATCH(A251&amp;"ENTRADA",Movimientos!$R$2:$R$1998,0))=0,"S/D",INDEX(Movimientos!$M$2:$M$1998,MATCH(A251&amp;"ENTRADA",Movimientos!$R$2:$R$1998,0))),"S/D")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 ht="14.25">
      <c r="A252" s="16" t="s">
        <v>2417</v>
      </c>
      <c r="B252" s="2" t="str">
        <f>IFERROR(INDEX(Movimientos!$C$2:$C$1998,MATCH(A252&amp;"ENTRADA",Movimientos!$R$2:$R$1998,0)),"-")</f>
        <v>-</v>
      </c>
      <c r="C252" s="2" t="str">
        <f>IFERROR(INDEX(Movimientos!$D$2:$D$1998,MATCH(A252&amp;"ENTRADA",Movimientos!$R$2:$R$1998,0)),"-")</f>
        <v>-</v>
      </c>
      <c r="D252" s="2" t="str">
        <f>IFERROR(INDEX(Movimientos!$E$2:$E$1998,MATCH(A252&amp;"ENTRADA",Movimientos!$R$2:$R$1998,0)),"-")</f>
        <v>-</v>
      </c>
      <c r="E252" s="2" t="str">
        <f>IFERROR(INDEX(Movimientos!$F$2:$F$1998,MATCH(A252&amp;"ENTRADA",Movimientos!$R$2:$R$1998,0)),"-")</f>
        <v>-</v>
      </c>
      <c r="F252" s="2" t="str">
        <f>IFERROR(INDEX(Movimientos!$G$2:$G$1998,MATCH(A252&amp;"ENTRADA",Movimientos!$R$2:$R$1998,0)),"-")</f>
        <v>-</v>
      </c>
      <c r="G252" s="2" t="str">
        <f>IFERROR(INDEX(Movimientos!$L$2:$L$1998,MATCH(A252&amp;"ENTRADA",Movimientos!$R$2:$R$1998,0)),"-")</f>
        <v>-</v>
      </c>
      <c r="H252" s="17" t="str">
        <f>IFERROR(IF(INDEX(Movimientos!$M$2:$M$1998,MATCH(A252&amp;"ENTRADA",Movimientos!$R$2:$R$1998,0))=0,"S/D",INDEX(Movimientos!$M$2:$M$1998,MATCH(A252&amp;"ENTRADA",Movimientos!$R$2:$R$1998,0))),"S/D")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 ht="14.25">
      <c r="A253" s="16" t="s">
        <v>2418</v>
      </c>
      <c r="B253" s="2" t="str">
        <f>IFERROR(INDEX(Movimientos!$C$2:$C$1998,MATCH(A253&amp;"ENTRADA",Movimientos!$R$2:$R$1998,0)),"-")</f>
        <v>-</v>
      </c>
      <c r="C253" s="2" t="str">
        <f>IFERROR(INDEX(Movimientos!$D$2:$D$1998,MATCH(A253&amp;"ENTRADA",Movimientos!$R$2:$R$1998,0)),"-")</f>
        <v>-</v>
      </c>
      <c r="D253" s="2" t="str">
        <f>IFERROR(INDEX(Movimientos!$E$2:$E$1998,MATCH(A253&amp;"ENTRADA",Movimientos!$R$2:$R$1998,0)),"-")</f>
        <v>-</v>
      </c>
      <c r="E253" s="2" t="str">
        <f>IFERROR(INDEX(Movimientos!$F$2:$F$1998,MATCH(A253&amp;"ENTRADA",Movimientos!$R$2:$R$1998,0)),"-")</f>
        <v>-</v>
      </c>
      <c r="F253" s="2" t="str">
        <f>IFERROR(INDEX(Movimientos!$G$2:$G$1998,MATCH(A253&amp;"ENTRADA",Movimientos!$R$2:$R$1998,0)),"-")</f>
        <v>-</v>
      </c>
      <c r="G253" s="2" t="str">
        <f>IFERROR(INDEX(Movimientos!$L$2:$L$1998,MATCH(A253&amp;"ENTRADA",Movimientos!$R$2:$R$1998,0)),"-")</f>
        <v>-</v>
      </c>
      <c r="H253" s="17" t="str">
        <f>IFERROR(IF(INDEX(Movimientos!$M$2:$M$1998,MATCH(A253&amp;"ENTRADA",Movimientos!$R$2:$R$1998,0))=0,"S/D",INDEX(Movimientos!$M$2:$M$1998,MATCH(A253&amp;"ENTRADA",Movimientos!$R$2:$R$1998,0))),"S/D")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 ht="14.25">
      <c r="A254" s="16" t="s">
        <v>2419</v>
      </c>
      <c r="B254" s="2" t="str">
        <f>IFERROR(INDEX(Movimientos!$C$2:$C$1998,MATCH(A254&amp;"ENTRADA",Movimientos!$R$2:$R$1998,0)),"-")</f>
        <v>-</v>
      </c>
      <c r="C254" s="2" t="str">
        <f>IFERROR(INDEX(Movimientos!$D$2:$D$1998,MATCH(A254&amp;"ENTRADA",Movimientos!$R$2:$R$1998,0)),"-")</f>
        <v>-</v>
      </c>
      <c r="D254" s="2" t="str">
        <f>IFERROR(INDEX(Movimientos!$E$2:$E$1998,MATCH(A254&amp;"ENTRADA",Movimientos!$R$2:$R$1998,0)),"-")</f>
        <v>-</v>
      </c>
      <c r="E254" s="2" t="str">
        <f>IFERROR(INDEX(Movimientos!$F$2:$F$1998,MATCH(A254&amp;"ENTRADA",Movimientos!$R$2:$R$1998,0)),"-")</f>
        <v>-</v>
      </c>
      <c r="F254" s="2" t="str">
        <f>IFERROR(INDEX(Movimientos!$G$2:$G$1998,MATCH(A254&amp;"ENTRADA",Movimientos!$R$2:$R$1998,0)),"-")</f>
        <v>-</v>
      </c>
      <c r="G254" s="2" t="str">
        <f>IFERROR(INDEX(Movimientos!$L$2:$L$1998,MATCH(A254&amp;"ENTRADA",Movimientos!$R$2:$R$1998,0)),"-")</f>
        <v>-</v>
      </c>
      <c r="H254" s="17" t="str">
        <f>IFERROR(IF(INDEX(Movimientos!$M$2:$M$1998,MATCH(A254&amp;"ENTRADA",Movimientos!$R$2:$R$1998,0))=0,"S/D",INDEX(Movimientos!$M$2:$M$1998,MATCH(A254&amp;"ENTRADA",Movimientos!$R$2:$R$1998,0))),"S/D")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 ht="14.25">
      <c r="A255" s="16" t="s">
        <v>2420</v>
      </c>
      <c r="B255" s="2" t="str">
        <f>IFERROR(INDEX(Movimientos!$C$2:$C$1998,MATCH(A255&amp;"ENTRADA",Movimientos!$R$2:$R$1998,0)),"-")</f>
        <v>-</v>
      </c>
      <c r="C255" s="2" t="str">
        <f>IFERROR(INDEX(Movimientos!$D$2:$D$1998,MATCH(A255&amp;"ENTRADA",Movimientos!$R$2:$R$1998,0)),"-")</f>
        <v>-</v>
      </c>
      <c r="D255" s="2" t="str">
        <f>IFERROR(INDEX(Movimientos!$E$2:$E$1998,MATCH(A255&amp;"ENTRADA",Movimientos!$R$2:$R$1998,0)),"-")</f>
        <v>-</v>
      </c>
      <c r="E255" s="2" t="str">
        <f>IFERROR(INDEX(Movimientos!$F$2:$F$1998,MATCH(A255&amp;"ENTRADA",Movimientos!$R$2:$R$1998,0)),"-")</f>
        <v>-</v>
      </c>
      <c r="F255" s="2" t="str">
        <f>IFERROR(INDEX(Movimientos!$G$2:$G$1998,MATCH(A255&amp;"ENTRADA",Movimientos!$R$2:$R$1998,0)),"-")</f>
        <v>-</v>
      </c>
      <c r="G255" s="2" t="str">
        <f>IFERROR(INDEX(Movimientos!$L$2:$L$1998,MATCH(A255&amp;"ENTRADA",Movimientos!$R$2:$R$1998,0)),"-")</f>
        <v>-</v>
      </c>
      <c r="H255" s="17" t="str">
        <f>IFERROR(IF(INDEX(Movimientos!$M$2:$M$1998,MATCH(A255&amp;"ENTRADA",Movimientos!$R$2:$R$1998,0))=0,"S/D",INDEX(Movimientos!$M$2:$M$1998,MATCH(A255&amp;"ENTRADA",Movimientos!$R$2:$R$1998,0))),"S/D")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 ht="14.25">
      <c r="A256" s="16" t="s">
        <v>2421</v>
      </c>
      <c r="B256" s="2" t="str">
        <f>IFERROR(INDEX(Movimientos!$C$2:$C$1998,MATCH(A256&amp;"ENTRADA",Movimientos!$R$2:$R$1998,0)),"-")</f>
        <v>-</v>
      </c>
      <c r="C256" s="2" t="str">
        <f>IFERROR(INDEX(Movimientos!$D$2:$D$1998,MATCH(A256&amp;"ENTRADA",Movimientos!$R$2:$R$1998,0)),"-")</f>
        <v>-</v>
      </c>
      <c r="D256" s="2" t="str">
        <f>IFERROR(INDEX(Movimientos!$E$2:$E$1998,MATCH(A256&amp;"ENTRADA",Movimientos!$R$2:$R$1998,0)),"-")</f>
        <v>-</v>
      </c>
      <c r="E256" s="2" t="str">
        <f>IFERROR(INDEX(Movimientos!$F$2:$F$1998,MATCH(A256&amp;"ENTRADA",Movimientos!$R$2:$R$1998,0)),"-")</f>
        <v>-</v>
      </c>
      <c r="F256" s="2" t="str">
        <f>IFERROR(INDEX(Movimientos!$G$2:$G$1998,MATCH(A256&amp;"ENTRADA",Movimientos!$R$2:$R$1998,0)),"-")</f>
        <v>-</v>
      </c>
      <c r="G256" s="2" t="str">
        <f>IFERROR(INDEX(Movimientos!$L$2:$L$1998,MATCH(A256&amp;"ENTRADA",Movimientos!$R$2:$R$1998,0)),"-")</f>
        <v>-</v>
      </c>
      <c r="H256" s="17" t="str">
        <f>IFERROR(IF(INDEX(Movimientos!$M$2:$M$1998,MATCH(A256&amp;"ENTRADA",Movimientos!$R$2:$R$1998,0))=0,"S/D",INDEX(Movimientos!$M$2:$M$1998,MATCH(A256&amp;"ENTRADA",Movimientos!$R$2:$R$1998,0))),"S/D")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 ht="14.25">
      <c r="A257" s="16" t="s">
        <v>2422</v>
      </c>
      <c r="B257" s="2" t="str">
        <f>IFERROR(INDEX(Movimientos!$C$2:$C$1998,MATCH(A257&amp;"ENTRADA",Movimientos!$R$2:$R$1998,0)),"-")</f>
        <v>-</v>
      </c>
      <c r="C257" s="2" t="str">
        <f>IFERROR(INDEX(Movimientos!$D$2:$D$1998,MATCH(A257&amp;"ENTRADA",Movimientos!$R$2:$R$1998,0)),"-")</f>
        <v>-</v>
      </c>
      <c r="D257" s="2" t="str">
        <f>IFERROR(INDEX(Movimientos!$E$2:$E$1998,MATCH(A257&amp;"ENTRADA",Movimientos!$R$2:$R$1998,0)),"-")</f>
        <v>-</v>
      </c>
      <c r="E257" s="2" t="str">
        <f>IFERROR(INDEX(Movimientos!$F$2:$F$1998,MATCH(A257&amp;"ENTRADA",Movimientos!$R$2:$R$1998,0)),"-")</f>
        <v>-</v>
      </c>
      <c r="F257" s="2" t="str">
        <f>IFERROR(INDEX(Movimientos!$G$2:$G$1998,MATCH(A257&amp;"ENTRADA",Movimientos!$R$2:$R$1998,0)),"-")</f>
        <v>-</v>
      </c>
      <c r="G257" s="2" t="str">
        <f>IFERROR(INDEX(Movimientos!$L$2:$L$1998,MATCH(A257&amp;"ENTRADA",Movimientos!$R$2:$R$1998,0)),"-")</f>
        <v>-</v>
      </c>
      <c r="H257" s="17" t="str">
        <f>IFERROR(IF(INDEX(Movimientos!$M$2:$M$1998,MATCH(A257&amp;"ENTRADA",Movimientos!$R$2:$R$1998,0))=0,"S/D",INDEX(Movimientos!$M$2:$M$1998,MATCH(A257&amp;"ENTRADA",Movimientos!$R$2:$R$1998,0))),"S/D")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 ht="14.25">
      <c r="A258" s="16" t="s">
        <v>2423</v>
      </c>
      <c r="B258" s="2" t="str">
        <f>IFERROR(INDEX(Movimientos!$C$2:$C$1998,MATCH(A258&amp;"ENTRADA",Movimientos!$R$2:$R$1998,0)),"-")</f>
        <v>-</v>
      </c>
      <c r="C258" s="2" t="str">
        <f>IFERROR(INDEX(Movimientos!$D$2:$D$1998,MATCH(A258&amp;"ENTRADA",Movimientos!$R$2:$R$1998,0)),"-")</f>
        <v>-</v>
      </c>
      <c r="D258" s="2" t="str">
        <f>IFERROR(INDEX(Movimientos!$E$2:$E$1998,MATCH(A258&amp;"ENTRADA",Movimientos!$R$2:$R$1998,0)),"-")</f>
        <v>-</v>
      </c>
      <c r="E258" s="2" t="str">
        <f>IFERROR(INDEX(Movimientos!$F$2:$F$1998,MATCH(A258&amp;"ENTRADA",Movimientos!$R$2:$R$1998,0)),"-")</f>
        <v>-</v>
      </c>
      <c r="F258" s="2" t="str">
        <f>IFERROR(INDEX(Movimientos!$G$2:$G$1998,MATCH(A258&amp;"ENTRADA",Movimientos!$R$2:$R$1998,0)),"-")</f>
        <v>-</v>
      </c>
      <c r="G258" s="2" t="str">
        <f>IFERROR(INDEX(Movimientos!$L$2:$L$1998,MATCH(A258&amp;"ENTRADA",Movimientos!$R$2:$R$1998,0)),"-")</f>
        <v>-</v>
      </c>
      <c r="H258" s="17" t="str">
        <f>IFERROR(IF(INDEX(Movimientos!$M$2:$M$1998,MATCH(A258&amp;"ENTRADA",Movimientos!$R$2:$R$1998,0))=0,"S/D",INDEX(Movimientos!$M$2:$M$1998,MATCH(A258&amp;"ENTRADA",Movimientos!$R$2:$R$1998,0))),"S/D")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 ht="14.25">
      <c r="A259" s="16" t="s">
        <v>2424</v>
      </c>
      <c r="B259" s="2" t="str">
        <f>IFERROR(INDEX(Movimientos!$C$2:$C$1998,MATCH(A259&amp;"ENTRADA",Movimientos!$R$2:$R$1998,0)),"-")</f>
        <v>-</v>
      </c>
      <c r="C259" s="2" t="str">
        <f>IFERROR(INDEX(Movimientos!$D$2:$D$1998,MATCH(A259&amp;"ENTRADA",Movimientos!$R$2:$R$1998,0)),"-")</f>
        <v>-</v>
      </c>
      <c r="D259" s="2" t="str">
        <f>IFERROR(INDEX(Movimientos!$E$2:$E$1998,MATCH(A259&amp;"ENTRADA",Movimientos!$R$2:$R$1998,0)),"-")</f>
        <v>-</v>
      </c>
      <c r="E259" s="2" t="str">
        <f>IFERROR(INDEX(Movimientos!$F$2:$F$1998,MATCH(A259&amp;"ENTRADA",Movimientos!$R$2:$R$1998,0)),"-")</f>
        <v>-</v>
      </c>
      <c r="F259" s="2" t="str">
        <f>IFERROR(INDEX(Movimientos!$G$2:$G$1998,MATCH(A259&amp;"ENTRADA",Movimientos!$R$2:$R$1998,0)),"-")</f>
        <v>-</v>
      </c>
      <c r="G259" s="2" t="str">
        <f>IFERROR(INDEX(Movimientos!$L$2:$L$1998,MATCH(A259&amp;"ENTRADA",Movimientos!$R$2:$R$1998,0)),"-")</f>
        <v>-</v>
      </c>
      <c r="H259" s="17" t="str">
        <f>IFERROR(IF(INDEX(Movimientos!$M$2:$M$1998,MATCH(A259&amp;"ENTRADA",Movimientos!$R$2:$R$1998,0))=0,"S/D",INDEX(Movimientos!$M$2:$M$1998,MATCH(A259&amp;"ENTRADA",Movimientos!$R$2:$R$1998,0))),"S/D")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 ht="14.25">
      <c r="A260" s="16" t="s">
        <v>2425</v>
      </c>
      <c r="B260" s="2" t="str">
        <f>IFERROR(INDEX(Movimientos!$C$2:$C$1998,MATCH(A260&amp;"ENTRADA",Movimientos!$R$2:$R$1998,0)),"-")</f>
        <v>-</v>
      </c>
      <c r="C260" s="2" t="str">
        <f>IFERROR(INDEX(Movimientos!$D$2:$D$1998,MATCH(A260&amp;"ENTRADA",Movimientos!$R$2:$R$1998,0)),"-")</f>
        <v>-</v>
      </c>
      <c r="D260" s="2" t="str">
        <f>IFERROR(INDEX(Movimientos!$E$2:$E$1998,MATCH(A260&amp;"ENTRADA",Movimientos!$R$2:$R$1998,0)),"-")</f>
        <v>-</v>
      </c>
      <c r="E260" s="2" t="str">
        <f>IFERROR(INDEX(Movimientos!$F$2:$F$1998,MATCH(A260&amp;"ENTRADA",Movimientos!$R$2:$R$1998,0)),"-")</f>
        <v>-</v>
      </c>
      <c r="F260" s="2" t="str">
        <f>IFERROR(INDEX(Movimientos!$G$2:$G$1998,MATCH(A260&amp;"ENTRADA",Movimientos!$R$2:$R$1998,0)),"-")</f>
        <v>-</v>
      </c>
      <c r="G260" s="2" t="str">
        <f>IFERROR(INDEX(Movimientos!$L$2:$L$1998,MATCH(A260&amp;"ENTRADA",Movimientos!$R$2:$R$1998,0)),"-")</f>
        <v>-</v>
      </c>
      <c r="H260" s="17" t="str">
        <f>IFERROR(IF(INDEX(Movimientos!$M$2:$M$1998,MATCH(A260&amp;"ENTRADA",Movimientos!$R$2:$R$1998,0))=0,"S/D",INDEX(Movimientos!$M$2:$M$1998,MATCH(A260&amp;"ENTRADA",Movimientos!$R$2:$R$1998,0))),"S/D")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 ht="14.25">
      <c r="A261" s="16" t="s">
        <v>2426</v>
      </c>
      <c r="B261" s="2" t="str">
        <f>IFERROR(INDEX(Movimientos!$C$2:$C$1998,MATCH(A261&amp;"ENTRADA",Movimientos!$R$2:$R$1998,0)),"-")</f>
        <v>-</v>
      </c>
      <c r="C261" s="2" t="str">
        <f>IFERROR(INDEX(Movimientos!$D$2:$D$1998,MATCH(A261&amp;"ENTRADA",Movimientos!$R$2:$R$1998,0)),"-")</f>
        <v>-</v>
      </c>
      <c r="D261" s="2" t="str">
        <f>IFERROR(INDEX(Movimientos!$E$2:$E$1998,MATCH(A261&amp;"ENTRADA",Movimientos!$R$2:$R$1998,0)),"-")</f>
        <v>-</v>
      </c>
      <c r="E261" s="2" t="str">
        <f>IFERROR(INDEX(Movimientos!$F$2:$F$1998,MATCH(A261&amp;"ENTRADA",Movimientos!$R$2:$R$1998,0)),"-")</f>
        <v>-</v>
      </c>
      <c r="F261" s="2" t="str">
        <f>IFERROR(INDEX(Movimientos!$G$2:$G$1998,MATCH(A261&amp;"ENTRADA",Movimientos!$R$2:$R$1998,0)),"-")</f>
        <v>-</v>
      </c>
      <c r="G261" s="2" t="str">
        <f>IFERROR(INDEX(Movimientos!$L$2:$L$1998,MATCH(A261&amp;"ENTRADA",Movimientos!$R$2:$R$1998,0)),"-")</f>
        <v>-</v>
      </c>
      <c r="H261" s="17" t="str">
        <f>IFERROR(IF(INDEX(Movimientos!$M$2:$M$1998,MATCH(A261&amp;"ENTRADA",Movimientos!$R$2:$R$1998,0))=0,"S/D",INDEX(Movimientos!$M$2:$M$1998,MATCH(A261&amp;"ENTRADA",Movimientos!$R$2:$R$1998,0))),"S/D")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 ht="14.25">
      <c r="A262" s="16" t="s">
        <v>2427</v>
      </c>
      <c r="B262" s="2" t="str">
        <f>IFERROR(INDEX(Movimientos!$C$2:$C$1998,MATCH(A262&amp;"ENTRADA",Movimientos!$R$2:$R$1998,0)),"-")</f>
        <v>-</v>
      </c>
      <c r="C262" s="2" t="str">
        <f>IFERROR(INDEX(Movimientos!$D$2:$D$1998,MATCH(A262&amp;"ENTRADA",Movimientos!$R$2:$R$1998,0)),"-")</f>
        <v>-</v>
      </c>
      <c r="D262" s="2" t="str">
        <f>IFERROR(INDEX(Movimientos!$E$2:$E$1998,MATCH(A262&amp;"ENTRADA",Movimientos!$R$2:$R$1998,0)),"-")</f>
        <v>-</v>
      </c>
      <c r="E262" s="2" t="str">
        <f>IFERROR(INDEX(Movimientos!$F$2:$F$1998,MATCH(A262&amp;"ENTRADA",Movimientos!$R$2:$R$1998,0)),"-")</f>
        <v>-</v>
      </c>
      <c r="F262" s="2" t="str">
        <f>IFERROR(INDEX(Movimientos!$G$2:$G$1998,MATCH(A262&amp;"ENTRADA",Movimientos!$R$2:$R$1998,0)),"-")</f>
        <v>-</v>
      </c>
      <c r="G262" s="2" t="str">
        <f>IFERROR(INDEX(Movimientos!$L$2:$L$1998,MATCH(A262&amp;"ENTRADA",Movimientos!$R$2:$R$1998,0)),"-")</f>
        <v>-</v>
      </c>
      <c r="H262" s="17" t="str">
        <f>IFERROR(IF(INDEX(Movimientos!$M$2:$M$1998,MATCH(A262&amp;"ENTRADA",Movimientos!$R$2:$R$1998,0))=0,"S/D",INDEX(Movimientos!$M$2:$M$1998,MATCH(A262&amp;"ENTRADA",Movimientos!$R$2:$R$1998,0))),"S/D")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 ht="14.25">
      <c r="A263" s="16" t="s">
        <v>2428</v>
      </c>
      <c r="B263" s="2" t="str">
        <f>IFERROR(INDEX(Movimientos!$C$2:$C$1998,MATCH(A263&amp;"ENTRADA",Movimientos!$R$2:$R$1998,0)),"-")</f>
        <v>-</v>
      </c>
      <c r="C263" s="2" t="str">
        <f>IFERROR(INDEX(Movimientos!$D$2:$D$1998,MATCH(A263&amp;"ENTRADA",Movimientos!$R$2:$R$1998,0)),"-")</f>
        <v>-</v>
      </c>
      <c r="D263" s="2" t="str">
        <f>IFERROR(INDEX(Movimientos!$E$2:$E$1998,MATCH(A263&amp;"ENTRADA",Movimientos!$R$2:$R$1998,0)),"-")</f>
        <v>-</v>
      </c>
      <c r="E263" s="2" t="str">
        <f>IFERROR(INDEX(Movimientos!$F$2:$F$1998,MATCH(A263&amp;"ENTRADA",Movimientos!$R$2:$R$1998,0)),"-")</f>
        <v>-</v>
      </c>
      <c r="F263" s="2" t="str">
        <f>IFERROR(INDEX(Movimientos!$G$2:$G$1998,MATCH(A263&amp;"ENTRADA",Movimientos!$R$2:$R$1998,0)),"-")</f>
        <v>-</v>
      </c>
      <c r="G263" s="2" t="str">
        <f>IFERROR(INDEX(Movimientos!$L$2:$L$1998,MATCH(A263&amp;"ENTRADA",Movimientos!$R$2:$R$1998,0)),"-")</f>
        <v>-</v>
      </c>
      <c r="H263" s="17" t="str">
        <f>IFERROR(IF(INDEX(Movimientos!$M$2:$M$1998,MATCH(A263&amp;"ENTRADA",Movimientos!$R$2:$R$1998,0))=0,"S/D",INDEX(Movimientos!$M$2:$M$1998,MATCH(A263&amp;"ENTRADA",Movimientos!$R$2:$R$1998,0))),"S/D")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 ht="14.25">
      <c r="A264" s="16" t="s">
        <v>2429</v>
      </c>
      <c r="B264" s="2" t="str">
        <f>IFERROR(INDEX(Movimientos!$C$2:$C$1998,MATCH(A264&amp;"ENTRADA",Movimientos!$R$2:$R$1998,0)),"-")</f>
        <v>-</v>
      </c>
      <c r="C264" s="2" t="str">
        <f>IFERROR(INDEX(Movimientos!$D$2:$D$1998,MATCH(A264&amp;"ENTRADA",Movimientos!$R$2:$R$1998,0)),"-")</f>
        <v>-</v>
      </c>
      <c r="D264" s="2" t="str">
        <f>IFERROR(INDEX(Movimientos!$E$2:$E$1998,MATCH(A264&amp;"ENTRADA",Movimientos!$R$2:$R$1998,0)),"-")</f>
        <v>-</v>
      </c>
      <c r="E264" s="2" t="str">
        <f>IFERROR(INDEX(Movimientos!$F$2:$F$1998,MATCH(A264&amp;"ENTRADA",Movimientos!$R$2:$R$1998,0)),"-")</f>
        <v>-</v>
      </c>
      <c r="F264" s="2" t="str">
        <f>IFERROR(INDEX(Movimientos!$G$2:$G$1998,MATCH(A264&amp;"ENTRADA",Movimientos!$R$2:$R$1998,0)),"-")</f>
        <v>-</v>
      </c>
      <c r="G264" s="2" t="str">
        <f>IFERROR(INDEX(Movimientos!$L$2:$L$1998,MATCH(A264&amp;"ENTRADA",Movimientos!$R$2:$R$1998,0)),"-")</f>
        <v>-</v>
      </c>
      <c r="H264" s="17" t="str">
        <f>IFERROR(IF(INDEX(Movimientos!$M$2:$M$1998,MATCH(A264&amp;"ENTRADA",Movimientos!$R$2:$R$1998,0))=0,"S/D",INDEX(Movimientos!$M$2:$M$1998,MATCH(A264&amp;"ENTRADA",Movimientos!$R$2:$R$1998,0))),"S/D")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 ht="14.25">
      <c r="A265" s="16" t="s">
        <v>2430</v>
      </c>
      <c r="B265" s="2" t="str">
        <f>IFERROR(INDEX(Movimientos!$C$2:$C$1998,MATCH(A265&amp;"ENTRADA",Movimientos!$R$2:$R$1998,0)),"-")</f>
        <v>-</v>
      </c>
      <c r="C265" s="2" t="str">
        <f>IFERROR(INDEX(Movimientos!$D$2:$D$1998,MATCH(A265&amp;"ENTRADA",Movimientos!$R$2:$R$1998,0)),"-")</f>
        <v>-</v>
      </c>
      <c r="D265" s="2" t="str">
        <f>IFERROR(INDEX(Movimientos!$E$2:$E$1998,MATCH(A265&amp;"ENTRADA",Movimientos!$R$2:$R$1998,0)),"-")</f>
        <v>-</v>
      </c>
      <c r="E265" s="2" t="str">
        <f>IFERROR(INDEX(Movimientos!$F$2:$F$1998,MATCH(A265&amp;"ENTRADA",Movimientos!$R$2:$R$1998,0)),"-")</f>
        <v>-</v>
      </c>
      <c r="F265" s="2" t="str">
        <f>IFERROR(INDEX(Movimientos!$G$2:$G$1998,MATCH(A265&amp;"ENTRADA",Movimientos!$R$2:$R$1998,0)),"-")</f>
        <v>-</v>
      </c>
      <c r="G265" s="2" t="str">
        <f>IFERROR(INDEX(Movimientos!$L$2:$L$1998,MATCH(A265&amp;"ENTRADA",Movimientos!$R$2:$R$1998,0)),"-")</f>
        <v>-</v>
      </c>
      <c r="H265" s="17" t="str">
        <f>IFERROR(IF(INDEX(Movimientos!$M$2:$M$1998,MATCH(A265&amp;"ENTRADA",Movimientos!$R$2:$R$1998,0))=0,"S/D",INDEX(Movimientos!$M$2:$M$1998,MATCH(A265&amp;"ENTRADA",Movimientos!$R$2:$R$1998,0))),"S/D")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 ht="14.25">
      <c r="A266" s="16" t="s">
        <v>2431</v>
      </c>
      <c r="B266" s="2" t="str">
        <f>IFERROR(INDEX(Movimientos!$C$2:$C$1998,MATCH(A266&amp;"ENTRADA",Movimientos!$R$2:$R$1998,0)),"-")</f>
        <v>-</v>
      </c>
      <c r="C266" s="2" t="str">
        <f>IFERROR(INDEX(Movimientos!$D$2:$D$1998,MATCH(A266&amp;"ENTRADA",Movimientos!$R$2:$R$1998,0)),"-")</f>
        <v>-</v>
      </c>
      <c r="D266" s="2" t="str">
        <f>IFERROR(INDEX(Movimientos!$E$2:$E$1998,MATCH(A266&amp;"ENTRADA",Movimientos!$R$2:$R$1998,0)),"-")</f>
        <v>-</v>
      </c>
      <c r="E266" s="2" t="str">
        <f>IFERROR(INDEX(Movimientos!$F$2:$F$1998,MATCH(A266&amp;"ENTRADA",Movimientos!$R$2:$R$1998,0)),"-")</f>
        <v>-</v>
      </c>
      <c r="F266" s="2" t="str">
        <f>IFERROR(INDEX(Movimientos!$G$2:$G$1998,MATCH(A266&amp;"ENTRADA",Movimientos!$R$2:$R$1998,0)),"-")</f>
        <v>-</v>
      </c>
      <c r="G266" s="2" t="str">
        <f>IFERROR(INDEX(Movimientos!$L$2:$L$1998,MATCH(A266&amp;"ENTRADA",Movimientos!$R$2:$R$1998,0)),"-")</f>
        <v>-</v>
      </c>
      <c r="H266" s="17" t="str">
        <f>IFERROR(IF(INDEX(Movimientos!$M$2:$M$1998,MATCH(A266&amp;"ENTRADA",Movimientos!$R$2:$R$1998,0))=0,"S/D",INDEX(Movimientos!$M$2:$M$1998,MATCH(A266&amp;"ENTRADA",Movimientos!$R$2:$R$1998,0))),"S/D")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 ht="14.25">
      <c r="A267" s="16" t="s">
        <v>2432</v>
      </c>
      <c r="B267" s="2" t="str">
        <f>IFERROR(INDEX(Movimientos!$C$2:$C$1998,MATCH(A267&amp;"ENTRADA",Movimientos!$R$2:$R$1998,0)),"-")</f>
        <v>-</v>
      </c>
      <c r="C267" s="2" t="str">
        <f>IFERROR(INDEX(Movimientos!$D$2:$D$1998,MATCH(A267&amp;"ENTRADA",Movimientos!$R$2:$R$1998,0)),"-")</f>
        <v>-</v>
      </c>
      <c r="D267" s="2" t="str">
        <f>IFERROR(INDEX(Movimientos!$E$2:$E$1998,MATCH(A267&amp;"ENTRADA",Movimientos!$R$2:$R$1998,0)),"-")</f>
        <v>-</v>
      </c>
      <c r="E267" s="2" t="str">
        <f>IFERROR(INDEX(Movimientos!$F$2:$F$1998,MATCH(A267&amp;"ENTRADA",Movimientos!$R$2:$R$1998,0)),"-")</f>
        <v>-</v>
      </c>
      <c r="F267" s="2" t="str">
        <f>IFERROR(INDEX(Movimientos!$G$2:$G$1998,MATCH(A267&amp;"ENTRADA",Movimientos!$R$2:$R$1998,0)),"-")</f>
        <v>-</v>
      </c>
      <c r="G267" s="2" t="str">
        <f>IFERROR(INDEX(Movimientos!$L$2:$L$1998,MATCH(A267&amp;"ENTRADA",Movimientos!$R$2:$R$1998,0)),"-")</f>
        <v>-</v>
      </c>
      <c r="H267" s="17" t="str">
        <f>IFERROR(IF(INDEX(Movimientos!$M$2:$M$1998,MATCH(A267&amp;"ENTRADA",Movimientos!$R$2:$R$1998,0))=0,"S/D",INDEX(Movimientos!$M$2:$M$1998,MATCH(A267&amp;"ENTRADA",Movimientos!$R$2:$R$1998,0))),"S/D")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 ht="14.25">
      <c r="A268" s="16" t="s">
        <v>2433</v>
      </c>
      <c r="B268" s="2" t="str">
        <f>IFERROR(INDEX(Movimientos!$C$2:$C$1998,MATCH(A268&amp;"ENTRADA",Movimientos!$R$2:$R$1998,0)),"-")</f>
        <v>-</v>
      </c>
      <c r="C268" s="2" t="str">
        <f>IFERROR(INDEX(Movimientos!$D$2:$D$1998,MATCH(A268&amp;"ENTRADA",Movimientos!$R$2:$R$1998,0)),"-")</f>
        <v>-</v>
      </c>
      <c r="D268" s="2" t="str">
        <f>IFERROR(INDEX(Movimientos!$E$2:$E$1998,MATCH(A268&amp;"ENTRADA",Movimientos!$R$2:$R$1998,0)),"-")</f>
        <v>-</v>
      </c>
      <c r="E268" s="2" t="str">
        <f>IFERROR(INDEX(Movimientos!$F$2:$F$1998,MATCH(A268&amp;"ENTRADA",Movimientos!$R$2:$R$1998,0)),"-")</f>
        <v>-</v>
      </c>
      <c r="F268" s="2" t="str">
        <f>IFERROR(INDEX(Movimientos!$G$2:$G$1998,MATCH(A268&amp;"ENTRADA",Movimientos!$R$2:$R$1998,0)),"-")</f>
        <v>-</v>
      </c>
      <c r="G268" s="2" t="str">
        <f>IFERROR(INDEX(Movimientos!$L$2:$L$1998,MATCH(A268&amp;"ENTRADA",Movimientos!$R$2:$R$1998,0)),"-")</f>
        <v>-</v>
      </c>
      <c r="H268" s="17" t="str">
        <f>IFERROR(IF(INDEX(Movimientos!$M$2:$M$1998,MATCH(A268&amp;"ENTRADA",Movimientos!$R$2:$R$1998,0))=0,"S/D",INDEX(Movimientos!$M$2:$M$1998,MATCH(A268&amp;"ENTRADA",Movimientos!$R$2:$R$1998,0))),"S/D")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 ht="14.25">
      <c r="A269" s="16" t="s">
        <v>2434</v>
      </c>
      <c r="B269" s="2" t="str">
        <f>IFERROR(INDEX(Movimientos!$C$2:$C$1998,MATCH(A269&amp;"ENTRADA",Movimientos!$R$2:$R$1998,0)),"-")</f>
        <v>-</v>
      </c>
      <c r="C269" s="2" t="str">
        <f>IFERROR(INDEX(Movimientos!$D$2:$D$1998,MATCH(A269&amp;"ENTRADA",Movimientos!$R$2:$R$1998,0)),"-")</f>
        <v>-</v>
      </c>
      <c r="D269" s="2" t="str">
        <f>IFERROR(INDEX(Movimientos!$E$2:$E$1998,MATCH(A269&amp;"ENTRADA",Movimientos!$R$2:$R$1998,0)),"-")</f>
        <v>-</v>
      </c>
      <c r="E269" s="2" t="str">
        <f>IFERROR(INDEX(Movimientos!$F$2:$F$1998,MATCH(A269&amp;"ENTRADA",Movimientos!$R$2:$R$1998,0)),"-")</f>
        <v>-</v>
      </c>
      <c r="F269" s="2" t="str">
        <f>IFERROR(INDEX(Movimientos!$G$2:$G$1998,MATCH(A269&amp;"ENTRADA",Movimientos!$R$2:$R$1998,0)),"-")</f>
        <v>-</v>
      </c>
      <c r="G269" s="2" t="str">
        <f>IFERROR(INDEX(Movimientos!$L$2:$L$1998,MATCH(A269&amp;"ENTRADA",Movimientos!$R$2:$R$1998,0)),"-")</f>
        <v>-</v>
      </c>
      <c r="H269" s="17" t="str">
        <f>IFERROR(IF(INDEX(Movimientos!$M$2:$M$1998,MATCH(A269&amp;"ENTRADA",Movimientos!$R$2:$R$1998,0))=0,"S/D",INDEX(Movimientos!$M$2:$M$1998,MATCH(A269&amp;"ENTRADA",Movimientos!$R$2:$R$1998,0))),"S/D")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 ht="14.25">
      <c r="A270" s="16" t="s">
        <v>2435</v>
      </c>
      <c r="B270" s="2" t="str">
        <f>IFERROR(INDEX(Movimientos!$C$2:$C$1998,MATCH(A270&amp;"ENTRADA",Movimientos!$R$2:$R$1998,0)),"-")</f>
        <v>-</v>
      </c>
      <c r="C270" s="2" t="str">
        <f>IFERROR(INDEX(Movimientos!$D$2:$D$1998,MATCH(A270&amp;"ENTRADA",Movimientos!$R$2:$R$1998,0)),"-")</f>
        <v>-</v>
      </c>
      <c r="D270" s="2" t="str">
        <f>IFERROR(INDEX(Movimientos!$E$2:$E$1998,MATCH(A270&amp;"ENTRADA",Movimientos!$R$2:$R$1998,0)),"-")</f>
        <v>-</v>
      </c>
      <c r="E270" s="2" t="str">
        <f>IFERROR(INDEX(Movimientos!$F$2:$F$1998,MATCH(A270&amp;"ENTRADA",Movimientos!$R$2:$R$1998,0)),"-")</f>
        <v>-</v>
      </c>
      <c r="F270" s="2" t="str">
        <f>IFERROR(INDEX(Movimientos!$G$2:$G$1998,MATCH(A270&amp;"ENTRADA",Movimientos!$R$2:$R$1998,0)),"-")</f>
        <v>-</v>
      </c>
      <c r="G270" s="2" t="str">
        <f>IFERROR(INDEX(Movimientos!$L$2:$L$1998,MATCH(A270&amp;"ENTRADA",Movimientos!$R$2:$R$1998,0)),"-")</f>
        <v>-</v>
      </c>
      <c r="H270" s="17" t="str">
        <f>IFERROR(IF(INDEX(Movimientos!$M$2:$M$1998,MATCH(A270&amp;"ENTRADA",Movimientos!$R$2:$R$1998,0))=0,"S/D",INDEX(Movimientos!$M$2:$M$1998,MATCH(A270&amp;"ENTRADA",Movimientos!$R$2:$R$1998,0))),"S/D")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 ht="14.25">
      <c r="A271" s="16" t="s">
        <v>2436</v>
      </c>
      <c r="B271" s="2" t="str">
        <f>IFERROR(INDEX(Movimientos!$C$2:$C$1998,MATCH(A271&amp;"ENTRADA",Movimientos!$R$2:$R$1998,0)),"-")</f>
        <v>-</v>
      </c>
      <c r="C271" s="2" t="str">
        <f>IFERROR(INDEX(Movimientos!$D$2:$D$1998,MATCH(A271&amp;"ENTRADA",Movimientos!$R$2:$R$1998,0)),"-")</f>
        <v>-</v>
      </c>
      <c r="D271" s="2" t="str">
        <f>IFERROR(INDEX(Movimientos!$E$2:$E$1998,MATCH(A271&amp;"ENTRADA",Movimientos!$R$2:$R$1998,0)),"-")</f>
        <v>-</v>
      </c>
      <c r="E271" s="2" t="str">
        <f>IFERROR(INDEX(Movimientos!$F$2:$F$1998,MATCH(A271&amp;"ENTRADA",Movimientos!$R$2:$R$1998,0)),"-")</f>
        <v>-</v>
      </c>
      <c r="F271" s="2" t="str">
        <f>IFERROR(INDEX(Movimientos!$G$2:$G$1998,MATCH(A271&amp;"ENTRADA",Movimientos!$R$2:$R$1998,0)),"-")</f>
        <v>-</v>
      </c>
      <c r="G271" s="2" t="str">
        <f>IFERROR(INDEX(Movimientos!$L$2:$L$1998,MATCH(A271&amp;"ENTRADA",Movimientos!$R$2:$R$1998,0)),"-")</f>
        <v>-</v>
      </c>
      <c r="H271" s="17" t="str">
        <f>IFERROR(IF(INDEX(Movimientos!$M$2:$M$1998,MATCH(A271&amp;"ENTRADA",Movimientos!$R$2:$R$1998,0))=0,"S/D",INDEX(Movimientos!$M$2:$M$1998,MATCH(A271&amp;"ENTRADA",Movimientos!$R$2:$R$1998,0))),"S/D")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 ht="14.25">
      <c r="A272" s="16" t="s">
        <v>2437</v>
      </c>
      <c r="B272" s="2" t="str">
        <f>IFERROR(INDEX(Movimientos!$C$2:$C$1998,MATCH(A272&amp;"ENTRADA",Movimientos!$R$2:$R$1998,0)),"-")</f>
        <v>-</v>
      </c>
      <c r="C272" s="2" t="str">
        <f>IFERROR(INDEX(Movimientos!$D$2:$D$1998,MATCH(A272&amp;"ENTRADA",Movimientos!$R$2:$R$1998,0)),"-")</f>
        <v>-</v>
      </c>
      <c r="D272" s="2" t="str">
        <f>IFERROR(INDEX(Movimientos!$E$2:$E$1998,MATCH(A272&amp;"ENTRADA",Movimientos!$R$2:$R$1998,0)),"-")</f>
        <v>-</v>
      </c>
      <c r="E272" s="2" t="str">
        <f>IFERROR(INDEX(Movimientos!$F$2:$F$1998,MATCH(A272&amp;"ENTRADA",Movimientos!$R$2:$R$1998,0)),"-")</f>
        <v>-</v>
      </c>
      <c r="F272" s="2" t="str">
        <f>IFERROR(INDEX(Movimientos!$G$2:$G$1998,MATCH(A272&amp;"ENTRADA",Movimientos!$R$2:$R$1998,0)),"-")</f>
        <v>-</v>
      </c>
      <c r="G272" s="2" t="str">
        <f>IFERROR(INDEX(Movimientos!$L$2:$L$1998,MATCH(A272&amp;"ENTRADA",Movimientos!$R$2:$R$1998,0)),"-")</f>
        <v>-</v>
      </c>
      <c r="H272" s="17" t="str">
        <f>IFERROR(IF(INDEX(Movimientos!$M$2:$M$1998,MATCH(A272&amp;"ENTRADA",Movimientos!$R$2:$R$1998,0))=0,"S/D",INDEX(Movimientos!$M$2:$M$1998,MATCH(A272&amp;"ENTRADA",Movimientos!$R$2:$R$1998,0))),"S/D")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 ht="14.25">
      <c r="A273" s="16" t="s">
        <v>2438</v>
      </c>
      <c r="B273" s="2" t="str">
        <f>IFERROR(INDEX(Movimientos!$C$2:$C$1998,MATCH(A273&amp;"ENTRADA",Movimientos!$R$2:$R$1998,0)),"-")</f>
        <v>-</v>
      </c>
      <c r="C273" s="2" t="str">
        <f>IFERROR(INDEX(Movimientos!$D$2:$D$1998,MATCH(A273&amp;"ENTRADA",Movimientos!$R$2:$R$1998,0)),"-")</f>
        <v>-</v>
      </c>
      <c r="D273" s="2" t="str">
        <f>IFERROR(INDEX(Movimientos!$E$2:$E$1998,MATCH(A273&amp;"ENTRADA",Movimientos!$R$2:$R$1998,0)),"-")</f>
        <v>-</v>
      </c>
      <c r="E273" s="2" t="str">
        <f>IFERROR(INDEX(Movimientos!$F$2:$F$1998,MATCH(A273&amp;"ENTRADA",Movimientos!$R$2:$R$1998,0)),"-")</f>
        <v>-</v>
      </c>
      <c r="F273" s="2" t="str">
        <f>IFERROR(INDEX(Movimientos!$G$2:$G$1998,MATCH(A273&amp;"ENTRADA",Movimientos!$R$2:$R$1998,0)),"-")</f>
        <v>-</v>
      </c>
      <c r="G273" s="2" t="str">
        <f>IFERROR(INDEX(Movimientos!$L$2:$L$1998,MATCH(A273&amp;"ENTRADA",Movimientos!$R$2:$R$1998,0)),"-")</f>
        <v>-</v>
      </c>
      <c r="H273" s="17" t="str">
        <f>IFERROR(IF(INDEX(Movimientos!$M$2:$M$1998,MATCH(A273&amp;"ENTRADA",Movimientos!$R$2:$R$1998,0))=0,"S/D",INDEX(Movimientos!$M$2:$M$1998,MATCH(A273&amp;"ENTRADA",Movimientos!$R$2:$R$1998,0))),"S/D")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 ht="14.25">
      <c r="A274" s="16" t="s">
        <v>2439</v>
      </c>
      <c r="B274" s="2" t="str">
        <f>IFERROR(INDEX(Movimientos!$C$2:$C$1998,MATCH(A274&amp;"ENTRADA",Movimientos!$R$2:$R$1998,0)),"-")</f>
        <v>-</v>
      </c>
      <c r="C274" s="2" t="str">
        <f>IFERROR(INDEX(Movimientos!$D$2:$D$1998,MATCH(A274&amp;"ENTRADA",Movimientos!$R$2:$R$1998,0)),"-")</f>
        <v>-</v>
      </c>
      <c r="D274" s="2" t="str">
        <f>IFERROR(INDEX(Movimientos!$E$2:$E$1998,MATCH(A274&amp;"ENTRADA",Movimientos!$R$2:$R$1998,0)),"-")</f>
        <v>-</v>
      </c>
      <c r="E274" s="2" t="str">
        <f>IFERROR(INDEX(Movimientos!$F$2:$F$1998,MATCH(A274&amp;"ENTRADA",Movimientos!$R$2:$R$1998,0)),"-")</f>
        <v>-</v>
      </c>
      <c r="F274" s="2" t="str">
        <f>IFERROR(INDEX(Movimientos!$G$2:$G$1998,MATCH(A274&amp;"ENTRADA",Movimientos!$R$2:$R$1998,0)),"-")</f>
        <v>-</v>
      </c>
      <c r="G274" s="2" t="str">
        <f>IFERROR(INDEX(Movimientos!$L$2:$L$1998,MATCH(A274&amp;"ENTRADA",Movimientos!$R$2:$R$1998,0)),"-")</f>
        <v>-</v>
      </c>
      <c r="H274" s="17" t="str">
        <f>IFERROR(IF(INDEX(Movimientos!$M$2:$M$1998,MATCH(A274&amp;"ENTRADA",Movimientos!$R$2:$R$1998,0))=0,"S/D",INDEX(Movimientos!$M$2:$M$1998,MATCH(A274&amp;"ENTRADA",Movimientos!$R$2:$R$1998,0))),"S/D")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 ht="14.25">
      <c r="A275" s="16" t="s">
        <v>2440</v>
      </c>
      <c r="B275" s="2" t="str">
        <f>IFERROR(INDEX(Movimientos!$C$2:$C$1998,MATCH(A275&amp;"ENTRADA",Movimientos!$R$2:$R$1998,0)),"-")</f>
        <v>-</v>
      </c>
      <c r="C275" s="2" t="str">
        <f>IFERROR(INDEX(Movimientos!$D$2:$D$1998,MATCH(A275&amp;"ENTRADA",Movimientos!$R$2:$R$1998,0)),"-")</f>
        <v>-</v>
      </c>
      <c r="D275" s="2" t="str">
        <f>IFERROR(INDEX(Movimientos!$E$2:$E$1998,MATCH(A275&amp;"ENTRADA",Movimientos!$R$2:$R$1998,0)),"-")</f>
        <v>-</v>
      </c>
      <c r="E275" s="2" t="str">
        <f>IFERROR(INDEX(Movimientos!$F$2:$F$1998,MATCH(A275&amp;"ENTRADA",Movimientos!$R$2:$R$1998,0)),"-")</f>
        <v>-</v>
      </c>
      <c r="F275" s="2" t="str">
        <f>IFERROR(INDEX(Movimientos!$G$2:$G$1998,MATCH(A275&amp;"ENTRADA",Movimientos!$R$2:$R$1998,0)),"-")</f>
        <v>-</v>
      </c>
      <c r="G275" s="2" t="str">
        <f>IFERROR(INDEX(Movimientos!$L$2:$L$1998,MATCH(A275&amp;"ENTRADA",Movimientos!$R$2:$R$1998,0)),"-")</f>
        <v>-</v>
      </c>
      <c r="H275" s="17" t="str">
        <f>IFERROR(IF(INDEX(Movimientos!$M$2:$M$1998,MATCH(A275&amp;"ENTRADA",Movimientos!$R$2:$R$1998,0))=0,"S/D",INDEX(Movimientos!$M$2:$M$1998,MATCH(A275&amp;"ENTRADA",Movimientos!$R$2:$R$1998,0))),"S/D")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 ht="14.25">
      <c r="A276" s="16" t="s">
        <v>2441</v>
      </c>
      <c r="B276" s="2" t="str">
        <f>IFERROR(INDEX(Movimientos!$C$2:$C$1998,MATCH(A276&amp;"ENTRADA",Movimientos!$R$2:$R$1998,0)),"-")</f>
        <v>-</v>
      </c>
      <c r="C276" s="2" t="str">
        <f>IFERROR(INDEX(Movimientos!$D$2:$D$1998,MATCH(A276&amp;"ENTRADA",Movimientos!$R$2:$R$1998,0)),"-")</f>
        <v>-</v>
      </c>
      <c r="D276" s="2" t="str">
        <f>IFERROR(INDEX(Movimientos!$E$2:$E$1998,MATCH(A276&amp;"ENTRADA",Movimientos!$R$2:$R$1998,0)),"-")</f>
        <v>-</v>
      </c>
      <c r="E276" s="2" t="str">
        <f>IFERROR(INDEX(Movimientos!$F$2:$F$1998,MATCH(A276&amp;"ENTRADA",Movimientos!$R$2:$R$1998,0)),"-")</f>
        <v>-</v>
      </c>
      <c r="F276" s="2" t="str">
        <f>IFERROR(INDEX(Movimientos!$G$2:$G$1998,MATCH(A276&amp;"ENTRADA",Movimientos!$R$2:$R$1998,0)),"-")</f>
        <v>-</v>
      </c>
      <c r="G276" s="2" t="str">
        <f>IFERROR(INDEX(Movimientos!$L$2:$L$1998,MATCH(A276&amp;"ENTRADA",Movimientos!$R$2:$R$1998,0)),"-")</f>
        <v>-</v>
      </c>
      <c r="H276" s="17" t="str">
        <f>IFERROR(IF(INDEX(Movimientos!$M$2:$M$1998,MATCH(A276&amp;"ENTRADA",Movimientos!$R$2:$R$1998,0))=0,"S/D",INDEX(Movimientos!$M$2:$M$1998,MATCH(A276&amp;"ENTRADA",Movimientos!$R$2:$R$1998,0))),"S/D")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 ht="14.25">
      <c r="A277" s="16" t="s">
        <v>2442</v>
      </c>
      <c r="B277" s="2" t="str">
        <f>IFERROR(INDEX(Movimientos!$C$2:$C$1998,MATCH(A277&amp;"ENTRADA",Movimientos!$R$2:$R$1998,0)),"-")</f>
        <v>-</v>
      </c>
      <c r="C277" s="2" t="str">
        <f>IFERROR(INDEX(Movimientos!$D$2:$D$1998,MATCH(A277&amp;"ENTRADA",Movimientos!$R$2:$R$1998,0)),"-")</f>
        <v>-</v>
      </c>
      <c r="D277" s="2" t="str">
        <f>IFERROR(INDEX(Movimientos!$E$2:$E$1998,MATCH(A277&amp;"ENTRADA",Movimientos!$R$2:$R$1998,0)),"-")</f>
        <v>-</v>
      </c>
      <c r="E277" s="2" t="str">
        <f>IFERROR(INDEX(Movimientos!$F$2:$F$1998,MATCH(A277&amp;"ENTRADA",Movimientos!$R$2:$R$1998,0)),"-")</f>
        <v>-</v>
      </c>
      <c r="F277" s="2" t="str">
        <f>IFERROR(INDEX(Movimientos!$G$2:$G$1998,MATCH(A277&amp;"ENTRADA",Movimientos!$R$2:$R$1998,0)),"-")</f>
        <v>-</v>
      </c>
      <c r="G277" s="2" t="str">
        <f>IFERROR(INDEX(Movimientos!$L$2:$L$1998,MATCH(A277&amp;"ENTRADA",Movimientos!$R$2:$R$1998,0)),"-")</f>
        <v>-</v>
      </c>
      <c r="H277" s="17" t="str">
        <f>IFERROR(IF(INDEX(Movimientos!$M$2:$M$1998,MATCH(A277&amp;"ENTRADA",Movimientos!$R$2:$R$1998,0))=0,"S/D",INDEX(Movimientos!$M$2:$M$1998,MATCH(A277&amp;"ENTRADA",Movimientos!$R$2:$R$1998,0))),"S/D")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 ht="14.25">
      <c r="A278" s="16" t="s">
        <v>2443</v>
      </c>
      <c r="B278" s="2" t="str">
        <f>IFERROR(INDEX(Movimientos!$C$2:$C$1998,MATCH(A278&amp;"ENTRADA",Movimientos!$R$2:$R$1998,0)),"-")</f>
        <v>-</v>
      </c>
      <c r="C278" s="2" t="str">
        <f>IFERROR(INDEX(Movimientos!$D$2:$D$1998,MATCH(A278&amp;"ENTRADA",Movimientos!$R$2:$R$1998,0)),"-")</f>
        <v>-</v>
      </c>
      <c r="D278" s="2" t="str">
        <f>IFERROR(INDEX(Movimientos!$E$2:$E$1998,MATCH(A278&amp;"ENTRADA",Movimientos!$R$2:$R$1998,0)),"-")</f>
        <v>-</v>
      </c>
      <c r="E278" s="2" t="str">
        <f>IFERROR(INDEX(Movimientos!$F$2:$F$1998,MATCH(A278&amp;"ENTRADA",Movimientos!$R$2:$R$1998,0)),"-")</f>
        <v>-</v>
      </c>
      <c r="F278" s="2" t="str">
        <f>IFERROR(INDEX(Movimientos!$G$2:$G$1998,MATCH(A278&amp;"ENTRADA",Movimientos!$R$2:$R$1998,0)),"-")</f>
        <v>-</v>
      </c>
      <c r="G278" s="2" t="str">
        <f>IFERROR(INDEX(Movimientos!$L$2:$L$1998,MATCH(A278&amp;"ENTRADA",Movimientos!$R$2:$R$1998,0)),"-")</f>
        <v>-</v>
      </c>
      <c r="H278" s="17" t="str">
        <f>IFERROR(IF(INDEX(Movimientos!$M$2:$M$1998,MATCH(A278&amp;"ENTRADA",Movimientos!$R$2:$R$1998,0))=0,"S/D",INDEX(Movimientos!$M$2:$M$1998,MATCH(A278&amp;"ENTRADA",Movimientos!$R$2:$R$1998,0))),"S/D")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 ht="14.25">
      <c r="A279" s="16" t="s">
        <v>2444</v>
      </c>
      <c r="B279" s="2" t="str">
        <f>IFERROR(INDEX(Movimientos!$C$2:$C$1998,MATCH(A279&amp;"ENTRADA",Movimientos!$R$2:$R$1998,0)),"-")</f>
        <v>-</v>
      </c>
      <c r="C279" s="2" t="str">
        <f>IFERROR(INDEX(Movimientos!$D$2:$D$1998,MATCH(A279&amp;"ENTRADA",Movimientos!$R$2:$R$1998,0)),"-")</f>
        <v>-</v>
      </c>
      <c r="D279" s="2" t="str">
        <f>IFERROR(INDEX(Movimientos!$E$2:$E$1998,MATCH(A279&amp;"ENTRADA",Movimientos!$R$2:$R$1998,0)),"-")</f>
        <v>-</v>
      </c>
      <c r="E279" s="2" t="str">
        <f>IFERROR(INDEX(Movimientos!$F$2:$F$1998,MATCH(A279&amp;"ENTRADA",Movimientos!$R$2:$R$1998,0)),"-")</f>
        <v>-</v>
      </c>
      <c r="F279" s="2" t="str">
        <f>IFERROR(INDEX(Movimientos!$G$2:$G$1998,MATCH(A279&amp;"ENTRADA",Movimientos!$R$2:$R$1998,0)),"-")</f>
        <v>-</v>
      </c>
      <c r="G279" s="2" t="str">
        <f>IFERROR(INDEX(Movimientos!$L$2:$L$1998,MATCH(A279&amp;"ENTRADA",Movimientos!$R$2:$R$1998,0)),"-")</f>
        <v>-</v>
      </c>
      <c r="H279" s="17" t="str">
        <f>IFERROR(IF(INDEX(Movimientos!$M$2:$M$1998,MATCH(A279&amp;"ENTRADA",Movimientos!$R$2:$R$1998,0))=0,"S/D",INDEX(Movimientos!$M$2:$M$1998,MATCH(A279&amp;"ENTRADA",Movimientos!$R$2:$R$1998,0))),"S/D")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 ht="14.25">
      <c r="A280" s="16" t="s">
        <v>2445</v>
      </c>
      <c r="B280" s="2" t="str">
        <f>IFERROR(INDEX(Movimientos!$C$2:$C$1998,MATCH(A280&amp;"ENTRADA",Movimientos!$R$2:$R$1998,0)),"-")</f>
        <v>-</v>
      </c>
      <c r="C280" s="2" t="str">
        <f>IFERROR(INDEX(Movimientos!$D$2:$D$1998,MATCH(A280&amp;"ENTRADA",Movimientos!$R$2:$R$1998,0)),"-")</f>
        <v>-</v>
      </c>
      <c r="D280" s="2" t="str">
        <f>IFERROR(INDEX(Movimientos!$E$2:$E$1998,MATCH(A280&amp;"ENTRADA",Movimientos!$R$2:$R$1998,0)),"-")</f>
        <v>-</v>
      </c>
      <c r="E280" s="2" t="str">
        <f>IFERROR(INDEX(Movimientos!$F$2:$F$1998,MATCH(A280&amp;"ENTRADA",Movimientos!$R$2:$R$1998,0)),"-")</f>
        <v>-</v>
      </c>
      <c r="F280" s="2" t="str">
        <f>IFERROR(INDEX(Movimientos!$G$2:$G$1998,MATCH(A280&amp;"ENTRADA",Movimientos!$R$2:$R$1998,0)),"-")</f>
        <v>-</v>
      </c>
      <c r="G280" s="2" t="str">
        <f>IFERROR(INDEX(Movimientos!$L$2:$L$1998,MATCH(A280&amp;"ENTRADA",Movimientos!$R$2:$R$1998,0)),"-")</f>
        <v>-</v>
      </c>
      <c r="H280" s="17" t="str">
        <f>IFERROR(IF(INDEX(Movimientos!$M$2:$M$1998,MATCH(A280&amp;"ENTRADA",Movimientos!$R$2:$R$1998,0))=0,"S/D",INDEX(Movimientos!$M$2:$M$1998,MATCH(A280&amp;"ENTRADA",Movimientos!$R$2:$R$1998,0))),"S/D")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 ht="14.25">
      <c r="A281" s="16" t="s">
        <v>2446</v>
      </c>
      <c r="B281" s="2" t="str">
        <f>IFERROR(INDEX(Movimientos!$C$2:$C$1998,MATCH(A281&amp;"ENTRADA",Movimientos!$R$2:$R$1998,0)),"-")</f>
        <v>-</v>
      </c>
      <c r="C281" s="2" t="str">
        <f>IFERROR(INDEX(Movimientos!$D$2:$D$1998,MATCH(A281&amp;"ENTRADA",Movimientos!$R$2:$R$1998,0)),"-")</f>
        <v>-</v>
      </c>
      <c r="D281" s="2" t="str">
        <f>IFERROR(INDEX(Movimientos!$E$2:$E$1998,MATCH(A281&amp;"ENTRADA",Movimientos!$R$2:$R$1998,0)),"-")</f>
        <v>-</v>
      </c>
      <c r="E281" s="2" t="str">
        <f>IFERROR(INDEX(Movimientos!$F$2:$F$1998,MATCH(A281&amp;"ENTRADA",Movimientos!$R$2:$R$1998,0)),"-")</f>
        <v>-</v>
      </c>
      <c r="F281" s="2" t="str">
        <f>IFERROR(INDEX(Movimientos!$G$2:$G$1998,MATCH(A281&amp;"ENTRADA",Movimientos!$R$2:$R$1998,0)),"-")</f>
        <v>-</v>
      </c>
      <c r="G281" s="2" t="str">
        <f>IFERROR(INDEX(Movimientos!$L$2:$L$1998,MATCH(A281&amp;"ENTRADA",Movimientos!$R$2:$R$1998,0)),"-")</f>
        <v>-</v>
      </c>
      <c r="H281" s="17" t="str">
        <f>IFERROR(IF(INDEX(Movimientos!$M$2:$M$1998,MATCH(A281&amp;"ENTRADA",Movimientos!$R$2:$R$1998,0))=0,"S/D",INDEX(Movimientos!$M$2:$M$1998,MATCH(A281&amp;"ENTRADA",Movimientos!$R$2:$R$1998,0))),"S/D")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 ht="14.25">
      <c r="A282" s="16" t="s">
        <v>2447</v>
      </c>
      <c r="B282" s="2" t="str">
        <f>IFERROR(INDEX(Movimientos!$C$2:$C$1998,MATCH(A282&amp;"ENTRADA",Movimientos!$R$2:$R$1998,0)),"-")</f>
        <v>-</v>
      </c>
      <c r="C282" s="2" t="str">
        <f>IFERROR(INDEX(Movimientos!$D$2:$D$1998,MATCH(A282&amp;"ENTRADA",Movimientos!$R$2:$R$1998,0)),"-")</f>
        <v>-</v>
      </c>
      <c r="D282" s="2" t="str">
        <f>IFERROR(INDEX(Movimientos!$E$2:$E$1998,MATCH(A282&amp;"ENTRADA",Movimientos!$R$2:$R$1998,0)),"-")</f>
        <v>-</v>
      </c>
      <c r="E282" s="2" t="str">
        <f>IFERROR(INDEX(Movimientos!$F$2:$F$1998,MATCH(A282&amp;"ENTRADA",Movimientos!$R$2:$R$1998,0)),"-")</f>
        <v>-</v>
      </c>
      <c r="F282" s="2" t="str">
        <f>IFERROR(INDEX(Movimientos!$G$2:$G$1998,MATCH(A282&amp;"ENTRADA",Movimientos!$R$2:$R$1998,0)),"-")</f>
        <v>-</v>
      </c>
      <c r="G282" s="2" t="str">
        <f>IFERROR(INDEX(Movimientos!$L$2:$L$1998,MATCH(A282&amp;"ENTRADA",Movimientos!$R$2:$R$1998,0)),"-")</f>
        <v>-</v>
      </c>
      <c r="H282" s="17" t="str">
        <f>IFERROR(IF(INDEX(Movimientos!$M$2:$M$1998,MATCH(A282&amp;"ENTRADA",Movimientos!$R$2:$R$1998,0))=0,"S/D",INDEX(Movimientos!$M$2:$M$1998,MATCH(A282&amp;"ENTRADA",Movimientos!$R$2:$R$1998,0))),"S/D")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 ht="14.25">
      <c r="A283" s="16" t="s">
        <v>2448</v>
      </c>
      <c r="B283" s="2" t="str">
        <f>IFERROR(INDEX(Movimientos!$C$2:$C$1998,MATCH(A283&amp;"ENTRADA",Movimientos!$R$2:$R$1998,0)),"-")</f>
        <v>-</v>
      </c>
      <c r="C283" s="2" t="str">
        <f>IFERROR(INDEX(Movimientos!$D$2:$D$1998,MATCH(A283&amp;"ENTRADA",Movimientos!$R$2:$R$1998,0)),"-")</f>
        <v>-</v>
      </c>
      <c r="D283" s="2" t="str">
        <f>IFERROR(INDEX(Movimientos!$E$2:$E$1998,MATCH(A283&amp;"ENTRADA",Movimientos!$R$2:$R$1998,0)),"-")</f>
        <v>-</v>
      </c>
      <c r="E283" s="2" t="str">
        <f>IFERROR(INDEX(Movimientos!$F$2:$F$1998,MATCH(A283&amp;"ENTRADA",Movimientos!$R$2:$R$1998,0)),"-")</f>
        <v>-</v>
      </c>
      <c r="F283" s="2" t="str">
        <f>IFERROR(INDEX(Movimientos!$G$2:$G$1998,MATCH(A283&amp;"ENTRADA",Movimientos!$R$2:$R$1998,0)),"-")</f>
        <v>-</v>
      </c>
      <c r="G283" s="2" t="str">
        <f>IFERROR(INDEX(Movimientos!$L$2:$L$1998,MATCH(A283&amp;"ENTRADA",Movimientos!$R$2:$R$1998,0)),"-")</f>
        <v>-</v>
      </c>
      <c r="H283" s="17" t="str">
        <f>IFERROR(IF(INDEX(Movimientos!$M$2:$M$1998,MATCH(A283&amp;"ENTRADA",Movimientos!$R$2:$R$1998,0))=0,"S/D",INDEX(Movimientos!$M$2:$M$1998,MATCH(A283&amp;"ENTRADA",Movimientos!$R$2:$R$1998,0))),"S/D")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 ht="14.25">
      <c r="A284" s="16" t="s">
        <v>2449</v>
      </c>
      <c r="B284" s="2" t="str">
        <f>IFERROR(INDEX(Movimientos!$C$2:$C$1998,MATCH(A284&amp;"ENTRADA",Movimientos!$R$2:$R$1998,0)),"-")</f>
        <v>-</v>
      </c>
      <c r="C284" s="2" t="str">
        <f>IFERROR(INDEX(Movimientos!$D$2:$D$1998,MATCH(A284&amp;"ENTRADA",Movimientos!$R$2:$R$1998,0)),"-")</f>
        <v>-</v>
      </c>
      <c r="D284" s="2" t="str">
        <f>IFERROR(INDEX(Movimientos!$E$2:$E$1998,MATCH(A284&amp;"ENTRADA",Movimientos!$R$2:$R$1998,0)),"-")</f>
        <v>-</v>
      </c>
      <c r="E284" s="2" t="str">
        <f>IFERROR(INDEX(Movimientos!$F$2:$F$1998,MATCH(A284&amp;"ENTRADA",Movimientos!$R$2:$R$1998,0)),"-")</f>
        <v>-</v>
      </c>
      <c r="F284" s="2" t="str">
        <f>IFERROR(INDEX(Movimientos!$G$2:$G$1998,MATCH(A284&amp;"ENTRADA",Movimientos!$R$2:$R$1998,0)),"-")</f>
        <v>-</v>
      </c>
      <c r="G284" s="2" t="str">
        <f>IFERROR(INDEX(Movimientos!$L$2:$L$1998,MATCH(A284&amp;"ENTRADA",Movimientos!$R$2:$R$1998,0)),"-")</f>
        <v>-</v>
      </c>
      <c r="H284" s="17" t="str">
        <f>IFERROR(IF(INDEX(Movimientos!$M$2:$M$1998,MATCH(A284&amp;"ENTRADA",Movimientos!$R$2:$R$1998,0))=0,"S/D",INDEX(Movimientos!$M$2:$M$1998,MATCH(A284&amp;"ENTRADA",Movimientos!$R$2:$R$1998,0))),"S/D")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 ht="14.25">
      <c r="A285" s="16" t="s">
        <v>2450</v>
      </c>
      <c r="B285" s="2" t="str">
        <f>IFERROR(INDEX(Movimientos!$C$2:$C$1998,MATCH(A285&amp;"ENTRADA",Movimientos!$R$2:$R$1998,0)),"-")</f>
        <v>-</v>
      </c>
      <c r="C285" s="2" t="str">
        <f>IFERROR(INDEX(Movimientos!$D$2:$D$1998,MATCH(A285&amp;"ENTRADA",Movimientos!$R$2:$R$1998,0)),"-")</f>
        <v>-</v>
      </c>
      <c r="D285" s="2" t="str">
        <f>IFERROR(INDEX(Movimientos!$E$2:$E$1998,MATCH(A285&amp;"ENTRADA",Movimientos!$R$2:$R$1998,0)),"-")</f>
        <v>-</v>
      </c>
      <c r="E285" s="2" t="str">
        <f>IFERROR(INDEX(Movimientos!$F$2:$F$1998,MATCH(A285&amp;"ENTRADA",Movimientos!$R$2:$R$1998,0)),"-")</f>
        <v>-</v>
      </c>
      <c r="F285" s="2" t="str">
        <f>IFERROR(INDEX(Movimientos!$G$2:$G$1998,MATCH(A285&amp;"ENTRADA",Movimientos!$R$2:$R$1998,0)),"-")</f>
        <v>-</v>
      </c>
      <c r="G285" s="2" t="str">
        <f>IFERROR(INDEX(Movimientos!$L$2:$L$1998,MATCH(A285&amp;"ENTRADA",Movimientos!$R$2:$R$1998,0)),"-")</f>
        <v>-</v>
      </c>
      <c r="H285" s="17" t="str">
        <f>IFERROR(IF(INDEX(Movimientos!$M$2:$M$1998,MATCH(A285&amp;"ENTRADA",Movimientos!$R$2:$R$1998,0))=0,"S/D",INDEX(Movimientos!$M$2:$M$1998,MATCH(A285&amp;"ENTRADA",Movimientos!$R$2:$R$1998,0))),"S/D")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 ht="14.25">
      <c r="A286" s="16" t="s">
        <v>2451</v>
      </c>
      <c r="B286" s="2" t="str">
        <f>IFERROR(INDEX(Movimientos!$C$2:$C$1998,MATCH(A286&amp;"ENTRADA",Movimientos!$R$2:$R$1998,0)),"-")</f>
        <v>-</v>
      </c>
      <c r="C286" s="2" t="str">
        <f>IFERROR(INDEX(Movimientos!$D$2:$D$1998,MATCH(A286&amp;"ENTRADA",Movimientos!$R$2:$R$1998,0)),"-")</f>
        <v>-</v>
      </c>
      <c r="D286" s="2" t="str">
        <f>IFERROR(INDEX(Movimientos!$E$2:$E$1998,MATCH(A286&amp;"ENTRADA",Movimientos!$R$2:$R$1998,0)),"-")</f>
        <v>-</v>
      </c>
      <c r="E286" s="2" t="str">
        <f>IFERROR(INDEX(Movimientos!$F$2:$F$1998,MATCH(A286&amp;"ENTRADA",Movimientos!$R$2:$R$1998,0)),"-")</f>
        <v>-</v>
      </c>
      <c r="F286" s="2" t="str">
        <f>IFERROR(INDEX(Movimientos!$G$2:$G$1998,MATCH(A286&amp;"ENTRADA",Movimientos!$R$2:$R$1998,0)),"-")</f>
        <v>-</v>
      </c>
      <c r="G286" s="2" t="str">
        <f>IFERROR(INDEX(Movimientos!$L$2:$L$1998,MATCH(A286&amp;"ENTRADA",Movimientos!$R$2:$R$1998,0)),"-")</f>
        <v>-</v>
      </c>
      <c r="H286" s="17" t="str">
        <f>IFERROR(IF(INDEX(Movimientos!$M$2:$M$1998,MATCH(A286&amp;"ENTRADA",Movimientos!$R$2:$R$1998,0))=0,"S/D",INDEX(Movimientos!$M$2:$M$1998,MATCH(A286&amp;"ENTRADA",Movimientos!$R$2:$R$1998,0))),"S/D")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 ht="14.25">
      <c r="A287" s="16" t="s">
        <v>2452</v>
      </c>
      <c r="B287" s="2" t="str">
        <f>IFERROR(INDEX(Movimientos!$C$2:$C$1998,MATCH(A287&amp;"ENTRADA",Movimientos!$R$2:$R$1998,0)),"-")</f>
        <v>-</v>
      </c>
      <c r="C287" s="2" t="str">
        <f>IFERROR(INDEX(Movimientos!$D$2:$D$1998,MATCH(A287&amp;"ENTRADA",Movimientos!$R$2:$R$1998,0)),"-")</f>
        <v>-</v>
      </c>
      <c r="D287" s="2" t="str">
        <f>IFERROR(INDEX(Movimientos!$E$2:$E$1998,MATCH(A287&amp;"ENTRADA",Movimientos!$R$2:$R$1998,0)),"-")</f>
        <v>-</v>
      </c>
      <c r="E287" s="2" t="str">
        <f>IFERROR(INDEX(Movimientos!$F$2:$F$1998,MATCH(A287&amp;"ENTRADA",Movimientos!$R$2:$R$1998,0)),"-")</f>
        <v>-</v>
      </c>
      <c r="F287" s="2" t="str">
        <f>IFERROR(INDEX(Movimientos!$G$2:$G$1998,MATCH(A287&amp;"ENTRADA",Movimientos!$R$2:$R$1998,0)),"-")</f>
        <v>-</v>
      </c>
      <c r="G287" s="2" t="str">
        <f>IFERROR(INDEX(Movimientos!$L$2:$L$1998,MATCH(A287&amp;"ENTRADA",Movimientos!$R$2:$R$1998,0)),"-")</f>
        <v>-</v>
      </c>
      <c r="H287" s="17" t="str">
        <f>IFERROR(IF(INDEX(Movimientos!$M$2:$M$1998,MATCH(A287&amp;"ENTRADA",Movimientos!$R$2:$R$1998,0))=0,"S/D",INDEX(Movimientos!$M$2:$M$1998,MATCH(A287&amp;"ENTRADA",Movimientos!$R$2:$R$1998,0))),"S/D")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 ht="14.25">
      <c r="A288" s="16" t="s">
        <v>2453</v>
      </c>
      <c r="B288" s="2" t="str">
        <f>IFERROR(INDEX(Movimientos!$C$2:$C$1998,MATCH(A288&amp;"ENTRADA",Movimientos!$R$2:$R$1998,0)),"-")</f>
        <v>-</v>
      </c>
      <c r="C288" s="2" t="str">
        <f>IFERROR(INDEX(Movimientos!$D$2:$D$1998,MATCH(A288&amp;"ENTRADA",Movimientos!$R$2:$R$1998,0)),"-")</f>
        <v>-</v>
      </c>
      <c r="D288" s="2" t="str">
        <f>IFERROR(INDEX(Movimientos!$E$2:$E$1998,MATCH(A288&amp;"ENTRADA",Movimientos!$R$2:$R$1998,0)),"-")</f>
        <v>-</v>
      </c>
      <c r="E288" s="2" t="str">
        <f>IFERROR(INDEX(Movimientos!$F$2:$F$1998,MATCH(A288&amp;"ENTRADA",Movimientos!$R$2:$R$1998,0)),"-")</f>
        <v>-</v>
      </c>
      <c r="F288" s="2" t="str">
        <f>IFERROR(INDEX(Movimientos!$G$2:$G$1998,MATCH(A288&amp;"ENTRADA",Movimientos!$R$2:$R$1998,0)),"-")</f>
        <v>-</v>
      </c>
      <c r="G288" s="2" t="str">
        <f>IFERROR(INDEX(Movimientos!$L$2:$L$1998,MATCH(A288&amp;"ENTRADA",Movimientos!$R$2:$R$1998,0)),"-")</f>
        <v>-</v>
      </c>
      <c r="H288" s="17" t="str">
        <f>IFERROR(IF(INDEX(Movimientos!$M$2:$M$1998,MATCH(A288&amp;"ENTRADA",Movimientos!$R$2:$R$1998,0))=0,"S/D",INDEX(Movimientos!$M$2:$M$1998,MATCH(A288&amp;"ENTRADA",Movimientos!$R$2:$R$1998,0))),"S/D")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 ht="14.25">
      <c r="A289" s="16" t="s">
        <v>2454</v>
      </c>
      <c r="B289" s="2" t="str">
        <f>IFERROR(INDEX(Movimientos!$C$2:$C$1998,MATCH(A289&amp;"ENTRADA",Movimientos!$R$2:$R$1998,0)),"-")</f>
        <v>-</v>
      </c>
      <c r="C289" s="2" t="str">
        <f>IFERROR(INDEX(Movimientos!$D$2:$D$1998,MATCH(A289&amp;"ENTRADA",Movimientos!$R$2:$R$1998,0)),"-")</f>
        <v>-</v>
      </c>
      <c r="D289" s="2" t="str">
        <f>IFERROR(INDEX(Movimientos!$E$2:$E$1998,MATCH(A289&amp;"ENTRADA",Movimientos!$R$2:$R$1998,0)),"-")</f>
        <v>-</v>
      </c>
      <c r="E289" s="2" t="str">
        <f>IFERROR(INDEX(Movimientos!$F$2:$F$1998,MATCH(A289&amp;"ENTRADA",Movimientos!$R$2:$R$1998,0)),"-")</f>
        <v>-</v>
      </c>
      <c r="F289" s="2" t="str">
        <f>IFERROR(INDEX(Movimientos!$G$2:$G$1998,MATCH(A289&amp;"ENTRADA",Movimientos!$R$2:$R$1998,0)),"-")</f>
        <v>-</v>
      </c>
      <c r="G289" s="2" t="str">
        <f>IFERROR(INDEX(Movimientos!$L$2:$L$1998,MATCH(A289&amp;"ENTRADA",Movimientos!$R$2:$R$1998,0)),"-")</f>
        <v>-</v>
      </c>
      <c r="H289" s="17" t="str">
        <f>IFERROR(IF(INDEX(Movimientos!$M$2:$M$1998,MATCH(A289&amp;"ENTRADA",Movimientos!$R$2:$R$1998,0))=0,"S/D",INDEX(Movimientos!$M$2:$M$1998,MATCH(A289&amp;"ENTRADA",Movimientos!$R$2:$R$1998,0))),"S/D")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 ht="14.25">
      <c r="A290" s="16" t="s">
        <v>2455</v>
      </c>
      <c r="B290" s="2" t="str">
        <f>IFERROR(INDEX(Movimientos!$C$2:$C$1998,MATCH(A290&amp;"ENTRADA",Movimientos!$R$2:$R$1998,0)),"-")</f>
        <v>-</v>
      </c>
      <c r="C290" s="2" t="str">
        <f>IFERROR(INDEX(Movimientos!$D$2:$D$1998,MATCH(A290&amp;"ENTRADA",Movimientos!$R$2:$R$1998,0)),"-")</f>
        <v>-</v>
      </c>
      <c r="D290" s="2" t="str">
        <f>IFERROR(INDEX(Movimientos!$E$2:$E$1998,MATCH(A290&amp;"ENTRADA",Movimientos!$R$2:$R$1998,0)),"-")</f>
        <v>-</v>
      </c>
      <c r="E290" s="2" t="str">
        <f>IFERROR(INDEX(Movimientos!$F$2:$F$1998,MATCH(A290&amp;"ENTRADA",Movimientos!$R$2:$R$1998,0)),"-")</f>
        <v>-</v>
      </c>
      <c r="F290" s="2" t="str">
        <f>IFERROR(INDEX(Movimientos!$G$2:$G$1998,MATCH(A290&amp;"ENTRADA",Movimientos!$R$2:$R$1998,0)),"-")</f>
        <v>-</v>
      </c>
      <c r="G290" s="2" t="str">
        <f>IFERROR(INDEX(Movimientos!$L$2:$L$1998,MATCH(A290&amp;"ENTRADA",Movimientos!$R$2:$R$1998,0)),"-")</f>
        <v>-</v>
      </c>
      <c r="H290" s="17" t="str">
        <f>IFERROR(IF(INDEX(Movimientos!$M$2:$M$1998,MATCH(A290&amp;"ENTRADA",Movimientos!$R$2:$R$1998,0))=0,"S/D",INDEX(Movimientos!$M$2:$M$1998,MATCH(A290&amp;"ENTRADA",Movimientos!$R$2:$R$1998,0))),"S/D")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 ht="14.25">
      <c r="A291" s="16" t="s">
        <v>2456</v>
      </c>
      <c r="B291" s="2" t="str">
        <f>IFERROR(INDEX(Movimientos!$C$2:$C$1998,MATCH(A291&amp;"ENTRADA",Movimientos!$R$2:$R$1998,0)),"-")</f>
        <v>-</v>
      </c>
      <c r="C291" s="2" t="str">
        <f>IFERROR(INDEX(Movimientos!$D$2:$D$1998,MATCH(A291&amp;"ENTRADA",Movimientos!$R$2:$R$1998,0)),"-")</f>
        <v>-</v>
      </c>
      <c r="D291" s="2" t="str">
        <f>IFERROR(INDEX(Movimientos!$E$2:$E$1998,MATCH(A291&amp;"ENTRADA",Movimientos!$R$2:$R$1998,0)),"-")</f>
        <v>-</v>
      </c>
      <c r="E291" s="2" t="str">
        <f>IFERROR(INDEX(Movimientos!$F$2:$F$1998,MATCH(A291&amp;"ENTRADA",Movimientos!$R$2:$R$1998,0)),"-")</f>
        <v>-</v>
      </c>
      <c r="F291" s="2" t="str">
        <f>IFERROR(INDEX(Movimientos!$G$2:$G$1998,MATCH(A291&amp;"ENTRADA",Movimientos!$R$2:$R$1998,0)),"-")</f>
        <v>-</v>
      </c>
      <c r="G291" s="2" t="str">
        <f>IFERROR(INDEX(Movimientos!$L$2:$L$1998,MATCH(A291&amp;"ENTRADA",Movimientos!$R$2:$R$1998,0)),"-")</f>
        <v>-</v>
      </c>
      <c r="H291" s="17" t="str">
        <f>IFERROR(IF(INDEX(Movimientos!$M$2:$M$1998,MATCH(A291&amp;"ENTRADA",Movimientos!$R$2:$R$1998,0))=0,"S/D",INDEX(Movimientos!$M$2:$M$1998,MATCH(A291&amp;"ENTRADA",Movimientos!$R$2:$R$1998,0))),"S/D")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 ht="14.25">
      <c r="A292" s="16" t="s">
        <v>2457</v>
      </c>
      <c r="B292" s="2" t="str">
        <f>IFERROR(INDEX(Movimientos!$C$2:$C$1998,MATCH(A292&amp;"ENTRADA",Movimientos!$R$2:$R$1998,0)),"-")</f>
        <v>-</v>
      </c>
      <c r="C292" s="2" t="str">
        <f>IFERROR(INDEX(Movimientos!$D$2:$D$1998,MATCH(A292&amp;"ENTRADA",Movimientos!$R$2:$R$1998,0)),"-")</f>
        <v>-</v>
      </c>
      <c r="D292" s="2" t="str">
        <f>IFERROR(INDEX(Movimientos!$E$2:$E$1998,MATCH(A292&amp;"ENTRADA",Movimientos!$R$2:$R$1998,0)),"-")</f>
        <v>-</v>
      </c>
      <c r="E292" s="2" t="str">
        <f>IFERROR(INDEX(Movimientos!$F$2:$F$1998,MATCH(A292&amp;"ENTRADA",Movimientos!$R$2:$R$1998,0)),"-")</f>
        <v>-</v>
      </c>
      <c r="F292" s="2" t="str">
        <f>IFERROR(INDEX(Movimientos!$G$2:$G$1998,MATCH(A292&amp;"ENTRADA",Movimientos!$R$2:$R$1998,0)),"-")</f>
        <v>-</v>
      </c>
      <c r="G292" s="2" t="str">
        <f>IFERROR(INDEX(Movimientos!$L$2:$L$1998,MATCH(A292&amp;"ENTRADA",Movimientos!$R$2:$R$1998,0)),"-")</f>
        <v>-</v>
      </c>
      <c r="H292" s="17" t="str">
        <f>IFERROR(IF(INDEX(Movimientos!$M$2:$M$1998,MATCH(A292&amp;"ENTRADA",Movimientos!$R$2:$R$1998,0))=0,"S/D",INDEX(Movimientos!$M$2:$M$1998,MATCH(A292&amp;"ENTRADA",Movimientos!$R$2:$R$1998,0))),"S/D")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 ht="14.25">
      <c r="A293" s="16" t="s">
        <v>2458</v>
      </c>
      <c r="B293" s="2" t="str">
        <f>IFERROR(INDEX(Movimientos!$C$2:$C$1998,MATCH(A293&amp;"ENTRADA",Movimientos!$R$2:$R$1998,0)),"-")</f>
        <v>-</v>
      </c>
      <c r="C293" s="2" t="str">
        <f>IFERROR(INDEX(Movimientos!$D$2:$D$1998,MATCH(A293&amp;"ENTRADA",Movimientos!$R$2:$R$1998,0)),"-")</f>
        <v>-</v>
      </c>
      <c r="D293" s="2" t="str">
        <f>IFERROR(INDEX(Movimientos!$E$2:$E$1998,MATCH(A293&amp;"ENTRADA",Movimientos!$R$2:$R$1998,0)),"-")</f>
        <v>-</v>
      </c>
      <c r="E293" s="2" t="str">
        <f>IFERROR(INDEX(Movimientos!$F$2:$F$1998,MATCH(A293&amp;"ENTRADA",Movimientos!$R$2:$R$1998,0)),"-")</f>
        <v>-</v>
      </c>
      <c r="F293" s="2" t="str">
        <f>IFERROR(INDEX(Movimientos!$G$2:$G$1998,MATCH(A293&amp;"ENTRADA",Movimientos!$R$2:$R$1998,0)),"-")</f>
        <v>-</v>
      </c>
      <c r="G293" s="2" t="str">
        <f>IFERROR(INDEX(Movimientos!$L$2:$L$1998,MATCH(A293&amp;"ENTRADA",Movimientos!$R$2:$R$1998,0)),"-")</f>
        <v>-</v>
      </c>
      <c r="H293" s="17" t="str">
        <f>IFERROR(IF(INDEX(Movimientos!$M$2:$M$1998,MATCH(A293&amp;"ENTRADA",Movimientos!$R$2:$R$1998,0))=0,"S/D",INDEX(Movimientos!$M$2:$M$1998,MATCH(A293&amp;"ENTRADA",Movimientos!$R$2:$R$1998,0))),"S/D")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 ht="14.25">
      <c r="A294" s="16" t="s">
        <v>2459</v>
      </c>
      <c r="B294" s="2" t="str">
        <f>IFERROR(INDEX(Movimientos!$C$2:$C$1998,MATCH(A294&amp;"ENTRADA",Movimientos!$R$2:$R$1998,0)),"-")</f>
        <v>-</v>
      </c>
      <c r="C294" s="2" t="str">
        <f>IFERROR(INDEX(Movimientos!$D$2:$D$1998,MATCH(A294&amp;"ENTRADA",Movimientos!$R$2:$R$1998,0)),"-")</f>
        <v>-</v>
      </c>
      <c r="D294" s="2" t="str">
        <f>IFERROR(INDEX(Movimientos!$E$2:$E$1998,MATCH(A294&amp;"ENTRADA",Movimientos!$R$2:$R$1998,0)),"-")</f>
        <v>-</v>
      </c>
      <c r="E294" s="2" t="str">
        <f>IFERROR(INDEX(Movimientos!$F$2:$F$1998,MATCH(A294&amp;"ENTRADA",Movimientos!$R$2:$R$1998,0)),"-")</f>
        <v>-</v>
      </c>
      <c r="F294" s="2" t="str">
        <f>IFERROR(INDEX(Movimientos!$G$2:$G$1998,MATCH(A294&amp;"ENTRADA",Movimientos!$R$2:$R$1998,0)),"-")</f>
        <v>-</v>
      </c>
      <c r="G294" s="2" t="str">
        <f>IFERROR(INDEX(Movimientos!$L$2:$L$1998,MATCH(A294&amp;"ENTRADA",Movimientos!$R$2:$R$1998,0)),"-")</f>
        <v>-</v>
      </c>
      <c r="H294" s="17" t="str">
        <f>IFERROR(IF(INDEX(Movimientos!$M$2:$M$1998,MATCH(A294&amp;"ENTRADA",Movimientos!$R$2:$R$1998,0))=0,"S/D",INDEX(Movimientos!$M$2:$M$1998,MATCH(A294&amp;"ENTRADA",Movimientos!$R$2:$R$1998,0))),"S/D")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 ht="14.25">
      <c r="A295" s="16" t="s">
        <v>2460</v>
      </c>
      <c r="B295" s="2" t="str">
        <f>IFERROR(INDEX(Movimientos!$C$2:$C$1998,MATCH(A295&amp;"ENTRADA",Movimientos!$R$2:$R$1998,0)),"-")</f>
        <v>-</v>
      </c>
      <c r="C295" s="2" t="str">
        <f>IFERROR(INDEX(Movimientos!$D$2:$D$1998,MATCH(A295&amp;"ENTRADA",Movimientos!$R$2:$R$1998,0)),"-")</f>
        <v>-</v>
      </c>
      <c r="D295" s="2" t="str">
        <f>IFERROR(INDEX(Movimientos!$E$2:$E$1998,MATCH(A295&amp;"ENTRADA",Movimientos!$R$2:$R$1998,0)),"-")</f>
        <v>-</v>
      </c>
      <c r="E295" s="2" t="str">
        <f>IFERROR(INDEX(Movimientos!$F$2:$F$1998,MATCH(A295&amp;"ENTRADA",Movimientos!$R$2:$R$1998,0)),"-")</f>
        <v>-</v>
      </c>
      <c r="F295" s="2" t="str">
        <f>IFERROR(INDEX(Movimientos!$G$2:$G$1998,MATCH(A295&amp;"ENTRADA",Movimientos!$R$2:$R$1998,0)),"-")</f>
        <v>-</v>
      </c>
      <c r="G295" s="2" t="str">
        <f>IFERROR(INDEX(Movimientos!$L$2:$L$1998,MATCH(A295&amp;"ENTRADA",Movimientos!$R$2:$R$1998,0)),"-")</f>
        <v>-</v>
      </c>
      <c r="H295" s="17" t="str">
        <f>IFERROR(IF(INDEX(Movimientos!$M$2:$M$1998,MATCH(A295&amp;"ENTRADA",Movimientos!$R$2:$R$1998,0))=0,"S/D",INDEX(Movimientos!$M$2:$M$1998,MATCH(A295&amp;"ENTRADA",Movimientos!$R$2:$R$1998,0))),"S/D")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 ht="14.25">
      <c r="A296" s="16" t="s">
        <v>2461</v>
      </c>
      <c r="B296" s="2" t="str">
        <f>IFERROR(INDEX(Movimientos!$C$2:$C$1998,MATCH(A296&amp;"ENTRADA",Movimientos!$R$2:$R$1998,0)),"-")</f>
        <v>-</v>
      </c>
      <c r="C296" s="2" t="str">
        <f>IFERROR(INDEX(Movimientos!$D$2:$D$1998,MATCH(A296&amp;"ENTRADA",Movimientos!$R$2:$R$1998,0)),"-")</f>
        <v>-</v>
      </c>
      <c r="D296" s="2" t="str">
        <f>IFERROR(INDEX(Movimientos!$E$2:$E$1998,MATCH(A296&amp;"ENTRADA",Movimientos!$R$2:$R$1998,0)),"-")</f>
        <v>-</v>
      </c>
      <c r="E296" s="2" t="str">
        <f>IFERROR(INDEX(Movimientos!$F$2:$F$1998,MATCH(A296&amp;"ENTRADA",Movimientos!$R$2:$R$1998,0)),"-")</f>
        <v>-</v>
      </c>
      <c r="F296" s="2" t="str">
        <f>IFERROR(INDEX(Movimientos!$G$2:$G$1998,MATCH(A296&amp;"ENTRADA",Movimientos!$R$2:$R$1998,0)),"-")</f>
        <v>-</v>
      </c>
      <c r="G296" s="2" t="str">
        <f>IFERROR(INDEX(Movimientos!$L$2:$L$1998,MATCH(A296&amp;"ENTRADA",Movimientos!$R$2:$R$1998,0)),"-")</f>
        <v>-</v>
      </c>
      <c r="H296" s="17" t="str">
        <f>IFERROR(IF(INDEX(Movimientos!$M$2:$M$1998,MATCH(A296&amp;"ENTRADA",Movimientos!$R$2:$R$1998,0))=0,"S/D",INDEX(Movimientos!$M$2:$M$1998,MATCH(A296&amp;"ENTRADA",Movimientos!$R$2:$R$1998,0))),"S/D")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 ht="14.25">
      <c r="A297" s="16" t="s">
        <v>2462</v>
      </c>
      <c r="B297" s="2" t="str">
        <f>IFERROR(INDEX(Movimientos!$C$2:$C$1998,MATCH(A297&amp;"ENTRADA",Movimientos!$R$2:$R$1998,0)),"-")</f>
        <v>-</v>
      </c>
      <c r="C297" s="2" t="str">
        <f>IFERROR(INDEX(Movimientos!$D$2:$D$1998,MATCH(A297&amp;"ENTRADA",Movimientos!$R$2:$R$1998,0)),"-")</f>
        <v>-</v>
      </c>
      <c r="D297" s="2" t="str">
        <f>IFERROR(INDEX(Movimientos!$E$2:$E$1998,MATCH(A297&amp;"ENTRADA",Movimientos!$R$2:$R$1998,0)),"-")</f>
        <v>-</v>
      </c>
      <c r="E297" s="2" t="str">
        <f>IFERROR(INDEX(Movimientos!$F$2:$F$1998,MATCH(A297&amp;"ENTRADA",Movimientos!$R$2:$R$1998,0)),"-")</f>
        <v>-</v>
      </c>
      <c r="F297" s="2" t="str">
        <f>IFERROR(INDEX(Movimientos!$G$2:$G$1998,MATCH(A297&amp;"ENTRADA",Movimientos!$R$2:$R$1998,0)),"-")</f>
        <v>-</v>
      </c>
      <c r="G297" s="2" t="str">
        <f>IFERROR(INDEX(Movimientos!$L$2:$L$1998,MATCH(A297&amp;"ENTRADA",Movimientos!$R$2:$R$1998,0)),"-")</f>
        <v>-</v>
      </c>
      <c r="H297" s="17" t="str">
        <f>IFERROR(IF(INDEX(Movimientos!$M$2:$M$1998,MATCH(A297&amp;"ENTRADA",Movimientos!$R$2:$R$1998,0))=0,"S/D",INDEX(Movimientos!$M$2:$M$1998,MATCH(A297&amp;"ENTRADA",Movimientos!$R$2:$R$1998,0))),"S/D")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 ht="14.25">
      <c r="A298" s="16" t="s">
        <v>2463</v>
      </c>
      <c r="B298" s="2" t="str">
        <f>IFERROR(INDEX(Movimientos!$C$2:$C$1998,MATCH(A298&amp;"ENTRADA",Movimientos!$R$2:$R$1998,0)),"-")</f>
        <v>-</v>
      </c>
      <c r="C298" s="2" t="str">
        <f>IFERROR(INDEX(Movimientos!$D$2:$D$1998,MATCH(A298&amp;"ENTRADA",Movimientos!$R$2:$R$1998,0)),"-")</f>
        <v>-</v>
      </c>
      <c r="D298" s="2" t="str">
        <f>IFERROR(INDEX(Movimientos!$E$2:$E$1998,MATCH(A298&amp;"ENTRADA",Movimientos!$R$2:$R$1998,0)),"-")</f>
        <v>-</v>
      </c>
      <c r="E298" s="2" t="str">
        <f>IFERROR(INDEX(Movimientos!$F$2:$F$1998,MATCH(A298&amp;"ENTRADA",Movimientos!$R$2:$R$1998,0)),"-")</f>
        <v>-</v>
      </c>
      <c r="F298" s="2" t="str">
        <f>IFERROR(INDEX(Movimientos!$G$2:$G$1998,MATCH(A298&amp;"ENTRADA",Movimientos!$R$2:$R$1998,0)),"-")</f>
        <v>-</v>
      </c>
      <c r="G298" s="2" t="str">
        <f>IFERROR(INDEX(Movimientos!$L$2:$L$1998,MATCH(A298&amp;"ENTRADA",Movimientos!$R$2:$R$1998,0)),"-")</f>
        <v>-</v>
      </c>
      <c r="H298" s="17" t="str">
        <f>IFERROR(IF(INDEX(Movimientos!$M$2:$M$1998,MATCH(A298&amp;"ENTRADA",Movimientos!$R$2:$R$1998,0))=0,"S/D",INDEX(Movimientos!$M$2:$M$1998,MATCH(A298&amp;"ENTRADA",Movimientos!$R$2:$R$1998,0))),"S/D")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 ht="14.25">
      <c r="A299" s="16" t="s">
        <v>2464</v>
      </c>
      <c r="B299" s="2" t="str">
        <f>IFERROR(INDEX(Movimientos!$C$2:$C$1998,MATCH(A299&amp;"ENTRADA",Movimientos!$R$2:$R$1998,0)),"-")</f>
        <v>-</v>
      </c>
      <c r="C299" s="2" t="str">
        <f>IFERROR(INDEX(Movimientos!$D$2:$D$1998,MATCH(A299&amp;"ENTRADA",Movimientos!$R$2:$R$1998,0)),"-")</f>
        <v>-</v>
      </c>
      <c r="D299" s="2" t="str">
        <f>IFERROR(INDEX(Movimientos!$E$2:$E$1998,MATCH(A299&amp;"ENTRADA",Movimientos!$R$2:$R$1998,0)),"-")</f>
        <v>-</v>
      </c>
      <c r="E299" s="2" t="str">
        <f>IFERROR(INDEX(Movimientos!$F$2:$F$1998,MATCH(A299&amp;"ENTRADA",Movimientos!$R$2:$R$1998,0)),"-")</f>
        <v>-</v>
      </c>
      <c r="F299" s="2" t="str">
        <f>IFERROR(INDEX(Movimientos!$G$2:$G$1998,MATCH(A299&amp;"ENTRADA",Movimientos!$R$2:$R$1998,0)),"-")</f>
        <v>-</v>
      </c>
      <c r="G299" s="2" t="str">
        <f>IFERROR(INDEX(Movimientos!$L$2:$L$1998,MATCH(A299&amp;"ENTRADA",Movimientos!$R$2:$R$1998,0)),"-")</f>
        <v>-</v>
      </c>
      <c r="H299" s="17" t="str">
        <f>IFERROR(IF(INDEX(Movimientos!$M$2:$M$1998,MATCH(A299&amp;"ENTRADA",Movimientos!$R$2:$R$1998,0))=0,"S/D",INDEX(Movimientos!$M$2:$M$1998,MATCH(A299&amp;"ENTRADA",Movimientos!$R$2:$R$1998,0))),"S/D")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 ht="14.25">
      <c r="A300" s="16" t="s">
        <v>2465</v>
      </c>
      <c r="B300" s="2" t="str">
        <f>IFERROR(INDEX(Movimientos!$C$2:$C$1998,MATCH(A300&amp;"ENTRADA",Movimientos!$R$2:$R$1998,0)),"-")</f>
        <v>-</v>
      </c>
      <c r="C300" s="2" t="str">
        <f>IFERROR(INDEX(Movimientos!$D$2:$D$1998,MATCH(A300&amp;"ENTRADA",Movimientos!$R$2:$R$1998,0)),"-")</f>
        <v>-</v>
      </c>
      <c r="D300" s="2" t="str">
        <f>IFERROR(INDEX(Movimientos!$E$2:$E$1998,MATCH(A300&amp;"ENTRADA",Movimientos!$R$2:$R$1998,0)),"-")</f>
        <v>-</v>
      </c>
      <c r="E300" s="2" t="str">
        <f>IFERROR(INDEX(Movimientos!$F$2:$F$1998,MATCH(A300&amp;"ENTRADA",Movimientos!$R$2:$R$1998,0)),"-")</f>
        <v>-</v>
      </c>
      <c r="F300" s="2" t="str">
        <f>IFERROR(INDEX(Movimientos!$G$2:$G$1998,MATCH(A300&amp;"ENTRADA",Movimientos!$R$2:$R$1998,0)),"-")</f>
        <v>-</v>
      </c>
      <c r="G300" s="2" t="str">
        <f>IFERROR(INDEX(Movimientos!$L$2:$L$1998,MATCH(A300&amp;"ENTRADA",Movimientos!$R$2:$R$1998,0)),"-")</f>
        <v>-</v>
      </c>
      <c r="H300" s="17" t="str">
        <f>IFERROR(IF(INDEX(Movimientos!$M$2:$M$1998,MATCH(A300&amp;"ENTRADA",Movimientos!$R$2:$R$1998,0))=0,"S/D",INDEX(Movimientos!$M$2:$M$1998,MATCH(A300&amp;"ENTRADA",Movimientos!$R$2:$R$1998,0))),"S/D")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 ht="14.25">
      <c r="A301" s="16" t="s">
        <v>2466</v>
      </c>
      <c r="B301" s="2" t="str">
        <f>IFERROR(INDEX(Movimientos!$C$2:$C$1998,MATCH(A301&amp;"ENTRADA",Movimientos!$R$2:$R$1998,0)),"-")</f>
        <v>-</v>
      </c>
      <c r="C301" s="2" t="str">
        <f>IFERROR(INDEX(Movimientos!$D$2:$D$1998,MATCH(A301&amp;"ENTRADA",Movimientos!$R$2:$R$1998,0)),"-")</f>
        <v>-</v>
      </c>
      <c r="D301" s="2" t="str">
        <f>IFERROR(INDEX(Movimientos!$E$2:$E$1998,MATCH(A301&amp;"ENTRADA",Movimientos!$R$2:$R$1998,0)),"-")</f>
        <v>-</v>
      </c>
      <c r="E301" s="2" t="str">
        <f>IFERROR(INDEX(Movimientos!$F$2:$F$1998,MATCH(A301&amp;"ENTRADA",Movimientos!$R$2:$R$1998,0)),"-")</f>
        <v>-</v>
      </c>
      <c r="F301" s="2" t="str">
        <f>IFERROR(INDEX(Movimientos!$G$2:$G$1998,MATCH(A301&amp;"ENTRADA",Movimientos!$R$2:$R$1998,0)),"-")</f>
        <v>-</v>
      </c>
      <c r="G301" s="2" t="str">
        <f>IFERROR(INDEX(Movimientos!$L$2:$L$1998,MATCH(A301&amp;"ENTRADA",Movimientos!$R$2:$R$1998,0)),"-")</f>
        <v>-</v>
      </c>
      <c r="H301" s="17" t="str">
        <f>IFERROR(IF(INDEX(Movimientos!$M$2:$M$1998,MATCH(A301&amp;"ENTRADA",Movimientos!$R$2:$R$1998,0))=0,"S/D",INDEX(Movimientos!$M$2:$M$1998,MATCH(A301&amp;"ENTRADA",Movimientos!$R$2:$R$1998,0))),"S/D")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 ht="14.25">
      <c r="A302" s="16" t="s">
        <v>2467</v>
      </c>
      <c r="B302" s="2" t="str">
        <f>IFERROR(INDEX(Movimientos!$C$2:$C$1998,MATCH(A302&amp;"ENTRADA",Movimientos!$R$2:$R$1998,0)),"-")</f>
        <v>-</v>
      </c>
      <c r="C302" s="2" t="str">
        <f>IFERROR(INDEX(Movimientos!$D$2:$D$1998,MATCH(A302&amp;"ENTRADA",Movimientos!$R$2:$R$1998,0)),"-")</f>
        <v>-</v>
      </c>
      <c r="D302" s="2" t="str">
        <f>IFERROR(INDEX(Movimientos!$E$2:$E$1998,MATCH(A302&amp;"ENTRADA",Movimientos!$R$2:$R$1998,0)),"-")</f>
        <v>-</v>
      </c>
      <c r="E302" s="2" t="str">
        <f>IFERROR(INDEX(Movimientos!$F$2:$F$1998,MATCH(A302&amp;"ENTRADA",Movimientos!$R$2:$R$1998,0)),"-")</f>
        <v>-</v>
      </c>
      <c r="F302" s="2" t="str">
        <f>IFERROR(INDEX(Movimientos!$G$2:$G$1998,MATCH(A302&amp;"ENTRADA",Movimientos!$R$2:$R$1998,0)),"-")</f>
        <v>-</v>
      </c>
      <c r="G302" s="2" t="str">
        <f>IFERROR(INDEX(Movimientos!$L$2:$L$1998,MATCH(A302&amp;"ENTRADA",Movimientos!$R$2:$R$1998,0)),"-")</f>
        <v>-</v>
      </c>
      <c r="H302" s="17" t="str">
        <f>IFERROR(IF(INDEX(Movimientos!$M$2:$M$1998,MATCH(A302&amp;"ENTRADA",Movimientos!$R$2:$R$1998,0))=0,"S/D",INDEX(Movimientos!$M$2:$M$1998,MATCH(A302&amp;"ENTRADA",Movimientos!$R$2:$R$1998,0))),"S/D")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 ht="14.25">
      <c r="A303" s="16" t="s">
        <v>2468</v>
      </c>
      <c r="B303" s="2" t="str">
        <f>IFERROR(INDEX(Movimientos!$C$2:$C$1998,MATCH(A303&amp;"ENTRADA",Movimientos!$R$2:$R$1998,0)),"-")</f>
        <v>-</v>
      </c>
      <c r="C303" s="2" t="str">
        <f>IFERROR(INDEX(Movimientos!$D$2:$D$1998,MATCH(A303&amp;"ENTRADA",Movimientos!$R$2:$R$1998,0)),"-")</f>
        <v>-</v>
      </c>
      <c r="D303" s="2" t="str">
        <f>IFERROR(INDEX(Movimientos!$E$2:$E$1998,MATCH(A303&amp;"ENTRADA",Movimientos!$R$2:$R$1998,0)),"-")</f>
        <v>-</v>
      </c>
      <c r="E303" s="2" t="str">
        <f>IFERROR(INDEX(Movimientos!$F$2:$F$1998,MATCH(A303&amp;"ENTRADA",Movimientos!$R$2:$R$1998,0)),"-")</f>
        <v>-</v>
      </c>
      <c r="F303" s="2" t="str">
        <f>IFERROR(INDEX(Movimientos!$G$2:$G$1998,MATCH(A303&amp;"ENTRADA",Movimientos!$R$2:$R$1998,0)),"-")</f>
        <v>-</v>
      </c>
      <c r="G303" s="2" t="str">
        <f>IFERROR(INDEX(Movimientos!$L$2:$L$1998,MATCH(A303&amp;"ENTRADA",Movimientos!$R$2:$R$1998,0)),"-")</f>
        <v>-</v>
      </c>
      <c r="H303" s="17" t="str">
        <f>IFERROR(IF(INDEX(Movimientos!$M$2:$M$1998,MATCH(A303&amp;"ENTRADA",Movimientos!$R$2:$R$1998,0))=0,"S/D",INDEX(Movimientos!$M$2:$M$1998,MATCH(A303&amp;"ENTRADA",Movimientos!$R$2:$R$1998,0))),"S/D")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 ht="14.25">
      <c r="A304" s="16" t="s">
        <v>2469</v>
      </c>
      <c r="B304" s="2" t="str">
        <f>IFERROR(INDEX(Movimientos!$C$2:$C$1998,MATCH(A304&amp;"ENTRADA",Movimientos!$R$2:$R$1998,0)),"-")</f>
        <v>-</v>
      </c>
      <c r="C304" s="2" t="str">
        <f>IFERROR(INDEX(Movimientos!$D$2:$D$1998,MATCH(A304&amp;"ENTRADA",Movimientos!$R$2:$R$1998,0)),"-")</f>
        <v>-</v>
      </c>
      <c r="D304" s="2" t="str">
        <f>IFERROR(INDEX(Movimientos!$E$2:$E$1998,MATCH(A304&amp;"ENTRADA",Movimientos!$R$2:$R$1998,0)),"-")</f>
        <v>-</v>
      </c>
      <c r="E304" s="2" t="str">
        <f>IFERROR(INDEX(Movimientos!$F$2:$F$1998,MATCH(A304&amp;"ENTRADA",Movimientos!$R$2:$R$1998,0)),"-")</f>
        <v>-</v>
      </c>
      <c r="F304" s="2" t="str">
        <f>IFERROR(INDEX(Movimientos!$G$2:$G$1998,MATCH(A304&amp;"ENTRADA",Movimientos!$R$2:$R$1998,0)),"-")</f>
        <v>-</v>
      </c>
      <c r="G304" s="2" t="str">
        <f>IFERROR(INDEX(Movimientos!$L$2:$L$1998,MATCH(A304&amp;"ENTRADA",Movimientos!$R$2:$R$1998,0)),"-")</f>
        <v>-</v>
      </c>
      <c r="H304" s="17" t="str">
        <f>IFERROR(IF(INDEX(Movimientos!$M$2:$M$1998,MATCH(A304&amp;"ENTRADA",Movimientos!$R$2:$R$1998,0))=0,"S/D",INDEX(Movimientos!$M$2:$M$1998,MATCH(A304&amp;"ENTRADA",Movimientos!$R$2:$R$1998,0))),"S/D")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 ht="14.25">
      <c r="A305" s="16" t="s">
        <v>2470</v>
      </c>
      <c r="B305" s="2" t="str">
        <f>IFERROR(INDEX(Movimientos!$C$2:$C$1998,MATCH(A305&amp;"ENTRADA",Movimientos!$R$2:$R$1998,0)),"-")</f>
        <v>-</v>
      </c>
      <c r="C305" s="2" t="str">
        <f>IFERROR(INDEX(Movimientos!$D$2:$D$1998,MATCH(A305&amp;"ENTRADA",Movimientos!$R$2:$R$1998,0)),"-")</f>
        <v>-</v>
      </c>
      <c r="D305" s="2" t="str">
        <f>IFERROR(INDEX(Movimientos!$E$2:$E$1998,MATCH(A305&amp;"ENTRADA",Movimientos!$R$2:$R$1998,0)),"-")</f>
        <v>-</v>
      </c>
      <c r="E305" s="2" t="str">
        <f>IFERROR(INDEX(Movimientos!$F$2:$F$1998,MATCH(A305&amp;"ENTRADA",Movimientos!$R$2:$R$1998,0)),"-")</f>
        <v>-</v>
      </c>
      <c r="F305" s="2" t="str">
        <f>IFERROR(INDEX(Movimientos!$G$2:$G$1998,MATCH(A305&amp;"ENTRADA",Movimientos!$R$2:$R$1998,0)),"-")</f>
        <v>-</v>
      </c>
      <c r="G305" s="2" t="str">
        <f>IFERROR(INDEX(Movimientos!$L$2:$L$1998,MATCH(A305&amp;"ENTRADA",Movimientos!$R$2:$R$1998,0)),"-")</f>
        <v>-</v>
      </c>
      <c r="H305" s="17" t="str">
        <f>IFERROR(IF(INDEX(Movimientos!$M$2:$M$1998,MATCH(A305&amp;"ENTRADA",Movimientos!$R$2:$R$1998,0))=0,"S/D",INDEX(Movimientos!$M$2:$M$1998,MATCH(A305&amp;"ENTRADA",Movimientos!$R$2:$R$1998,0))),"S/D")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 ht="14.25">
      <c r="A306" s="16" t="s">
        <v>2471</v>
      </c>
      <c r="B306" s="2" t="str">
        <f>IFERROR(INDEX(Movimientos!$C$2:$C$1998,MATCH(A306&amp;"ENTRADA",Movimientos!$R$2:$R$1998,0)),"-")</f>
        <v>-</v>
      </c>
      <c r="C306" s="2" t="str">
        <f>IFERROR(INDEX(Movimientos!$D$2:$D$1998,MATCH(A306&amp;"ENTRADA",Movimientos!$R$2:$R$1998,0)),"-")</f>
        <v>-</v>
      </c>
      <c r="D306" s="2" t="str">
        <f>IFERROR(INDEX(Movimientos!$E$2:$E$1998,MATCH(A306&amp;"ENTRADA",Movimientos!$R$2:$R$1998,0)),"-")</f>
        <v>-</v>
      </c>
      <c r="E306" s="2" t="str">
        <f>IFERROR(INDEX(Movimientos!$F$2:$F$1998,MATCH(A306&amp;"ENTRADA",Movimientos!$R$2:$R$1998,0)),"-")</f>
        <v>-</v>
      </c>
      <c r="F306" s="2" t="str">
        <f>IFERROR(INDEX(Movimientos!$G$2:$G$1998,MATCH(A306&amp;"ENTRADA",Movimientos!$R$2:$R$1998,0)),"-")</f>
        <v>-</v>
      </c>
      <c r="G306" s="2" t="str">
        <f>IFERROR(INDEX(Movimientos!$L$2:$L$1998,MATCH(A306&amp;"ENTRADA",Movimientos!$R$2:$R$1998,0)),"-")</f>
        <v>-</v>
      </c>
      <c r="H306" s="17" t="str">
        <f>IFERROR(IF(INDEX(Movimientos!$M$2:$M$1998,MATCH(A306&amp;"ENTRADA",Movimientos!$R$2:$R$1998,0))=0,"S/D",INDEX(Movimientos!$M$2:$M$1998,MATCH(A306&amp;"ENTRADA",Movimientos!$R$2:$R$1998,0))),"S/D")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 ht="14.25">
      <c r="A307" s="16" t="s">
        <v>2472</v>
      </c>
      <c r="B307" s="2" t="str">
        <f>IFERROR(INDEX(Movimientos!$C$2:$C$1998,MATCH(A307&amp;"ENTRADA",Movimientos!$R$2:$R$1998,0)),"-")</f>
        <v>-</v>
      </c>
      <c r="C307" s="2" t="str">
        <f>IFERROR(INDEX(Movimientos!$D$2:$D$1998,MATCH(A307&amp;"ENTRADA",Movimientos!$R$2:$R$1998,0)),"-")</f>
        <v>-</v>
      </c>
      <c r="D307" s="2" t="str">
        <f>IFERROR(INDEX(Movimientos!$E$2:$E$1998,MATCH(A307&amp;"ENTRADA",Movimientos!$R$2:$R$1998,0)),"-")</f>
        <v>-</v>
      </c>
      <c r="E307" s="2" t="str">
        <f>IFERROR(INDEX(Movimientos!$F$2:$F$1998,MATCH(A307&amp;"ENTRADA",Movimientos!$R$2:$R$1998,0)),"-")</f>
        <v>-</v>
      </c>
      <c r="F307" s="2" t="str">
        <f>IFERROR(INDEX(Movimientos!$G$2:$G$1998,MATCH(A307&amp;"ENTRADA",Movimientos!$R$2:$R$1998,0)),"-")</f>
        <v>-</v>
      </c>
      <c r="G307" s="2" t="str">
        <f>IFERROR(INDEX(Movimientos!$L$2:$L$1998,MATCH(A307&amp;"ENTRADA",Movimientos!$R$2:$R$1998,0)),"-")</f>
        <v>-</v>
      </c>
      <c r="H307" s="17" t="str">
        <f>IFERROR(IF(INDEX(Movimientos!$M$2:$M$1998,MATCH(A307&amp;"ENTRADA",Movimientos!$R$2:$R$1998,0))=0,"S/D",INDEX(Movimientos!$M$2:$M$1998,MATCH(A307&amp;"ENTRADA",Movimientos!$R$2:$R$1998,0))),"S/D")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 ht="14.25">
      <c r="A308" s="16" t="s">
        <v>2473</v>
      </c>
      <c r="B308" s="2" t="str">
        <f>IFERROR(INDEX(Movimientos!$C$2:$C$1998,MATCH(A308&amp;"ENTRADA",Movimientos!$R$2:$R$1998,0)),"-")</f>
        <v>-</v>
      </c>
      <c r="C308" s="2" t="str">
        <f>IFERROR(INDEX(Movimientos!$D$2:$D$1998,MATCH(A308&amp;"ENTRADA",Movimientos!$R$2:$R$1998,0)),"-")</f>
        <v>-</v>
      </c>
      <c r="D308" s="2" t="str">
        <f>IFERROR(INDEX(Movimientos!$E$2:$E$1998,MATCH(A308&amp;"ENTRADA",Movimientos!$R$2:$R$1998,0)),"-")</f>
        <v>-</v>
      </c>
      <c r="E308" s="2" t="str">
        <f>IFERROR(INDEX(Movimientos!$F$2:$F$1998,MATCH(A308&amp;"ENTRADA",Movimientos!$R$2:$R$1998,0)),"-")</f>
        <v>-</v>
      </c>
      <c r="F308" s="2" t="str">
        <f>IFERROR(INDEX(Movimientos!$G$2:$G$1998,MATCH(A308&amp;"ENTRADA",Movimientos!$R$2:$R$1998,0)),"-")</f>
        <v>-</v>
      </c>
      <c r="G308" s="2" t="str">
        <f>IFERROR(INDEX(Movimientos!$L$2:$L$1998,MATCH(A308&amp;"ENTRADA",Movimientos!$R$2:$R$1998,0)),"-")</f>
        <v>-</v>
      </c>
      <c r="H308" s="17" t="str">
        <f>IFERROR(IF(INDEX(Movimientos!$M$2:$M$1998,MATCH(A308&amp;"ENTRADA",Movimientos!$R$2:$R$1998,0))=0,"S/D",INDEX(Movimientos!$M$2:$M$1998,MATCH(A308&amp;"ENTRADA",Movimientos!$R$2:$R$1998,0))),"S/D")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 ht="14.25">
      <c r="A309" s="16" t="s">
        <v>2474</v>
      </c>
      <c r="B309" s="2" t="str">
        <f>IFERROR(INDEX(Movimientos!$C$2:$C$1998,MATCH(A309&amp;"ENTRADA",Movimientos!$R$2:$R$1998,0)),"-")</f>
        <v>-</v>
      </c>
      <c r="C309" s="2" t="str">
        <f>IFERROR(INDEX(Movimientos!$D$2:$D$1998,MATCH(A309&amp;"ENTRADA",Movimientos!$R$2:$R$1998,0)),"-")</f>
        <v>-</v>
      </c>
      <c r="D309" s="2" t="str">
        <f>IFERROR(INDEX(Movimientos!$E$2:$E$1998,MATCH(A309&amp;"ENTRADA",Movimientos!$R$2:$R$1998,0)),"-")</f>
        <v>-</v>
      </c>
      <c r="E309" s="2" t="str">
        <f>IFERROR(INDEX(Movimientos!$F$2:$F$1998,MATCH(A309&amp;"ENTRADA",Movimientos!$R$2:$R$1998,0)),"-")</f>
        <v>-</v>
      </c>
      <c r="F309" s="2" t="str">
        <f>IFERROR(INDEX(Movimientos!$G$2:$G$1998,MATCH(A309&amp;"ENTRADA",Movimientos!$R$2:$R$1998,0)),"-")</f>
        <v>-</v>
      </c>
      <c r="G309" s="2" t="str">
        <f>IFERROR(INDEX(Movimientos!$L$2:$L$1998,MATCH(A309&amp;"ENTRADA",Movimientos!$R$2:$R$1998,0)),"-")</f>
        <v>-</v>
      </c>
      <c r="H309" s="17" t="str">
        <f>IFERROR(IF(INDEX(Movimientos!$M$2:$M$1998,MATCH(A309&amp;"ENTRADA",Movimientos!$R$2:$R$1998,0))=0,"S/D",INDEX(Movimientos!$M$2:$M$1998,MATCH(A309&amp;"ENTRADA",Movimientos!$R$2:$R$1998,0))),"S/D")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 ht="14.25">
      <c r="A310" s="16" t="s">
        <v>2475</v>
      </c>
      <c r="B310" s="2" t="str">
        <f>IFERROR(INDEX(Movimientos!$C$2:$C$1998,MATCH(A310&amp;"ENTRADA",Movimientos!$R$2:$R$1998,0)),"-")</f>
        <v>-</v>
      </c>
      <c r="C310" s="2" t="str">
        <f>IFERROR(INDEX(Movimientos!$D$2:$D$1998,MATCH(A310&amp;"ENTRADA",Movimientos!$R$2:$R$1998,0)),"-")</f>
        <v>-</v>
      </c>
      <c r="D310" s="2" t="str">
        <f>IFERROR(INDEX(Movimientos!$E$2:$E$1998,MATCH(A310&amp;"ENTRADA",Movimientos!$R$2:$R$1998,0)),"-")</f>
        <v>-</v>
      </c>
      <c r="E310" s="2" t="str">
        <f>IFERROR(INDEX(Movimientos!$F$2:$F$1998,MATCH(A310&amp;"ENTRADA",Movimientos!$R$2:$R$1998,0)),"-")</f>
        <v>-</v>
      </c>
      <c r="F310" s="2" t="str">
        <f>IFERROR(INDEX(Movimientos!$G$2:$G$1998,MATCH(A310&amp;"ENTRADA",Movimientos!$R$2:$R$1998,0)),"-")</f>
        <v>-</v>
      </c>
      <c r="G310" s="2" t="str">
        <f>IFERROR(INDEX(Movimientos!$L$2:$L$1998,MATCH(A310&amp;"ENTRADA",Movimientos!$R$2:$R$1998,0)),"-")</f>
        <v>-</v>
      </c>
      <c r="H310" s="17" t="str">
        <f>IFERROR(IF(INDEX(Movimientos!$M$2:$M$1998,MATCH(A310&amp;"ENTRADA",Movimientos!$R$2:$R$1998,0))=0,"S/D",INDEX(Movimientos!$M$2:$M$1998,MATCH(A310&amp;"ENTRADA",Movimientos!$R$2:$R$1998,0))),"S/D")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 ht="14.25">
      <c r="A311" s="16" t="s">
        <v>2476</v>
      </c>
      <c r="B311" s="2" t="str">
        <f>IFERROR(INDEX(Movimientos!$C$2:$C$1998,MATCH(A311&amp;"ENTRADA",Movimientos!$R$2:$R$1998,0)),"-")</f>
        <v>-</v>
      </c>
      <c r="C311" s="2" t="str">
        <f>IFERROR(INDEX(Movimientos!$D$2:$D$1998,MATCH(A311&amp;"ENTRADA",Movimientos!$R$2:$R$1998,0)),"-")</f>
        <v>-</v>
      </c>
      <c r="D311" s="2" t="str">
        <f>IFERROR(INDEX(Movimientos!$E$2:$E$1998,MATCH(A311&amp;"ENTRADA",Movimientos!$R$2:$R$1998,0)),"-")</f>
        <v>-</v>
      </c>
      <c r="E311" s="2" t="str">
        <f>IFERROR(INDEX(Movimientos!$F$2:$F$1998,MATCH(A311&amp;"ENTRADA",Movimientos!$R$2:$R$1998,0)),"-")</f>
        <v>-</v>
      </c>
      <c r="F311" s="2" t="str">
        <f>IFERROR(INDEX(Movimientos!$G$2:$G$1998,MATCH(A311&amp;"ENTRADA",Movimientos!$R$2:$R$1998,0)),"-")</f>
        <v>-</v>
      </c>
      <c r="G311" s="2" t="str">
        <f>IFERROR(INDEX(Movimientos!$L$2:$L$1998,MATCH(A311&amp;"ENTRADA",Movimientos!$R$2:$R$1998,0)),"-")</f>
        <v>-</v>
      </c>
      <c r="H311" s="17" t="str">
        <f>IFERROR(IF(INDEX(Movimientos!$M$2:$M$1998,MATCH(A311&amp;"ENTRADA",Movimientos!$R$2:$R$1998,0))=0,"S/D",INDEX(Movimientos!$M$2:$M$1998,MATCH(A311&amp;"ENTRADA",Movimientos!$R$2:$R$1998,0))),"S/D")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 ht="14.25">
      <c r="A312" s="16" t="s">
        <v>2477</v>
      </c>
      <c r="B312" s="2" t="str">
        <f>IFERROR(INDEX(Movimientos!$C$2:$C$1998,MATCH(A312&amp;"ENTRADA",Movimientos!$R$2:$R$1998,0)),"-")</f>
        <v>-</v>
      </c>
      <c r="C312" s="2" t="str">
        <f>IFERROR(INDEX(Movimientos!$D$2:$D$1998,MATCH(A312&amp;"ENTRADA",Movimientos!$R$2:$R$1998,0)),"-")</f>
        <v>-</v>
      </c>
      <c r="D312" s="2" t="str">
        <f>IFERROR(INDEX(Movimientos!$E$2:$E$1998,MATCH(A312&amp;"ENTRADA",Movimientos!$R$2:$R$1998,0)),"-")</f>
        <v>-</v>
      </c>
      <c r="E312" s="2" t="str">
        <f>IFERROR(INDEX(Movimientos!$F$2:$F$1998,MATCH(A312&amp;"ENTRADA",Movimientos!$R$2:$R$1998,0)),"-")</f>
        <v>-</v>
      </c>
      <c r="F312" s="2" t="str">
        <f>IFERROR(INDEX(Movimientos!$G$2:$G$1998,MATCH(A312&amp;"ENTRADA",Movimientos!$R$2:$R$1998,0)),"-")</f>
        <v>-</v>
      </c>
      <c r="G312" s="2" t="str">
        <f>IFERROR(INDEX(Movimientos!$L$2:$L$1998,MATCH(A312&amp;"ENTRADA",Movimientos!$R$2:$R$1998,0)),"-")</f>
        <v>-</v>
      </c>
      <c r="H312" s="17" t="str">
        <f>IFERROR(IF(INDEX(Movimientos!$M$2:$M$1998,MATCH(A312&amp;"ENTRADA",Movimientos!$R$2:$R$1998,0))=0,"S/D",INDEX(Movimientos!$M$2:$M$1998,MATCH(A312&amp;"ENTRADA",Movimientos!$R$2:$R$1998,0))),"S/D")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 ht="14.25">
      <c r="A313" s="16" t="s">
        <v>2478</v>
      </c>
      <c r="B313" s="2" t="str">
        <f>IFERROR(INDEX(Movimientos!$C$2:$C$1998,MATCH(A313&amp;"ENTRADA",Movimientos!$R$2:$R$1998,0)),"-")</f>
        <v>-</v>
      </c>
      <c r="C313" s="2" t="str">
        <f>IFERROR(INDEX(Movimientos!$D$2:$D$1998,MATCH(A313&amp;"ENTRADA",Movimientos!$R$2:$R$1998,0)),"-")</f>
        <v>-</v>
      </c>
      <c r="D313" s="2" t="str">
        <f>IFERROR(INDEX(Movimientos!$E$2:$E$1998,MATCH(A313&amp;"ENTRADA",Movimientos!$R$2:$R$1998,0)),"-")</f>
        <v>-</v>
      </c>
      <c r="E313" s="2" t="str">
        <f>IFERROR(INDEX(Movimientos!$F$2:$F$1998,MATCH(A313&amp;"ENTRADA",Movimientos!$R$2:$R$1998,0)),"-")</f>
        <v>-</v>
      </c>
      <c r="F313" s="2" t="str">
        <f>IFERROR(INDEX(Movimientos!$G$2:$G$1998,MATCH(A313&amp;"ENTRADA",Movimientos!$R$2:$R$1998,0)),"-")</f>
        <v>-</v>
      </c>
      <c r="G313" s="2" t="str">
        <f>IFERROR(INDEX(Movimientos!$L$2:$L$1998,MATCH(A313&amp;"ENTRADA",Movimientos!$R$2:$R$1998,0)),"-")</f>
        <v>-</v>
      </c>
      <c r="H313" s="17" t="str">
        <f>IFERROR(IF(INDEX(Movimientos!$M$2:$M$1998,MATCH(A313&amp;"ENTRADA",Movimientos!$R$2:$R$1998,0))=0,"S/D",INDEX(Movimientos!$M$2:$M$1998,MATCH(A313&amp;"ENTRADA",Movimientos!$R$2:$R$1998,0))),"S/D")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 ht="14.25">
      <c r="A314" s="16" t="s">
        <v>2479</v>
      </c>
      <c r="B314" s="2" t="str">
        <f>IFERROR(INDEX(Movimientos!$C$2:$C$1998,MATCH(A314&amp;"ENTRADA",Movimientos!$R$2:$R$1998,0)),"-")</f>
        <v>-</v>
      </c>
      <c r="C314" s="2" t="str">
        <f>IFERROR(INDEX(Movimientos!$D$2:$D$1998,MATCH(A314&amp;"ENTRADA",Movimientos!$R$2:$R$1998,0)),"-")</f>
        <v>-</v>
      </c>
      <c r="D314" s="2" t="str">
        <f>IFERROR(INDEX(Movimientos!$E$2:$E$1998,MATCH(A314&amp;"ENTRADA",Movimientos!$R$2:$R$1998,0)),"-")</f>
        <v>-</v>
      </c>
      <c r="E314" s="2" t="str">
        <f>IFERROR(INDEX(Movimientos!$F$2:$F$1998,MATCH(A314&amp;"ENTRADA",Movimientos!$R$2:$R$1998,0)),"-")</f>
        <v>-</v>
      </c>
      <c r="F314" s="2" t="str">
        <f>IFERROR(INDEX(Movimientos!$G$2:$G$1998,MATCH(A314&amp;"ENTRADA",Movimientos!$R$2:$R$1998,0)),"-")</f>
        <v>-</v>
      </c>
      <c r="G314" s="2" t="str">
        <f>IFERROR(INDEX(Movimientos!$L$2:$L$1998,MATCH(A314&amp;"ENTRADA",Movimientos!$R$2:$R$1998,0)),"-")</f>
        <v>-</v>
      </c>
      <c r="H314" s="17" t="str">
        <f>IFERROR(IF(INDEX(Movimientos!$M$2:$M$1998,MATCH(A314&amp;"ENTRADA",Movimientos!$R$2:$R$1998,0))=0,"S/D",INDEX(Movimientos!$M$2:$M$1998,MATCH(A314&amp;"ENTRADA",Movimientos!$R$2:$R$1998,0))),"S/D")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 ht="14.25">
      <c r="A315" s="16" t="s">
        <v>2480</v>
      </c>
      <c r="B315" s="2" t="str">
        <f>IFERROR(INDEX(Movimientos!$C$2:$C$1998,MATCH(A315&amp;"ENTRADA",Movimientos!$R$2:$R$1998,0)),"-")</f>
        <v>-</v>
      </c>
      <c r="C315" s="2" t="str">
        <f>IFERROR(INDEX(Movimientos!$D$2:$D$1998,MATCH(A315&amp;"ENTRADA",Movimientos!$R$2:$R$1998,0)),"-")</f>
        <v>-</v>
      </c>
      <c r="D315" s="2" t="str">
        <f>IFERROR(INDEX(Movimientos!$E$2:$E$1998,MATCH(A315&amp;"ENTRADA",Movimientos!$R$2:$R$1998,0)),"-")</f>
        <v>-</v>
      </c>
      <c r="E315" s="2" t="str">
        <f>IFERROR(INDEX(Movimientos!$F$2:$F$1998,MATCH(A315&amp;"ENTRADA",Movimientos!$R$2:$R$1998,0)),"-")</f>
        <v>-</v>
      </c>
      <c r="F315" s="2" t="str">
        <f>IFERROR(INDEX(Movimientos!$G$2:$G$1998,MATCH(A315&amp;"ENTRADA",Movimientos!$R$2:$R$1998,0)),"-")</f>
        <v>-</v>
      </c>
      <c r="G315" s="2" t="str">
        <f>IFERROR(INDEX(Movimientos!$L$2:$L$1998,MATCH(A315&amp;"ENTRADA",Movimientos!$R$2:$R$1998,0)),"-")</f>
        <v>-</v>
      </c>
      <c r="H315" s="17" t="str">
        <f>IFERROR(IF(INDEX(Movimientos!$M$2:$M$1998,MATCH(A315&amp;"ENTRADA",Movimientos!$R$2:$R$1998,0))=0,"S/D",INDEX(Movimientos!$M$2:$M$1998,MATCH(A315&amp;"ENTRADA",Movimientos!$R$2:$R$1998,0))),"S/D")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 ht="14.25">
      <c r="A316" s="16" t="s">
        <v>2481</v>
      </c>
      <c r="B316" s="2" t="str">
        <f>IFERROR(INDEX(Movimientos!$C$2:$C$1998,MATCH(A316&amp;"ENTRADA",Movimientos!$R$2:$R$1998,0)),"-")</f>
        <v>-</v>
      </c>
      <c r="C316" s="2" t="str">
        <f>IFERROR(INDEX(Movimientos!$D$2:$D$1998,MATCH(A316&amp;"ENTRADA",Movimientos!$R$2:$R$1998,0)),"-")</f>
        <v>-</v>
      </c>
      <c r="D316" s="2" t="str">
        <f>IFERROR(INDEX(Movimientos!$E$2:$E$1998,MATCH(A316&amp;"ENTRADA",Movimientos!$R$2:$R$1998,0)),"-")</f>
        <v>-</v>
      </c>
      <c r="E316" s="2" t="str">
        <f>IFERROR(INDEX(Movimientos!$F$2:$F$1998,MATCH(A316&amp;"ENTRADA",Movimientos!$R$2:$R$1998,0)),"-")</f>
        <v>-</v>
      </c>
      <c r="F316" s="2" t="str">
        <f>IFERROR(INDEX(Movimientos!$G$2:$G$1998,MATCH(A316&amp;"ENTRADA",Movimientos!$R$2:$R$1998,0)),"-")</f>
        <v>-</v>
      </c>
      <c r="G316" s="2" t="str">
        <f>IFERROR(INDEX(Movimientos!$L$2:$L$1998,MATCH(A316&amp;"ENTRADA",Movimientos!$R$2:$R$1998,0)),"-")</f>
        <v>-</v>
      </c>
      <c r="H316" s="17" t="str">
        <f>IFERROR(IF(INDEX(Movimientos!$M$2:$M$1998,MATCH(A316&amp;"ENTRADA",Movimientos!$R$2:$R$1998,0))=0,"S/D",INDEX(Movimientos!$M$2:$M$1998,MATCH(A316&amp;"ENTRADA",Movimientos!$R$2:$R$1998,0))),"S/D")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 ht="14.25">
      <c r="A317" s="16" t="s">
        <v>2482</v>
      </c>
      <c r="B317" s="2" t="str">
        <f>IFERROR(INDEX(Movimientos!$C$2:$C$1998,MATCH(A317&amp;"ENTRADA",Movimientos!$R$2:$R$1998,0)),"-")</f>
        <v>-</v>
      </c>
      <c r="C317" s="2" t="str">
        <f>IFERROR(INDEX(Movimientos!$D$2:$D$1998,MATCH(A317&amp;"ENTRADA",Movimientos!$R$2:$R$1998,0)),"-")</f>
        <v>-</v>
      </c>
      <c r="D317" s="2" t="str">
        <f>IFERROR(INDEX(Movimientos!$E$2:$E$1998,MATCH(A317&amp;"ENTRADA",Movimientos!$R$2:$R$1998,0)),"-")</f>
        <v>-</v>
      </c>
      <c r="E317" s="2" t="str">
        <f>IFERROR(INDEX(Movimientos!$F$2:$F$1998,MATCH(A317&amp;"ENTRADA",Movimientos!$R$2:$R$1998,0)),"-")</f>
        <v>-</v>
      </c>
      <c r="F317" s="2" t="str">
        <f>IFERROR(INDEX(Movimientos!$G$2:$G$1998,MATCH(A317&amp;"ENTRADA",Movimientos!$R$2:$R$1998,0)),"-")</f>
        <v>-</v>
      </c>
      <c r="G317" s="2" t="str">
        <f>IFERROR(INDEX(Movimientos!$L$2:$L$1998,MATCH(A317&amp;"ENTRADA",Movimientos!$R$2:$R$1998,0)),"-")</f>
        <v>-</v>
      </c>
      <c r="H317" s="17" t="str">
        <f>IFERROR(IF(INDEX(Movimientos!$M$2:$M$1998,MATCH(A317&amp;"ENTRADA",Movimientos!$R$2:$R$1998,0))=0,"S/D",INDEX(Movimientos!$M$2:$M$1998,MATCH(A317&amp;"ENTRADA",Movimientos!$R$2:$R$1998,0))),"S/D")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 ht="14.25">
      <c r="A318" s="16" t="s">
        <v>2483</v>
      </c>
      <c r="B318" s="2" t="str">
        <f>IFERROR(INDEX(Movimientos!$C$2:$C$1998,MATCH(A318&amp;"ENTRADA",Movimientos!$R$2:$R$1998,0)),"-")</f>
        <v>-</v>
      </c>
      <c r="C318" s="2" t="str">
        <f>IFERROR(INDEX(Movimientos!$D$2:$D$1998,MATCH(A318&amp;"ENTRADA",Movimientos!$R$2:$R$1998,0)),"-")</f>
        <v>-</v>
      </c>
      <c r="D318" s="2" t="str">
        <f>IFERROR(INDEX(Movimientos!$E$2:$E$1998,MATCH(A318&amp;"ENTRADA",Movimientos!$R$2:$R$1998,0)),"-")</f>
        <v>-</v>
      </c>
      <c r="E318" s="2" t="str">
        <f>IFERROR(INDEX(Movimientos!$F$2:$F$1998,MATCH(A318&amp;"ENTRADA",Movimientos!$R$2:$R$1998,0)),"-")</f>
        <v>-</v>
      </c>
      <c r="F318" s="2" t="str">
        <f>IFERROR(INDEX(Movimientos!$G$2:$G$1998,MATCH(A318&amp;"ENTRADA",Movimientos!$R$2:$R$1998,0)),"-")</f>
        <v>-</v>
      </c>
      <c r="G318" s="2" t="str">
        <f>IFERROR(INDEX(Movimientos!$L$2:$L$1998,MATCH(A318&amp;"ENTRADA",Movimientos!$R$2:$R$1998,0)),"-")</f>
        <v>-</v>
      </c>
      <c r="H318" s="17" t="str">
        <f>IFERROR(IF(INDEX(Movimientos!$M$2:$M$1998,MATCH(A318&amp;"ENTRADA",Movimientos!$R$2:$R$1998,0))=0,"S/D",INDEX(Movimientos!$M$2:$M$1998,MATCH(A318&amp;"ENTRADA",Movimientos!$R$2:$R$1998,0))),"S/D")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 ht="14.25">
      <c r="A319" s="16" t="s">
        <v>2484</v>
      </c>
      <c r="B319" s="2" t="str">
        <f>IFERROR(INDEX(Movimientos!$C$2:$C$1998,MATCH(A319&amp;"ENTRADA",Movimientos!$R$2:$R$1998,0)),"-")</f>
        <v>-</v>
      </c>
      <c r="C319" s="2" t="str">
        <f>IFERROR(INDEX(Movimientos!$D$2:$D$1998,MATCH(A319&amp;"ENTRADA",Movimientos!$R$2:$R$1998,0)),"-")</f>
        <v>-</v>
      </c>
      <c r="D319" s="2" t="str">
        <f>IFERROR(INDEX(Movimientos!$E$2:$E$1998,MATCH(A319&amp;"ENTRADA",Movimientos!$R$2:$R$1998,0)),"-")</f>
        <v>-</v>
      </c>
      <c r="E319" s="2" t="str">
        <f>IFERROR(INDEX(Movimientos!$F$2:$F$1998,MATCH(A319&amp;"ENTRADA",Movimientos!$R$2:$R$1998,0)),"-")</f>
        <v>-</v>
      </c>
      <c r="F319" s="2" t="str">
        <f>IFERROR(INDEX(Movimientos!$G$2:$G$1998,MATCH(A319&amp;"ENTRADA",Movimientos!$R$2:$R$1998,0)),"-")</f>
        <v>-</v>
      </c>
      <c r="G319" s="2" t="str">
        <f>IFERROR(INDEX(Movimientos!$L$2:$L$1998,MATCH(A319&amp;"ENTRADA",Movimientos!$R$2:$R$1998,0)),"-")</f>
        <v>-</v>
      </c>
      <c r="H319" s="17" t="str">
        <f>IFERROR(IF(INDEX(Movimientos!$M$2:$M$1998,MATCH(A319&amp;"ENTRADA",Movimientos!$R$2:$R$1998,0))=0,"S/D",INDEX(Movimientos!$M$2:$M$1998,MATCH(A319&amp;"ENTRADA",Movimientos!$R$2:$R$1998,0))),"S/D")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 ht="14.25">
      <c r="A320" s="16" t="s">
        <v>2485</v>
      </c>
      <c r="B320" s="2" t="str">
        <f>IFERROR(INDEX(Movimientos!$C$2:$C$1998,MATCH(A320&amp;"ENTRADA",Movimientos!$R$2:$R$1998,0)),"-")</f>
        <v>-</v>
      </c>
      <c r="C320" s="2" t="str">
        <f>IFERROR(INDEX(Movimientos!$D$2:$D$1998,MATCH(A320&amp;"ENTRADA",Movimientos!$R$2:$R$1998,0)),"-")</f>
        <v>-</v>
      </c>
      <c r="D320" s="2" t="str">
        <f>IFERROR(INDEX(Movimientos!$E$2:$E$1998,MATCH(A320&amp;"ENTRADA",Movimientos!$R$2:$R$1998,0)),"-")</f>
        <v>-</v>
      </c>
      <c r="E320" s="2" t="str">
        <f>IFERROR(INDEX(Movimientos!$F$2:$F$1998,MATCH(A320&amp;"ENTRADA",Movimientos!$R$2:$R$1998,0)),"-")</f>
        <v>-</v>
      </c>
      <c r="F320" s="2" t="str">
        <f>IFERROR(INDEX(Movimientos!$G$2:$G$1998,MATCH(A320&amp;"ENTRADA",Movimientos!$R$2:$R$1998,0)),"-")</f>
        <v>-</v>
      </c>
      <c r="G320" s="2" t="str">
        <f>IFERROR(INDEX(Movimientos!$L$2:$L$1998,MATCH(A320&amp;"ENTRADA",Movimientos!$R$2:$R$1998,0)),"-")</f>
        <v>-</v>
      </c>
      <c r="H320" s="17" t="str">
        <f>IFERROR(IF(INDEX(Movimientos!$M$2:$M$1998,MATCH(A320&amp;"ENTRADA",Movimientos!$R$2:$R$1998,0))=0,"S/D",INDEX(Movimientos!$M$2:$M$1998,MATCH(A320&amp;"ENTRADA",Movimientos!$R$2:$R$1998,0))),"S/D")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 ht="14.25">
      <c r="A321" s="16" t="s">
        <v>2486</v>
      </c>
      <c r="B321" s="2" t="str">
        <f>IFERROR(INDEX(Movimientos!$C$2:$C$1998,MATCH(A321&amp;"ENTRADA",Movimientos!$R$2:$R$1998,0)),"-")</f>
        <v>-</v>
      </c>
      <c r="C321" s="2" t="str">
        <f>IFERROR(INDEX(Movimientos!$D$2:$D$1998,MATCH(A321&amp;"ENTRADA",Movimientos!$R$2:$R$1998,0)),"-")</f>
        <v>-</v>
      </c>
      <c r="D321" s="2" t="str">
        <f>IFERROR(INDEX(Movimientos!$E$2:$E$1998,MATCH(A321&amp;"ENTRADA",Movimientos!$R$2:$R$1998,0)),"-")</f>
        <v>-</v>
      </c>
      <c r="E321" s="2" t="str">
        <f>IFERROR(INDEX(Movimientos!$F$2:$F$1998,MATCH(A321&amp;"ENTRADA",Movimientos!$R$2:$R$1998,0)),"-")</f>
        <v>-</v>
      </c>
      <c r="F321" s="2" t="str">
        <f>IFERROR(INDEX(Movimientos!$G$2:$G$1998,MATCH(A321&amp;"ENTRADA",Movimientos!$R$2:$R$1998,0)),"-")</f>
        <v>-</v>
      </c>
      <c r="G321" s="2" t="str">
        <f>IFERROR(INDEX(Movimientos!$L$2:$L$1998,MATCH(A321&amp;"ENTRADA",Movimientos!$R$2:$R$1998,0)),"-")</f>
        <v>-</v>
      </c>
      <c r="H321" s="17" t="str">
        <f>IFERROR(IF(INDEX(Movimientos!$M$2:$M$1998,MATCH(A321&amp;"ENTRADA",Movimientos!$R$2:$R$1998,0))=0,"S/D",INDEX(Movimientos!$M$2:$M$1998,MATCH(A321&amp;"ENTRADA",Movimientos!$R$2:$R$1998,0))),"S/D")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 ht="14.25">
      <c r="A322" s="16" t="s">
        <v>2487</v>
      </c>
      <c r="B322" s="2" t="str">
        <f>IFERROR(INDEX(Movimientos!$C$2:$C$1998,MATCH(A322&amp;"ENTRADA",Movimientos!$R$2:$R$1998,0)),"-")</f>
        <v>-</v>
      </c>
      <c r="C322" s="2" t="str">
        <f>IFERROR(INDEX(Movimientos!$D$2:$D$1998,MATCH(A322&amp;"ENTRADA",Movimientos!$R$2:$R$1998,0)),"-")</f>
        <v>-</v>
      </c>
      <c r="D322" s="2" t="str">
        <f>IFERROR(INDEX(Movimientos!$E$2:$E$1998,MATCH(A322&amp;"ENTRADA",Movimientos!$R$2:$R$1998,0)),"-")</f>
        <v>-</v>
      </c>
      <c r="E322" s="2" t="str">
        <f>IFERROR(INDEX(Movimientos!$F$2:$F$1998,MATCH(A322&amp;"ENTRADA",Movimientos!$R$2:$R$1998,0)),"-")</f>
        <v>-</v>
      </c>
      <c r="F322" s="2" t="str">
        <f>IFERROR(INDEX(Movimientos!$G$2:$G$1998,MATCH(A322&amp;"ENTRADA",Movimientos!$R$2:$R$1998,0)),"-")</f>
        <v>-</v>
      </c>
      <c r="G322" s="2" t="str">
        <f>IFERROR(INDEX(Movimientos!$L$2:$L$1998,MATCH(A322&amp;"ENTRADA",Movimientos!$R$2:$R$1998,0)),"-")</f>
        <v>-</v>
      </c>
      <c r="H322" s="17" t="str">
        <f>IFERROR(IF(INDEX(Movimientos!$M$2:$M$1998,MATCH(A322&amp;"ENTRADA",Movimientos!$R$2:$R$1998,0))=0,"S/D",INDEX(Movimientos!$M$2:$M$1998,MATCH(A322&amp;"ENTRADA",Movimientos!$R$2:$R$1998,0))),"S/D")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 ht="14.25">
      <c r="A323" s="16" t="s">
        <v>2488</v>
      </c>
      <c r="B323" s="2" t="str">
        <f>IFERROR(INDEX(Movimientos!$C$2:$C$1998,MATCH(A323&amp;"ENTRADA",Movimientos!$R$2:$R$1998,0)),"-")</f>
        <v>-</v>
      </c>
      <c r="C323" s="2" t="str">
        <f>IFERROR(INDEX(Movimientos!$D$2:$D$1998,MATCH(A323&amp;"ENTRADA",Movimientos!$R$2:$R$1998,0)),"-")</f>
        <v>-</v>
      </c>
      <c r="D323" s="2" t="str">
        <f>IFERROR(INDEX(Movimientos!$E$2:$E$1998,MATCH(A323&amp;"ENTRADA",Movimientos!$R$2:$R$1998,0)),"-")</f>
        <v>-</v>
      </c>
      <c r="E323" s="2" t="str">
        <f>IFERROR(INDEX(Movimientos!$F$2:$F$1998,MATCH(A323&amp;"ENTRADA",Movimientos!$R$2:$R$1998,0)),"-")</f>
        <v>-</v>
      </c>
      <c r="F323" s="2" t="str">
        <f>IFERROR(INDEX(Movimientos!$G$2:$G$1998,MATCH(A323&amp;"ENTRADA",Movimientos!$R$2:$R$1998,0)),"-")</f>
        <v>-</v>
      </c>
      <c r="G323" s="2" t="str">
        <f>IFERROR(INDEX(Movimientos!$L$2:$L$1998,MATCH(A323&amp;"ENTRADA",Movimientos!$R$2:$R$1998,0)),"-")</f>
        <v>-</v>
      </c>
      <c r="H323" s="17" t="str">
        <f>IFERROR(IF(INDEX(Movimientos!$M$2:$M$1998,MATCH(A323&amp;"ENTRADA",Movimientos!$R$2:$R$1998,0))=0,"S/D",INDEX(Movimientos!$M$2:$M$1998,MATCH(A323&amp;"ENTRADA",Movimientos!$R$2:$R$1998,0))),"S/D")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 ht="14.25">
      <c r="A324" s="16" t="s">
        <v>2489</v>
      </c>
      <c r="B324" s="2" t="str">
        <f>IFERROR(INDEX(Movimientos!$C$2:$C$1998,MATCH(A324&amp;"ENTRADA",Movimientos!$R$2:$R$1998,0)),"-")</f>
        <v>-</v>
      </c>
      <c r="C324" s="2" t="str">
        <f>IFERROR(INDEX(Movimientos!$D$2:$D$1998,MATCH(A324&amp;"ENTRADA",Movimientos!$R$2:$R$1998,0)),"-")</f>
        <v>-</v>
      </c>
      <c r="D324" s="2" t="str">
        <f>IFERROR(INDEX(Movimientos!$E$2:$E$1998,MATCH(A324&amp;"ENTRADA",Movimientos!$R$2:$R$1998,0)),"-")</f>
        <v>-</v>
      </c>
      <c r="E324" s="2" t="str">
        <f>IFERROR(INDEX(Movimientos!$F$2:$F$1998,MATCH(A324&amp;"ENTRADA",Movimientos!$R$2:$R$1998,0)),"-")</f>
        <v>-</v>
      </c>
      <c r="F324" s="2" t="str">
        <f>IFERROR(INDEX(Movimientos!$G$2:$G$1998,MATCH(A324&amp;"ENTRADA",Movimientos!$R$2:$R$1998,0)),"-")</f>
        <v>-</v>
      </c>
      <c r="G324" s="2" t="str">
        <f>IFERROR(INDEX(Movimientos!$L$2:$L$1998,MATCH(A324&amp;"ENTRADA",Movimientos!$R$2:$R$1998,0)),"-")</f>
        <v>-</v>
      </c>
      <c r="H324" s="17" t="str">
        <f>IFERROR(IF(INDEX(Movimientos!$M$2:$M$1998,MATCH(A324&amp;"ENTRADA",Movimientos!$R$2:$R$1998,0))=0,"S/D",INDEX(Movimientos!$M$2:$M$1998,MATCH(A324&amp;"ENTRADA",Movimientos!$R$2:$R$1998,0))),"S/D")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 ht="14.25">
      <c r="A325" s="16" t="s">
        <v>2490</v>
      </c>
      <c r="B325" s="2" t="str">
        <f>IFERROR(INDEX(Movimientos!$C$2:$C$1998,MATCH(A325&amp;"ENTRADA",Movimientos!$R$2:$R$1998,0)),"-")</f>
        <v>-</v>
      </c>
      <c r="C325" s="2" t="str">
        <f>IFERROR(INDEX(Movimientos!$D$2:$D$1998,MATCH(A325&amp;"ENTRADA",Movimientos!$R$2:$R$1998,0)),"-")</f>
        <v>-</v>
      </c>
      <c r="D325" s="2" t="str">
        <f>IFERROR(INDEX(Movimientos!$E$2:$E$1998,MATCH(A325&amp;"ENTRADA",Movimientos!$R$2:$R$1998,0)),"-")</f>
        <v>-</v>
      </c>
      <c r="E325" s="2" t="str">
        <f>IFERROR(INDEX(Movimientos!$F$2:$F$1998,MATCH(A325&amp;"ENTRADA",Movimientos!$R$2:$R$1998,0)),"-")</f>
        <v>-</v>
      </c>
      <c r="F325" s="2" t="str">
        <f>IFERROR(INDEX(Movimientos!$G$2:$G$1998,MATCH(A325&amp;"ENTRADA",Movimientos!$R$2:$R$1998,0)),"-")</f>
        <v>-</v>
      </c>
      <c r="G325" s="2" t="str">
        <f>IFERROR(INDEX(Movimientos!$L$2:$L$1998,MATCH(A325&amp;"ENTRADA",Movimientos!$R$2:$R$1998,0)),"-")</f>
        <v>-</v>
      </c>
      <c r="H325" s="17" t="str">
        <f>IFERROR(IF(INDEX(Movimientos!$M$2:$M$1998,MATCH(A325&amp;"ENTRADA",Movimientos!$R$2:$R$1998,0))=0,"S/D",INDEX(Movimientos!$M$2:$M$1998,MATCH(A325&amp;"ENTRADA",Movimientos!$R$2:$R$1998,0))),"S/D")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 ht="14.25">
      <c r="A326" s="16" t="s">
        <v>2491</v>
      </c>
      <c r="B326" s="2" t="str">
        <f>IFERROR(INDEX(Movimientos!$C$2:$C$1998,MATCH(A326&amp;"ENTRADA",Movimientos!$R$2:$R$1998,0)),"-")</f>
        <v>-</v>
      </c>
      <c r="C326" s="2" t="str">
        <f>IFERROR(INDEX(Movimientos!$D$2:$D$1998,MATCH(A326&amp;"ENTRADA",Movimientos!$R$2:$R$1998,0)),"-")</f>
        <v>-</v>
      </c>
      <c r="D326" s="2" t="str">
        <f>IFERROR(INDEX(Movimientos!$E$2:$E$1998,MATCH(A326&amp;"ENTRADA",Movimientos!$R$2:$R$1998,0)),"-")</f>
        <v>-</v>
      </c>
      <c r="E326" s="2" t="str">
        <f>IFERROR(INDEX(Movimientos!$F$2:$F$1998,MATCH(A326&amp;"ENTRADA",Movimientos!$R$2:$R$1998,0)),"-")</f>
        <v>-</v>
      </c>
      <c r="F326" s="2" t="str">
        <f>IFERROR(INDEX(Movimientos!$G$2:$G$1998,MATCH(A326&amp;"ENTRADA",Movimientos!$R$2:$R$1998,0)),"-")</f>
        <v>-</v>
      </c>
      <c r="G326" s="2" t="str">
        <f>IFERROR(INDEX(Movimientos!$L$2:$L$1998,MATCH(A326&amp;"ENTRADA",Movimientos!$R$2:$R$1998,0)),"-")</f>
        <v>-</v>
      </c>
      <c r="H326" s="17" t="str">
        <f>IFERROR(IF(INDEX(Movimientos!$M$2:$M$1998,MATCH(A326&amp;"ENTRADA",Movimientos!$R$2:$R$1998,0))=0,"S/D",INDEX(Movimientos!$M$2:$M$1998,MATCH(A326&amp;"ENTRADA",Movimientos!$R$2:$R$1998,0))),"S/D")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 ht="14.25">
      <c r="A327" s="16" t="s">
        <v>2492</v>
      </c>
      <c r="B327" s="2" t="str">
        <f>IFERROR(INDEX(Movimientos!$C$2:$C$1998,MATCH(A327&amp;"ENTRADA",Movimientos!$R$2:$R$1998,0)),"-")</f>
        <v>-</v>
      </c>
      <c r="C327" s="2" t="str">
        <f>IFERROR(INDEX(Movimientos!$D$2:$D$1998,MATCH(A327&amp;"ENTRADA",Movimientos!$R$2:$R$1998,0)),"-")</f>
        <v>-</v>
      </c>
      <c r="D327" s="2" t="str">
        <f>IFERROR(INDEX(Movimientos!$E$2:$E$1998,MATCH(A327&amp;"ENTRADA",Movimientos!$R$2:$R$1998,0)),"-")</f>
        <v>-</v>
      </c>
      <c r="E327" s="2" t="str">
        <f>IFERROR(INDEX(Movimientos!$F$2:$F$1998,MATCH(A327&amp;"ENTRADA",Movimientos!$R$2:$R$1998,0)),"-")</f>
        <v>-</v>
      </c>
      <c r="F327" s="2" t="str">
        <f>IFERROR(INDEX(Movimientos!$G$2:$G$1998,MATCH(A327&amp;"ENTRADA",Movimientos!$R$2:$R$1998,0)),"-")</f>
        <v>-</v>
      </c>
      <c r="G327" s="2" t="str">
        <f>IFERROR(INDEX(Movimientos!$L$2:$L$1998,MATCH(A327&amp;"ENTRADA",Movimientos!$R$2:$R$1998,0)),"-")</f>
        <v>-</v>
      </c>
      <c r="H327" s="17" t="str">
        <f>IFERROR(IF(INDEX(Movimientos!$M$2:$M$1998,MATCH(A327&amp;"ENTRADA",Movimientos!$R$2:$R$1998,0))=0,"S/D",INDEX(Movimientos!$M$2:$M$1998,MATCH(A327&amp;"ENTRADA",Movimientos!$R$2:$R$1998,0))),"S/D")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 ht="14.25">
      <c r="A328" s="16" t="s">
        <v>2493</v>
      </c>
      <c r="B328" s="2" t="str">
        <f>IFERROR(INDEX(Movimientos!$C$2:$C$1998,MATCH(A328&amp;"ENTRADA",Movimientos!$R$2:$R$1998,0)),"-")</f>
        <v>-</v>
      </c>
      <c r="C328" s="2" t="str">
        <f>IFERROR(INDEX(Movimientos!$D$2:$D$1998,MATCH(A328&amp;"ENTRADA",Movimientos!$R$2:$R$1998,0)),"-")</f>
        <v>-</v>
      </c>
      <c r="D328" s="2" t="str">
        <f>IFERROR(INDEX(Movimientos!$E$2:$E$1998,MATCH(A328&amp;"ENTRADA",Movimientos!$R$2:$R$1998,0)),"-")</f>
        <v>-</v>
      </c>
      <c r="E328" s="2" t="str">
        <f>IFERROR(INDEX(Movimientos!$F$2:$F$1998,MATCH(A328&amp;"ENTRADA",Movimientos!$R$2:$R$1998,0)),"-")</f>
        <v>-</v>
      </c>
      <c r="F328" s="2" t="str">
        <f>IFERROR(INDEX(Movimientos!$G$2:$G$1998,MATCH(A328&amp;"ENTRADA",Movimientos!$R$2:$R$1998,0)),"-")</f>
        <v>-</v>
      </c>
      <c r="G328" s="2" t="str">
        <f>IFERROR(INDEX(Movimientos!$L$2:$L$1998,MATCH(A328&amp;"ENTRADA",Movimientos!$R$2:$R$1998,0)),"-")</f>
        <v>-</v>
      </c>
      <c r="H328" s="17" t="str">
        <f>IFERROR(IF(INDEX(Movimientos!$M$2:$M$1998,MATCH(A328&amp;"ENTRADA",Movimientos!$R$2:$R$1998,0))=0,"S/D",INDEX(Movimientos!$M$2:$M$1998,MATCH(A328&amp;"ENTRADA",Movimientos!$R$2:$R$1998,0))),"S/D")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 ht="14.25">
      <c r="A329" s="16" t="s">
        <v>2494</v>
      </c>
      <c r="B329" s="2" t="str">
        <f>IFERROR(INDEX(Movimientos!$C$2:$C$1998,MATCH(A329&amp;"ENTRADA",Movimientos!$R$2:$R$1998,0)),"-")</f>
        <v>-</v>
      </c>
      <c r="C329" s="2" t="str">
        <f>IFERROR(INDEX(Movimientos!$D$2:$D$1998,MATCH(A329&amp;"ENTRADA",Movimientos!$R$2:$R$1998,0)),"-")</f>
        <v>-</v>
      </c>
      <c r="D329" s="2" t="str">
        <f>IFERROR(INDEX(Movimientos!$E$2:$E$1998,MATCH(A329&amp;"ENTRADA",Movimientos!$R$2:$R$1998,0)),"-")</f>
        <v>-</v>
      </c>
      <c r="E329" s="2" t="str">
        <f>IFERROR(INDEX(Movimientos!$F$2:$F$1998,MATCH(A329&amp;"ENTRADA",Movimientos!$R$2:$R$1998,0)),"-")</f>
        <v>-</v>
      </c>
      <c r="F329" s="2" t="str">
        <f>IFERROR(INDEX(Movimientos!$G$2:$G$1998,MATCH(A329&amp;"ENTRADA",Movimientos!$R$2:$R$1998,0)),"-")</f>
        <v>-</v>
      </c>
      <c r="G329" s="2" t="str">
        <f>IFERROR(INDEX(Movimientos!$L$2:$L$1998,MATCH(A329&amp;"ENTRADA",Movimientos!$R$2:$R$1998,0)),"-")</f>
        <v>-</v>
      </c>
      <c r="H329" s="17" t="str">
        <f>IFERROR(IF(INDEX(Movimientos!$M$2:$M$1998,MATCH(A329&amp;"ENTRADA",Movimientos!$R$2:$R$1998,0))=0,"S/D",INDEX(Movimientos!$M$2:$M$1998,MATCH(A329&amp;"ENTRADA",Movimientos!$R$2:$R$1998,0))),"S/D")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 ht="14.25">
      <c r="A330" s="16" t="s">
        <v>2495</v>
      </c>
      <c r="B330" s="2" t="str">
        <f>IFERROR(INDEX(Movimientos!$C$2:$C$1998,MATCH(A330&amp;"ENTRADA",Movimientos!$R$2:$R$1998,0)),"-")</f>
        <v>-</v>
      </c>
      <c r="C330" s="2" t="str">
        <f>IFERROR(INDEX(Movimientos!$D$2:$D$1998,MATCH(A330&amp;"ENTRADA",Movimientos!$R$2:$R$1998,0)),"-")</f>
        <v>-</v>
      </c>
      <c r="D330" s="2" t="str">
        <f>IFERROR(INDEX(Movimientos!$E$2:$E$1998,MATCH(A330&amp;"ENTRADA",Movimientos!$R$2:$R$1998,0)),"-")</f>
        <v>-</v>
      </c>
      <c r="E330" s="2" t="str">
        <f>IFERROR(INDEX(Movimientos!$F$2:$F$1998,MATCH(A330&amp;"ENTRADA",Movimientos!$R$2:$R$1998,0)),"-")</f>
        <v>-</v>
      </c>
      <c r="F330" s="2" t="str">
        <f>IFERROR(INDEX(Movimientos!$G$2:$G$1998,MATCH(A330&amp;"ENTRADA",Movimientos!$R$2:$R$1998,0)),"-")</f>
        <v>-</v>
      </c>
      <c r="G330" s="2" t="str">
        <f>IFERROR(INDEX(Movimientos!$L$2:$L$1998,MATCH(A330&amp;"ENTRADA",Movimientos!$R$2:$R$1998,0)),"-")</f>
        <v>-</v>
      </c>
      <c r="H330" s="17" t="str">
        <f>IFERROR(IF(INDEX(Movimientos!$M$2:$M$1998,MATCH(A330&amp;"ENTRADA",Movimientos!$R$2:$R$1998,0))=0,"S/D",INDEX(Movimientos!$M$2:$M$1998,MATCH(A330&amp;"ENTRADA",Movimientos!$R$2:$R$1998,0))),"S/D")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 ht="14.25">
      <c r="A331" s="16" t="s">
        <v>2496</v>
      </c>
      <c r="B331" s="2" t="str">
        <f>IFERROR(INDEX(Movimientos!$C$2:$C$1998,MATCH(A331&amp;"ENTRADA",Movimientos!$R$2:$R$1998,0)),"-")</f>
        <v>-</v>
      </c>
      <c r="C331" s="2" t="str">
        <f>IFERROR(INDEX(Movimientos!$D$2:$D$1998,MATCH(A331&amp;"ENTRADA",Movimientos!$R$2:$R$1998,0)),"-")</f>
        <v>-</v>
      </c>
      <c r="D331" s="2" t="str">
        <f>IFERROR(INDEX(Movimientos!$E$2:$E$1998,MATCH(A331&amp;"ENTRADA",Movimientos!$R$2:$R$1998,0)),"-")</f>
        <v>-</v>
      </c>
      <c r="E331" s="2" t="str">
        <f>IFERROR(INDEX(Movimientos!$F$2:$F$1998,MATCH(A331&amp;"ENTRADA",Movimientos!$R$2:$R$1998,0)),"-")</f>
        <v>-</v>
      </c>
      <c r="F331" s="2" t="str">
        <f>IFERROR(INDEX(Movimientos!$G$2:$G$1998,MATCH(A331&amp;"ENTRADA",Movimientos!$R$2:$R$1998,0)),"-")</f>
        <v>-</v>
      </c>
      <c r="G331" s="2" t="str">
        <f>IFERROR(INDEX(Movimientos!$L$2:$L$1998,MATCH(A331&amp;"ENTRADA",Movimientos!$R$2:$R$1998,0)),"-")</f>
        <v>-</v>
      </c>
      <c r="H331" s="17" t="str">
        <f>IFERROR(IF(INDEX(Movimientos!$M$2:$M$1998,MATCH(A331&amp;"ENTRADA",Movimientos!$R$2:$R$1998,0))=0,"S/D",INDEX(Movimientos!$M$2:$M$1998,MATCH(A331&amp;"ENTRADA",Movimientos!$R$2:$R$1998,0))),"S/D")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 ht="14.25">
      <c r="A332" s="16" t="s">
        <v>2497</v>
      </c>
      <c r="B332" s="2" t="str">
        <f>IFERROR(INDEX(Movimientos!$C$2:$C$1998,MATCH(A332&amp;"ENTRADA",Movimientos!$R$2:$R$1998,0)),"-")</f>
        <v>-</v>
      </c>
      <c r="C332" s="2" t="str">
        <f>IFERROR(INDEX(Movimientos!$D$2:$D$1998,MATCH(A332&amp;"ENTRADA",Movimientos!$R$2:$R$1998,0)),"-")</f>
        <v>-</v>
      </c>
      <c r="D332" s="2" t="str">
        <f>IFERROR(INDEX(Movimientos!$E$2:$E$1998,MATCH(A332&amp;"ENTRADA",Movimientos!$R$2:$R$1998,0)),"-")</f>
        <v>-</v>
      </c>
      <c r="E332" s="2" t="str">
        <f>IFERROR(INDEX(Movimientos!$F$2:$F$1998,MATCH(A332&amp;"ENTRADA",Movimientos!$R$2:$R$1998,0)),"-")</f>
        <v>-</v>
      </c>
      <c r="F332" s="2" t="str">
        <f>IFERROR(INDEX(Movimientos!$G$2:$G$1998,MATCH(A332&amp;"ENTRADA",Movimientos!$R$2:$R$1998,0)),"-")</f>
        <v>-</v>
      </c>
      <c r="G332" s="2" t="str">
        <f>IFERROR(INDEX(Movimientos!$L$2:$L$1998,MATCH(A332&amp;"ENTRADA",Movimientos!$R$2:$R$1998,0)),"-")</f>
        <v>-</v>
      </c>
      <c r="H332" s="17" t="str">
        <f>IFERROR(IF(INDEX(Movimientos!$M$2:$M$1998,MATCH(A332&amp;"ENTRADA",Movimientos!$R$2:$R$1998,0))=0,"S/D",INDEX(Movimientos!$M$2:$M$1998,MATCH(A332&amp;"ENTRADA",Movimientos!$R$2:$R$1998,0))),"S/D")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 ht="14.25">
      <c r="A333" s="16" t="s">
        <v>2498</v>
      </c>
      <c r="B333" s="2" t="str">
        <f>IFERROR(INDEX(Movimientos!$C$2:$C$1998,MATCH(A333&amp;"ENTRADA",Movimientos!$R$2:$R$1998,0)),"-")</f>
        <v>-</v>
      </c>
      <c r="C333" s="2" t="str">
        <f>IFERROR(INDEX(Movimientos!$D$2:$D$1998,MATCH(A333&amp;"ENTRADA",Movimientos!$R$2:$R$1998,0)),"-")</f>
        <v>-</v>
      </c>
      <c r="D333" s="2" t="str">
        <f>IFERROR(INDEX(Movimientos!$E$2:$E$1998,MATCH(A333&amp;"ENTRADA",Movimientos!$R$2:$R$1998,0)),"-")</f>
        <v>-</v>
      </c>
      <c r="E333" s="2" t="str">
        <f>IFERROR(INDEX(Movimientos!$F$2:$F$1998,MATCH(A333&amp;"ENTRADA",Movimientos!$R$2:$R$1998,0)),"-")</f>
        <v>-</v>
      </c>
      <c r="F333" s="2" t="str">
        <f>IFERROR(INDEX(Movimientos!$G$2:$G$1998,MATCH(A333&amp;"ENTRADA",Movimientos!$R$2:$R$1998,0)),"-")</f>
        <v>-</v>
      </c>
      <c r="G333" s="2" t="str">
        <f>IFERROR(INDEX(Movimientos!$L$2:$L$1998,MATCH(A333&amp;"ENTRADA",Movimientos!$R$2:$R$1998,0)),"-")</f>
        <v>-</v>
      </c>
      <c r="H333" s="17" t="str">
        <f>IFERROR(IF(INDEX(Movimientos!$M$2:$M$1998,MATCH(A333&amp;"ENTRADA",Movimientos!$R$2:$R$1998,0))=0,"S/D",INDEX(Movimientos!$M$2:$M$1998,MATCH(A333&amp;"ENTRADA",Movimientos!$R$2:$R$1998,0))),"S/D")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 ht="14.25">
      <c r="A334" s="16" t="s">
        <v>2499</v>
      </c>
      <c r="B334" s="2" t="str">
        <f>IFERROR(INDEX(Movimientos!$C$2:$C$1998,MATCH(A334&amp;"ENTRADA",Movimientos!$R$2:$R$1998,0)),"-")</f>
        <v>-</v>
      </c>
      <c r="C334" s="2" t="str">
        <f>IFERROR(INDEX(Movimientos!$D$2:$D$1998,MATCH(A334&amp;"ENTRADA",Movimientos!$R$2:$R$1998,0)),"-")</f>
        <v>-</v>
      </c>
      <c r="D334" s="2" t="str">
        <f>IFERROR(INDEX(Movimientos!$E$2:$E$1998,MATCH(A334&amp;"ENTRADA",Movimientos!$R$2:$R$1998,0)),"-")</f>
        <v>-</v>
      </c>
      <c r="E334" s="2" t="str">
        <f>IFERROR(INDEX(Movimientos!$F$2:$F$1998,MATCH(A334&amp;"ENTRADA",Movimientos!$R$2:$R$1998,0)),"-")</f>
        <v>-</v>
      </c>
      <c r="F334" s="2" t="str">
        <f>IFERROR(INDEX(Movimientos!$G$2:$G$1998,MATCH(A334&amp;"ENTRADA",Movimientos!$R$2:$R$1998,0)),"-")</f>
        <v>-</v>
      </c>
      <c r="G334" s="2" t="str">
        <f>IFERROR(INDEX(Movimientos!$L$2:$L$1998,MATCH(A334&amp;"ENTRADA",Movimientos!$R$2:$R$1998,0)),"-")</f>
        <v>-</v>
      </c>
      <c r="H334" s="17" t="str">
        <f>IFERROR(IF(INDEX(Movimientos!$M$2:$M$1998,MATCH(A334&amp;"ENTRADA",Movimientos!$R$2:$R$1998,0))=0,"S/D",INDEX(Movimientos!$M$2:$M$1998,MATCH(A334&amp;"ENTRADA",Movimientos!$R$2:$R$1998,0))),"S/D")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 ht="14.25">
      <c r="A335" s="16" t="s">
        <v>2500</v>
      </c>
      <c r="B335" s="2" t="str">
        <f>IFERROR(INDEX(Movimientos!$C$2:$C$1998,MATCH(A335&amp;"ENTRADA",Movimientos!$R$2:$R$1998,0)),"-")</f>
        <v>-</v>
      </c>
      <c r="C335" s="2" t="str">
        <f>IFERROR(INDEX(Movimientos!$D$2:$D$1998,MATCH(A335&amp;"ENTRADA",Movimientos!$R$2:$R$1998,0)),"-")</f>
        <v>-</v>
      </c>
      <c r="D335" s="2" t="str">
        <f>IFERROR(INDEX(Movimientos!$E$2:$E$1998,MATCH(A335&amp;"ENTRADA",Movimientos!$R$2:$R$1998,0)),"-")</f>
        <v>-</v>
      </c>
      <c r="E335" s="2" t="str">
        <f>IFERROR(INDEX(Movimientos!$F$2:$F$1998,MATCH(A335&amp;"ENTRADA",Movimientos!$R$2:$R$1998,0)),"-")</f>
        <v>-</v>
      </c>
      <c r="F335" s="2" t="str">
        <f>IFERROR(INDEX(Movimientos!$G$2:$G$1998,MATCH(A335&amp;"ENTRADA",Movimientos!$R$2:$R$1998,0)),"-")</f>
        <v>-</v>
      </c>
      <c r="G335" s="2" t="str">
        <f>IFERROR(INDEX(Movimientos!$L$2:$L$1998,MATCH(A335&amp;"ENTRADA",Movimientos!$R$2:$R$1998,0)),"-")</f>
        <v>-</v>
      </c>
      <c r="H335" s="17" t="str">
        <f>IFERROR(IF(INDEX(Movimientos!$M$2:$M$1998,MATCH(A335&amp;"ENTRADA",Movimientos!$R$2:$R$1998,0))=0,"S/D",INDEX(Movimientos!$M$2:$M$1998,MATCH(A335&amp;"ENTRADA",Movimientos!$R$2:$R$1998,0))),"S/D")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 ht="14.25">
      <c r="A336" s="16" t="s">
        <v>2501</v>
      </c>
      <c r="B336" s="2" t="str">
        <f>IFERROR(INDEX(Movimientos!$C$2:$C$1998,MATCH(A336&amp;"ENTRADA",Movimientos!$R$2:$R$1998,0)),"-")</f>
        <v>-</v>
      </c>
      <c r="C336" s="2" t="str">
        <f>IFERROR(INDEX(Movimientos!$D$2:$D$1998,MATCH(A336&amp;"ENTRADA",Movimientos!$R$2:$R$1998,0)),"-")</f>
        <v>-</v>
      </c>
      <c r="D336" s="2" t="str">
        <f>IFERROR(INDEX(Movimientos!$E$2:$E$1998,MATCH(A336&amp;"ENTRADA",Movimientos!$R$2:$R$1998,0)),"-")</f>
        <v>-</v>
      </c>
      <c r="E336" s="2" t="str">
        <f>IFERROR(INDEX(Movimientos!$F$2:$F$1998,MATCH(A336&amp;"ENTRADA",Movimientos!$R$2:$R$1998,0)),"-")</f>
        <v>-</v>
      </c>
      <c r="F336" s="2" t="str">
        <f>IFERROR(INDEX(Movimientos!$G$2:$G$1998,MATCH(A336&amp;"ENTRADA",Movimientos!$R$2:$R$1998,0)),"-")</f>
        <v>-</v>
      </c>
      <c r="G336" s="2" t="str">
        <f>IFERROR(INDEX(Movimientos!$L$2:$L$1998,MATCH(A336&amp;"ENTRADA",Movimientos!$R$2:$R$1998,0)),"-")</f>
        <v>-</v>
      </c>
      <c r="H336" s="17" t="str">
        <f>IFERROR(IF(INDEX(Movimientos!$M$2:$M$1998,MATCH(A336&amp;"ENTRADA",Movimientos!$R$2:$R$1998,0))=0,"S/D",INDEX(Movimientos!$M$2:$M$1998,MATCH(A336&amp;"ENTRADA",Movimientos!$R$2:$R$1998,0))),"S/D")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 ht="14.25">
      <c r="A337" s="16" t="s">
        <v>2502</v>
      </c>
      <c r="B337" s="2" t="str">
        <f>IFERROR(INDEX(Movimientos!$C$2:$C$1998,MATCH(A337&amp;"ENTRADA",Movimientos!$R$2:$R$1998,0)),"-")</f>
        <v>-</v>
      </c>
      <c r="C337" s="2" t="str">
        <f>IFERROR(INDEX(Movimientos!$D$2:$D$1998,MATCH(A337&amp;"ENTRADA",Movimientos!$R$2:$R$1998,0)),"-")</f>
        <v>-</v>
      </c>
      <c r="D337" s="2" t="str">
        <f>IFERROR(INDEX(Movimientos!$E$2:$E$1998,MATCH(A337&amp;"ENTRADA",Movimientos!$R$2:$R$1998,0)),"-")</f>
        <v>-</v>
      </c>
      <c r="E337" s="2" t="str">
        <f>IFERROR(INDEX(Movimientos!$F$2:$F$1998,MATCH(A337&amp;"ENTRADA",Movimientos!$R$2:$R$1998,0)),"-")</f>
        <v>-</v>
      </c>
      <c r="F337" s="2" t="str">
        <f>IFERROR(INDEX(Movimientos!$G$2:$G$1998,MATCH(A337&amp;"ENTRADA",Movimientos!$R$2:$R$1998,0)),"-")</f>
        <v>-</v>
      </c>
      <c r="G337" s="2" t="str">
        <f>IFERROR(INDEX(Movimientos!$L$2:$L$1998,MATCH(A337&amp;"ENTRADA",Movimientos!$R$2:$R$1998,0)),"-")</f>
        <v>-</v>
      </c>
      <c r="H337" s="17" t="str">
        <f>IFERROR(IF(INDEX(Movimientos!$M$2:$M$1998,MATCH(A337&amp;"ENTRADA",Movimientos!$R$2:$R$1998,0))=0,"S/D",INDEX(Movimientos!$M$2:$M$1998,MATCH(A337&amp;"ENTRADA",Movimientos!$R$2:$R$1998,0))),"S/D")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 ht="14.25">
      <c r="A338" s="16" t="s">
        <v>2503</v>
      </c>
      <c r="B338" s="2" t="str">
        <f>IFERROR(INDEX(Movimientos!$C$2:$C$1998,MATCH(A338&amp;"ENTRADA",Movimientos!$R$2:$R$1998,0)),"-")</f>
        <v>-</v>
      </c>
      <c r="C338" s="2" t="str">
        <f>IFERROR(INDEX(Movimientos!$D$2:$D$1998,MATCH(A338&amp;"ENTRADA",Movimientos!$R$2:$R$1998,0)),"-")</f>
        <v>-</v>
      </c>
      <c r="D338" s="2" t="str">
        <f>IFERROR(INDEX(Movimientos!$E$2:$E$1998,MATCH(A338&amp;"ENTRADA",Movimientos!$R$2:$R$1998,0)),"-")</f>
        <v>-</v>
      </c>
      <c r="E338" s="2" t="str">
        <f>IFERROR(INDEX(Movimientos!$F$2:$F$1998,MATCH(A338&amp;"ENTRADA",Movimientos!$R$2:$R$1998,0)),"-")</f>
        <v>-</v>
      </c>
      <c r="F338" s="2" t="str">
        <f>IFERROR(INDEX(Movimientos!$G$2:$G$1998,MATCH(A338&amp;"ENTRADA",Movimientos!$R$2:$R$1998,0)),"-")</f>
        <v>-</v>
      </c>
      <c r="G338" s="2" t="str">
        <f>IFERROR(INDEX(Movimientos!$L$2:$L$1998,MATCH(A338&amp;"ENTRADA",Movimientos!$R$2:$R$1998,0)),"-")</f>
        <v>-</v>
      </c>
      <c r="H338" s="17" t="str">
        <f>IFERROR(IF(INDEX(Movimientos!$M$2:$M$1998,MATCH(A338&amp;"ENTRADA",Movimientos!$R$2:$R$1998,0))=0,"S/D",INDEX(Movimientos!$M$2:$M$1998,MATCH(A338&amp;"ENTRADA",Movimientos!$R$2:$R$1998,0))),"S/D")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 ht="14.25">
      <c r="A339" s="16" t="s">
        <v>2504</v>
      </c>
      <c r="B339" s="2" t="str">
        <f>IFERROR(INDEX(Movimientos!$C$2:$C$1998,MATCH(A339&amp;"ENTRADA",Movimientos!$R$2:$R$1998,0)),"-")</f>
        <v>-</v>
      </c>
      <c r="C339" s="2" t="str">
        <f>IFERROR(INDEX(Movimientos!$D$2:$D$1998,MATCH(A339&amp;"ENTRADA",Movimientos!$R$2:$R$1998,0)),"-")</f>
        <v>-</v>
      </c>
      <c r="D339" s="2" t="str">
        <f>IFERROR(INDEX(Movimientos!$E$2:$E$1998,MATCH(A339&amp;"ENTRADA",Movimientos!$R$2:$R$1998,0)),"-")</f>
        <v>-</v>
      </c>
      <c r="E339" s="2" t="str">
        <f>IFERROR(INDEX(Movimientos!$F$2:$F$1998,MATCH(A339&amp;"ENTRADA",Movimientos!$R$2:$R$1998,0)),"-")</f>
        <v>-</v>
      </c>
      <c r="F339" s="2" t="str">
        <f>IFERROR(INDEX(Movimientos!$G$2:$G$1998,MATCH(A339&amp;"ENTRADA",Movimientos!$R$2:$R$1998,0)),"-")</f>
        <v>-</v>
      </c>
      <c r="G339" s="2" t="str">
        <f>IFERROR(INDEX(Movimientos!$L$2:$L$1998,MATCH(A339&amp;"ENTRADA",Movimientos!$R$2:$R$1998,0)),"-")</f>
        <v>-</v>
      </c>
      <c r="H339" s="17" t="str">
        <f>IFERROR(IF(INDEX(Movimientos!$M$2:$M$1998,MATCH(A339&amp;"ENTRADA",Movimientos!$R$2:$R$1998,0))=0,"S/D",INDEX(Movimientos!$M$2:$M$1998,MATCH(A339&amp;"ENTRADA",Movimientos!$R$2:$R$1998,0))),"S/D")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 ht="14.25">
      <c r="A340" s="16" t="s">
        <v>2505</v>
      </c>
      <c r="B340" s="2" t="str">
        <f>IFERROR(INDEX(Movimientos!$C$2:$C$1998,MATCH(A340&amp;"ENTRADA",Movimientos!$R$2:$R$1998,0)),"-")</f>
        <v>-</v>
      </c>
      <c r="C340" s="2" t="str">
        <f>IFERROR(INDEX(Movimientos!$D$2:$D$1998,MATCH(A340&amp;"ENTRADA",Movimientos!$R$2:$R$1998,0)),"-")</f>
        <v>-</v>
      </c>
      <c r="D340" s="2" t="str">
        <f>IFERROR(INDEX(Movimientos!$E$2:$E$1998,MATCH(A340&amp;"ENTRADA",Movimientos!$R$2:$R$1998,0)),"-")</f>
        <v>-</v>
      </c>
      <c r="E340" s="2" t="str">
        <f>IFERROR(INDEX(Movimientos!$F$2:$F$1998,MATCH(A340&amp;"ENTRADA",Movimientos!$R$2:$R$1998,0)),"-")</f>
        <v>-</v>
      </c>
      <c r="F340" s="2" t="str">
        <f>IFERROR(INDEX(Movimientos!$G$2:$G$1998,MATCH(A340&amp;"ENTRADA",Movimientos!$R$2:$R$1998,0)),"-")</f>
        <v>-</v>
      </c>
      <c r="G340" s="2" t="str">
        <f>IFERROR(INDEX(Movimientos!$L$2:$L$1998,MATCH(A340&amp;"ENTRADA",Movimientos!$R$2:$R$1998,0)),"-")</f>
        <v>-</v>
      </c>
      <c r="H340" s="17" t="str">
        <f>IFERROR(IF(INDEX(Movimientos!$M$2:$M$1998,MATCH(A340&amp;"ENTRADA",Movimientos!$R$2:$R$1998,0))=0,"S/D",INDEX(Movimientos!$M$2:$M$1998,MATCH(A340&amp;"ENTRADA",Movimientos!$R$2:$R$1998,0))),"S/D")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 ht="14.25">
      <c r="A341" s="16" t="s">
        <v>2506</v>
      </c>
      <c r="B341" s="2" t="str">
        <f>IFERROR(INDEX(Movimientos!$C$2:$C$1998,MATCH(A341&amp;"ENTRADA",Movimientos!$R$2:$R$1998,0)),"-")</f>
        <v>-</v>
      </c>
      <c r="C341" s="2" t="str">
        <f>IFERROR(INDEX(Movimientos!$D$2:$D$1998,MATCH(A341&amp;"ENTRADA",Movimientos!$R$2:$R$1998,0)),"-")</f>
        <v>-</v>
      </c>
      <c r="D341" s="2" t="str">
        <f>IFERROR(INDEX(Movimientos!$E$2:$E$1998,MATCH(A341&amp;"ENTRADA",Movimientos!$R$2:$R$1998,0)),"-")</f>
        <v>-</v>
      </c>
      <c r="E341" s="2" t="str">
        <f>IFERROR(INDEX(Movimientos!$F$2:$F$1998,MATCH(A341&amp;"ENTRADA",Movimientos!$R$2:$R$1998,0)),"-")</f>
        <v>-</v>
      </c>
      <c r="F341" s="2" t="str">
        <f>IFERROR(INDEX(Movimientos!$G$2:$G$1998,MATCH(A341&amp;"ENTRADA",Movimientos!$R$2:$R$1998,0)),"-")</f>
        <v>-</v>
      </c>
      <c r="G341" s="2" t="str">
        <f>IFERROR(INDEX(Movimientos!$L$2:$L$1998,MATCH(A341&amp;"ENTRADA",Movimientos!$R$2:$R$1998,0)),"-")</f>
        <v>-</v>
      </c>
      <c r="H341" s="17" t="str">
        <f>IFERROR(IF(INDEX(Movimientos!$M$2:$M$1998,MATCH(A341&amp;"ENTRADA",Movimientos!$R$2:$R$1998,0))=0,"S/D",INDEX(Movimientos!$M$2:$M$1998,MATCH(A341&amp;"ENTRADA",Movimientos!$R$2:$R$1998,0))),"S/D")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 ht="14.25">
      <c r="A342" s="16" t="s">
        <v>2507</v>
      </c>
      <c r="B342" s="2" t="str">
        <f>IFERROR(INDEX(Movimientos!$C$2:$C$1998,MATCH(A342&amp;"ENTRADA",Movimientos!$R$2:$R$1998,0)),"-")</f>
        <v>-</v>
      </c>
      <c r="C342" s="2" t="str">
        <f>IFERROR(INDEX(Movimientos!$D$2:$D$1998,MATCH(A342&amp;"ENTRADA",Movimientos!$R$2:$R$1998,0)),"-")</f>
        <v>-</v>
      </c>
      <c r="D342" s="2" t="str">
        <f>IFERROR(INDEX(Movimientos!$E$2:$E$1998,MATCH(A342&amp;"ENTRADA",Movimientos!$R$2:$R$1998,0)),"-")</f>
        <v>-</v>
      </c>
      <c r="E342" s="2" t="str">
        <f>IFERROR(INDEX(Movimientos!$F$2:$F$1998,MATCH(A342&amp;"ENTRADA",Movimientos!$R$2:$R$1998,0)),"-")</f>
        <v>-</v>
      </c>
      <c r="F342" s="2" t="str">
        <f>IFERROR(INDEX(Movimientos!$G$2:$G$1998,MATCH(A342&amp;"ENTRADA",Movimientos!$R$2:$R$1998,0)),"-")</f>
        <v>-</v>
      </c>
      <c r="G342" s="2" t="str">
        <f>IFERROR(INDEX(Movimientos!$L$2:$L$1998,MATCH(A342&amp;"ENTRADA",Movimientos!$R$2:$R$1998,0)),"-")</f>
        <v>-</v>
      </c>
      <c r="H342" s="17" t="str">
        <f>IFERROR(IF(INDEX(Movimientos!$M$2:$M$1998,MATCH(A342&amp;"ENTRADA",Movimientos!$R$2:$R$1998,0))=0,"S/D",INDEX(Movimientos!$M$2:$M$1998,MATCH(A342&amp;"ENTRADA",Movimientos!$R$2:$R$1998,0))),"S/D")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 ht="14.25">
      <c r="A343" s="16" t="s">
        <v>2508</v>
      </c>
      <c r="B343" s="2" t="str">
        <f>IFERROR(INDEX(Movimientos!$C$2:$C$1998,MATCH(A343&amp;"ENTRADA",Movimientos!$R$2:$R$1998,0)),"-")</f>
        <v>-</v>
      </c>
      <c r="C343" s="2" t="str">
        <f>IFERROR(INDEX(Movimientos!$D$2:$D$1998,MATCH(A343&amp;"ENTRADA",Movimientos!$R$2:$R$1998,0)),"-")</f>
        <v>-</v>
      </c>
      <c r="D343" s="2" t="str">
        <f>IFERROR(INDEX(Movimientos!$E$2:$E$1998,MATCH(A343&amp;"ENTRADA",Movimientos!$R$2:$R$1998,0)),"-")</f>
        <v>-</v>
      </c>
      <c r="E343" s="2" t="str">
        <f>IFERROR(INDEX(Movimientos!$F$2:$F$1998,MATCH(A343&amp;"ENTRADA",Movimientos!$R$2:$R$1998,0)),"-")</f>
        <v>-</v>
      </c>
      <c r="F343" s="2" t="str">
        <f>IFERROR(INDEX(Movimientos!$G$2:$G$1998,MATCH(A343&amp;"ENTRADA",Movimientos!$R$2:$R$1998,0)),"-")</f>
        <v>-</v>
      </c>
      <c r="G343" s="2" t="str">
        <f>IFERROR(INDEX(Movimientos!$L$2:$L$1998,MATCH(A343&amp;"ENTRADA",Movimientos!$R$2:$R$1998,0)),"-")</f>
        <v>-</v>
      </c>
      <c r="H343" s="17" t="str">
        <f>IFERROR(IF(INDEX(Movimientos!$M$2:$M$1998,MATCH(A343&amp;"ENTRADA",Movimientos!$R$2:$R$1998,0))=0,"S/D",INDEX(Movimientos!$M$2:$M$1998,MATCH(A343&amp;"ENTRADA",Movimientos!$R$2:$R$1998,0))),"S/D")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 ht="14.25">
      <c r="A344" s="16" t="s">
        <v>2509</v>
      </c>
      <c r="B344" s="2" t="str">
        <f>IFERROR(INDEX(Movimientos!$C$2:$C$1998,MATCH(A344&amp;"ENTRADA",Movimientos!$R$2:$R$1998,0)),"-")</f>
        <v>-</v>
      </c>
      <c r="C344" s="2" t="str">
        <f>IFERROR(INDEX(Movimientos!$D$2:$D$1998,MATCH(A344&amp;"ENTRADA",Movimientos!$R$2:$R$1998,0)),"-")</f>
        <v>-</v>
      </c>
      <c r="D344" s="2" t="str">
        <f>IFERROR(INDEX(Movimientos!$E$2:$E$1998,MATCH(A344&amp;"ENTRADA",Movimientos!$R$2:$R$1998,0)),"-")</f>
        <v>-</v>
      </c>
      <c r="E344" s="2" t="str">
        <f>IFERROR(INDEX(Movimientos!$F$2:$F$1998,MATCH(A344&amp;"ENTRADA",Movimientos!$R$2:$R$1998,0)),"-")</f>
        <v>-</v>
      </c>
      <c r="F344" s="2" t="str">
        <f>IFERROR(INDEX(Movimientos!$G$2:$G$1998,MATCH(A344&amp;"ENTRADA",Movimientos!$R$2:$R$1998,0)),"-")</f>
        <v>-</v>
      </c>
      <c r="G344" s="2" t="str">
        <f>IFERROR(INDEX(Movimientos!$L$2:$L$1998,MATCH(A344&amp;"ENTRADA",Movimientos!$R$2:$R$1998,0)),"-")</f>
        <v>-</v>
      </c>
      <c r="H344" s="17" t="str">
        <f>IFERROR(IF(INDEX(Movimientos!$M$2:$M$1998,MATCH(A344&amp;"ENTRADA",Movimientos!$R$2:$R$1998,0))=0,"S/D",INDEX(Movimientos!$M$2:$M$1998,MATCH(A344&amp;"ENTRADA",Movimientos!$R$2:$R$1998,0))),"S/D")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 ht="14.25">
      <c r="A345" s="16" t="s">
        <v>2510</v>
      </c>
      <c r="B345" s="2" t="str">
        <f>IFERROR(INDEX(Movimientos!$C$2:$C$1998,MATCH(A345&amp;"ENTRADA",Movimientos!$R$2:$R$1998,0)),"-")</f>
        <v>-</v>
      </c>
      <c r="C345" s="2" t="str">
        <f>IFERROR(INDEX(Movimientos!$D$2:$D$1998,MATCH(A345&amp;"ENTRADA",Movimientos!$R$2:$R$1998,0)),"-")</f>
        <v>-</v>
      </c>
      <c r="D345" s="2" t="str">
        <f>IFERROR(INDEX(Movimientos!$E$2:$E$1998,MATCH(A345&amp;"ENTRADA",Movimientos!$R$2:$R$1998,0)),"-")</f>
        <v>-</v>
      </c>
      <c r="E345" s="2" t="str">
        <f>IFERROR(INDEX(Movimientos!$F$2:$F$1998,MATCH(A345&amp;"ENTRADA",Movimientos!$R$2:$R$1998,0)),"-")</f>
        <v>-</v>
      </c>
      <c r="F345" s="2" t="str">
        <f>IFERROR(INDEX(Movimientos!$G$2:$G$1998,MATCH(A345&amp;"ENTRADA",Movimientos!$R$2:$R$1998,0)),"-")</f>
        <v>-</v>
      </c>
      <c r="G345" s="2" t="str">
        <f>IFERROR(INDEX(Movimientos!$L$2:$L$1998,MATCH(A345&amp;"ENTRADA",Movimientos!$R$2:$R$1998,0)),"-")</f>
        <v>-</v>
      </c>
      <c r="H345" s="17" t="str">
        <f>IFERROR(IF(INDEX(Movimientos!$M$2:$M$1998,MATCH(A345&amp;"ENTRADA",Movimientos!$R$2:$R$1998,0))=0,"S/D",INDEX(Movimientos!$M$2:$M$1998,MATCH(A345&amp;"ENTRADA",Movimientos!$R$2:$R$1998,0))),"S/D")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 ht="14.25">
      <c r="A346" s="16" t="s">
        <v>2511</v>
      </c>
      <c r="B346" s="2" t="str">
        <f>IFERROR(INDEX(Movimientos!$C$2:$C$1998,MATCH(A346&amp;"ENTRADA",Movimientos!$R$2:$R$1998,0)),"-")</f>
        <v>-</v>
      </c>
      <c r="C346" s="2" t="str">
        <f>IFERROR(INDEX(Movimientos!$D$2:$D$1998,MATCH(A346&amp;"ENTRADA",Movimientos!$R$2:$R$1998,0)),"-")</f>
        <v>-</v>
      </c>
      <c r="D346" s="2" t="str">
        <f>IFERROR(INDEX(Movimientos!$E$2:$E$1998,MATCH(A346&amp;"ENTRADA",Movimientos!$R$2:$R$1998,0)),"-")</f>
        <v>-</v>
      </c>
      <c r="E346" s="2" t="str">
        <f>IFERROR(INDEX(Movimientos!$F$2:$F$1998,MATCH(A346&amp;"ENTRADA",Movimientos!$R$2:$R$1998,0)),"-")</f>
        <v>-</v>
      </c>
      <c r="F346" s="2" t="str">
        <f>IFERROR(INDEX(Movimientos!$G$2:$G$1998,MATCH(A346&amp;"ENTRADA",Movimientos!$R$2:$R$1998,0)),"-")</f>
        <v>-</v>
      </c>
      <c r="G346" s="2" t="str">
        <f>IFERROR(INDEX(Movimientos!$L$2:$L$1998,MATCH(A346&amp;"ENTRADA",Movimientos!$R$2:$R$1998,0)),"-")</f>
        <v>-</v>
      </c>
      <c r="H346" s="17" t="str">
        <f>IFERROR(IF(INDEX(Movimientos!$M$2:$M$1998,MATCH(A346&amp;"ENTRADA",Movimientos!$R$2:$R$1998,0))=0,"S/D",INDEX(Movimientos!$M$2:$M$1998,MATCH(A346&amp;"ENTRADA",Movimientos!$R$2:$R$1998,0))),"S/D")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 ht="14.25">
      <c r="A347" s="16" t="s">
        <v>2512</v>
      </c>
      <c r="B347" s="2" t="str">
        <f>IFERROR(INDEX(Movimientos!$C$2:$C$1998,MATCH(A347&amp;"ENTRADA",Movimientos!$R$2:$R$1998,0)),"-")</f>
        <v>-</v>
      </c>
      <c r="C347" s="2" t="str">
        <f>IFERROR(INDEX(Movimientos!$D$2:$D$1998,MATCH(A347&amp;"ENTRADA",Movimientos!$R$2:$R$1998,0)),"-")</f>
        <v>-</v>
      </c>
      <c r="D347" s="2" t="str">
        <f>IFERROR(INDEX(Movimientos!$E$2:$E$1998,MATCH(A347&amp;"ENTRADA",Movimientos!$R$2:$R$1998,0)),"-")</f>
        <v>-</v>
      </c>
      <c r="E347" s="2" t="str">
        <f>IFERROR(INDEX(Movimientos!$F$2:$F$1998,MATCH(A347&amp;"ENTRADA",Movimientos!$R$2:$R$1998,0)),"-")</f>
        <v>-</v>
      </c>
      <c r="F347" s="2" t="str">
        <f>IFERROR(INDEX(Movimientos!$G$2:$G$1998,MATCH(A347&amp;"ENTRADA",Movimientos!$R$2:$R$1998,0)),"-")</f>
        <v>-</v>
      </c>
      <c r="G347" s="2" t="str">
        <f>IFERROR(INDEX(Movimientos!$L$2:$L$1998,MATCH(A347&amp;"ENTRADA",Movimientos!$R$2:$R$1998,0)),"-")</f>
        <v>-</v>
      </c>
      <c r="H347" s="17" t="str">
        <f>IFERROR(IF(INDEX(Movimientos!$M$2:$M$1998,MATCH(A347&amp;"ENTRADA",Movimientos!$R$2:$R$1998,0))=0,"S/D",INDEX(Movimientos!$M$2:$M$1998,MATCH(A347&amp;"ENTRADA",Movimientos!$R$2:$R$1998,0))),"S/D")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 ht="14.25">
      <c r="A348" s="16" t="s">
        <v>2513</v>
      </c>
      <c r="B348" s="2" t="str">
        <f>IFERROR(INDEX(Movimientos!$C$2:$C$1998,MATCH(A348&amp;"ENTRADA",Movimientos!$R$2:$R$1998,0)),"-")</f>
        <v>-</v>
      </c>
      <c r="C348" s="2" t="str">
        <f>IFERROR(INDEX(Movimientos!$D$2:$D$1998,MATCH(A348&amp;"ENTRADA",Movimientos!$R$2:$R$1998,0)),"-")</f>
        <v>-</v>
      </c>
      <c r="D348" s="2" t="str">
        <f>IFERROR(INDEX(Movimientos!$E$2:$E$1998,MATCH(A348&amp;"ENTRADA",Movimientos!$R$2:$R$1998,0)),"-")</f>
        <v>-</v>
      </c>
      <c r="E348" s="2" t="str">
        <f>IFERROR(INDEX(Movimientos!$F$2:$F$1998,MATCH(A348&amp;"ENTRADA",Movimientos!$R$2:$R$1998,0)),"-")</f>
        <v>-</v>
      </c>
      <c r="F348" s="2" t="str">
        <f>IFERROR(INDEX(Movimientos!$G$2:$G$1998,MATCH(A348&amp;"ENTRADA",Movimientos!$R$2:$R$1998,0)),"-")</f>
        <v>-</v>
      </c>
      <c r="G348" s="2" t="str">
        <f>IFERROR(INDEX(Movimientos!$L$2:$L$1998,MATCH(A348&amp;"ENTRADA",Movimientos!$R$2:$R$1998,0)),"-")</f>
        <v>-</v>
      </c>
      <c r="H348" s="17" t="str">
        <f>IFERROR(IF(INDEX(Movimientos!$M$2:$M$1998,MATCH(A348&amp;"ENTRADA",Movimientos!$R$2:$R$1998,0))=0,"S/D",INDEX(Movimientos!$M$2:$M$1998,MATCH(A348&amp;"ENTRADA",Movimientos!$R$2:$R$1998,0))),"S/D")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 ht="14.25">
      <c r="A349" s="16" t="s">
        <v>2514</v>
      </c>
      <c r="B349" s="2" t="str">
        <f>IFERROR(INDEX(Movimientos!$C$2:$C$1998,MATCH(A349&amp;"ENTRADA",Movimientos!$R$2:$R$1998,0)),"-")</f>
        <v>-</v>
      </c>
      <c r="C349" s="2" t="str">
        <f>IFERROR(INDEX(Movimientos!$D$2:$D$1998,MATCH(A349&amp;"ENTRADA",Movimientos!$R$2:$R$1998,0)),"-")</f>
        <v>-</v>
      </c>
      <c r="D349" s="2" t="str">
        <f>IFERROR(INDEX(Movimientos!$E$2:$E$1998,MATCH(A349&amp;"ENTRADA",Movimientos!$R$2:$R$1998,0)),"-")</f>
        <v>-</v>
      </c>
      <c r="E349" s="2" t="str">
        <f>IFERROR(INDEX(Movimientos!$F$2:$F$1998,MATCH(A349&amp;"ENTRADA",Movimientos!$R$2:$R$1998,0)),"-")</f>
        <v>-</v>
      </c>
      <c r="F349" s="2" t="str">
        <f>IFERROR(INDEX(Movimientos!$G$2:$G$1998,MATCH(A349&amp;"ENTRADA",Movimientos!$R$2:$R$1998,0)),"-")</f>
        <v>-</v>
      </c>
      <c r="G349" s="2" t="str">
        <f>IFERROR(INDEX(Movimientos!$L$2:$L$1998,MATCH(A349&amp;"ENTRADA",Movimientos!$R$2:$R$1998,0)),"-")</f>
        <v>-</v>
      </c>
      <c r="H349" s="17" t="str">
        <f>IFERROR(IF(INDEX(Movimientos!$M$2:$M$1998,MATCH(A349&amp;"ENTRADA",Movimientos!$R$2:$R$1998,0))=0,"S/D",INDEX(Movimientos!$M$2:$M$1998,MATCH(A349&amp;"ENTRADA",Movimientos!$R$2:$R$1998,0))),"S/D")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 ht="14.25">
      <c r="A350" s="16" t="s">
        <v>2515</v>
      </c>
      <c r="B350" s="2" t="str">
        <f>IFERROR(INDEX(Movimientos!$C$2:$C$1998,MATCH(A350&amp;"ENTRADA",Movimientos!$R$2:$R$1998,0)),"-")</f>
        <v>-</v>
      </c>
      <c r="C350" s="2" t="str">
        <f>IFERROR(INDEX(Movimientos!$D$2:$D$1998,MATCH(A350&amp;"ENTRADA",Movimientos!$R$2:$R$1998,0)),"-")</f>
        <v>-</v>
      </c>
      <c r="D350" s="2" t="str">
        <f>IFERROR(INDEX(Movimientos!$E$2:$E$1998,MATCH(A350&amp;"ENTRADA",Movimientos!$R$2:$R$1998,0)),"-")</f>
        <v>-</v>
      </c>
      <c r="E350" s="2" t="str">
        <f>IFERROR(INDEX(Movimientos!$F$2:$F$1998,MATCH(A350&amp;"ENTRADA",Movimientos!$R$2:$R$1998,0)),"-")</f>
        <v>-</v>
      </c>
      <c r="F350" s="2" t="str">
        <f>IFERROR(INDEX(Movimientos!$G$2:$G$1998,MATCH(A350&amp;"ENTRADA",Movimientos!$R$2:$R$1998,0)),"-")</f>
        <v>-</v>
      </c>
      <c r="G350" s="2" t="str">
        <f>IFERROR(INDEX(Movimientos!$L$2:$L$1998,MATCH(A350&amp;"ENTRADA",Movimientos!$R$2:$R$1998,0)),"-")</f>
        <v>-</v>
      </c>
      <c r="H350" s="17" t="str">
        <f>IFERROR(IF(INDEX(Movimientos!$M$2:$M$1998,MATCH(A350&amp;"ENTRADA",Movimientos!$R$2:$R$1998,0))=0,"S/D",INDEX(Movimientos!$M$2:$M$1998,MATCH(A350&amp;"ENTRADA",Movimientos!$R$2:$R$1998,0))),"S/D")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 ht="14.25">
      <c r="A351" s="16" t="s">
        <v>2516</v>
      </c>
      <c r="B351" s="2" t="str">
        <f>IFERROR(INDEX(Movimientos!$C$2:$C$1998,MATCH(A351&amp;"ENTRADA",Movimientos!$R$2:$R$1998,0)),"-")</f>
        <v>-</v>
      </c>
      <c r="C351" s="2" t="str">
        <f>IFERROR(INDEX(Movimientos!$D$2:$D$1998,MATCH(A351&amp;"ENTRADA",Movimientos!$R$2:$R$1998,0)),"-")</f>
        <v>-</v>
      </c>
      <c r="D351" s="2" t="str">
        <f>IFERROR(INDEX(Movimientos!$E$2:$E$1998,MATCH(A351&amp;"ENTRADA",Movimientos!$R$2:$R$1998,0)),"-")</f>
        <v>-</v>
      </c>
      <c r="E351" s="2" t="str">
        <f>IFERROR(INDEX(Movimientos!$F$2:$F$1998,MATCH(A351&amp;"ENTRADA",Movimientos!$R$2:$R$1998,0)),"-")</f>
        <v>-</v>
      </c>
      <c r="F351" s="2" t="str">
        <f>IFERROR(INDEX(Movimientos!$G$2:$G$1998,MATCH(A351&amp;"ENTRADA",Movimientos!$R$2:$R$1998,0)),"-")</f>
        <v>-</v>
      </c>
      <c r="G351" s="2" t="str">
        <f>IFERROR(INDEX(Movimientos!$L$2:$L$1998,MATCH(A351&amp;"ENTRADA",Movimientos!$R$2:$R$1998,0)),"-")</f>
        <v>-</v>
      </c>
      <c r="H351" s="17" t="str">
        <f>IFERROR(IF(INDEX(Movimientos!$M$2:$M$1998,MATCH(A351&amp;"ENTRADA",Movimientos!$R$2:$R$1998,0))=0,"S/D",INDEX(Movimientos!$M$2:$M$1998,MATCH(A351&amp;"ENTRADA",Movimientos!$R$2:$R$1998,0))),"S/D")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 ht="14.25">
      <c r="A352" s="16" t="s">
        <v>2517</v>
      </c>
      <c r="B352" s="2" t="str">
        <f>IFERROR(INDEX(Movimientos!$C$2:$C$1998,MATCH(A352&amp;"ENTRADA",Movimientos!$R$2:$R$1998,0)),"-")</f>
        <v>-</v>
      </c>
      <c r="C352" s="2" t="str">
        <f>IFERROR(INDEX(Movimientos!$D$2:$D$1998,MATCH(A352&amp;"ENTRADA",Movimientos!$R$2:$R$1998,0)),"-")</f>
        <v>-</v>
      </c>
      <c r="D352" s="2" t="str">
        <f>IFERROR(INDEX(Movimientos!$E$2:$E$1998,MATCH(A352&amp;"ENTRADA",Movimientos!$R$2:$R$1998,0)),"-")</f>
        <v>-</v>
      </c>
      <c r="E352" s="2" t="str">
        <f>IFERROR(INDEX(Movimientos!$F$2:$F$1998,MATCH(A352&amp;"ENTRADA",Movimientos!$R$2:$R$1998,0)),"-")</f>
        <v>-</v>
      </c>
      <c r="F352" s="2" t="str">
        <f>IFERROR(INDEX(Movimientos!$G$2:$G$1998,MATCH(A352&amp;"ENTRADA",Movimientos!$R$2:$R$1998,0)),"-")</f>
        <v>-</v>
      </c>
      <c r="G352" s="2" t="str">
        <f>IFERROR(INDEX(Movimientos!$L$2:$L$1998,MATCH(A352&amp;"ENTRADA",Movimientos!$R$2:$R$1998,0)),"-")</f>
        <v>-</v>
      </c>
      <c r="H352" s="17" t="str">
        <f>IFERROR(IF(INDEX(Movimientos!$M$2:$M$1998,MATCH(A352&amp;"ENTRADA",Movimientos!$R$2:$R$1998,0))=0,"S/D",INDEX(Movimientos!$M$2:$M$1998,MATCH(A352&amp;"ENTRADA",Movimientos!$R$2:$R$1998,0))),"S/D")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 ht="14.25">
      <c r="A353" s="16" t="s">
        <v>2518</v>
      </c>
      <c r="B353" s="2" t="str">
        <f>IFERROR(INDEX(Movimientos!$C$2:$C$1998,MATCH(A353&amp;"ENTRADA",Movimientos!$R$2:$R$1998,0)),"-")</f>
        <v>-</v>
      </c>
      <c r="C353" s="2" t="str">
        <f>IFERROR(INDEX(Movimientos!$D$2:$D$1998,MATCH(A353&amp;"ENTRADA",Movimientos!$R$2:$R$1998,0)),"-")</f>
        <v>-</v>
      </c>
      <c r="D353" s="2" t="str">
        <f>IFERROR(INDEX(Movimientos!$E$2:$E$1998,MATCH(A353&amp;"ENTRADA",Movimientos!$R$2:$R$1998,0)),"-")</f>
        <v>-</v>
      </c>
      <c r="E353" s="2" t="str">
        <f>IFERROR(INDEX(Movimientos!$F$2:$F$1998,MATCH(A353&amp;"ENTRADA",Movimientos!$R$2:$R$1998,0)),"-")</f>
        <v>-</v>
      </c>
      <c r="F353" s="2" t="str">
        <f>IFERROR(INDEX(Movimientos!$G$2:$G$1998,MATCH(A353&amp;"ENTRADA",Movimientos!$R$2:$R$1998,0)),"-")</f>
        <v>-</v>
      </c>
      <c r="G353" s="2" t="str">
        <f>IFERROR(INDEX(Movimientos!$L$2:$L$1998,MATCH(A353&amp;"ENTRADA",Movimientos!$R$2:$R$1998,0)),"-")</f>
        <v>-</v>
      </c>
      <c r="H353" s="17" t="str">
        <f>IFERROR(IF(INDEX(Movimientos!$M$2:$M$1998,MATCH(A353&amp;"ENTRADA",Movimientos!$R$2:$R$1998,0))=0,"S/D",INDEX(Movimientos!$M$2:$M$1998,MATCH(A353&amp;"ENTRADA",Movimientos!$R$2:$R$1998,0))),"S/D")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 ht="14.25">
      <c r="A354" s="16" t="s">
        <v>2519</v>
      </c>
      <c r="B354" s="2" t="str">
        <f>IFERROR(INDEX(Movimientos!$C$2:$C$1998,MATCH(A354&amp;"ENTRADA",Movimientos!$R$2:$R$1998,0)),"-")</f>
        <v>-</v>
      </c>
      <c r="C354" s="2" t="str">
        <f>IFERROR(INDEX(Movimientos!$D$2:$D$1998,MATCH(A354&amp;"ENTRADA",Movimientos!$R$2:$R$1998,0)),"-")</f>
        <v>-</v>
      </c>
      <c r="D354" s="2" t="str">
        <f>IFERROR(INDEX(Movimientos!$E$2:$E$1998,MATCH(A354&amp;"ENTRADA",Movimientos!$R$2:$R$1998,0)),"-")</f>
        <v>-</v>
      </c>
      <c r="E354" s="2" t="str">
        <f>IFERROR(INDEX(Movimientos!$F$2:$F$1998,MATCH(A354&amp;"ENTRADA",Movimientos!$R$2:$R$1998,0)),"-")</f>
        <v>-</v>
      </c>
      <c r="F354" s="2" t="str">
        <f>IFERROR(INDEX(Movimientos!$G$2:$G$1998,MATCH(A354&amp;"ENTRADA",Movimientos!$R$2:$R$1998,0)),"-")</f>
        <v>-</v>
      </c>
      <c r="G354" s="2" t="str">
        <f>IFERROR(INDEX(Movimientos!$L$2:$L$1998,MATCH(A354&amp;"ENTRADA",Movimientos!$R$2:$R$1998,0)),"-")</f>
        <v>-</v>
      </c>
      <c r="H354" s="17" t="str">
        <f>IFERROR(IF(INDEX(Movimientos!$M$2:$M$1998,MATCH(A354&amp;"ENTRADA",Movimientos!$R$2:$R$1998,0))=0,"S/D",INDEX(Movimientos!$M$2:$M$1998,MATCH(A354&amp;"ENTRADA",Movimientos!$R$2:$R$1998,0))),"S/D")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 ht="14.25">
      <c r="A355" s="16" t="s">
        <v>2520</v>
      </c>
      <c r="B355" s="2" t="str">
        <f>IFERROR(INDEX(Movimientos!$C$2:$C$1998,MATCH(A355&amp;"ENTRADA",Movimientos!$R$2:$R$1998,0)),"-")</f>
        <v>-</v>
      </c>
      <c r="C355" s="2" t="str">
        <f>IFERROR(INDEX(Movimientos!$D$2:$D$1998,MATCH(A355&amp;"ENTRADA",Movimientos!$R$2:$R$1998,0)),"-")</f>
        <v>-</v>
      </c>
      <c r="D355" s="2" t="str">
        <f>IFERROR(INDEX(Movimientos!$E$2:$E$1998,MATCH(A355&amp;"ENTRADA",Movimientos!$R$2:$R$1998,0)),"-")</f>
        <v>-</v>
      </c>
      <c r="E355" s="2" t="str">
        <f>IFERROR(INDEX(Movimientos!$F$2:$F$1998,MATCH(A355&amp;"ENTRADA",Movimientos!$R$2:$R$1998,0)),"-")</f>
        <v>-</v>
      </c>
      <c r="F355" s="2" t="str">
        <f>IFERROR(INDEX(Movimientos!$G$2:$G$1998,MATCH(A355&amp;"ENTRADA",Movimientos!$R$2:$R$1998,0)),"-")</f>
        <v>-</v>
      </c>
      <c r="G355" s="2" t="str">
        <f>IFERROR(INDEX(Movimientos!$L$2:$L$1998,MATCH(A355&amp;"ENTRADA",Movimientos!$R$2:$R$1998,0)),"-")</f>
        <v>-</v>
      </c>
      <c r="H355" s="17" t="str">
        <f>IFERROR(IF(INDEX(Movimientos!$M$2:$M$1998,MATCH(A355&amp;"ENTRADA",Movimientos!$R$2:$R$1998,0))=0,"S/D",INDEX(Movimientos!$M$2:$M$1998,MATCH(A355&amp;"ENTRADA",Movimientos!$R$2:$R$1998,0))),"S/D")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 ht="14.25">
      <c r="A356" s="16" t="s">
        <v>2521</v>
      </c>
      <c r="B356" s="2" t="str">
        <f>IFERROR(INDEX(Movimientos!$C$2:$C$1998,MATCH(A356&amp;"ENTRADA",Movimientos!$R$2:$R$1998,0)),"-")</f>
        <v>-</v>
      </c>
      <c r="C356" s="2" t="str">
        <f>IFERROR(INDEX(Movimientos!$D$2:$D$1998,MATCH(A356&amp;"ENTRADA",Movimientos!$R$2:$R$1998,0)),"-")</f>
        <v>-</v>
      </c>
      <c r="D356" s="2" t="str">
        <f>IFERROR(INDEX(Movimientos!$E$2:$E$1998,MATCH(A356&amp;"ENTRADA",Movimientos!$R$2:$R$1998,0)),"-")</f>
        <v>-</v>
      </c>
      <c r="E356" s="2" t="str">
        <f>IFERROR(INDEX(Movimientos!$F$2:$F$1998,MATCH(A356&amp;"ENTRADA",Movimientos!$R$2:$R$1998,0)),"-")</f>
        <v>-</v>
      </c>
      <c r="F356" s="2" t="str">
        <f>IFERROR(INDEX(Movimientos!$G$2:$G$1998,MATCH(A356&amp;"ENTRADA",Movimientos!$R$2:$R$1998,0)),"-")</f>
        <v>-</v>
      </c>
      <c r="G356" s="2" t="str">
        <f>IFERROR(INDEX(Movimientos!$L$2:$L$1998,MATCH(A356&amp;"ENTRADA",Movimientos!$R$2:$R$1998,0)),"-")</f>
        <v>-</v>
      </c>
      <c r="H356" s="17" t="str">
        <f>IFERROR(IF(INDEX(Movimientos!$M$2:$M$1998,MATCH(A356&amp;"ENTRADA",Movimientos!$R$2:$R$1998,0))=0,"S/D",INDEX(Movimientos!$M$2:$M$1998,MATCH(A356&amp;"ENTRADA",Movimientos!$R$2:$R$1998,0))),"S/D")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 ht="14.25">
      <c r="A357" s="16" t="s">
        <v>2522</v>
      </c>
      <c r="B357" s="2" t="str">
        <f>IFERROR(INDEX(Movimientos!$C$2:$C$1998,MATCH(A357&amp;"ENTRADA",Movimientos!$R$2:$R$1998,0)),"-")</f>
        <v>-</v>
      </c>
      <c r="C357" s="2" t="str">
        <f>IFERROR(INDEX(Movimientos!$D$2:$D$1998,MATCH(A357&amp;"ENTRADA",Movimientos!$R$2:$R$1998,0)),"-")</f>
        <v>-</v>
      </c>
      <c r="D357" s="2" t="str">
        <f>IFERROR(INDEX(Movimientos!$E$2:$E$1998,MATCH(A357&amp;"ENTRADA",Movimientos!$R$2:$R$1998,0)),"-")</f>
        <v>-</v>
      </c>
      <c r="E357" s="2" t="str">
        <f>IFERROR(INDEX(Movimientos!$F$2:$F$1998,MATCH(A357&amp;"ENTRADA",Movimientos!$R$2:$R$1998,0)),"-")</f>
        <v>-</v>
      </c>
      <c r="F357" s="2" t="str">
        <f>IFERROR(INDEX(Movimientos!$G$2:$G$1998,MATCH(A357&amp;"ENTRADA",Movimientos!$R$2:$R$1998,0)),"-")</f>
        <v>-</v>
      </c>
      <c r="G357" s="2" t="str">
        <f>IFERROR(INDEX(Movimientos!$L$2:$L$1998,MATCH(A357&amp;"ENTRADA",Movimientos!$R$2:$R$1998,0)),"-")</f>
        <v>-</v>
      </c>
      <c r="H357" s="17" t="str">
        <f>IFERROR(IF(INDEX(Movimientos!$M$2:$M$1998,MATCH(A357&amp;"ENTRADA",Movimientos!$R$2:$R$1998,0))=0,"S/D",INDEX(Movimientos!$M$2:$M$1998,MATCH(A357&amp;"ENTRADA",Movimientos!$R$2:$R$1998,0))),"S/D")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 ht="14.25">
      <c r="A358" s="16" t="s">
        <v>2523</v>
      </c>
      <c r="B358" s="2" t="str">
        <f>IFERROR(INDEX(Movimientos!$C$2:$C$1998,MATCH(A358&amp;"ENTRADA",Movimientos!$R$2:$R$1998,0)),"-")</f>
        <v>-</v>
      </c>
      <c r="C358" s="2" t="str">
        <f>IFERROR(INDEX(Movimientos!$D$2:$D$1998,MATCH(A358&amp;"ENTRADA",Movimientos!$R$2:$R$1998,0)),"-")</f>
        <v>-</v>
      </c>
      <c r="D358" s="2" t="str">
        <f>IFERROR(INDEX(Movimientos!$E$2:$E$1998,MATCH(A358&amp;"ENTRADA",Movimientos!$R$2:$R$1998,0)),"-")</f>
        <v>-</v>
      </c>
      <c r="E358" s="2" t="str">
        <f>IFERROR(INDEX(Movimientos!$F$2:$F$1998,MATCH(A358&amp;"ENTRADA",Movimientos!$R$2:$R$1998,0)),"-")</f>
        <v>-</v>
      </c>
      <c r="F358" s="2" t="str">
        <f>IFERROR(INDEX(Movimientos!$G$2:$G$1998,MATCH(A358&amp;"ENTRADA",Movimientos!$R$2:$R$1998,0)),"-")</f>
        <v>-</v>
      </c>
      <c r="G358" s="2" t="str">
        <f>IFERROR(INDEX(Movimientos!$L$2:$L$1998,MATCH(A358&amp;"ENTRADA",Movimientos!$R$2:$R$1998,0)),"-")</f>
        <v>-</v>
      </c>
      <c r="H358" s="17" t="str">
        <f>IFERROR(IF(INDEX(Movimientos!$M$2:$M$1998,MATCH(A358&amp;"ENTRADA",Movimientos!$R$2:$R$1998,0))=0,"S/D",INDEX(Movimientos!$M$2:$M$1998,MATCH(A358&amp;"ENTRADA",Movimientos!$R$2:$R$1998,0))),"S/D")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 ht="14.25">
      <c r="A359" s="16" t="s">
        <v>2524</v>
      </c>
      <c r="B359" s="2" t="str">
        <f>IFERROR(INDEX(Movimientos!$C$2:$C$1998,MATCH(A359&amp;"ENTRADA",Movimientos!$R$2:$R$1998,0)),"-")</f>
        <v>-</v>
      </c>
      <c r="C359" s="2" t="str">
        <f>IFERROR(INDEX(Movimientos!$D$2:$D$1998,MATCH(A359&amp;"ENTRADA",Movimientos!$R$2:$R$1998,0)),"-")</f>
        <v>-</v>
      </c>
      <c r="D359" s="2" t="str">
        <f>IFERROR(INDEX(Movimientos!$E$2:$E$1998,MATCH(A359&amp;"ENTRADA",Movimientos!$R$2:$R$1998,0)),"-")</f>
        <v>-</v>
      </c>
      <c r="E359" s="2" t="str">
        <f>IFERROR(INDEX(Movimientos!$F$2:$F$1998,MATCH(A359&amp;"ENTRADA",Movimientos!$R$2:$R$1998,0)),"-")</f>
        <v>-</v>
      </c>
      <c r="F359" s="2" t="str">
        <f>IFERROR(INDEX(Movimientos!$G$2:$G$1998,MATCH(A359&amp;"ENTRADA",Movimientos!$R$2:$R$1998,0)),"-")</f>
        <v>-</v>
      </c>
      <c r="G359" s="2" t="str">
        <f>IFERROR(INDEX(Movimientos!$L$2:$L$1998,MATCH(A359&amp;"ENTRADA",Movimientos!$R$2:$R$1998,0)),"-")</f>
        <v>-</v>
      </c>
      <c r="H359" s="17" t="str">
        <f>IFERROR(IF(INDEX(Movimientos!$M$2:$M$1998,MATCH(A359&amp;"ENTRADA",Movimientos!$R$2:$R$1998,0))=0,"S/D",INDEX(Movimientos!$M$2:$M$1998,MATCH(A359&amp;"ENTRADA",Movimientos!$R$2:$R$1998,0))),"S/D")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 ht="14.25">
      <c r="A360" s="16" t="s">
        <v>2525</v>
      </c>
      <c r="B360" s="2" t="str">
        <f>IFERROR(INDEX(Movimientos!$C$2:$C$1998,MATCH(A360&amp;"ENTRADA",Movimientos!$R$2:$R$1998,0)),"-")</f>
        <v>-</v>
      </c>
      <c r="C360" s="2" t="str">
        <f>IFERROR(INDEX(Movimientos!$D$2:$D$1998,MATCH(A360&amp;"ENTRADA",Movimientos!$R$2:$R$1998,0)),"-")</f>
        <v>-</v>
      </c>
      <c r="D360" s="2" t="str">
        <f>IFERROR(INDEX(Movimientos!$E$2:$E$1998,MATCH(A360&amp;"ENTRADA",Movimientos!$R$2:$R$1998,0)),"-")</f>
        <v>-</v>
      </c>
      <c r="E360" s="2" t="str">
        <f>IFERROR(INDEX(Movimientos!$F$2:$F$1998,MATCH(A360&amp;"ENTRADA",Movimientos!$R$2:$R$1998,0)),"-")</f>
        <v>-</v>
      </c>
      <c r="F360" s="2" t="str">
        <f>IFERROR(INDEX(Movimientos!$G$2:$G$1998,MATCH(A360&amp;"ENTRADA",Movimientos!$R$2:$R$1998,0)),"-")</f>
        <v>-</v>
      </c>
      <c r="G360" s="2" t="str">
        <f>IFERROR(INDEX(Movimientos!$L$2:$L$1998,MATCH(A360&amp;"ENTRADA",Movimientos!$R$2:$R$1998,0)),"-")</f>
        <v>-</v>
      </c>
      <c r="H360" s="17" t="str">
        <f>IFERROR(IF(INDEX(Movimientos!$M$2:$M$1998,MATCH(A360&amp;"ENTRADA",Movimientos!$R$2:$R$1998,0))=0,"S/D",INDEX(Movimientos!$M$2:$M$1998,MATCH(A360&amp;"ENTRADA",Movimientos!$R$2:$R$1998,0))),"S/D")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 ht="14.25">
      <c r="A361" s="16" t="s">
        <v>2526</v>
      </c>
      <c r="B361" s="2" t="str">
        <f>IFERROR(INDEX(Movimientos!$C$2:$C$1998,MATCH(A361&amp;"ENTRADA",Movimientos!$R$2:$R$1998,0)),"-")</f>
        <v>-</v>
      </c>
      <c r="C361" s="2" t="str">
        <f>IFERROR(INDEX(Movimientos!$D$2:$D$1998,MATCH(A361&amp;"ENTRADA",Movimientos!$R$2:$R$1998,0)),"-")</f>
        <v>-</v>
      </c>
      <c r="D361" s="2" t="str">
        <f>IFERROR(INDEX(Movimientos!$E$2:$E$1998,MATCH(A361&amp;"ENTRADA",Movimientos!$R$2:$R$1998,0)),"-")</f>
        <v>-</v>
      </c>
      <c r="E361" s="2" t="str">
        <f>IFERROR(INDEX(Movimientos!$F$2:$F$1998,MATCH(A361&amp;"ENTRADA",Movimientos!$R$2:$R$1998,0)),"-")</f>
        <v>-</v>
      </c>
      <c r="F361" s="2" t="str">
        <f>IFERROR(INDEX(Movimientos!$G$2:$G$1998,MATCH(A361&amp;"ENTRADA",Movimientos!$R$2:$R$1998,0)),"-")</f>
        <v>-</v>
      </c>
      <c r="G361" s="2" t="str">
        <f>IFERROR(INDEX(Movimientos!$L$2:$L$1998,MATCH(A361&amp;"ENTRADA",Movimientos!$R$2:$R$1998,0)),"-")</f>
        <v>-</v>
      </c>
      <c r="H361" s="17" t="str">
        <f>IFERROR(IF(INDEX(Movimientos!$M$2:$M$1998,MATCH(A361&amp;"ENTRADA",Movimientos!$R$2:$R$1998,0))=0,"S/D",INDEX(Movimientos!$M$2:$M$1998,MATCH(A361&amp;"ENTRADA",Movimientos!$R$2:$R$1998,0))),"S/D")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 ht="14.25">
      <c r="A362" s="16" t="s">
        <v>2527</v>
      </c>
      <c r="B362" s="2" t="str">
        <f>IFERROR(INDEX(Movimientos!$C$2:$C$1998,MATCH(A362&amp;"ENTRADA",Movimientos!$R$2:$R$1998,0)),"-")</f>
        <v>-</v>
      </c>
      <c r="C362" s="2" t="str">
        <f>IFERROR(INDEX(Movimientos!$D$2:$D$1998,MATCH(A362&amp;"ENTRADA",Movimientos!$R$2:$R$1998,0)),"-")</f>
        <v>-</v>
      </c>
      <c r="D362" s="2" t="str">
        <f>IFERROR(INDEX(Movimientos!$E$2:$E$1998,MATCH(A362&amp;"ENTRADA",Movimientos!$R$2:$R$1998,0)),"-")</f>
        <v>-</v>
      </c>
      <c r="E362" s="2" t="str">
        <f>IFERROR(INDEX(Movimientos!$F$2:$F$1998,MATCH(A362&amp;"ENTRADA",Movimientos!$R$2:$R$1998,0)),"-")</f>
        <v>-</v>
      </c>
      <c r="F362" s="2" t="str">
        <f>IFERROR(INDEX(Movimientos!$G$2:$G$1998,MATCH(A362&amp;"ENTRADA",Movimientos!$R$2:$R$1998,0)),"-")</f>
        <v>-</v>
      </c>
      <c r="G362" s="2" t="str">
        <f>IFERROR(INDEX(Movimientos!$L$2:$L$1998,MATCH(A362&amp;"ENTRADA",Movimientos!$R$2:$R$1998,0)),"-")</f>
        <v>-</v>
      </c>
      <c r="H362" s="17" t="str">
        <f>IFERROR(IF(INDEX(Movimientos!$M$2:$M$1998,MATCH(A362&amp;"ENTRADA",Movimientos!$R$2:$R$1998,0))=0,"S/D",INDEX(Movimientos!$M$2:$M$1998,MATCH(A362&amp;"ENTRADA",Movimientos!$R$2:$R$1998,0))),"S/D")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 ht="14.25">
      <c r="A363" s="16" t="s">
        <v>2528</v>
      </c>
      <c r="B363" s="2" t="str">
        <f>IFERROR(INDEX(Movimientos!$C$2:$C$1998,MATCH(A363&amp;"ENTRADA",Movimientos!$R$2:$R$1998,0)),"-")</f>
        <v>-</v>
      </c>
      <c r="C363" s="2" t="str">
        <f>IFERROR(INDEX(Movimientos!$D$2:$D$1998,MATCH(A363&amp;"ENTRADA",Movimientos!$R$2:$R$1998,0)),"-")</f>
        <v>-</v>
      </c>
      <c r="D363" s="2" t="str">
        <f>IFERROR(INDEX(Movimientos!$E$2:$E$1998,MATCH(A363&amp;"ENTRADA",Movimientos!$R$2:$R$1998,0)),"-")</f>
        <v>-</v>
      </c>
      <c r="E363" s="2" t="str">
        <f>IFERROR(INDEX(Movimientos!$F$2:$F$1998,MATCH(A363&amp;"ENTRADA",Movimientos!$R$2:$R$1998,0)),"-")</f>
        <v>-</v>
      </c>
      <c r="F363" s="2" t="str">
        <f>IFERROR(INDEX(Movimientos!$G$2:$G$1998,MATCH(A363&amp;"ENTRADA",Movimientos!$R$2:$R$1998,0)),"-")</f>
        <v>-</v>
      </c>
      <c r="G363" s="2" t="str">
        <f>IFERROR(INDEX(Movimientos!$L$2:$L$1998,MATCH(A363&amp;"ENTRADA",Movimientos!$R$2:$R$1998,0)),"-")</f>
        <v>-</v>
      </c>
      <c r="H363" s="17" t="str">
        <f>IFERROR(IF(INDEX(Movimientos!$M$2:$M$1998,MATCH(A363&amp;"ENTRADA",Movimientos!$R$2:$R$1998,0))=0,"S/D",INDEX(Movimientos!$M$2:$M$1998,MATCH(A363&amp;"ENTRADA",Movimientos!$R$2:$R$1998,0))),"S/D")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 ht="14.25">
      <c r="A364" s="16" t="s">
        <v>2529</v>
      </c>
      <c r="B364" s="2" t="str">
        <f>IFERROR(INDEX(Movimientos!$C$2:$C$1998,MATCH(A364&amp;"ENTRADA",Movimientos!$R$2:$R$1998,0)),"-")</f>
        <v>-</v>
      </c>
      <c r="C364" s="2" t="str">
        <f>IFERROR(INDEX(Movimientos!$D$2:$D$1998,MATCH(A364&amp;"ENTRADA",Movimientos!$R$2:$R$1998,0)),"-")</f>
        <v>-</v>
      </c>
      <c r="D364" s="2" t="str">
        <f>IFERROR(INDEX(Movimientos!$E$2:$E$1998,MATCH(A364&amp;"ENTRADA",Movimientos!$R$2:$R$1998,0)),"-")</f>
        <v>-</v>
      </c>
      <c r="E364" s="2" t="str">
        <f>IFERROR(INDEX(Movimientos!$F$2:$F$1998,MATCH(A364&amp;"ENTRADA",Movimientos!$R$2:$R$1998,0)),"-")</f>
        <v>-</v>
      </c>
      <c r="F364" s="2" t="str">
        <f>IFERROR(INDEX(Movimientos!$G$2:$G$1998,MATCH(A364&amp;"ENTRADA",Movimientos!$R$2:$R$1998,0)),"-")</f>
        <v>-</v>
      </c>
      <c r="G364" s="2" t="str">
        <f>IFERROR(INDEX(Movimientos!$L$2:$L$1998,MATCH(A364&amp;"ENTRADA",Movimientos!$R$2:$R$1998,0)),"-")</f>
        <v>-</v>
      </c>
      <c r="H364" s="17" t="str">
        <f>IFERROR(IF(INDEX(Movimientos!$M$2:$M$1998,MATCH(A364&amp;"ENTRADA",Movimientos!$R$2:$R$1998,0))=0,"S/D",INDEX(Movimientos!$M$2:$M$1998,MATCH(A364&amp;"ENTRADA",Movimientos!$R$2:$R$1998,0))),"S/D")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 ht="14.25">
      <c r="A365" s="16" t="s">
        <v>2530</v>
      </c>
      <c r="B365" s="2" t="str">
        <f>IFERROR(INDEX(Movimientos!$C$2:$C$1998,MATCH(A365&amp;"ENTRADA",Movimientos!$R$2:$R$1998,0)),"-")</f>
        <v>-</v>
      </c>
      <c r="C365" s="2" t="str">
        <f>IFERROR(INDEX(Movimientos!$D$2:$D$1998,MATCH(A365&amp;"ENTRADA",Movimientos!$R$2:$R$1998,0)),"-")</f>
        <v>-</v>
      </c>
      <c r="D365" s="2" t="str">
        <f>IFERROR(INDEX(Movimientos!$E$2:$E$1998,MATCH(A365&amp;"ENTRADA",Movimientos!$R$2:$R$1998,0)),"-")</f>
        <v>-</v>
      </c>
      <c r="E365" s="2" t="str">
        <f>IFERROR(INDEX(Movimientos!$F$2:$F$1998,MATCH(A365&amp;"ENTRADA",Movimientos!$R$2:$R$1998,0)),"-")</f>
        <v>-</v>
      </c>
      <c r="F365" s="2" t="str">
        <f>IFERROR(INDEX(Movimientos!$G$2:$G$1998,MATCH(A365&amp;"ENTRADA",Movimientos!$R$2:$R$1998,0)),"-")</f>
        <v>-</v>
      </c>
      <c r="G365" s="2" t="str">
        <f>IFERROR(INDEX(Movimientos!$L$2:$L$1998,MATCH(A365&amp;"ENTRADA",Movimientos!$R$2:$R$1998,0)),"-")</f>
        <v>-</v>
      </c>
      <c r="H365" s="17" t="str">
        <f>IFERROR(IF(INDEX(Movimientos!$M$2:$M$1998,MATCH(A365&amp;"ENTRADA",Movimientos!$R$2:$R$1998,0))=0,"S/D",INDEX(Movimientos!$M$2:$M$1998,MATCH(A365&amp;"ENTRADA",Movimientos!$R$2:$R$1998,0))),"S/D")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 ht="14.25">
      <c r="A366" s="16" t="s">
        <v>2531</v>
      </c>
      <c r="B366" s="2" t="str">
        <f>IFERROR(INDEX(Movimientos!$C$2:$C$1998,MATCH(A366&amp;"ENTRADA",Movimientos!$R$2:$R$1998,0)),"-")</f>
        <v>-</v>
      </c>
      <c r="C366" s="2" t="str">
        <f>IFERROR(INDEX(Movimientos!$D$2:$D$1998,MATCH(A366&amp;"ENTRADA",Movimientos!$R$2:$R$1998,0)),"-")</f>
        <v>-</v>
      </c>
      <c r="D366" s="2" t="str">
        <f>IFERROR(INDEX(Movimientos!$E$2:$E$1998,MATCH(A366&amp;"ENTRADA",Movimientos!$R$2:$R$1998,0)),"-")</f>
        <v>-</v>
      </c>
      <c r="E366" s="2" t="str">
        <f>IFERROR(INDEX(Movimientos!$F$2:$F$1998,MATCH(A366&amp;"ENTRADA",Movimientos!$R$2:$R$1998,0)),"-")</f>
        <v>-</v>
      </c>
      <c r="F366" s="2" t="str">
        <f>IFERROR(INDEX(Movimientos!$G$2:$G$1998,MATCH(A366&amp;"ENTRADA",Movimientos!$R$2:$R$1998,0)),"-")</f>
        <v>-</v>
      </c>
      <c r="G366" s="2" t="str">
        <f>IFERROR(INDEX(Movimientos!$L$2:$L$1998,MATCH(A366&amp;"ENTRADA",Movimientos!$R$2:$R$1998,0)),"-")</f>
        <v>-</v>
      </c>
      <c r="H366" s="17" t="str">
        <f>IFERROR(IF(INDEX(Movimientos!$M$2:$M$1998,MATCH(A366&amp;"ENTRADA",Movimientos!$R$2:$R$1998,0))=0,"S/D",INDEX(Movimientos!$M$2:$M$1998,MATCH(A366&amp;"ENTRADA",Movimientos!$R$2:$R$1998,0))),"S/D")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 ht="14.25">
      <c r="A367" s="16" t="s">
        <v>2532</v>
      </c>
      <c r="B367" s="2" t="str">
        <f>IFERROR(INDEX(Movimientos!$C$2:$C$1998,MATCH(A367&amp;"ENTRADA",Movimientos!$R$2:$R$1998,0)),"-")</f>
        <v>-</v>
      </c>
      <c r="C367" s="2" t="str">
        <f>IFERROR(INDEX(Movimientos!$D$2:$D$1998,MATCH(A367&amp;"ENTRADA",Movimientos!$R$2:$R$1998,0)),"-")</f>
        <v>-</v>
      </c>
      <c r="D367" s="2" t="str">
        <f>IFERROR(INDEX(Movimientos!$E$2:$E$1998,MATCH(A367&amp;"ENTRADA",Movimientos!$R$2:$R$1998,0)),"-")</f>
        <v>-</v>
      </c>
      <c r="E367" s="2" t="str">
        <f>IFERROR(INDEX(Movimientos!$F$2:$F$1998,MATCH(A367&amp;"ENTRADA",Movimientos!$R$2:$R$1998,0)),"-")</f>
        <v>-</v>
      </c>
      <c r="F367" s="2" t="str">
        <f>IFERROR(INDEX(Movimientos!$G$2:$G$1998,MATCH(A367&amp;"ENTRADA",Movimientos!$R$2:$R$1998,0)),"-")</f>
        <v>-</v>
      </c>
      <c r="G367" s="2" t="str">
        <f>IFERROR(INDEX(Movimientos!$L$2:$L$1998,MATCH(A367&amp;"ENTRADA",Movimientos!$R$2:$R$1998,0)),"-")</f>
        <v>-</v>
      </c>
      <c r="H367" s="17" t="str">
        <f>IFERROR(IF(INDEX(Movimientos!$M$2:$M$1998,MATCH(A367&amp;"ENTRADA",Movimientos!$R$2:$R$1998,0))=0,"S/D",INDEX(Movimientos!$M$2:$M$1998,MATCH(A367&amp;"ENTRADA",Movimientos!$R$2:$R$1998,0))),"S/D")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 ht="14.25">
      <c r="A368" s="16" t="s">
        <v>2533</v>
      </c>
      <c r="B368" s="2" t="str">
        <f>IFERROR(INDEX(Movimientos!$C$2:$C$1998,MATCH(A368&amp;"ENTRADA",Movimientos!$R$2:$R$1998,0)),"-")</f>
        <v>-</v>
      </c>
      <c r="C368" s="2" t="str">
        <f>IFERROR(INDEX(Movimientos!$D$2:$D$1998,MATCH(A368&amp;"ENTRADA",Movimientos!$R$2:$R$1998,0)),"-")</f>
        <v>-</v>
      </c>
      <c r="D368" s="2" t="str">
        <f>IFERROR(INDEX(Movimientos!$E$2:$E$1998,MATCH(A368&amp;"ENTRADA",Movimientos!$R$2:$R$1998,0)),"-")</f>
        <v>-</v>
      </c>
      <c r="E368" s="2" t="str">
        <f>IFERROR(INDEX(Movimientos!$F$2:$F$1998,MATCH(A368&amp;"ENTRADA",Movimientos!$R$2:$R$1998,0)),"-")</f>
        <v>-</v>
      </c>
      <c r="F368" s="2" t="str">
        <f>IFERROR(INDEX(Movimientos!$G$2:$G$1998,MATCH(A368&amp;"ENTRADA",Movimientos!$R$2:$R$1998,0)),"-")</f>
        <v>-</v>
      </c>
      <c r="G368" s="2" t="str">
        <f>IFERROR(INDEX(Movimientos!$L$2:$L$1998,MATCH(A368&amp;"ENTRADA",Movimientos!$R$2:$R$1998,0)),"-")</f>
        <v>-</v>
      </c>
      <c r="H368" s="17" t="str">
        <f>IFERROR(IF(INDEX(Movimientos!$M$2:$M$1998,MATCH(A368&amp;"ENTRADA",Movimientos!$R$2:$R$1998,0))=0,"S/D",INDEX(Movimientos!$M$2:$M$1998,MATCH(A368&amp;"ENTRADA",Movimientos!$R$2:$R$1998,0))),"S/D")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 ht="14.25">
      <c r="A369" s="16" t="s">
        <v>2534</v>
      </c>
      <c r="B369" s="2" t="str">
        <f>IFERROR(INDEX(Movimientos!$C$2:$C$1998,MATCH(A369&amp;"ENTRADA",Movimientos!$R$2:$R$1998,0)),"-")</f>
        <v>-</v>
      </c>
      <c r="C369" s="2" t="str">
        <f>IFERROR(INDEX(Movimientos!$D$2:$D$1998,MATCH(A369&amp;"ENTRADA",Movimientos!$R$2:$R$1998,0)),"-")</f>
        <v>-</v>
      </c>
      <c r="D369" s="2" t="str">
        <f>IFERROR(INDEX(Movimientos!$E$2:$E$1998,MATCH(A369&amp;"ENTRADA",Movimientos!$R$2:$R$1998,0)),"-")</f>
        <v>-</v>
      </c>
      <c r="E369" s="2" t="str">
        <f>IFERROR(INDEX(Movimientos!$F$2:$F$1998,MATCH(A369&amp;"ENTRADA",Movimientos!$R$2:$R$1998,0)),"-")</f>
        <v>-</v>
      </c>
      <c r="F369" s="2" t="str">
        <f>IFERROR(INDEX(Movimientos!$G$2:$G$1998,MATCH(A369&amp;"ENTRADA",Movimientos!$R$2:$R$1998,0)),"-")</f>
        <v>-</v>
      </c>
      <c r="G369" s="2" t="str">
        <f>IFERROR(INDEX(Movimientos!$L$2:$L$1998,MATCH(A369&amp;"ENTRADA",Movimientos!$R$2:$R$1998,0)),"-")</f>
        <v>-</v>
      </c>
      <c r="H369" s="17" t="str">
        <f>IFERROR(IF(INDEX(Movimientos!$M$2:$M$1998,MATCH(A369&amp;"ENTRADA",Movimientos!$R$2:$R$1998,0))=0,"S/D",INDEX(Movimientos!$M$2:$M$1998,MATCH(A369&amp;"ENTRADA",Movimientos!$R$2:$R$1998,0))),"S/D")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 ht="14.25">
      <c r="A370" s="16" t="s">
        <v>2535</v>
      </c>
      <c r="B370" s="2" t="str">
        <f>IFERROR(INDEX(Movimientos!$C$2:$C$1998,MATCH(A370&amp;"ENTRADA",Movimientos!$R$2:$R$1998,0)),"-")</f>
        <v>-</v>
      </c>
      <c r="C370" s="2" t="str">
        <f>IFERROR(INDEX(Movimientos!$D$2:$D$1998,MATCH(A370&amp;"ENTRADA",Movimientos!$R$2:$R$1998,0)),"-")</f>
        <v>-</v>
      </c>
      <c r="D370" s="2" t="str">
        <f>IFERROR(INDEX(Movimientos!$E$2:$E$1998,MATCH(A370&amp;"ENTRADA",Movimientos!$R$2:$R$1998,0)),"-")</f>
        <v>-</v>
      </c>
      <c r="E370" s="2" t="str">
        <f>IFERROR(INDEX(Movimientos!$F$2:$F$1998,MATCH(A370&amp;"ENTRADA",Movimientos!$R$2:$R$1998,0)),"-")</f>
        <v>-</v>
      </c>
      <c r="F370" s="2" t="str">
        <f>IFERROR(INDEX(Movimientos!$G$2:$G$1998,MATCH(A370&amp;"ENTRADA",Movimientos!$R$2:$R$1998,0)),"-")</f>
        <v>-</v>
      </c>
      <c r="G370" s="2" t="str">
        <f>IFERROR(INDEX(Movimientos!$L$2:$L$1998,MATCH(A370&amp;"ENTRADA",Movimientos!$R$2:$R$1998,0)),"-")</f>
        <v>-</v>
      </c>
      <c r="H370" s="17" t="str">
        <f>IFERROR(IF(INDEX(Movimientos!$M$2:$M$1998,MATCH(A370&amp;"ENTRADA",Movimientos!$R$2:$R$1998,0))=0,"S/D",INDEX(Movimientos!$M$2:$M$1998,MATCH(A370&amp;"ENTRADA",Movimientos!$R$2:$R$1998,0))),"S/D")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 ht="14.25">
      <c r="A371" s="16" t="s">
        <v>2536</v>
      </c>
      <c r="B371" s="2" t="str">
        <f>IFERROR(INDEX(Movimientos!$C$2:$C$1998,MATCH(A371&amp;"ENTRADA",Movimientos!$R$2:$R$1998,0)),"-")</f>
        <v>-</v>
      </c>
      <c r="C371" s="2" t="str">
        <f>IFERROR(INDEX(Movimientos!$D$2:$D$1998,MATCH(A371&amp;"ENTRADA",Movimientos!$R$2:$R$1998,0)),"-")</f>
        <v>-</v>
      </c>
      <c r="D371" s="2" t="str">
        <f>IFERROR(INDEX(Movimientos!$E$2:$E$1998,MATCH(A371&amp;"ENTRADA",Movimientos!$R$2:$R$1998,0)),"-")</f>
        <v>-</v>
      </c>
      <c r="E371" s="2" t="str">
        <f>IFERROR(INDEX(Movimientos!$F$2:$F$1998,MATCH(A371&amp;"ENTRADA",Movimientos!$R$2:$R$1998,0)),"-")</f>
        <v>-</v>
      </c>
      <c r="F371" s="2" t="str">
        <f>IFERROR(INDEX(Movimientos!$G$2:$G$1998,MATCH(A371&amp;"ENTRADA",Movimientos!$R$2:$R$1998,0)),"-")</f>
        <v>-</v>
      </c>
      <c r="G371" s="2" t="str">
        <f>IFERROR(INDEX(Movimientos!$L$2:$L$1998,MATCH(A371&amp;"ENTRADA",Movimientos!$R$2:$R$1998,0)),"-")</f>
        <v>-</v>
      </c>
      <c r="H371" s="17" t="str">
        <f>IFERROR(IF(INDEX(Movimientos!$M$2:$M$1998,MATCH(A371&amp;"ENTRADA",Movimientos!$R$2:$R$1998,0))=0,"S/D",INDEX(Movimientos!$M$2:$M$1998,MATCH(A371&amp;"ENTRADA",Movimientos!$R$2:$R$1998,0))),"S/D")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 ht="14.25">
      <c r="A372" s="16" t="s">
        <v>2537</v>
      </c>
      <c r="B372" s="2" t="str">
        <f>IFERROR(INDEX(Movimientos!$C$2:$C$1998,MATCH(A372&amp;"ENTRADA",Movimientos!$R$2:$R$1998,0)),"-")</f>
        <v>-</v>
      </c>
      <c r="C372" s="2" t="str">
        <f>IFERROR(INDEX(Movimientos!$D$2:$D$1998,MATCH(A372&amp;"ENTRADA",Movimientos!$R$2:$R$1998,0)),"-")</f>
        <v>-</v>
      </c>
      <c r="D372" s="2" t="str">
        <f>IFERROR(INDEX(Movimientos!$E$2:$E$1998,MATCH(A372&amp;"ENTRADA",Movimientos!$R$2:$R$1998,0)),"-")</f>
        <v>-</v>
      </c>
      <c r="E372" s="2" t="str">
        <f>IFERROR(INDEX(Movimientos!$F$2:$F$1998,MATCH(A372&amp;"ENTRADA",Movimientos!$R$2:$R$1998,0)),"-")</f>
        <v>-</v>
      </c>
      <c r="F372" s="2" t="str">
        <f>IFERROR(INDEX(Movimientos!$G$2:$G$1998,MATCH(A372&amp;"ENTRADA",Movimientos!$R$2:$R$1998,0)),"-")</f>
        <v>-</v>
      </c>
      <c r="G372" s="2" t="str">
        <f>IFERROR(INDEX(Movimientos!$L$2:$L$1998,MATCH(A372&amp;"ENTRADA",Movimientos!$R$2:$R$1998,0)),"-")</f>
        <v>-</v>
      </c>
      <c r="H372" s="17" t="str">
        <f>IFERROR(IF(INDEX(Movimientos!$M$2:$M$1998,MATCH(A372&amp;"ENTRADA",Movimientos!$R$2:$R$1998,0))=0,"S/D",INDEX(Movimientos!$M$2:$M$1998,MATCH(A372&amp;"ENTRADA",Movimientos!$R$2:$R$1998,0))),"S/D")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 ht="14.25">
      <c r="A373" s="16" t="s">
        <v>2538</v>
      </c>
      <c r="B373" s="2" t="str">
        <f>IFERROR(INDEX(Movimientos!$C$2:$C$1998,MATCH(A373&amp;"ENTRADA",Movimientos!$R$2:$R$1998,0)),"-")</f>
        <v>-</v>
      </c>
      <c r="C373" s="2" t="str">
        <f>IFERROR(INDEX(Movimientos!$D$2:$D$1998,MATCH(A373&amp;"ENTRADA",Movimientos!$R$2:$R$1998,0)),"-")</f>
        <v>-</v>
      </c>
      <c r="D373" s="2" t="str">
        <f>IFERROR(INDEX(Movimientos!$E$2:$E$1998,MATCH(A373&amp;"ENTRADA",Movimientos!$R$2:$R$1998,0)),"-")</f>
        <v>-</v>
      </c>
      <c r="E373" s="2" t="str">
        <f>IFERROR(INDEX(Movimientos!$F$2:$F$1998,MATCH(A373&amp;"ENTRADA",Movimientos!$R$2:$R$1998,0)),"-")</f>
        <v>-</v>
      </c>
      <c r="F373" s="2" t="str">
        <f>IFERROR(INDEX(Movimientos!$G$2:$G$1998,MATCH(A373&amp;"ENTRADA",Movimientos!$R$2:$R$1998,0)),"-")</f>
        <v>-</v>
      </c>
      <c r="G373" s="2" t="str">
        <f>IFERROR(INDEX(Movimientos!$L$2:$L$1998,MATCH(A373&amp;"ENTRADA",Movimientos!$R$2:$R$1998,0)),"-")</f>
        <v>-</v>
      </c>
      <c r="H373" s="17" t="str">
        <f>IFERROR(IF(INDEX(Movimientos!$M$2:$M$1998,MATCH(A373&amp;"ENTRADA",Movimientos!$R$2:$R$1998,0))=0,"S/D",INDEX(Movimientos!$M$2:$M$1998,MATCH(A373&amp;"ENTRADA",Movimientos!$R$2:$R$1998,0))),"S/D")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 ht="14.25">
      <c r="A374" s="16" t="s">
        <v>2539</v>
      </c>
      <c r="B374" s="2" t="str">
        <f>IFERROR(INDEX(Movimientos!$C$2:$C$1998,MATCH(A374&amp;"ENTRADA",Movimientos!$R$2:$R$1998,0)),"-")</f>
        <v>-</v>
      </c>
      <c r="C374" s="2" t="str">
        <f>IFERROR(INDEX(Movimientos!$D$2:$D$1998,MATCH(A374&amp;"ENTRADA",Movimientos!$R$2:$R$1998,0)),"-")</f>
        <v>-</v>
      </c>
      <c r="D374" s="2" t="str">
        <f>IFERROR(INDEX(Movimientos!$E$2:$E$1998,MATCH(A374&amp;"ENTRADA",Movimientos!$R$2:$R$1998,0)),"-")</f>
        <v>-</v>
      </c>
      <c r="E374" s="2" t="str">
        <f>IFERROR(INDEX(Movimientos!$F$2:$F$1998,MATCH(A374&amp;"ENTRADA",Movimientos!$R$2:$R$1998,0)),"-")</f>
        <v>-</v>
      </c>
      <c r="F374" s="2" t="str">
        <f>IFERROR(INDEX(Movimientos!$G$2:$G$1998,MATCH(A374&amp;"ENTRADA",Movimientos!$R$2:$R$1998,0)),"-")</f>
        <v>-</v>
      </c>
      <c r="G374" s="2" t="str">
        <f>IFERROR(INDEX(Movimientos!$L$2:$L$1998,MATCH(A374&amp;"ENTRADA",Movimientos!$R$2:$R$1998,0)),"-")</f>
        <v>-</v>
      </c>
      <c r="H374" s="17" t="str">
        <f>IFERROR(IF(INDEX(Movimientos!$M$2:$M$1998,MATCH(A374&amp;"ENTRADA",Movimientos!$R$2:$R$1998,0))=0,"S/D",INDEX(Movimientos!$M$2:$M$1998,MATCH(A374&amp;"ENTRADA",Movimientos!$R$2:$R$1998,0))),"S/D")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 ht="14.25">
      <c r="A375" s="16" t="s">
        <v>2540</v>
      </c>
      <c r="B375" s="2" t="str">
        <f>IFERROR(INDEX(Movimientos!$C$2:$C$1998,MATCH(A375&amp;"ENTRADA",Movimientos!$R$2:$R$1998,0)),"-")</f>
        <v>-</v>
      </c>
      <c r="C375" s="2" t="str">
        <f>IFERROR(INDEX(Movimientos!$D$2:$D$1998,MATCH(A375&amp;"ENTRADA",Movimientos!$R$2:$R$1998,0)),"-")</f>
        <v>-</v>
      </c>
      <c r="D375" s="2" t="str">
        <f>IFERROR(INDEX(Movimientos!$E$2:$E$1998,MATCH(A375&amp;"ENTRADA",Movimientos!$R$2:$R$1998,0)),"-")</f>
        <v>-</v>
      </c>
      <c r="E375" s="2" t="str">
        <f>IFERROR(INDEX(Movimientos!$F$2:$F$1998,MATCH(A375&amp;"ENTRADA",Movimientos!$R$2:$R$1998,0)),"-")</f>
        <v>-</v>
      </c>
      <c r="F375" s="2" t="str">
        <f>IFERROR(INDEX(Movimientos!$G$2:$G$1998,MATCH(A375&amp;"ENTRADA",Movimientos!$R$2:$R$1998,0)),"-")</f>
        <v>-</v>
      </c>
      <c r="G375" s="2" t="str">
        <f>IFERROR(INDEX(Movimientos!$L$2:$L$1998,MATCH(A375&amp;"ENTRADA",Movimientos!$R$2:$R$1998,0)),"-")</f>
        <v>-</v>
      </c>
      <c r="H375" s="17" t="str">
        <f>IFERROR(IF(INDEX(Movimientos!$M$2:$M$1998,MATCH(A375&amp;"ENTRADA",Movimientos!$R$2:$R$1998,0))=0,"S/D",INDEX(Movimientos!$M$2:$M$1998,MATCH(A375&amp;"ENTRADA",Movimientos!$R$2:$R$1998,0))),"S/D")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 ht="14.25">
      <c r="A376" s="16" t="s">
        <v>2541</v>
      </c>
      <c r="B376" s="2" t="str">
        <f>IFERROR(INDEX(Movimientos!$C$2:$C$1998,MATCH(A376&amp;"ENTRADA",Movimientos!$R$2:$R$1998,0)),"-")</f>
        <v>-</v>
      </c>
      <c r="C376" s="2" t="str">
        <f>IFERROR(INDEX(Movimientos!$D$2:$D$1998,MATCH(A376&amp;"ENTRADA",Movimientos!$R$2:$R$1998,0)),"-")</f>
        <v>-</v>
      </c>
      <c r="D376" s="2" t="str">
        <f>IFERROR(INDEX(Movimientos!$E$2:$E$1998,MATCH(A376&amp;"ENTRADA",Movimientos!$R$2:$R$1998,0)),"-")</f>
        <v>-</v>
      </c>
      <c r="E376" s="2" t="str">
        <f>IFERROR(INDEX(Movimientos!$F$2:$F$1998,MATCH(A376&amp;"ENTRADA",Movimientos!$R$2:$R$1998,0)),"-")</f>
        <v>-</v>
      </c>
      <c r="F376" s="2" t="str">
        <f>IFERROR(INDEX(Movimientos!$G$2:$G$1998,MATCH(A376&amp;"ENTRADA",Movimientos!$R$2:$R$1998,0)),"-")</f>
        <v>-</v>
      </c>
      <c r="G376" s="2" t="str">
        <f>IFERROR(INDEX(Movimientos!$L$2:$L$1998,MATCH(A376&amp;"ENTRADA",Movimientos!$R$2:$R$1998,0)),"-")</f>
        <v>-</v>
      </c>
      <c r="H376" s="17" t="str">
        <f>IFERROR(IF(INDEX(Movimientos!$M$2:$M$1998,MATCH(A376&amp;"ENTRADA",Movimientos!$R$2:$R$1998,0))=0,"S/D",INDEX(Movimientos!$M$2:$M$1998,MATCH(A376&amp;"ENTRADA",Movimientos!$R$2:$R$1998,0))),"S/D")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 ht="14.25">
      <c r="A377" s="16" t="s">
        <v>2542</v>
      </c>
      <c r="B377" s="2" t="str">
        <f>IFERROR(INDEX(Movimientos!$C$2:$C$1998,MATCH(A377&amp;"ENTRADA",Movimientos!$R$2:$R$1998,0)),"-")</f>
        <v>-</v>
      </c>
      <c r="C377" s="2" t="str">
        <f>IFERROR(INDEX(Movimientos!$D$2:$D$1998,MATCH(A377&amp;"ENTRADA",Movimientos!$R$2:$R$1998,0)),"-")</f>
        <v>-</v>
      </c>
      <c r="D377" s="2" t="str">
        <f>IFERROR(INDEX(Movimientos!$E$2:$E$1998,MATCH(A377&amp;"ENTRADA",Movimientos!$R$2:$R$1998,0)),"-")</f>
        <v>-</v>
      </c>
      <c r="E377" s="2" t="str">
        <f>IFERROR(INDEX(Movimientos!$F$2:$F$1998,MATCH(A377&amp;"ENTRADA",Movimientos!$R$2:$R$1998,0)),"-")</f>
        <v>-</v>
      </c>
      <c r="F377" s="2" t="str">
        <f>IFERROR(INDEX(Movimientos!$G$2:$G$1998,MATCH(A377&amp;"ENTRADA",Movimientos!$R$2:$R$1998,0)),"-")</f>
        <v>-</v>
      </c>
      <c r="G377" s="2" t="str">
        <f>IFERROR(INDEX(Movimientos!$L$2:$L$1998,MATCH(A377&amp;"ENTRADA",Movimientos!$R$2:$R$1998,0)),"-")</f>
        <v>-</v>
      </c>
      <c r="H377" s="17" t="str">
        <f>IFERROR(IF(INDEX(Movimientos!$M$2:$M$1998,MATCH(A377&amp;"ENTRADA",Movimientos!$R$2:$R$1998,0))=0,"S/D",INDEX(Movimientos!$M$2:$M$1998,MATCH(A377&amp;"ENTRADA",Movimientos!$R$2:$R$1998,0))),"S/D")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 ht="14.25">
      <c r="A378" s="16" t="s">
        <v>2543</v>
      </c>
      <c r="B378" s="2" t="str">
        <f>IFERROR(INDEX(Movimientos!$C$2:$C$1998,MATCH(A378&amp;"ENTRADA",Movimientos!$R$2:$R$1998,0)),"-")</f>
        <v>-</v>
      </c>
      <c r="C378" s="2" t="str">
        <f>IFERROR(INDEX(Movimientos!$D$2:$D$1998,MATCH(A378&amp;"ENTRADA",Movimientos!$R$2:$R$1998,0)),"-")</f>
        <v>-</v>
      </c>
      <c r="D378" s="2" t="str">
        <f>IFERROR(INDEX(Movimientos!$E$2:$E$1998,MATCH(A378&amp;"ENTRADA",Movimientos!$R$2:$R$1998,0)),"-")</f>
        <v>-</v>
      </c>
      <c r="E378" s="2" t="str">
        <f>IFERROR(INDEX(Movimientos!$F$2:$F$1998,MATCH(A378&amp;"ENTRADA",Movimientos!$R$2:$R$1998,0)),"-")</f>
        <v>-</v>
      </c>
      <c r="F378" s="2" t="str">
        <f>IFERROR(INDEX(Movimientos!$G$2:$G$1998,MATCH(A378&amp;"ENTRADA",Movimientos!$R$2:$R$1998,0)),"-")</f>
        <v>-</v>
      </c>
      <c r="G378" s="2" t="str">
        <f>IFERROR(INDEX(Movimientos!$L$2:$L$1998,MATCH(A378&amp;"ENTRADA",Movimientos!$R$2:$R$1998,0)),"-")</f>
        <v>-</v>
      </c>
      <c r="H378" s="17" t="str">
        <f>IFERROR(IF(INDEX(Movimientos!$M$2:$M$1998,MATCH(A378&amp;"ENTRADA",Movimientos!$R$2:$R$1998,0))=0,"S/D",INDEX(Movimientos!$M$2:$M$1998,MATCH(A378&amp;"ENTRADA",Movimientos!$R$2:$R$1998,0))),"S/D")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 ht="14.25">
      <c r="A379" s="16" t="s">
        <v>2544</v>
      </c>
      <c r="B379" s="2" t="str">
        <f>IFERROR(INDEX(Movimientos!$C$2:$C$1998,MATCH(A379&amp;"ENTRADA",Movimientos!$R$2:$R$1998,0)),"-")</f>
        <v>-</v>
      </c>
      <c r="C379" s="2" t="str">
        <f>IFERROR(INDEX(Movimientos!$D$2:$D$1998,MATCH(A379&amp;"ENTRADA",Movimientos!$R$2:$R$1998,0)),"-")</f>
        <v>-</v>
      </c>
      <c r="D379" s="2" t="str">
        <f>IFERROR(INDEX(Movimientos!$E$2:$E$1998,MATCH(A379&amp;"ENTRADA",Movimientos!$R$2:$R$1998,0)),"-")</f>
        <v>-</v>
      </c>
      <c r="E379" s="2" t="str">
        <f>IFERROR(INDEX(Movimientos!$F$2:$F$1998,MATCH(A379&amp;"ENTRADA",Movimientos!$R$2:$R$1998,0)),"-")</f>
        <v>-</v>
      </c>
      <c r="F379" s="2" t="str">
        <f>IFERROR(INDEX(Movimientos!$G$2:$G$1998,MATCH(A379&amp;"ENTRADA",Movimientos!$R$2:$R$1998,0)),"-")</f>
        <v>-</v>
      </c>
      <c r="G379" s="2" t="str">
        <f>IFERROR(INDEX(Movimientos!$L$2:$L$1998,MATCH(A379&amp;"ENTRADA",Movimientos!$R$2:$R$1998,0)),"-")</f>
        <v>-</v>
      </c>
      <c r="H379" s="17" t="str">
        <f>IFERROR(IF(INDEX(Movimientos!$M$2:$M$1998,MATCH(A379&amp;"ENTRADA",Movimientos!$R$2:$R$1998,0))=0,"S/D",INDEX(Movimientos!$M$2:$M$1998,MATCH(A379&amp;"ENTRADA",Movimientos!$R$2:$R$1998,0))),"S/D")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 ht="14.25">
      <c r="A380" s="16" t="s">
        <v>2545</v>
      </c>
      <c r="B380" s="2" t="str">
        <f>IFERROR(INDEX(Movimientos!$C$2:$C$1998,MATCH(A380&amp;"ENTRADA",Movimientos!$R$2:$R$1998,0)),"-")</f>
        <v>-</v>
      </c>
      <c r="C380" s="2" t="str">
        <f>IFERROR(INDEX(Movimientos!$D$2:$D$1998,MATCH(A380&amp;"ENTRADA",Movimientos!$R$2:$R$1998,0)),"-")</f>
        <v>-</v>
      </c>
      <c r="D380" s="2" t="str">
        <f>IFERROR(INDEX(Movimientos!$E$2:$E$1998,MATCH(A380&amp;"ENTRADA",Movimientos!$R$2:$R$1998,0)),"-")</f>
        <v>-</v>
      </c>
      <c r="E380" s="2" t="str">
        <f>IFERROR(INDEX(Movimientos!$F$2:$F$1998,MATCH(A380&amp;"ENTRADA",Movimientos!$R$2:$R$1998,0)),"-")</f>
        <v>-</v>
      </c>
      <c r="F380" s="2" t="str">
        <f>IFERROR(INDEX(Movimientos!$G$2:$G$1998,MATCH(A380&amp;"ENTRADA",Movimientos!$R$2:$R$1998,0)),"-")</f>
        <v>-</v>
      </c>
      <c r="G380" s="2" t="str">
        <f>IFERROR(INDEX(Movimientos!$L$2:$L$1998,MATCH(A380&amp;"ENTRADA",Movimientos!$R$2:$R$1998,0)),"-")</f>
        <v>-</v>
      </c>
      <c r="H380" s="17" t="str">
        <f>IFERROR(IF(INDEX(Movimientos!$M$2:$M$1998,MATCH(A380&amp;"ENTRADA",Movimientos!$R$2:$R$1998,0))=0,"S/D",INDEX(Movimientos!$M$2:$M$1998,MATCH(A380&amp;"ENTRADA",Movimientos!$R$2:$R$1998,0))),"S/D")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 ht="14.25">
      <c r="A381" s="16" t="s">
        <v>2546</v>
      </c>
      <c r="B381" s="2" t="str">
        <f>IFERROR(INDEX(Movimientos!$C$2:$C$1998,MATCH(A381&amp;"ENTRADA",Movimientos!$R$2:$R$1998,0)),"-")</f>
        <v>-</v>
      </c>
      <c r="C381" s="2" t="str">
        <f>IFERROR(INDEX(Movimientos!$D$2:$D$1998,MATCH(A381&amp;"ENTRADA",Movimientos!$R$2:$R$1998,0)),"-")</f>
        <v>-</v>
      </c>
      <c r="D381" s="2" t="str">
        <f>IFERROR(INDEX(Movimientos!$E$2:$E$1998,MATCH(A381&amp;"ENTRADA",Movimientos!$R$2:$R$1998,0)),"-")</f>
        <v>-</v>
      </c>
      <c r="E381" s="2" t="str">
        <f>IFERROR(INDEX(Movimientos!$F$2:$F$1998,MATCH(A381&amp;"ENTRADA",Movimientos!$R$2:$R$1998,0)),"-")</f>
        <v>-</v>
      </c>
      <c r="F381" s="2" t="str">
        <f>IFERROR(INDEX(Movimientos!$G$2:$G$1998,MATCH(A381&amp;"ENTRADA",Movimientos!$R$2:$R$1998,0)),"-")</f>
        <v>-</v>
      </c>
      <c r="G381" s="2" t="str">
        <f>IFERROR(INDEX(Movimientos!$L$2:$L$1998,MATCH(A381&amp;"ENTRADA",Movimientos!$R$2:$R$1998,0)),"-")</f>
        <v>-</v>
      </c>
      <c r="H381" s="17" t="str">
        <f>IFERROR(IF(INDEX(Movimientos!$M$2:$M$1998,MATCH(A381&amp;"ENTRADA",Movimientos!$R$2:$R$1998,0))=0,"S/D",INDEX(Movimientos!$M$2:$M$1998,MATCH(A381&amp;"ENTRADA",Movimientos!$R$2:$R$1998,0))),"S/D")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 ht="14.25">
      <c r="A382" s="16" t="s">
        <v>2547</v>
      </c>
      <c r="B382" s="2" t="str">
        <f>IFERROR(INDEX(Movimientos!$C$2:$C$1998,MATCH(A382&amp;"ENTRADA",Movimientos!$R$2:$R$1998,0)),"-")</f>
        <v>-</v>
      </c>
      <c r="C382" s="2" t="str">
        <f>IFERROR(INDEX(Movimientos!$D$2:$D$1998,MATCH(A382&amp;"ENTRADA",Movimientos!$R$2:$R$1998,0)),"-")</f>
        <v>-</v>
      </c>
      <c r="D382" s="2" t="str">
        <f>IFERROR(INDEX(Movimientos!$E$2:$E$1998,MATCH(A382&amp;"ENTRADA",Movimientos!$R$2:$R$1998,0)),"-")</f>
        <v>-</v>
      </c>
      <c r="E382" s="2" t="str">
        <f>IFERROR(INDEX(Movimientos!$F$2:$F$1998,MATCH(A382&amp;"ENTRADA",Movimientos!$R$2:$R$1998,0)),"-")</f>
        <v>-</v>
      </c>
      <c r="F382" s="2" t="str">
        <f>IFERROR(INDEX(Movimientos!$G$2:$G$1998,MATCH(A382&amp;"ENTRADA",Movimientos!$R$2:$R$1998,0)),"-")</f>
        <v>-</v>
      </c>
      <c r="G382" s="2" t="str">
        <f>IFERROR(INDEX(Movimientos!$L$2:$L$1998,MATCH(A382&amp;"ENTRADA",Movimientos!$R$2:$R$1998,0)),"-")</f>
        <v>-</v>
      </c>
      <c r="H382" s="17" t="str">
        <f>IFERROR(IF(INDEX(Movimientos!$M$2:$M$1998,MATCH(A382&amp;"ENTRADA",Movimientos!$R$2:$R$1998,0))=0,"S/D",INDEX(Movimientos!$M$2:$M$1998,MATCH(A382&amp;"ENTRADA",Movimientos!$R$2:$R$1998,0))),"S/D")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 ht="14.25">
      <c r="A383" s="16" t="s">
        <v>2548</v>
      </c>
      <c r="B383" s="2" t="str">
        <f>IFERROR(INDEX(Movimientos!$C$2:$C$1998,MATCH(A383&amp;"ENTRADA",Movimientos!$R$2:$R$1998,0)),"-")</f>
        <v>-</v>
      </c>
      <c r="C383" s="2" t="str">
        <f>IFERROR(INDEX(Movimientos!$D$2:$D$1998,MATCH(A383&amp;"ENTRADA",Movimientos!$R$2:$R$1998,0)),"-")</f>
        <v>-</v>
      </c>
      <c r="D383" s="2" t="str">
        <f>IFERROR(INDEX(Movimientos!$E$2:$E$1998,MATCH(A383&amp;"ENTRADA",Movimientos!$R$2:$R$1998,0)),"-")</f>
        <v>-</v>
      </c>
      <c r="E383" s="2" t="str">
        <f>IFERROR(INDEX(Movimientos!$F$2:$F$1998,MATCH(A383&amp;"ENTRADA",Movimientos!$R$2:$R$1998,0)),"-")</f>
        <v>-</v>
      </c>
      <c r="F383" s="2" t="str">
        <f>IFERROR(INDEX(Movimientos!$G$2:$G$1998,MATCH(A383&amp;"ENTRADA",Movimientos!$R$2:$R$1998,0)),"-")</f>
        <v>-</v>
      </c>
      <c r="G383" s="2" t="str">
        <f>IFERROR(INDEX(Movimientos!$L$2:$L$1998,MATCH(A383&amp;"ENTRADA",Movimientos!$R$2:$R$1998,0)),"-")</f>
        <v>-</v>
      </c>
      <c r="H383" s="17" t="str">
        <f>IFERROR(IF(INDEX(Movimientos!$M$2:$M$1998,MATCH(A383&amp;"ENTRADA",Movimientos!$R$2:$R$1998,0))=0,"S/D",INDEX(Movimientos!$M$2:$M$1998,MATCH(A383&amp;"ENTRADA",Movimientos!$R$2:$R$1998,0))),"S/D")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 ht="14.25">
      <c r="A384" s="16" t="s">
        <v>2549</v>
      </c>
      <c r="B384" s="2" t="str">
        <f>IFERROR(INDEX(Movimientos!$C$2:$C$1998,MATCH(A384&amp;"ENTRADA",Movimientos!$R$2:$R$1998,0)),"-")</f>
        <v>-</v>
      </c>
      <c r="C384" s="2" t="str">
        <f>IFERROR(INDEX(Movimientos!$D$2:$D$1998,MATCH(A384&amp;"ENTRADA",Movimientos!$R$2:$R$1998,0)),"-")</f>
        <v>-</v>
      </c>
      <c r="D384" s="2" t="str">
        <f>IFERROR(INDEX(Movimientos!$E$2:$E$1998,MATCH(A384&amp;"ENTRADA",Movimientos!$R$2:$R$1998,0)),"-")</f>
        <v>-</v>
      </c>
      <c r="E384" s="2" t="str">
        <f>IFERROR(INDEX(Movimientos!$F$2:$F$1998,MATCH(A384&amp;"ENTRADA",Movimientos!$R$2:$R$1998,0)),"-")</f>
        <v>-</v>
      </c>
      <c r="F384" s="2" t="str">
        <f>IFERROR(INDEX(Movimientos!$G$2:$G$1998,MATCH(A384&amp;"ENTRADA",Movimientos!$R$2:$R$1998,0)),"-")</f>
        <v>-</v>
      </c>
      <c r="G384" s="2" t="str">
        <f>IFERROR(INDEX(Movimientos!$L$2:$L$1998,MATCH(A384&amp;"ENTRADA",Movimientos!$R$2:$R$1998,0)),"-")</f>
        <v>-</v>
      </c>
      <c r="H384" s="17" t="str">
        <f>IFERROR(IF(INDEX(Movimientos!$M$2:$M$1998,MATCH(A384&amp;"ENTRADA",Movimientos!$R$2:$R$1998,0))=0,"S/D",INDEX(Movimientos!$M$2:$M$1998,MATCH(A384&amp;"ENTRADA",Movimientos!$R$2:$R$1998,0))),"S/D")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 ht="14.25">
      <c r="A385" s="16" t="s">
        <v>2550</v>
      </c>
      <c r="B385" s="2" t="str">
        <f>IFERROR(INDEX(Movimientos!$C$2:$C$1998,MATCH(A385&amp;"ENTRADA",Movimientos!$R$2:$R$1998,0)),"-")</f>
        <v>-</v>
      </c>
      <c r="C385" s="2" t="str">
        <f>IFERROR(INDEX(Movimientos!$D$2:$D$1998,MATCH(A385&amp;"ENTRADA",Movimientos!$R$2:$R$1998,0)),"-")</f>
        <v>-</v>
      </c>
      <c r="D385" s="2" t="str">
        <f>IFERROR(INDEX(Movimientos!$E$2:$E$1998,MATCH(A385&amp;"ENTRADA",Movimientos!$R$2:$R$1998,0)),"-")</f>
        <v>-</v>
      </c>
      <c r="E385" s="2" t="str">
        <f>IFERROR(INDEX(Movimientos!$F$2:$F$1998,MATCH(A385&amp;"ENTRADA",Movimientos!$R$2:$R$1998,0)),"-")</f>
        <v>-</v>
      </c>
      <c r="F385" s="2" t="str">
        <f>IFERROR(INDEX(Movimientos!$G$2:$G$1998,MATCH(A385&amp;"ENTRADA",Movimientos!$R$2:$R$1998,0)),"-")</f>
        <v>-</v>
      </c>
      <c r="G385" s="2" t="str">
        <f>IFERROR(INDEX(Movimientos!$L$2:$L$1998,MATCH(A385&amp;"ENTRADA",Movimientos!$R$2:$R$1998,0)),"-")</f>
        <v>-</v>
      </c>
      <c r="H385" s="17" t="str">
        <f>IFERROR(IF(INDEX(Movimientos!$M$2:$M$1998,MATCH(A385&amp;"ENTRADA",Movimientos!$R$2:$R$1998,0))=0,"S/D",INDEX(Movimientos!$M$2:$M$1998,MATCH(A385&amp;"ENTRADA",Movimientos!$R$2:$R$1998,0))),"S/D")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 ht="14.25">
      <c r="A386" s="16" t="s">
        <v>2551</v>
      </c>
      <c r="B386" s="2" t="str">
        <f>IFERROR(INDEX(Movimientos!$C$2:$C$1998,MATCH(A386&amp;"ENTRADA",Movimientos!$R$2:$R$1998,0)),"-")</f>
        <v>-</v>
      </c>
      <c r="C386" s="2" t="str">
        <f>IFERROR(INDEX(Movimientos!$D$2:$D$1998,MATCH(A386&amp;"ENTRADA",Movimientos!$R$2:$R$1998,0)),"-")</f>
        <v>-</v>
      </c>
      <c r="D386" s="2" t="str">
        <f>IFERROR(INDEX(Movimientos!$E$2:$E$1998,MATCH(A386&amp;"ENTRADA",Movimientos!$R$2:$R$1998,0)),"-")</f>
        <v>-</v>
      </c>
      <c r="E386" s="2" t="str">
        <f>IFERROR(INDEX(Movimientos!$F$2:$F$1998,MATCH(A386&amp;"ENTRADA",Movimientos!$R$2:$R$1998,0)),"-")</f>
        <v>-</v>
      </c>
      <c r="F386" s="2" t="str">
        <f>IFERROR(INDEX(Movimientos!$G$2:$G$1998,MATCH(A386&amp;"ENTRADA",Movimientos!$R$2:$R$1998,0)),"-")</f>
        <v>-</v>
      </c>
      <c r="G386" s="2" t="str">
        <f>IFERROR(INDEX(Movimientos!$L$2:$L$1998,MATCH(A386&amp;"ENTRADA",Movimientos!$R$2:$R$1998,0)),"-")</f>
        <v>-</v>
      </c>
      <c r="H386" s="17" t="str">
        <f>IFERROR(IF(INDEX(Movimientos!$M$2:$M$1998,MATCH(A386&amp;"ENTRADA",Movimientos!$R$2:$R$1998,0))=0,"S/D",INDEX(Movimientos!$M$2:$M$1998,MATCH(A386&amp;"ENTRADA",Movimientos!$R$2:$R$1998,0))),"S/D")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 ht="14.25">
      <c r="A387" s="16" t="s">
        <v>2552</v>
      </c>
      <c r="B387" s="2" t="str">
        <f>IFERROR(INDEX(Movimientos!$C$2:$C$1998,MATCH(A387&amp;"ENTRADA",Movimientos!$R$2:$R$1998,0)),"-")</f>
        <v>-</v>
      </c>
      <c r="C387" s="2" t="str">
        <f>IFERROR(INDEX(Movimientos!$D$2:$D$1998,MATCH(A387&amp;"ENTRADA",Movimientos!$R$2:$R$1998,0)),"-")</f>
        <v>-</v>
      </c>
      <c r="D387" s="2" t="str">
        <f>IFERROR(INDEX(Movimientos!$E$2:$E$1998,MATCH(A387&amp;"ENTRADA",Movimientos!$R$2:$R$1998,0)),"-")</f>
        <v>-</v>
      </c>
      <c r="E387" s="2" t="str">
        <f>IFERROR(INDEX(Movimientos!$F$2:$F$1998,MATCH(A387&amp;"ENTRADA",Movimientos!$R$2:$R$1998,0)),"-")</f>
        <v>-</v>
      </c>
      <c r="F387" s="2" t="str">
        <f>IFERROR(INDEX(Movimientos!$G$2:$G$1998,MATCH(A387&amp;"ENTRADA",Movimientos!$R$2:$R$1998,0)),"-")</f>
        <v>-</v>
      </c>
      <c r="G387" s="2" t="str">
        <f>IFERROR(INDEX(Movimientos!$L$2:$L$1998,MATCH(A387&amp;"ENTRADA",Movimientos!$R$2:$R$1998,0)),"-")</f>
        <v>-</v>
      </c>
      <c r="H387" s="17" t="str">
        <f>IFERROR(IF(INDEX(Movimientos!$M$2:$M$1998,MATCH(A387&amp;"ENTRADA",Movimientos!$R$2:$R$1998,0))=0,"S/D",INDEX(Movimientos!$M$2:$M$1998,MATCH(A387&amp;"ENTRADA",Movimientos!$R$2:$R$1998,0))),"S/D")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 ht="14.25">
      <c r="A388" s="16" t="s">
        <v>2553</v>
      </c>
      <c r="B388" s="2" t="str">
        <f>IFERROR(INDEX(Movimientos!$C$2:$C$1998,MATCH(A388&amp;"ENTRADA",Movimientos!$R$2:$R$1998,0)),"-")</f>
        <v>-</v>
      </c>
      <c r="C388" s="2" t="str">
        <f>IFERROR(INDEX(Movimientos!$D$2:$D$1998,MATCH(A388&amp;"ENTRADA",Movimientos!$R$2:$R$1998,0)),"-")</f>
        <v>-</v>
      </c>
      <c r="D388" s="2" t="str">
        <f>IFERROR(INDEX(Movimientos!$E$2:$E$1998,MATCH(A388&amp;"ENTRADA",Movimientos!$R$2:$R$1998,0)),"-")</f>
        <v>-</v>
      </c>
      <c r="E388" s="2" t="str">
        <f>IFERROR(INDEX(Movimientos!$F$2:$F$1998,MATCH(A388&amp;"ENTRADA",Movimientos!$R$2:$R$1998,0)),"-")</f>
        <v>-</v>
      </c>
      <c r="F388" s="2" t="str">
        <f>IFERROR(INDEX(Movimientos!$G$2:$G$1998,MATCH(A388&amp;"ENTRADA",Movimientos!$R$2:$R$1998,0)),"-")</f>
        <v>-</v>
      </c>
      <c r="G388" s="2" t="str">
        <f>IFERROR(INDEX(Movimientos!$L$2:$L$1998,MATCH(A388&amp;"ENTRADA",Movimientos!$R$2:$R$1998,0)),"-")</f>
        <v>-</v>
      </c>
      <c r="H388" s="17" t="str">
        <f>IFERROR(IF(INDEX(Movimientos!$M$2:$M$1998,MATCH(A388&amp;"ENTRADA",Movimientos!$R$2:$R$1998,0))=0,"S/D",INDEX(Movimientos!$M$2:$M$1998,MATCH(A388&amp;"ENTRADA",Movimientos!$R$2:$R$1998,0))),"S/D")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 ht="14.25">
      <c r="A389" s="16" t="s">
        <v>2554</v>
      </c>
      <c r="B389" s="2" t="str">
        <f>IFERROR(INDEX(Movimientos!$C$2:$C$1998,MATCH(A389&amp;"ENTRADA",Movimientos!$R$2:$R$1998,0)),"-")</f>
        <v>-</v>
      </c>
      <c r="C389" s="2" t="str">
        <f>IFERROR(INDEX(Movimientos!$D$2:$D$1998,MATCH(A389&amp;"ENTRADA",Movimientos!$R$2:$R$1998,0)),"-")</f>
        <v>-</v>
      </c>
      <c r="D389" s="2" t="str">
        <f>IFERROR(INDEX(Movimientos!$E$2:$E$1998,MATCH(A389&amp;"ENTRADA",Movimientos!$R$2:$R$1998,0)),"-")</f>
        <v>-</v>
      </c>
      <c r="E389" s="2" t="str">
        <f>IFERROR(INDEX(Movimientos!$F$2:$F$1998,MATCH(A389&amp;"ENTRADA",Movimientos!$R$2:$R$1998,0)),"-")</f>
        <v>-</v>
      </c>
      <c r="F389" s="2" t="str">
        <f>IFERROR(INDEX(Movimientos!$G$2:$G$1998,MATCH(A389&amp;"ENTRADA",Movimientos!$R$2:$R$1998,0)),"-")</f>
        <v>-</v>
      </c>
      <c r="G389" s="2" t="str">
        <f>IFERROR(INDEX(Movimientos!$L$2:$L$1998,MATCH(A389&amp;"ENTRADA",Movimientos!$R$2:$R$1998,0)),"-")</f>
        <v>-</v>
      </c>
      <c r="H389" s="17" t="str">
        <f>IFERROR(IF(INDEX(Movimientos!$M$2:$M$1998,MATCH(A389&amp;"ENTRADA",Movimientos!$R$2:$R$1998,0))=0,"S/D",INDEX(Movimientos!$M$2:$M$1998,MATCH(A389&amp;"ENTRADA",Movimientos!$R$2:$R$1998,0))),"S/D")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 ht="14.25">
      <c r="A390" s="16" t="s">
        <v>2555</v>
      </c>
      <c r="B390" s="2" t="str">
        <f>IFERROR(INDEX(Movimientos!$C$2:$C$1998,MATCH(A390&amp;"ENTRADA",Movimientos!$R$2:$R$1998,0)),"-")</f>
        <v>-</v>
      </c>
      <c r="C390" s="2" t="str">
        <f>IFERROR(INDEX(Movimientos!$D$2:$D$1998,MATCH(A390&amp;"ENTRADA",Movimientos!$R$2:$R$1998,0)),"-")</f>
        <v>-</v>
      </c>
      <c r="D390" s="2" t="str">
        <f>IFERROR(INDEX(Movimientos!$E$2:$E$1998,MATCH(A390&amp;"ENTRADA",Movimientos!$R$2:$R$1998,0)),"-")</f>
        <v>-</v>
      </c>
      <c r="E390" s="2" t="str">
        <f>IFERROR(INDEX(Movimientos!$F$2:$F$1998,MATCH(A390&amp;"ENTRADA",Movimientos!$R$2:$R$1998,0)),"-")</f>
        <v>-</v>
      </c>
      <c r="F390" s="2" t="str">
        <f>IFERROR(INDEX(Movimientos!$G$2:$G$1998,MATCH(A390&amp;"ENTRADA",Movimientos!$R$2:$R$1998,0)),"-")</f>
        <v>-</v>
      </c>
      <c r="G390" s="2" t="str">
        <f>IFERROR(INDEX(Movimientos!$L$2:$L$1998,MATCH(A390&amp;"ENTRADA",Movimientos!$R$2:$R$1998,0)),"-")</f>
        <v>-</v>
      </c>
      <c r="H390" s="17" t="str">
        <f>IFERROR(IF(INDEX(Movimientos!$M$2:$M$1998,MATCH(A390&amp;"ENTRADA",Movimientos!$R$2:$R$1998,0))=0,"S/D",INDEX(Movimientos!$M$2:$M$1998,MATCH(A390&amp;"ENTRADA",Movimientos!$R$2:$R$1998,0))),"S/D")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 ht="14.25">
      <c r="A391" s="16" t="s">
        <v>2556</v>
      </c>
      <c r="B391" s="2" t="str">
        <f>IFERROR(INDEX(Movimientos!$C$2:$C$1998,MATCH(A391&amp;"ENTRADA",Movimientos!$R$2:$R$1998,0)),"-")</f>
        <v>-</v>
      </c>
      <c r="C391" s="2" t="str">
        <f>IFERROR(INDEX(Movimientos!$D$2:$D$1998,MATCH(A391&amp;"ENTRADA",Movimientos!$R$2:$R$1998,0)),"-")</f>
        <v>-</v>
      </c>
      <c r="D391" s="2" t="str">
        <f>IFERROR(INDEX(Movimientos!$E$2:$E$1998,MATCH(A391&amp;"ENTRADA",Movimientos!$R$2:$R$1998,0)),"-")</f>
        <v>-</v>
      </c>
      <c r="E391" s="2" t="str">
        <f>IFERROR(INDEX(Movimientos!$F$2:$F$1998,MATCH(A391&amp;"ENTRADA",Movimientos!$R$2:$R$1998,0)),"-")</f>
        <v>-</v>
      </c>
      <c r="F391" s="2" t="str">
        <f>IFERROR(INDEX(Movimientos!$G$2:$G$1998,MATCH(A391&amp;"ENTRADA",Movimientos!$R$2:$R$1998,0)),"-")</f>
        <v>-</v>
      </c>
      <c r="G391" s="2" t="str">
        <f>IFERROR(INDEX(Movimientos!$L$2:$L$1998,MATCH(A391&amp;"ENTRADA",Movimientos!$R$2:$R$1998,0)),"-")</f>
        <v>-</v>
      </c>
      <c r="H391" s="17" t="str">
        <f>IFERROR(IF(INDEX(Movimientos!$M$2:$M$1998,MATCH(A391&amp;"ENTRADA",Movimientos!$R$2:$R$1998,0))=0,"S/D",INDEX(Movimientos!$M$2:$M$1998,MATCH(A391&amp;"ENTRADA",Movimientos!$R$2:$R$1998,0))),"S/D")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 ht="14.25">
      <c r="A392" s="16" t="s">
        <v>2557</v>
      </c>
      <c r="B392" s="2" t="str">
        <f>IFERROR(INDEX(Movimientos!$C$2:$C$1998,MATCH(A392&amp;"ENTRADA",Movimientos!$R$2:$R$1998,0)),"-")</f>
        <v>-</v>
      </c>
      <c r="C392" s="2" t="str">
        <f>IFERROR(INDEX(Movimientos!$D$2:$D$1998,MATCH(A392&amp;"ENTRADA",Movimientos!$R$2:$R$1998,0)),"-")</f>
        <v>-</v>
      </c>
      <c r="D392" s="2" t="str">
        <f>IFERROR(INDEX(Movimientos!$E$2:$E$1998,MATCH(A392&amp;"ENTRADA",Movimientos!$R$2:$R$1998,0)),"-")</f>
        <v>-</v>
      </c>
      <c r="E392" s="2" t="str">
        <f>IFERROR(INDEX(Movimientos!$F$2:$F$1998,MATCH(A392&amp;"ENTRADA",Movimientos!$R$2:$R$1998,0)),"-")</f>
        <v>-</v>
      </c>
      <c r="F392" s="2" t="str">
        <f>IFERROR(INDEX(Movimientos!$G$2:$G$1998,MATCH(A392&amp;"ENTRADA",Movimientos!$R$2:$R$1998,0)),"-")</f>
        <v>-</v>
      </c>
      <c r="G392" s="2" t="str">
        <f>IFERROR(INDEX(Movimientos!$L$2:$L$1998,MATCH(A392&amp;"ENTRADA",Movimientos!$R$2:$R$1998,0)),"-")</f>
        <v>-</v>
      </c>
      <c r="H392" s="17" t="str">
        <f>IFERROR(IF(INDEX(Movimientos!$M$2:$M$1998,MATCH(A392&amp;"ENTRADA",Movimientos!$R$2:$R$1998,0))=0,"S/D",INDEX(Movimientos!$M$2:$M$1998,MATCH(A392&amp;"ENTRADA",Movimientos!$R$2:$R$1998,0))),"S/D")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 ht="14.25">
      <c r="A393" s="16" t="s">
        <v>2558</v>
      </c>
      <c r="B393" s="2" t="str">
        <f>IFERROR(INDEX(Movimientos!$C$2:$C$1998,MATCH(A393&amp;"ENTRADA",Movimientos!$R$2:$R$1998,0)),"-")</f>
        <v>-</v>
      </c>
      <c r="C393" s="2" t="str">
        <f>IFERROR(INDEX(Movimientos!$D$2:$D$1998,MATCH(A393&amp;"ENTRADA",Movimientos!$R$2:$R$1998,0)),"-")</f>
        <v>-</v>
      </c>
      <c r="D393" s="2" t="str">
        <f>IFERROR(INDEX(Movimientos!$E$2:$E$1998,MATCH(A393&amp;"ENTRADA",Movimientos!$R$2:$R$1998,0)),"-")</f>
        <v>-</v>
      </c>
      <c r="E393" s="2" t="str">
        <f>IFERROR(INDEX(Movimientos!$F$2:$F$1998,MATCH(A393&amp;"ENTRADA",Movimientos!$R$2:$R$1998,0)),"-")</f>
        <v>-</v>
      </c>
      <c r="F393" s="2" t="str">
        <f>IFERROR(INDEX(Movimientos!$G$2:$G$1998,MATCH(A393&amp;"ENTRADA",Movimientos!$R$2:$R$1998,0)),"-")</f>
        <v>-</v>
      </c>
      <c r="G393" s="2" t="str">
        <f>IFERROR(INDEX(Movimientos!$L$2:$L$1998,MATCH(A393&amp;"ENTRADA",Movimientos!$R$2:$R$1998,0)),"-")</f>
        <v>-</v>
      </c>
      <c r="H393" s="17" t="str">
        <f>IFERROR(IF(INDEX(Movimientos!$M$2:$M$1998,MATCH(A393&amp;"ENTRADA",Movimientos!$R$2:$R$1998,0))=0,"S/D",INDEX(Movimientos!$M$2:$M$1998,MATCH(A393&amp;"ENTRADA",Movimientos!$R$2:$R$1998,0))),"S/D")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 ht="14.25">
      <c r="A394" s="16" t="s">
        <v>2559</v>
      </c>
      <c r="B394" s="2" t="str">
        <f>IFERROR(INDEX(Movimientos!$C$2:$C$1998,MATCH(A394&amp;"ENTRADA",Movimientos!$R$2:$R$1998,0)),"-")</f>
        <v>-</v>
      </c>
      <c r="C394" s="2" t="str">
        <f>IFERROR(INDEX(Movimientos!$D$2:$D$1998,MATCH(A394&amp;"ENTRADA",Movimientos!$R$2:$R$1998,0)),"-")</f>
        <v>-</v>
      </c>
      <c r="D394" s="2" t="str">
        <f>IFERROR(INDEX(Movimientos!$E$2:$E$1998,MATCH(A394&amp;"ENTRADA",Movimientos!$R$2:$R$1998,0)),"-")</f>
        <v>-</v>
      </c>
      <c r="E394" s="2" t="str">
        <f>IFERROR(INDEX(Movimientos!$F$2:$F$1998,MATCH(A394&amp;"ENTRADA",Movimientos!$R$2:$R$1998,0)),"-")</f>
        <v>-</v>
      </c>
      <c r="F394" s="2" t="str">
        <f>IFERROR(INDEX(Movimientos!$G$2:$G$1998,MATCH(A394&amp;"ENTRADA",Movimientos!$R$2:$R$1998,0)),"-")</f>
        <v>-</v>
      </c>
      <c r="G394" s="2" t="str">
        <f>IFERROR(INDEX(Movimientos!$L$2:$L$1998,MATCH(A394&amp;"ENTRADA",Movimientos!$R$2:$R$1998,0)),"-")</f>
        <v>-</v>
      </c>
      <c r="H394" s="17" t="str">
        <f>IFERROR(IF(INDEX(Movimientos!$M$2:$M$1998,MATCH(A394&amp;"ENTRADA",Movimientos!$R$2:$R$1998,0))=0,"S/D",INDEX(Movimientos!$M$2:$M$1998,MATCH(A394&amp;"ENTRADA",Movimientos!$R$2:$R$1998,0))),"S/D")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 ht="14.25">
      <c r="A395" s="16" t="s">
        <v>2560</v>
      </c>
      <c r="B395" s="2" t="str">
        <f>IFERROR(INDEX(Movimientos!$C$2:$C$1998,MATCH(A395&amp;"ENTRADA",Movimientos!$R$2:$R$1998,0)),"-")</f>
        <v>-</v>
      </c>
      <c r="C395" s="2" t="str">
        <f>IFERROR(INDEX(Movimientos!$D$2:$D$1998,MATCH(A395&amp;"ENTRADA",Movimientos!$R$2:$R$1998,0)),"-")</f>
        <v>-</v>
      </c>
      <c r="D395" s="2" t="str">
        <f>IFERROR(INDEX(Movimientos!$E$2:$E$1998,MATCH(A395&amp;"ENTRADA",Movimientos!$R$2:$R$1998,0)),"-")</f>
        <v>-</v>
      </c>
      <c r="E395" s="2" t="str">
        <f>IFERROR(INDEX(Movimientos!$F$2:$F$1998,MATCH(A395&amp;"ENTRADA",Movimientos!$R$2:$R$1998,0)),"-")</f>
        <v>-</v>
      </c>
      <c r="F395" s="2" t="str">
        <f>IFERROR(INDEX(Movimientos!$G$2:$G$1998,MATCH(A395&amp;"ENTRADA",Movimientos!$R$2:$R$1998,0)),"-")</f>
        <v>-</v>
      </c>
      <c r="G395" s="2" t="str">
        <f>IFERROR(INDEX(Movimientos!$L$2:$L$1998,MATCH(A395&amp;"ENTRADA",Movimientos!$R$2:$R$1998,0)),"-")</f>
        <v>-</v>
      </c>
      <c r="H395" s="17" t="str">
        <f>IFERROR(IF(INDEX(Movimientos!$M$2:$M$1998,MATCH(A395&amp;"ENTRADA",Movimientos!$R$2:$R$1998,0))=0,"S/D",INDEX(Movimientos!$M$2:$M$1998,MATCH(A395&amp;"ENTRADA",Movimientos!$R$2:$R$1998,0))),"S/D")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 ht="14.25">
      <c r="A396" s="16" t="s">
        <v>2561</v>
      </c>
      <c r="B396" s="2" t="str">
        <f>IFERROR(INDEX(Movimientos!$C$2:$C$1998,MATCH(A396&amp;"ENTRADA",Movimientos!$R$2:$R$1998,0)),"-")</f>
        <v>-</v>
      </c>
      <c r="C396" s="2" t="str">
        <f>IFERROR(INDEX(Movimientos!$D$2:$D$1998,MATCH(A396&amp;"ENTRADA",Movimientos!$R$2:$R$1998,0)),"-")</f>
        <v>-</v>
      </c>
      <c r="D396" s="2" t="str">
        <f>IFERROR(INDEX(Movimientos!$E$2:$E$1998,MATCH(A396&amp;"ENTRADA",Movimientos!$R$2:$R$1998,0)),"-")</f>
        <v>-</v>
      </c>
      <c r="E396" s="2" t="str">
        <f>IFERROR(INDEX(Movimientos!$F$2:$F$1998,MATCH(A396&amp;"ENTRADA",Movimientos!$R$2:$R$1998,0)),"-")</f>
        <v>-</v>
      </c>
      <c r="F396" s="2" t="str">
        <f>IFERROR(INDEX(Movimientos!$G$2:$G$1998,MATCH(A396&amp;"ENTRADA",Movimientos!$R$2:$R$1998,0)),"-")</f>
        <v>-</v>
      </c>
      <c r="G396" s="2" t="str">
        <f>IFERROR(INDEX(Movimientos!$L$2:$L$1998,MATCH(A396&amp;"ENTRADA",Movimientos!$R$2:$R$1998,0)),"-")</f>
        <v>-</v>
      </c>
      <c r="H396" s="17" t="str">
        <f>IFERROR(IF(INDEX(Movimientos!$M$2:$M$1998,MATCH(A396&amp;"ENTRADA",Movimientos!$R$2:$R$1998,0))=0,"S/D",INDEX(Movimientos!$M$2:$M$1998,MATCH(A396&amp;"ENTRADA",Movimientos!$R$2:$R$1998,0))),"S/D")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 ht="14.25">
      <c r="A397" s="16" t="s">
        <v>2562</v>
      </c>
      <c r="B397" s="2" t="str">
        <f>IFERROR(INDEX(Movimientos!$C$2:$C$1998,MATCH(A397&amp;"ENTRADA",Movimientos!$R$2:$R$1998,0)),"-")</f>
        <v>-</v>
      </c>
      <c r="C397" s="2" t="str">
        <f>IFERROR(INDEX(Movimientos!$D$2:$D$1998,MATCH(A397&amp;"ENTRADA",Movimientos!$R$2:$R$1998,0)),"-")</f>
        <v>-</v>
      </c>
      <c r="D397" s="2" t="str">
        <f>IFERROR(INDEX(Movimientos!$E$2:$E$1998,MATCH(A397&amp;"ENTRADA",Movimientos!$R$2:$R$1998,0)),"-")</f>
        <v>-</v>
      </c>
      <c r="E397" s="2" t="str">
        <f>IFERROR(INDEX(Movimientos!$F$2:$F$1998,MATCH(A397&amp;"ENTRADA",Movimientos!$R$2:$R$1998,0)),"-")</f>
        <v>-</v>
      </c>
      <c r="F397" s="2" t="str">
        <f>IFERROR(INDEX(Movimientos!$G$2:$G$1998,MATCH(A397&amp;"ENTRADA",Movimientos!$R$2:$R$1998,0)),"-")</f>
        <v>-</v>
      </c>
      <c r="G397" s="2" t="str">
        <f>IFERROR(INDEX(Movimientos!$L$2:$L$1998,MATCH(A397&amp;"ENTRADA",Movimientos!$R$2:$R$1998,0)),"-")</f>
        <v>-</v>
      </c>
      <c r="H397" s="17" t="str">
        <f>IFERROR(IF(INDEX(Movimientos!$M$2:$M$1998,MATCH(A397&amp;"ENTRADA",Movimientos!$R$2:$R$1998,0))=0,"S/D",INDEX(Movimientos!$M$2:$M$1998,MATCH(A397&amp;"ENTRADA",Movimientos!$R$2:$R$1998,0))),"S/D")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 ht="14.25">
      <c r="A398" s="16" t="s">
        <v>2563</v>
      </c>
      <c r="B398" s="2" t="str">
        <f>IFERROR(INDEX(Movimientos!$C$2:$C$1998,MATCH(A398&amp;"ENTRADA",Movimientos!$R$2:$R$1998,0)),"-")</f>
        <v>-</v>
      </c>
      <c r="C398" s="2" t="str">
        <f>IFERROR(INDEX(Movimientos!$D$2:$D$1998,MATCH(A398&amp;"ENTRADA",Movimientos!$R$2:$R$1998,0)),"-")</f>
        <v>-</v>
      </c>
      <c r="D398" s="2" t="str">
        <f>IFERROR(INDEX(Movimientos!$E$2:$E$1998,MATCH(A398&amp;"ENTRADA",Movimientos!$R$2:$R$1998,0)),"-")</f>
        <v>-</v>
      </c>
      <c r="E398" s="2" t="str">
        <f>IFERROR(INDEX(Movimientos!$F$2:$F$1998,MATCH(A398&amp;"ENTRADA",Movimientos!$R$2:$R$1998,0)),"-")</f>
        <v>-</v>
      </c>
      <c r="F398" s="2" t="str">
        <f>IFERROR(INDEX(Movimientos!$G$2:$G$1998,MATCH(A398&amp;"ENTRADA",Movimientos!$R$2:$R$1998,0)),"-")</f>
        <v>-</v>
      </c>
      <c r="G398" s="2" t="str">
        <f>IFERROR(INDEX(Movimientos!$L$2:$L$1998,MATCH(A398&amp;"ENTRADA",Movimientos!$R$2:$R$1998,0)),"-")</f>
        <v>-</v>
      </c>
      <c r="H398" s="17" t="str">
        <f>IFERROR(IF(INDEX(Movimientos!$M$2:$M$1998,MATCH(A398&amp;"ENTRADA",Movimientos!$R$2:$R$1998,0))=0,"S/D",INDEX(Movimientos!$M$2:$M$1998,MATCH(A398&amp;"ENTRADA",Movimientos!$R$2:$R$1998,0))),"S/D")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 ht="14.25">
      <c r="A399" s="16" t="s">
        <v>2564</v>
      </c>
      <c r="B399" s="2" t="str">
        <f>IFERROR(INDEX(Movimientos!$C$2:$C$1998,MATCH(A399&amp;"ENTRADA",Movimientos!$R$2:$R$1998,0)),"-")</f>
        <v>-</v>
      </c>
      <c r="C399" s="2" t="str">
        <f>IFERROR(INDEX(Movimientos!$D$2:$D$1998,MATCH(A399&amp;"ENTRADA",Movimientos!$R$2:$R$1998,0)),"-")</f>
        <v>-</v>
      </c>
      <c r="D399" s="2" t="str">
        <f>IFERROR(INDEX(Movimientos!$E$2:$E$1998,MATCH(A399&amp;"ENTRADA",Movimientos!$R$2:$R$1998,0)),"-")</f>
        <v>-</v>
      </c>
      <c r="E399" s="2" t="str">
        <f>IFERROR(INDEX(Movimientos!$F$2:$F$1998,MATCH(A399&amp;"ENTRADA",Movimientos!$R$2:$R$1998,0)),"-")</f>
        <v>-</v>
      </c>
      <c r="F399" s="2" t="str">
        <f>IFERROR(INDEX(Movimientos!$G$2:$G$1998,MATCH(A399&amp;"ENTRADA",Movimientos!$R$2:$R$1998,0)),"-")</f>
        <v>-</v>
      </c>
      <c r="G399" s="2" t="str">
        <f>IFERROR(INDEX(Movimientos!$L$2:$L$1998,MATCH(A399&amp;"ENTRADA",Movimientos!$R$2:$R$1998,0)),"-")</f>
        <v>-</v>
      </c>
      <c r="H399" s="17" t="str">
        <f>IFERROR(IF(INDEX(Movimientos!$M$2:$M$1998,MATCH(A399&amp;"ENTRADA",Movimientos!$R$2:$R$1998,0))=0,"S/D",INDEX(Movimientos!$M$2:$M$1998,MATCH(A399&amp;"ENTRADA",Movimientos!$R$2:$R$1998,0))),"S/D")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 ht="14.25">
      <c r="A400" s="16" t="s">
        <v>2565</v>
      </c>
      <c r="B400" s="2" t="str">
        <f>IFERROR(INDEX(Movimientos!$C$2:$C$1998,MATCH(A400&amp;"ENTRADA",Movimientos!$R$2:$R$1998,0)),"-")</f>
        <v>-</v>
      </c>
      <c r="C400" s="2" t="str">
        <f>IFERROR(INDEX(Movimientos!$D$2:$D$1998,MATCH(A400&amp;"ENTRADA",Movimientos!$R$2:$R$1998,0)),"-")</f>
        <v>-</v>
      </c>
      <c r="D400" s="2" t="str">
        <f>IFERROR(INDEX(Movimientos!$E$2:$E$1998,MATCH(A400&amp;"ENTRADA",Movimientos!$R$2:$R$1998,0)),"-")</f>
        <v>-</v>
      </c>
      <c r="E400" s="2" t="str">
        <f>IFERROR(INDEX(Movimientos!$F$2:$F$1998,MATCH(A400&amp;"ENTRADA",Movimientos!$R$2:$R$1998,0)),"-")</f>
        <v>-</v>
      </c>
      <c r="F400" s="2" t="str">
        <f>IFERROR(INDEX(Movimientos!$G$2:$G$1998,MATCH(A400&amp;"ENTRADA",Movimientos!$R$2:$R$1998,0)),"-")</f>
        <v>-</v>
      </c>
      <c r="G400" s="2" t="str">
        <f>IFERROR(INDEX(Movimientos!$L$2:$L$1998,MATCH(A400&amp;"ENTRADA",Movimientos!$R$2:$R$1998,0)),"-")</f>
        <v>-</v>
      </c>
      <c r="H400" s="17" t="str">
        <f>IFERROR(IF(INDEX(Movimientos!$M$2:$M$1998,MATCH(A400&amp;"ENTRADA",Movimientos!$R$2:$R$1998,0))=0,"S/D",INDEX(Movimientos!$M$2:$M$1998,MATCH(A400&amp;"ENTRADA",Movimientos!$R$2:$R$1998,0))),"S/D")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 ht="14.25">
      <c r="A401" s="16" t="s">
        <v>2566</v>
      </c>
      <c r="B401" s="2" t="str">
        <f>IFERROR(INDEX(Movimientos!$C$2:$C$1998,MATCH(A401&amp;"ENTRADA",Movimientos!$R$2:$R$1998,0)),"-")</f>
        <v>-</v>
      </c>
      <c r="C401" s="2" t="str">
        <f>IFERROR(INDEX(Movimientos!$D$2:$D$1998,MATCH(A401&amp;"ENTRADA",Movimientos!$R$2:$R$1998,0)),"-")</f>
        <v>-</v>
      </c>
      <c r="D401" s="2" t="str">
        <f>IFERROR(INDEX(Movimientos!$E$2:$E$1998,MATCH(A401&amp;"ENTRADA",Movimientos!$R$2:$R$1998,0)),"-")</f>
        <v>-</v>
      </c>
      <c r="E401" s="2" t="str">
        <f>IFERROR(INDEX(Movimientos!$F$2:$F$1998,MATCH(A401&amp;"ENTRADA",Movimientos!$R$2:$R$1998,0)),"-")</f>
        <v>-</v>
      </c>
      <c r="F401" s="2" t="str">
        <f>IFERROR(INDEX(Movimientos!$G$2:$G$1998,MATCH(A401&amp;"ENTRADA",Movimientos!$R$2:$R$1998,0)),"-")</f>
        <v>-</v>
      </c>
      <c r="G401" s="2" t="str">
        <f>IFERROR(INDEX(Movimientos!$L$2:$L$1998,MATCH(A401&amp;"ENTRADA",Movimientos!$R$2:$R$1998,0)),"-")</f>
        <v>-</v>
      </c>
      <c r="H401" s="17" t="str">
        <f>IFERROR(IF(INDEX(Movimientos!$M$2:$M$1998,MATCH(A401&amp;"ENTRADA",Movimientos!$R$2:$R$1998,0))=0,"S/D",INDEX(Movimientos!$M$2:$M$1998,MATCH(A401&amp;"ENTRADA",Movimientos!$R$2:$R$1998,0))),"S/D")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 ht="14.25">
      <c r="A402" s="16" t="s">
        <v>2567</v>
      </c>
      <c r="B402" s="2" t="str">
        <f>IFERROR(INDEX(Movimientos!$C$2:$C$1998,MATCH(A402&amp;"ENTRADA",Movimientos!$R$2:$R$1998,0)),"-")</f>
        <v>-</v>
      </c>
      <c r="C402" s="2" t="str">
        <f>IFERROR(INDEX(Movimientos!$D$2:$D$1998,MATCH(A402&amp;"ENTRADA",Movimientos!$R$2:$R$1998,0)),"-")</f>
        <v>-</v>
      </c>
      <c r="D402" s="2" t="str">
        <f>IFERROR(INDEX(Movimientos!$E$2:$E$1998,MATCH(A402&amp;"ENTRADA",Movimientos!$R$2:$R$1998,0)),"-")</f>
        <v>-</v>
      </c>
      <c r="E402" s="2" t="str">
        <f>IFERROR(INDEX(Movimientos!$F$2:$F$1998,MATCH(A402&amp;"ENTRADA",Movimientos!$R$2:$R$1998,0)),"-")</f>
        <v>-</v>
      </c>
      <c r="F402" s="2" t="str">
        <f>IFERROR(INDEX(Movimientos!$G$2:$G$1998,MATCH(A402&amp;"ENTRADA",Movimientos!$R$2:$R$1998,0)),"-")</f>
        <v>-</v>
      </c>
      <c r="G402" s="2" t="str">
        <f>IFERROR(INDEX(Movimientos!$L$2:$L$1998,MATCH(A402&amp;"ENTRADA",Movimientos!$R$2:$R$1998,0)),"-")</f>
        <v>-</v>
      </c>
      <c r="H402" s="17" t="str">
        <f>IFERROR(IF(INDEX(Movimientos!$M$2:$M$1998,MATCH(A402&amp;"ENTRADA",Movimientos!$R$2:$R$1998,0))=0,"S/D",INDEX(Movimientos!$M$2:$M$1998,MATCH(A402&amp;"ENTRADA",Movimientos!$R$2:$R$1998,0))),"S/D")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 ht="14.25">
      <c r="A403" s="16" t="s">
        <v>2568</v>
      </c>
      <c r="B403" s="2" t="str">
        <f>IFERROR(INDEX(Movimientos!$C$2:$C$1998,MATCH(A403&amp;"ENTRADA",Movimientos!$R$2:$R$1998,0)),"-")</f>
        <v>-</v>
      </c>
      <c r="C403" s="2" t="str">
        <f>IFERROR(INDEX(Movimientos!$D$2:$D$1998,MATCH(A403&amp;"ENTRADA",Movimientos!$R$2:$R$1998,0)),"-")</f>
        <v>-</v>
      </c>
      <c r="D403" s="2" t="str">
        <f>IFERROR(INDEX(Movimientos!$E$2:$E$1998,MATCH(A403&amp;"ENTRADA",Movimientos!$R$2:$R$1998,0)),"-")</f>
        <v>-</v>
      </c>
      <c r="E403" s="2" t="str">
        <f>IFERROR(INDEX(Movimientos!$F$2:$F$1998,MATCH(A403&amp;"ENTRADA",Movimientos!$R$2:$R$1998,0)),"-")</f>
        <v>-</v>
      </c>
      <c r="F403" s="2" t="str">
        <f>IFERROR(INDEX(Movimientos!$G$2:$G$1998,MATCH(A403&amp;"ENTRADA",Movimientos!$R$2:$R$1998,0)),"-")</f>
        <v>-</v>
      </c>
      <c r="G403" s="2" t="str">
        <f>IFERROR(INDEX(Movimientos!$L$2:$L$1998,MATCH(A403&amp;"ENTRADA",Movimientos!$R$2:$R$1998,0)),"-")</f>
        <v>-</v>
      </c>
      <c r="H403" s="17" t="str">
        <f>IFERROR(IF(INDEX(Movimientos!$M$2:$M$1998,MATCH(A403&amp;"ENTRADA",Movimientos!$R$2:$R$1998,0))=0,"S/D",INDEX(Movimientos!$M$2:$M$1998,MATCH(A403&amp;"ENTRADA",Movimientos!$R$2:$R$1998,0))),"S/D")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 ht="14.25">
      <c r="A404" s="16" t="s">
        <v>2569</v>
      </c>
      <c r="B404" s="2" t="str">
        <f>IFERROR(INDEX(Movimientos!$C$2:$C$1998,MATCH(A404&amp;"ENTRADA",Movimientos!$R$2:$R$1998,0)),"-")</f>
        <v>-</v>
      </c>
      <c r="C404" s="2" t="str">
        <f>IFERROR(INDEX(Movimientos!$D$2:$D$1998,MATCH(A404&amp;"ENTRADA",Movimientos!$R$2:$R$1998,0)),"-")</f>
        <v>-</v>
      </c>
      <c r="D404" s="2" t="str">
        <f>IFERROR(INDEX(Movimientos!$E$2:$E$1998,MATCH(A404&amp;"ENTRADA",Movimientos!$R$2:$R$1998,0)),"-")</f>
        <v>-</v>
      </c>
      <c r="E404" s="2" t="str">
        <f>IFERROR(INDEX(Movimientos!$F$2:$F$1998,MATCH(A404&amp;"ENTRADA",Movimientos!$R$2:$R$1998,0)),"-")</f>
        <v>-</v>
      </c>
      <c r="F404" s="2" t="str">
        <f>IFERROR(INDEX(Movimientos!$G$2:$G$1998,MATCH(A404&amp;"ENTRADA",Movimientos!$R$2:$R$1998,0)),"-")</f>
        <v>-</v>
      </c>
      <c r="G404" s="2" t="str">
        <f>IFERROR(INDEX(Movimientos!$L$2:$L$1998,MATCH(A404&amp;"ENTRADA",Movimientos!$R$2:$R$1998,0)),"-")</f>
        <v>-</v>
      </c>
      <c r="H404" s="17" t="str">
        <f>IFERROR(IF(INDEX(Movimientos!$M$2:$M$1998,MATCH(A404&amp;"ENTRADA",Movimientos!$R$2:$R$1998,0))=0,"S/D",INDEX(Movimientos!$M$2:$M$1998,MATCH(A404&amp;"ENTRADA",Movimientos!$R$2:$R$1998,0))),"S/D")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 ht="14.25">
      <c r="A405" s="16" t="s">
        <v>2570</v>
      </c>
      <c r="B405" s="2" t="str">
        <f>IFERROR(INDEX(Movimientos!$C$2:$C$1998,MATCH(A405&amp;"ENTRADA",Movimientos!$R$2:$R$1998,0)),"-")</f>
        <v>-</v>
      </c>
      <c r="C405" s="2" t="str">
        <f>IFERROR(INDEX(Movimientos!$D$2:$D$1998,MATCH(A405&amp;"ENTRADA",Movimientos!$R$2:$R$1998,0)),"-")</f>
        <v>-</v>
      </c>
      <c r="D405" s="2" t="str">
        <f>IFERROR(INDEX(Movimientos!$E$2:$E$1998,MATCH(A405&amp;"ENTRADA",Movimientos!$R$2:$R$1998,0)),"-")</f>
        <v>-</v>
      </c>
      <c r="E405" s="2" t="str">
        <f>IFERROR(INDEX(Movimientos!$F$2:$F$1998,MATCH(A405&amp;"ENTRADA",Movimientos!$R$2:$R$1998,0)),"-")</f>
        <v>-</v>
      </c>
      <c r="F405" s="2" t="str">
        <f>IFERROR(INDEX(Movimientos!$G$2:$G$1998,MATCH(A405&amp;"ENTRADA",Movimientos!$R$2:$R$1998,0)),"-")</f>
        <v>-</v>
      </c>
      <c r="G405" s="2" t="str">
        <f>IFERROR(INDEX(Movimientos!$L$2:$L$1998,MATCH(A405&amp;"ENTRADA",Movimientos!$R$2:$R$1998,0)),"-")</f>
        <v>-</v>
      </c>
      <c r="H405" s="17" t="str">
        <f>IFERROR(IF(INDEX(Movimientos!$M$2:$M$1998,MATCH(A405&amp;"ENTRADA",Movimientos!$R$2:$R$1998,0))=0,"S/D",INDEX(Movimientos!$M$2:$M$1998,MATCH(A405&amp;"ENTRADA",Movimientos!$R$2:$R$1998,0))),"S/D")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 ht="14.25">
      <c r="A406" s="16" t="s">
        <v>2571</v>
      </c>
      <c r="B406" s="2" t="str">
        <f>IFERROR(INDEX(Movimientos!$C$2:$C$1998,MATCH(A406&amp;"ENTRADA",Movimientos!$R$2:$R$1998,0)),"-")</f>
        <v>-</v>
      </c>
      <c r="C406" s="2" t="str">
        <f>IFERROR(INDEX(Movimientos!$D$2:$D$1998,MATCH(A406&amp;"ENTRADA",Movimientos!$R$2:$R$1998,0)),"-")</f>
        <v>-</v>
      </c>
      <c r="D406" s="2" t="str">
        <f>IFERROR(INDEX(Movimientos!$E$2:$E$1998,MATCH(A406&amp;"ENTRADA",Movimientos!$R$2:$R$1998,0)),"-")</f>
        <v>-</v>
      </c>
      <c r="E406" s="2" t="str">
        <f>IFERROR(INDEX(Movimientos!$F$2:$F$1998,MATCH(A406&amp;"ENTRADA",Movimientos!$R$2:$R$1998,0)),"-")</f>
        <v>-</v>
      </c>
      <c r="F406" s="2" t="str">
        <f>IFERROR(INDEX(Movimientos!$G$2:$G$1998,MATCH(A406&amp;"ENTRADA",Movimientos!$R$2:$R$1998,0)),"-")</f>
        <v>-</v>
      </c>
      <c r="G406" s="2" t="str">
        <f>IFERROR(INDEX(Movimientos!$L$2:$L$1998,MATCH(A406&amp;"ENTRADA",Movimientos!$R$2:$R$1998,0)),"-")</f>
        <v>-</v>
      </c>
      <c r="H406" s="17" t="str">
        <f>IFERROR(IF(INDEX(Movimientos!$M$2:$M$1998,MATCH(A406&amp;"ENTRADA",Movimientos!$R$2:$R$1998,0))=0,"S/D",INDEX(Movimientos!$M$2:$M$1998,MATCH(A406&amp;"ENTRADA",Movimientos!$R$2:$R$1998,0))),"S/D")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 ht="14.25">
      <c r="A407" s="16" t="s">
        <v>2572</v>
      </c>
      <c r="B407" s="2" t="str">
        <f>IFERROR(INDEX(Movimientos!$C$2:$C$1998,MATCH(A407&amp;"ENTRADA",Movimientos!$R$2:$R$1998,0)),"-")</f>
        <v>-</v>
      </c>
      <c r="C407" s="2" t="str">
        <f>IFERROR(INDEX(Movimientos!$D$2:$D$1998,MATCH(A407&amp;"ENTRADA",Movimientos!$R$2:$R$1998,0)),"-")</f>
        <v>-</v>
      </c>
      <c r="D407" s="2" t="str">
        <f>IFERROR(INDEX(Movimientos!$E$2:$E$1998,MATCH(A407&amp;"ENTRADA",Movimientos!$R$2:$R$1998,0)),"-")</f>
        <v>-</v>
      </c>
      <c r="E407" s="2" t="str">
        <f>IFERROR(INDEX(Movimientos!$F$2:$F$1998,MATCH(A407&amp;"ENTRADA",Movimientos!$R$2:$R$1998,0)),"-")</f>
        <v>-</v>
      </c>
      <c r="F407" s="2" t="str">
        <f>IFERROR(INDEX(Movimientos!$G$2:$G$1998,MATCH(A407&amp;"ENTRADA",Movimientos!$R$2:$R$1998,0)),"-")</f>
        <v>-</v>
      </c>
      <c r="G407" s="2" t="str">
        <f>IFERROR(INDEX(Movimientos!$L$2:$L$1998,MATCH(A407&amp;"ENTRADA",Movimientos!$R$2:$R$1998,0)),"-")</f>
        <v>-</v>
      </c>
      <c r="H407" s="17" t="str">
        <f>IFERROR(IF(INDEX(Movimientos!$M$2:$M$1998,MATCH(A407&amp;"ENTRADA",Movimientos!$R$2:$R$1998,0))=0,"S/D",INDEX(Movimientos!$M$2:$M$1998,MATCH(A407&amp;"ENTRADA",Movimientos!$R$2:$R$1998,0))),"S/D")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 ht="14.25">
      <c r="A408" s="16" t="s">
        <v>2573</v>
      </c>
      <c r="B408" s="2" t="str">
        <f>IFERROR(INDEX(Movimientos!$C$2:$C$1998,MATCH(A408&amp;"ENTRADA",Movimientos!$R$2:$R$1998,0)),"-")</f>
        <v>-</v>
      </c>
      <c r="C408" s="2" t="str">
        <f>IFERROR(INDEX(Movimientos!$D$2:$D$1998,MATCH(A408&amp;"ENTRADA",Movimientos!$R$2:$R$1998,0)),"-")</f>
        <v>-</v>
      </c>
      <c r="D408" s="2" t="str">
        <f>IFERROR(INDEX(Movimientos!$E$2:$E$1998,MATCH(A408&amp;"ENTRADA",Movimientos!$R$2:$R$1998,0)),"-")</f>
        <v>-</v>
      </c>
      <c r="E408" s="2" t="str">
        <f>IFERROR(INDEX(Movimientos!$F$2:$F$1998,MATCH(A408&amp;"ENTRADA",Movimientos!$R$2:$R$1998,0)),"-")</f>
        <v>-</v>
      </c>
      <c r="F408" s="2" t="str">
        <f>IFERROR(INDEX(Movimientos!$G$2:$G$1998,MATCH(A408&amp;"ENTRADA",Movimientos!$R$2:$R$1998,0)),"-")</f>
        <v>-</v>
      </c>
      <c r="G408" s="2" t="str">
        <f>IFERROR(INDEX(Movimientos!$L$2:$L$1998,MATCH(A408&amp;"ENTRADA",Movimientos!$R$2:$R$1998,0)),"-")</f>
        <v>-</v>
      </c>
      <c r="H408" s="17" t="str">
        <f>IFERROR(IF(INDEX(Movimientos!$M$2:$M$1998,MATCH(A408&amp;"ENTRADA",Movimientos!$R$2:$R$1998,0))=0,"S/D",INDEX(Movimientos!$M$2:$M$1998,MATCH(A408&amp;"ENTRADA",Movimientos!$R$2:$R$1998,0))),"S/D")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 ht="14.25">
      <c r="A409" s="16" t="s">
        <v>2574</v>
      </c>
      <c r="B409" s="2" t="str">
        <f>IFERROR(INDEX(Movimientos!$C$2:$C$1998,MATCH(A409&amp;"ENTRADA",Movimientos!$R$2:$R$1998,0)),"-")</f>
        <v>-</v>
      </c>
      <c r="C409" s="2" t="str">
        <f>IFERROR(INDEX(Movimientos!$D$2:$D$1998,MATCH(A409&amp;"ENTRADA",Movimientos!$R$2:$R$1998,0)),"-")</f>
        <v>-</v>
      </c>
      <c r="D409" s="2" t="str">
        <f>IFERROR(INDEX(Movimientos!$E$2:$E$1998,MATCH(A409&amp;"ENTRADA",Movimientos!$R$2:$R$1998,0)),"-")</f>
        <v>-</v>
      </c>
      <c r="E409" s="2" t="str">
        <f>IFERROR(INDEX(Movimientos!$F$2:$F$1998,MATCH(A409&amp;"ENTRADA",Movimientos!$R$2:$R$1998,0)),"-")</f>
        <v>-</v>
      </c>
      <c r="F409" s="2" t="str">
        <f>IFERROR(INDEX(Movimientos!$G$2:$G$1998,MATCH(A409&amp;"ENTRADA",Movimientos!$R$2:$R$1998,0)),"-")</f>
        <v>-</v>
      </c>
      <c r="G409" s="2" t="str">
        <f>IFERROR(INDEX(Movimientos!$L$2:$L$1998,MATCH(A409&amp;"ENTRADA",Movimientos!$R$2:$R$1998,0)),"-")</f>
        <v>-</v>
      </c>
      <c r="H409" s="17" t="str">
        <f>IFERROR(IF(INDEX(Movimientos!$M$2:$M$1998,MATCH(A409&amp;"ENTRADA",Movimientos!$R$2:$R$1998,0))=0,"S/D",INDEX(Movimientos!$M$2:$M$1998,MATCH(A409&amp;"ENTRADA",Movimientos!$R$2:$R$1998,0))),"S/D")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 ht="14.25">
      <c r="A410" s="16" t="s">
        <v>2575</v>
      </c>
      <c r="B410" s="2" t="str">
        <f>IFERROR(INDEX(Movimientos!$C$2:$C$1998,MATCH(A410&amp;"ENTRADA",Movimientos!$R$2:$R$1998,0)),"-")</f>
        <v>-</v>
      </c>
      <c r="C410" s="2" t="str">
        <f>IFERROR(INDEX(Movimientos!$D$2:$D$1998,MATCH(A410&amp;"ENTRADA",Movimientos!$R$2:$R$1998,0)),"-")</f>
        <v>-</v>
      </c>
      <c r="D410" s="2" t="str">
        <f>IFERROR(INDEX(Movimientos!$E$2:$E$1998,MATCH(A410&amp;"ENTRADA",Movimientos!$R$2:$R$1998,0)),"-")</f>
        <v>-</v>
      </c>
      <c r="E410" s="2" t="str">
        <f>IFERROR(INDEX(Movimientos!$F$2:$F$1998,MATCH(A410&amp;"ENTRADA",Movimientos!$R$2:$R$1998,0)),"-")</f>
        <v>-</v>
      </c>
      <c r="F410" s="2" t="str">
        <f>IFERROR(INDEX(Movimientos!$G$2:$G$1998,MATCH(A410&amp;"ENTRADA",Movimientos!$R$2:$R$1998,0)),"-")</f>
        <v>-</v>
      </c>
      <c r="G410" s="2" t="str">
        <f>IFERROR(INDEX(Movimientos!$L$2:$L$1998,MATCH(A410&amp;"ENTRADA",Movimientos!$R$2:$R$1998,0)),"-")</f>
        <v>-</v>
      </c>
      <c r="H410" s="17" t="str">
        <f>IFERROR(IF(INDEX(Movimientos!$M$2:$M$1998,MATCH(A410&amp;"ENTRADA",Movimientos!$R$2:$R$1998,0))=0,"S/D",INDEX(Movimientos!$M$2:$M$1998,MATCH(A410&amp;"ENTRADA",Movimientos!$R$2:$R$1998,0))),"S/D")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 ht="14.25">
      <c r="A411" s="16" t="s">
        <v>2576</v>
      </c>
      <c r="B411" s="2" t="str">
        <f>IFERROR(INDEX(Movimientos!$C$2:$C$1998,MATCH(A411&amp;"ENTRADA",Movimientos!$R$2:$R$1998,0)),"-")</f>
        <v>-</v>
      </c>
      <c r="C411" s="2" t="str">
        <f>IFERROR(INDEX(Movimientos!$D$2:$D$1998,MATCH(A411&amp;"ENTRADA",Movimientos!$R$2:$R$1998,0)),"-")</f>
        <v>-</v>
      </c>
      <c r="D411" s="2" t="str">
        <f>IFERROR(INDEX(Movimientos!$E$2:$E$1998,MATCH(A411&amp;"ENTRADA",Movimientos!$R$2:$R$1998,0)),"-")</f>
        <v>-</v>
      </c>
      <c r="E411" s="2" t="str">
        <f>IFERROR(INDEX(Movimientos!$F$2:$F$1998,MATCH(A411&amp;"ENTRADA",Movimientos!$R$2:$R$1998,0)),"-")</f>
        <v>-</v>
      </c>
      <c r="F411" s="2" t="str">
        <f>IFERROR(INDEX(Movimientos!$G$2:$G$1998,MATCH(A411&amp;"ENTRADA",Movimientos!$R$2:$R$1998,0)),"-")</f>
        <v>-</v>
      </c>
      <c r="G411" s="2" t="str">
        <f>IFERROR(INDEX(Movimientos!$L$2:$L$1998,MATCH(A411&amp;"ENTRADA",Movimientos!$R$2:$R$1998,0)),"-")</f>
        <v>-</v>
      </c>
      <c r="H411" s="17" t="str">
        <f>IFERROR(IF(INDEX(Movimientos!$M$2:$M$1998,MATCH(A411&amp;"ENTRADA",Movimientos!$R$2:$R$1998,0))=0,"S/D",INDEX(Movimientos!$M$2:$M$1998,MATCH(A411&amp;"ENTRADA",Movimientos!$R$2:$R$1998,0))),"S/D")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 ht="14.25">
      <c r="A412" s="16" t="s">
        <v>2577</v>
      </c>
      <c r="B412" s="2" t="str">
        <f>IFERROR(INDEX(Movimientos!$C$2:$C$1998,MATCH(A412&amp;"ENTRADA",Movimientos!$R$2:$R$1998,0)),"-")</f>
        <v>-</v>
      </c>
      <c r="C412" s="2" t="str">
        <f>IFERROR(INDEX(Movimientos!$D$2:$D$1998,MATCH(A412&amp;"ENTRADA",Movimientos!$R$2:$R$1998,0)),"-")</f>
        <v>-</v>
      </c>
      <c r="D412" s="2" t="str">
        <f>IFERROR(INDEX(Movimientos!$E$2:$E$1998,MATCH(A412&amp;"ENTRADA",Movimientos!$R$2:$R$1998,0)),"-")</f>
        <v>-</v>
      </c>
      <c r="E412" s="2" t="str">
        <f>IFERROR(INDEX(Movimientos!$F$2:$F$1998,MATCH(A412&amp;"ENTRADA",Movimientos!$R$2:$R$1998,0)),"-")</f>
        <v>-</v>
      </c>
      <c r="F412" s="2" t="str">
        <f>IFERROR(INDEX(Movimientos!$G$2:$G$1998,MATCH(A412&amp;"ENTRADA",Movimientos!$R$2:$R$1998,0)),"-")</f>
        <v>-</v>
      </c>
      <c r="G412" s="2" t="str">
        <f>IFERROR(INDEX(Movimientos!$L$2:$L$1998,MATCH(A412&amp;"ENTRADA",Movimientos!$R$2:$R$1998,0)),"-")</f>
        <v>-</v>
      </c>
      <c r="H412" s="17" t="str">
        <f>IFERROR(IF(INDEX(Movimientos!$M$2:$M$1998,MATCH(A412&amp;"ENTRADA",Movimientos!$R$2:$R$1998,0))=0,"S/D",INDEX(Movimientos!$M$2:$M$1998,MATCH(A412&amp;"ENTRADA",Movimientos!$R$2:$R$1998,0))),"S/D")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 ht="14.25">
      <c r="A413" s="16" t="s">
        <v>2578</v>
      </c>
      <c r="B413" s="2" t="str">
        <f>IFERROR(INDEX(Movimientos!$C$2:$C$1998,MATCH(A413&amp;"ENTRADA",Movimientos!$R$2:$R$1998,0)),"-")</f>
        <v>-</v>
      </c>
      <c r="C413" s="2" t="str">
        <f>IFERROR(INDEX(Movimientos!$D$2:$D$1998,MATCH(A413&amp;"ENTRADA",Movimientos!$R$2:$R$1998,0)),"-")</f>
        <v>-</v>
      </c>
      <c r="D413" s="2" t="str">
        <f>IFERROR(INDEX(Movimientos!$E$2:$E$1998,MATCH(A413&amp;"ENTRADA",Movimientos!$R$2:$R$1998,0)),"-")</f>
        <v>-</v>
      </c>
      <c r="E413" s="2" t="str">
        <f>IFERROR(INDEX(Movimientos!$F$2:$F$1998,MATCH(A413&amp;"ENTRADA",Movimientos!$R$2:$R$1998,0)),"-")</f>
        <v>-</v>
      </c>
      <c r="F413" s="2" t="str">
        <f>IFERROR(INDEX(Movimientos!$G$2:$G$1998,MATCH(A413&amp;"ENTRADA",Movimientos!$R$2:$R$1998,0)),"-")</f>
        <v>-</v>
      </c>
      <c r="G413" s="2" t="str">
        <f>IFERROR(INDEX(Movimientos!$L$2:$L$1998,MATCH(A413&amp;"ENTRADA",Movimientos!$R$2:$R$1998,0)),"-")</f>
        <v>-</v>
      </c>
      <c r="H413" s="17" t="str">
        <f>IFERROR(IF(INDEX(Movimientos!$M$2:$M$1998,MATCH(A413&amp;"ENTRADA",Movimientos!$R$2:$R$1998,0))=0,"S/D",INDEX(Movimientos!$M$2:$M$1998,MATCH(A413&amp;"ENTRADA",Movimientos!$R$2:$R$1998,0))),"S/D")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 ht="14.25">
      <c r="A414" s="16" t="s">
        <v>2579</v>
      </c>
      <c r="B414" s="2" t="str">
        <f>IFERROR(INDEX(Movimientos!$C$2:$C$1998,MATCH(A414&amp;"ENTRADA",Movimientos!$R$2:$R$1998,0)),"-")</f>
        <v>-</v>
      </c>
      <c r="C414" s="2" t="str">
        <f>IFERROR(INDEX(Movimientos!$D$2:$D$1998,MATCH(A414&amp;"ENTRADA",Movimientos!$R$2:$R$1998,0)),"-")</f>
        <v>-</v>
      </c>
      <c r="D414" s="2" t="str">
        <f>IFERROR(INDEX(Movimientos!$E$2:$E$1998,MATCH(A414&amp;"ENTRADA",Movimientos!$R$2:$R$1998,0)),"-")</f>
        <v>-</v>
      </c>
      <c r="E414" s="2" t="str">
        <f>IFERROR(INDEX(Movimientos!$F$2:$F$1998,MATCH(A414&amp;"ENTRADA",Movimientos!$R$2:$R$1998,0)),"-")</f>
        <v>-</v>
      </c>
      <c r="F414" s="2" t="str">
        <f>IFERROR(INDEX(Movimientos!$G$2:$G$1998,MATCH(A414&amp;"ENTRADA",Movimientos!$R$2:$R$1998,0)),"-")</f>
        <v>-</v>
      </c>
      <c r="G414" s="2" t="str">
        <f>IFERROR(INDEX(Movimientos!$L$2:$L$1998,MATCH(A414&amp;"ENTRADA",Movimientos!$R$2:$R$1998,0)),"-")</f>
        <v>-</v>
      </c>
      <c r="H414" s="17" t="str">
        <f>IFERROR(IF(INDEX(Movimientos!$M$2:$M$1998,MATCH(A414&amp;"ENTRADA",Movimientos!$R$2:$R$1998,0))=0,"S/D",INDEX(Movimientos!$M$2:$M$1998,MATCH(A414&amp;"ENTRADA",Movimientos!$R$2:$R$1998,0))),"S/D")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 ht="14.25">
      <c r="A415" s="16" t="s">
        <v>2580</v>
      </c>
      <c r="B415" s="2" t="str">
        <f>IFERROR(INDEX(Movimientos!$C$2:$C$1998,MATCH(A415&amp;"ENTRADA",Movimientos!$R$2:$R$1998,0)),"-")</f>
        <v>-</v>
      </c>
      <c r="C415" s="2" t="str">
        <f>IFERROR(INDEX(Movimientos!$D$2:$D$1998,MATCH(A415&amp;"ENTRADA",Movimientos!$R$2:$R$1998,0)),"-")</f>
        <v>-</v>
      </c>
      <c r="D415" s="2" t="str">
        <f>IFERROR(INDEX(Movimientos!$E$2:$E$1998,MATCH(A415&amp;"ENTRADA",Movimientos!$R$2:$R$1998,0)),"-")</f>
        <v>-</v>
      </c>
      <c r="E415" s="2" t="str">
        <f>IFERROR(INDEX(Movimientos!$F$2:$F$1998,MATCH(A415&amp;"ENTRADA",Movimientos!$R$2:$R$1998,0)),"-")</f>
        <v>-</v>
      </c>
      <c r="F415" s="2" t="str">
        <f>IFERROR(INDEX(Movimientos!$G$2:$G$1998,MATCH(A415&amp;"ENTRADA",Movimientos!$R$2:$R$1998,0)),"-")</f>
        <v>-</v>
      </c>
      <c r="G415" s="2" t="str">
        <f>IFERROR(INDEX(Movimientos!$L$2:$L$1998,MATCH(A415&amp;"ENTRADA",Movimientos!$R$2:$R$1998,0)),"-")</f>
        <v>-</v>
      </c>
      <c r="H415" s="17" t="str">
        <f>IFERROR(IF(INDEX(Movimientos!$M$2:$M$1998,MATCH(A415&amp;"ENTRADA",Movimientos!$R$2:$R$1998,0))=0,"S/D",INDEX(Movimientos!$M$2:$M$1998,MATCH(A415&amp;"ENTRADA",Movimientos!$R$2:$R$1998,0))),"S/D")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 ht="14.25">
      <c r="A416" s="16" t="s">
        <v>2581</v>
      </c>
      <c r="B416" s="2" t="str">
        <f>IFERROR(INDEX(Movimientos!$C$2:$C$1998,MATCH(A416&amp;"ENTRADA",Movimientos!$R$2:$R$1998,0)),"-")</f>
        <v>-</v>
      </c>
      <c r="C416" s="2" t="str">
        <f>IFERROR(INDEX(Movimientos!$D$2:$D$1998,MATCH(A416&amp;"ENTRADA",Movimientos!$R$2:$R$1998,0)),"-")</f>
        <v>-</v>
      </c>
      <c r="D416" s="2" t="str">
        <f>IFERROR(INDEX(Movimientos!$E$2:$E$1998,MATCH(A416&amp;"ENTRADA",Movimientos!$R$2:$R$1998,0)),"-")</f>
        <v>-</v>
      </c>
      <c r="E416" s="2" t="str">
        <f>IFERROR(INDEX(Movimientos!$F$2:$F$1998,MATCH(A416&amp;"ENTRADA",Movimientos!$R$2:$R$1998,0)),"-")</f>
        <v>-</v>
      </c>
      <c r="F416" s="2" t="str">
        <f>IFERROR(INDEX(Movimientos!$G$2:$G$1998,MATCH(A416&amp;"ENTRADA",Movimientos!$R$2:$R$1998,0)),"-")</f>
        <v>-</v>
      </c>
      <c r="G416" s="2" t="str">
        <f>IFERROR(INDEX(Movimientos!$L$2:$L$1998,MATCH(A416&amp;"ENTRADA",Movimientos!$R$2:$R$1998,0)),"-")</f>
        <v>-</v>
      </c>
      <c r="H416" s="17" t="str">
        <f>IFERROR(IF(INDEX(Movimientos!$M$2:$M$1998,MATCH(A416&amp;"ENTRADA",Movimientos!$R$2:$R$1998,0))=0,"S/D",INDEX(Movimientos!$M$2:$M$1998,MATCH(A416&amp;"ENTRADA",Movimientos!$R$2:$R$1998,0))),"S/D")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 ht="14.25">
      <c r="A417" s="16" t="s">
        <v>2582</v>
      </c>
      <c r="B417" s="2" t="str">
        <f>IFERROR(INDEX(Movimientos!$C$2:$C$1998,MATCH(A417&amp;"ENTRADA",Movimientos!$R$2:$R$1998,0)),"-")</f>
        <v>-</v>
      </c>
      <c r="C417" s="2" t="str">
        <f>IFERROR(INDEX(Movimientos!$D$2:$D$1998,MATCH(A417&amp;"ENTRADA",Movimientos!$R$2:$R$1998,0)),"-")</f>
        <v>-</v>
      </c>
      <c r="D417" s="2" t="str">
        <f>IFERROR(INDEX(Movimientos!$E$2:$E$1998,MATCH(A417&amp;"ENTRADA",Movimientos!$R$2:$R$1998,0)),"-")</f>
        <v>-</v>
      </c>
      <c r="E417" s="2" t="str">
        <f>IFERROR(INDEX(Movimientos!$F$2:$F$1998,MATCH(A417&amp;"ENTRADA",Movimientos!$R$2:$R$1998,0)),"-")</f>
        <v>-</v>
      </c>
      <c r="F417" s="2" t="str">
        <f>IFERROR(INDEX(Movimientos!$G$2:$G$1998,MATCH(A417&amp;"ENTRADA",Movimientos!$R$2:$R$1998,0)),"-")</f>
        <v>-</v>
      </c>
      <c r="G417" s="2" t="str">
        <f>IFERROR(INDEX(Movimientos!$L$2:$L$1998,MATCH(A417&amp;"ENTRADA",Movimientos!$R$2:$R$1998,0)),"-")</f>
        <v>-</v>
      </c>
      <c r="H417" s="17" t="str">
        <f>IFERROR(IF(INDEX(Movimientos!$M$2:$M$1998,MATCH(A417&amp;"ENTRADA",Movimientos!$R$2:$R$1998,0))=0,"S/D",INDEX(Movimientos!$M$2:$M$1998,MATCH(A417&amp;"ENTRADA",Movimientos!$R$2:$R$1998,0))),"S/D")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 ht="14.25">
      <c r="A418" s="16" t="s">
        <v>2583</v>
      </c>
      <c r="B418" s="2" t="str">
        <f>IFERROR(INDEX(Movimientos!$C$2:$C$1998,MATCH(A418&amp;"ENTRADA",Movimientos!$R$2:$R$1998,0)),"-")</f>
        <v>-</v>
      </c>
      <c r="C418" s="2" t="str">
        <f>IFERROR(INDEX(Movimientos!$D$2:$D$1998,MATCH(A418&amp;"ENTRADA",Movimientos!$R$2:$R$1998,0)),"-")</f>
        <v>-</v>
      </c>
      <c r="D418" s="2" t="str">
        <f>IFERROR(INDEX(Movimientos!$E$2:$E$1998,MATCH(A418&amp;"ENTRADA",Movimientos!$R$2:$R$1998,0)),"-")</f>
        <v>-</v>
      </c>
      <c r="E418" s="2" t="str">
        <f>IFERROR(INDEX(Movimientos!$F$2:$F$1998,MATCH(A418&amp;"ENTRADA",Movimientos!$R$2:$R$1998,0)),"-")</f>
        <v>-</v>
      </c>
      <c r="F418" s="2" t="str">
        <f>IFERROR(INDEX(Movimientos!$G$2:$G$1998,MATCH(A418&amp;"ENTRADA",Movimientos!$R$2:$R$1998,0)),"-")</f>
        <v>-</v>
      </c>
      <c r="G418" s="2" t="str">
        <f>IFERROR(INDEX(Movimientos!$L$2:$L$1998,MATCH(A418&amp;"ENTRADA",Movimientos!$R$2:$R$1998,0)),"-")</f>
        <v>-</v>
      </c>
      <c r="H418" s="17" t="str">
        <f>IFERROR(IF(INDEX(Movimientos!$M$2:$M$1998,MATCH(A418&amp;"ENTRADA",Movimientos!$R$2:$R$1998,0))=0,"S/D",INDEX(Movimientos!$M$2:$M$1998,MATCH(A418&amp;"ENTRADA",Movimientos!$R$2:$R$1998,0))),"S/D")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 ht="14.25">
      <c r="A419" s="16" t="s">
        <v>2584</v>
      </c>
      <c r="B419" s="2" t="str">
        <f>IFERROR(INDEX(Movimientos!$C$2:$C$1998,MATCH(A419&amp;"ENTRADA",Movimientos!$R$2:$R$1998,0)),"-")</f>
        <v>-</v>
      </c>
      <c r="C419" s="2" t="str">
        <f>IFERROR(INDEX(Movimientos!$D$2:$D$1998,MATCH(A419&amp;"ENTRADA",Movimientos!$R$2:$R$1998,0)),"-")</f>
        <v>-</v>
      </c>
      <c r="D419" s="2" t="str">
        <f>IFERROR(INDEX(Movimientos!$E$2:$E$1998,MATCH(A419&amp;"ENTRADA",Movimientos!$R$2:$R$1998,0)),"-")</f>
        <v>-</v>
      </c>
      <c r="E419" s="2" t="str">
        <f>IFERROR(INDEX(Movimientos!$F$2:$F$1998,MATCH(A419&amp;"ENTRADA",Movimientos!$R$2:$R$1998,0)),"-")</f>
        <v>-</v>
      </c>
      <c r="F419" s="2" t="str">
        <f>IFERROR(INDEX(Movimientos!$G$2:$G$1998,MATCH(A419&amp;"ENTRADA",Movimientos!$R$2:$R$1998,0)),"-")</f>
        <v>-</v>
      </c>
      <c r="G419" s="2" t="str">
        <f>IFERROR(INDEX(Movimientos!$L$2:$L$1998,MATCH(A419&amp;"ENTRADA",Movimientos!$R$2:$R$1998,0)),"-")</f>
        <v>-</v>
      </c>
      <c r="H419" s="17" t="str">
        <f>IFERROR(IF(INDEX(Movimientos!$M$2:$M$1998,MATCH(A419&amp;"ENTRADA",Movimientos!$R$2:$R$1998,0))=0,"S/D",INDEX(Movimientos!$M$2:$M$1998,MATCH(A419&amp;"ENTRADA",Movimientos!$R$2:$R$1998,0))),"S/D")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 ht="14.25">
      <c r="A420" s="16" t="s">
        <v>2585</v>
      </c>
      <c r="B420" s="2" t="str">
        <f>IFERROR(INDEX(Movimientos!$C$2:$C$1998,MATCH(A420&amp;"ENTRADA",Movimientos!$R$2:$R$1998,0)),"-")</f>
        <v>-</v>
      </c>
      <c r="C420" s="2" t="str">
        <f>IFERROR(INDEX(Movimientos!$D$2:$D$1998,MATCH(A420&amp;"ENTRADA",Movimientos!$R$2:$R$1998,0)),"-")</f>
        <v>-</v>
      </c>
      <c r="D420" s="2" t="str">
        <f>IFERROR(INDEX(Movimientos!$E$2:$E$1998,MATCH(A420&amp;"ENTRADA",Movimientos!$R$2:$R$1998,0)),"-")</f>
        <v>-</v>
      </c>
      <c r="E420" s="2" t="str">
        <f>IFERROR(INDEX(Movimientos!$F$2:$F$1998,MATCH(A420&amp;"ENTRADA",Movimientos!$R$2:$R$1998,0)),"-")</f>
        <v>-</v>
      </c>
      <c r="F420" s="2" t="str">
        <f>IFERROR(INDEX(Movimientos!$G$2:$G$1998,MATCH(A420&amp;"ENTRADA",Movimientos!$R$2:$R$1998,0)),"-")</f>
        <v>-</v>
      </c>
      <c r="G420" s="2" t="str">
        <f>IFERROR(INDEX(Movimientos!$L$2:$L$1998,MATCH(A420&amp;"ENTRADA",Movimientos!$R$2:$R$1998,0)),"-")</f>
        <v>-</v>
      </c>
      <c r="H420" s="17" t="str">
        <f>IFERROR(IF(INDEX(Movimientos!$M$2:$M$1998,MATCH(A420&amp;"ENTRADA",Movimientos!$R$2:$R$1998,0))=0,"S/D",INDEX(Movimientos!$M$2:$M$1998,MATCH(A420&amp;"ENTRADA",Movimientos!$R$2:$R$1998,0))),"S/D")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 ht="14.25">
      <c r="A421" s="16" t="s">
        <v>2586</v>
      </c>
      <c r="B421" s="2" t="str">
        <f>IFERROR(INDEX(Movimientos!$C$2:$C$1998,MATCH(A421&amp;"ENTRADA",Movimientos!$R$2:$R$1998,0)),"-")</f>
        <v>-</v>
      </c>
      <c r="C421" s="2" t="str">
        <f>IFERROR(INDEX(Movimientos!$D$2:$D$1998,MATCH(A421&amp;"ENTRADA",Movimientos!$R$2:$R$1998,0)),"-")</f>
        <v>-</v>
      </c>
      <c r="D421" s="2" t="str">
        <f>IFERROR(INDEX(Movimientos!$E$2:$E$1998,MATCH(A421&amp;"ENTRADA",Movimientos!$R$2:$R$1998,0)),"-")</f>
        <v>-</v>
      </c>
      <c r="E421" s="2" t="str">
        <f>IFERROR(INDEX(Movimientos!$F$2:$F$1998,MATCH(A421&amp;"ENTRADA",Movimientos!$R$2:$R$1998,0)),"-")</f>
        <v>-</v>
      </c>
      <c r="F421" s="2" t="str">
        <f>IFERROR(INDEX(Movimientos!$G$2:$G$1998,MATCH(A421&amp;"ENTRADA",Movimientos!$R$2:$R$1998,0)),"-")</f>
        <v>-</v>
      </c>
      <c r="G421" s="2" t="str">
        <f>IFERROR(INDEX(Movimientos!$L$2:$L$1998,MATCH(A421&amp;"ENTRADA",Movimientos!$R$2:$R$1998,0)),"-")</f>
        <v>-</v>
      </c>
      <c r="H421" s="17" t="str">
        <f>IFERROR(IF(INDEX(Movimientos!$M$2:$M$1998,MATCH(A421&amp;"ENTRADA",Movimientos!$R$2:$R$1998,0))=0,"S/D",INDEX(Movimientos!$M$2:$M$1998,MATCH(A421&amp;"ENTRADA",Movimientos!$R$2:$R$1998,0))),"S/D")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 ht="14.25">
      <c r="A422" s="16" t="s">
        <v>2587</v>
      </c>
      <c r="B422" s="2" t="str">
        <f>IFERROR(INDEX(Movimientos!$C$2:$C$1998,MATCH(A422&amp;"ENTRADA",Movimientos!$R$2:$R$1998,0)),"-")</f>
        <v>-</v>
      </c>
      <c r="C422" s="2" t="str">
        <f>IFERROR(INDEX(Movimientos!$D$2:$D$1998,MATCH(A422&amp;"ENTRADA",Movimientos!$R$2:$R$1998,0)),"-")</f>
        <v>-</v>
      </c>
      <c r="D422" s="2" t="str">
        <f>IFERROR(INDEX(Movimientos!$E$2:$E$1998,MATCH(A422&amp;"ENTRADA",Movimientos!$R$2:$R$1998,0)),"-")</f>
        <v>-</v>
      </c>
      <c r="E422" s="2" t="str">
        <f>IFERROR(INDEX(Movimientos!$F$2:$F$1998,MATCH(A422&amp;"ENTRADA",Movimientos!$R$2:$R$1998,0)),"-")</f>
        <v>-</v>
      </c>
      <c r="F422" s="2" t="str">
        <f>IFERROR(INDEX(Movimientos!$G$2:$G$1998,MATCH(A422&amp;"ENTRADA",Movimientos!$R$2:$R$1998,0)),"-")</f>
        <v>-</v>
      </c>
      <c r="G422" s="2" t="str">
        <f>IFERROR(INDEX(Movimientos!$L$2:$L$1998,MATCH(A422&amp;"ENTRADA",Movimientos!$R$2:$R$1998,0)),"-")</f>
        <v>-</v>
      </c>
      <c r="H422" s="17" t="str">
        <f>IFERROR(IF(INDEX(Movimientos!$M$2:$M$1998,MATCH(A422&amp;"ENTRADA",Movimientos!$R$2:$R$1998,0))=0,"S/D",INDEX(Movimientos!$M$2:$M$1998,MATCH(A422&amp;"ENTRADA",Movimientos!$R$2:$R$1998,0))),"S/D")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 ht="14.25">
      <c r="A423" s="16" t="s">
        <v>2588</v>
      </c>
      <c r="B423" s="2" t="str">
        <f>IFERROR(INDEX(Movimientos!$C$2:$C$1998,MATCH(A423&amp;"ENTRADA",Movimientos!$R$2:$R$1998,0)),"-")</f>
        <v>-</v>
      </c>
      <c r="C423" s="2" t="str">
        <f>IFERROR(INDEX(Movimientos!$D$2:$D$1998,MATCH(A423&amp;"ENTRADA",Movimientos!$R$2:$R$1998,0)),"-")</f>
        <v>-</v>
      </c>
      <c r="D423" s="2" t="str">
        <f>IFERROR(INDEX(Movimientos!$E$2:$E$1998,MATCH(A423&amp;"ENTRADA",Movimientos!$R$2:$R$1998,0)),"-")</f>
        <v>-</v>
      </c>
      <c r="E423" s="2" t="str">
        <f>IFERROR(INDEX(Movimientos!$F$2:$F$1998,MATCH(A423&amp;"ENTRADA",Movimientos!$R$2:$R$1998,0)),"-")</f>
        <v>-</v>
      </c>
      <c r="F423" s="2" t="str">
        <f>IFERROR(INDEX(Movimientos!$G$2:$G$1998,MATCH(A423&amp;"ENTRADA",Movimientos!$R$2:$R$1998,0)),"-")</f>
        <v>-</v>
      </c>
      <c r="G423" s="2" t="str">
        <f>IFERROR(INDEX(Movimientos!$L$2:$L$1998,MATCH(A423&amp;"ENTRADA",Movimientos!$R$2:$R$1998,0)),"-")</f>
        <v>-</v>
      </c>
      <c r="H423" s="17" t="str">
        <f>IFERROR(IF(INDEX(Movimientos!$M$2:$M$1998,MATCH(A423&amp;"ENTRADA",Movimientos!$R$2:$R$1998,0))=0,"S/D",INDEX(Movimientos!$M$2:$M$1998,MATCH(A423&amp;"ENTRADA",Movimientos!$R$2:$R$1998,0))),"S/D")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 ht="14.25">
      <c r="A424" s="16" t="s">
        <v>2589</v>
      </c>
      <c r="B424" s="2" t="str">
        <f>IFERROR(INDEX(Movimientos!$C$2:$C$1998,MATCH(A424&amp;"ENTRADA",Movimientos!$R$2:$R$1998,0)),"-")</f>
        <v>-</v>
      </c>
      <c r="C424" s="2" t="str">
        <f>IFERROR(INDEX(Movimientos!$D$2:$D$1998,MATCH(A424&amp;"ENTRADA",Movimientos!$R$2:$R$1998,0)),"-")</f>
        <v>-</v>
      </c>
      <c r="D424" s="2" t="str">
        <f>IFERROR(INDEX(Movimientos!$E$2:$E$1998,MATCH(A424&amp;"ENTRADA",Movimientos!$R$2:$R$1998,0)),"-")</f>
        <v>-</v>
      </c>
      <c r="E424" s="2" t="str">
        <f>IFERROR(INDEX(Movimientos!$F$2:$F$1998,MATCH(A424&amp;"ENTRADA",Movimientos!$R$2:$R$1998,0)),"-")</f>
        <v>-</v>
      </c>
      <c r="F424" s="2" t="str">
        <f>IFERROR(INDEX(Movimientos!$G$2:$G$1998,MATCH(A424&amp;"ENTRADA",Movimientos!$R$2:$R$1998,0)),"-")</f>
        <v>-</v>
      </c>
      <c r="G424" s="2" t="str">
        <f>IFERROR(INDEX(Movimientos!$L$2:$L$1998,MATCH(A424&amp;"ENTRADA",Movimientos!$R$2:$R$1998,0)),"-")</f>
        <v>-</v>
      </c>
      <c r="H424" s="17" t="str">
        <f>IFERROR(IF(INDEX(Movimientos!$M$2:$M$1998,MATCH(A424&amp;"ENTRADA",Movimientos!$R$2:$R$1998,0))=0,"S/D",INDEX(Movimientos!$M$2:$M$1998,MATCH(A424&amp;"ENTRADA",Movimientos!$R$2:$R$1998,0))),"S/D")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 ht="14.25">
      <c r="A425" s="16" t="s">
        <v>2590</v>
      </c>
      <c r="B425" s="2" t="str">
        <f>IFERROR(INDEX(Movimientos!$C$2:$C$1998,MATCH(A425&amp;"ENTRADA",Movimientos!$R$2:$R$1998,0)),"-")</f>
        <v>-</v>
      </c>
      <c r="C425" s="2" t="str">
        <f>IFERROR(INDEX(Movimientos!$D$2:$D$1998,MATCH(A425&amp;"ENTRADA",Movimientos!$R$2:$R$1998,0)),"-")</f>
        <v>-</v>
      </c>
      <c r="D425" s="2" t="str">
        <f>IFERROR(INDEX(Movimientos!$E$2:$E$1998,MATCH(A425&amp;"ENTRADA",Movimientos!$R$2:$R$1998,0)),"-")</f>
        <v>-</v>
      </c>
      <c r="E425" s="2" t="str">
        <f>IFERROR(INDEX(Movimientos!$F$2:$F$1998,MATCH(A425&amp;"ENTRADA",Movimientos!$R$2:$R$1998,0)),"-")</f>
        <v>-</v>
      </c>
      <c r="F425" s="2" t="str">
        <f>IFERROR(INDEX(Movimientos!$G$2:$G$1998,MATCH(A425&amp;"ENTRADA",Movimientos!$R$2:$R$1998,0)),"-")</f>
        <v>-</v>
      </c>
      <c r="G425" s="2" t="str">
        <f>IFERROR(INDEX(Movimientos!$L$2:$L$1998,MATCH(A425&amp;"ENTRADA",Movimientos!$R$2:$R$1998,0)),"-")</f>
        <v>-</v>
      </c>
      <c r="H425" s="17" t="str">
        <f>IFERROR(IF(INDEX(Movimientos!$M$2:$M$1998,MATCH(A425&amp;"ENTRADA",Movimientos!$R$2:$R$1998,0))=0,"S/D",INDEX(Movimientos!$M$2:$M$1998,MATCH(A425&amp;"ENTRADA",Movimientos!$R$2:$R$1998,0))),"S/D")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 ht="14.25">
      <c r="A426" s="16" t="s">
        <v>2591</v>
      </c>
      <c r="B426" s="2" t="str">
        <f>IFERROR(INDEX(Movimientos!$C$2:$C$1998,MATCH(A426&amp;"ENTRADA",Movimientos!$R$2:$R$1998,0)),"-")</f>
        <v>-</v>
      </c>
      <c r="C426" s="2" t="str">
        <f>IFERROR(INDEX(Movimientos!$D$2:$D$1998,MATCH(A426&amp;"ENTRADA",Movimientos!$R$2:$R$1998,0)),"-")</f>
        <v>-</v>
      </c>
      <c r="D426" s="2" t="str">
        <f>IFERROR(INDEX(Movimientos!$E$2:$E$1998,MATCH(A426&amp;"ENTRADA",Movimientos!$R$2:$R$1998,0)),"-")</f>
        <v>-</v>
      </c>
      <c r="E426" s="2" t="str">
        <f>IFERROR(INDEX(Movimientos!$F$2:$F$1998,MATCH(A426&amp;"ENTRADA",Movimientos!$R$2:$R$1998,0)),"-")</f>
        <v>-</v>
      </c>
      <c r="F426" s="2" t="str">
        <f>IFERROR(INDEX(Movimientos!$G$2:$G$1998,MATCH(A426&amp;"ENTRADA",Movimientos!$R$2:$R$1998,0)),"-")</f>
        <v>-</v>
      </c>
      <c r="G426" s="2" t="str">
        <f>IFERROR(INDEX(Movimientos!$L$2:$L$1998,MATCH(A426&amp;"ENTRADA",Movimientos!$R$2:$R$1998,0)),"-")</f>
        <v>-</v>
      </c>
      <c r="H426" s="17" t="str">
        <f>IFERROR(IF(INDEX(Movimientos!$M$2:$M$1998,MATCH(A426&amp;"ENTRADA",Movimientos!$R$2:$R$1998,0))=0,"S/D",INDEX(Movimientos!$M$2:$M$1998,MATCH(A426&amp;"ENTRADA",Movimientos!$R$2:$R$1998,0))),"S/D")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 ht="14.25">
      <c r="A427" s="16" t="s">
        <v>2592</v>
      </c>
      <c r="B427" s="2" t="str">
        <f>IFERROR(INDEX(Movimientos!$C$2:$C$1998,MATCH(A427&amp;"ENTRADA",Movimientos!$R$2:$R$1998,0)),"-")</f>
        <v>-</v>
      </c>
      <c r="C427" s="2" t="str">
        <f>IFERROR(INDEX(Movimientos!$D$2:$D$1998,MATCH(A427&amp;"ENTRADA",Movimientos!$R$2:$R$1998,0)),"-")</f>
        <v>-</v>
      </c>
      <c r="D427" s="2" t="str">
        <f>IFERROR(INDEX(Movimientos!$E$2:$E$1998,MATCH(A427&amp;"ENTRADA",Movimientos!$R$2:$R$1998,0)),"-")</f>
        <v>-</v>
      </c>
      <c r="E427" s="2" t="str">
        <f>IFERROR(INDEX(Movimientos!$F$2:$F$1998,MATCH(A427&amp;"ENTRADA",Movimientos!$R$2:$R$1998,0)),"-")</f>
        <v>-</v>
      </c>
      <c r="F427" s="2" t="str">
        <f>IFERROR(INDEX(Movimientos!$G$2:$G$1998,MATCH(A427&amp;"ENTRADA",Movimientos!$R$2:$R$1998,0)),"-")</f>
        <v>-</v>
      </c>
      <c r="G427" s="2" t="str">
        <f>IFERROR(INDEX(Movimientos!$L$2:$L$1998,MATCH(A427&amp;"ENTRADA",Movimientos!$R$2:$R$1998,0)),"-")</f>
        <v>-</v>
      </c>
      <c r="H427" s="17" t="str">
        <f>IFERROR(IF(INDEX(Movimientos!$M$2:$M$1998,MATCH(A427&amp;"ENTRADA",Movimientos!$R$2:$R$1998,0))=0,"S/D",INDEX(Movimientos!$M$2:$M$1998,MATCH(A427&amp;"ENTRADA",Movimientos!$R$2:$R$1998,0))),"S/D")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 ht="14.25">
      <c r="A428" s="16" t="s">
        <v>2593</v>
      </c>
      <c r="B428" s="2" t="str">
        <f>IFERROR(INDEX(Movimientos!$C$2:$C$1998,MATCH(A428&amp;"ENTRADA",Movimientos!$R$2:$R$1998,0)),"-")</f>
        <v>-</v>
      </c>
      <c r="C428" s="2" t="str">
        <f>IFERROR(INDEX(Movimientos!$D$2:$D$1998,MATCH(A428&amp;"ENTRADA",Movimientos!$R$2:$R$1998,0)),"-")</f>
        <v>-</v>
      </c>
      <c r="D428" s="2" t="str">
        <f>IFERROR(INDEX(Movimientos!$E$2:$E$1998,MATCH(A428&amp;"ENTRADA",Movimientos!$R$2:$R$1998,0)),"-")</f>
        <v>-</v>
      </c>
      <c r="E428" s="2" t="str">
        <f>IFERROR(INDEX(Movimientos!$F$2:$F$1998,MATCH(A428&amp;"ENTRADA",Movimientos!$R$2:$R$1998,0)),"-")</f>
        <v>-</v>
      </c>
      <c r="F428" s="2" t="str">
        <f>IFERROR(INDEX(Movimientos!$G$2:$G$1998,MATCH(A428&amp;"ENTRADA",Movimientos!$R$2:$R$1998,0)),"-")</f>
        <v>-</v>
      </c>
      <c r="G428" s="2" t="str">
        <f>IFERROR(INDEX(Movimientos!$L$2:$L$1998,MATCH(A428&amp;"ENTRADA",Movimientos!$R$2:$R$1998,0)),"-")</f>
        <v>-</v>
      </c>
      <c r="H428" s="17" t="str">
        <f>IFERROR(IF(INDEX(Movimientos!$M$2:$M$1998,MATCH(A428&amp;"ENTRADA",Movimientos!$R$2:$R$1998,0))=0,"S/D",INDEX(Movimientos!$M$2:$M$1998,MATCH(A428&amp;"ENTRADA",Movimientos!$R$2:$R$1998,0))),"S/D")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 ht="14.25">
      <c r="A429" s="16" t="s">
        <v>2594</v>
      </c>
      <c r="B429" s="2" t="str">
        <f>IFERROR(INDEX(Movimientos!$C$2:$C$1998,MATCH(A429&amp;"ENTRADA",Movimientos!$R$2:$R$1998,0)),"-")</f>
        <v>-</v>
      </c>
      <c r="C429" s="2" t="str">
        <f>IFERROR(INDEX(Movimientos!$D$2:$D$1998,MATCH(A429&amp;"ENTRADA",Movimientos!$R$2:$R$1998,0)),"-")</f>
        <v>-</v>
      </c>
      <c r="D429" s="2" t="str">
        <f>IFERROR(INDEX(Movimientos!$E$2:$E$1998,MATCH(A429&amp;"ENTRADA",Movimientos!$R$2:$R$1998,0)),"-")</f>
        <v>-</v>
      </c>
      <c r="E429" s="2" t="str">
        <f>IFERROR(INDEX(Movimientos!$F$2:$F$1998,MATCH(A429&amp;"ENTRADA",Movimientos!$R$2:$R$1998,0)),"-")</f>
        <v>-</v>
      </c>
      <c r="F429" s="2" t="str">
        <f>IFERROR(INDEX(Movimientos!$G$2:$G$1998,MATCH(A429&amp;"ENTRADA",Movimientos!$R$2:$R$1998,0)),"-")</f>
        <v>-</v>
      </c>
      <c r="G429" s="2" t="str">
        <f>IFERROR(INDEX(Movimientos!$L$2:$L$1998,MATCH(A429&amp;"ENTRADA",Movimientos!$R$2:$R$1998,0)),"-")</f>
        <v>-</v>
      </c>
      <c r="H429" s="17" t="str">
        <f>IFERROR(IF(INDEX(Movimientos!$M$2:$M$1998,MATCH(A429&amp;"ENTRADA",Movimientos!$R$2:$R$1998,0))=0,"S/D",INDEX(Movimientos!$M$2:$M$1998,MATCH(A429&amp;"ENTRADA",Movimientos!$R$2:$R$1998,0))),"S/D")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 ht="14.25">
      <c r="A430" s="16" t="s">
        <v>2595</v>
      </c>
      <c r="B430" s="2" t="str">
        <f>IFERROR(INDEX(Movimientos!$C$2:$C$1998,MATCH(A430&amp;"ENTRADA",Movimientos!$R$2:$R$1998,0)),"-")</f>
        <v>-</v>
      </c>
      <c r="C430" s="2" t="str">
        <f>IFERROR(INDEX(Movimientos!$D$2:$D$1998,MATCH(A430&amp;"ENTRADA",Movimientos!$R$2:$R$1998,0)),"-")</f>
        <v>-</v>
      </c>
      <c r="D430" s="2" t="str">
        <f>IFERROR(INDEX(Movimientos!$E$2:$E$1998,MATCH(A430&amp;"ENTRADA",Movimientos!$R$2:$R$1998,0)),"-")</f>
        <v>-</v>
      </c>
      <c r="E430" s="2" t="str">
        <f>IFERROR(INDEX(Movimientos!$F$2:$F$1998,MATCH(A430&amp;"ENTRADA",Movimientos!$R$2:$R$1998,0)),"-")</f>
        <v>-</v>
      </c>
      <c r="F430" s="2" t="str">
        <f>IFERROR(INDEX(Movimientos!$G$2:$G$1998,MATCH(A430&amp;"ENTRADA",Movimientos!$R$2:$R$1998,0)),"-")</f>
        <v>-</v>
      </c>
      <c r="G430" s="2" t="str">
        <f>IFERROR(INDEX(Movimientos!$L$2:$L$1998,MATCH(A430&amp;"ENTRADA",Movimientos!$R$2:$R$1998,0)),"-")</f>
        <v>-</v>
      </c>
      <c r="H430" s="17" t="str">
        <f>IFERROR(IF(INDEX(Movimientos!$M$2:$M$1998,MATCH(A430&amp;"ENTRADA",Movimientos!$R$2:$R$1998,0))=0,"S/D",INDEX(Movimientos!$M$2:$M$1998,MATCH(A430&amp;"ENTRADA",Movimientos!$R$2:$R$1998,0))),"S/D")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 ht="14.25">
      <c r="A431" s="16" t="s">
        <v>2596</v>
      </c>
      <c r="B431" s="2" t="str">
        <f>IFERROR(INDEX(Movimientos!$C$2:$C$1998,MATCH(A431&amp;"ENTRADA",Movimientos!$R$2:$R$1998,0)),"-")</f>
        <v>-</v>
      </c>
      <c r="C431" s="2" t="str">
        <f>IFERROR(INDEX(Movimientos!$D$2:$D$1998,MATCH(A431&amp;"ENTRADA",Movimientos!$R$2:$R$1998,0)),"-")</f>
        <v>-</v>
      </c>
      <c r="D431" s="2" t="str">
        <f>IFERROR(INDEX(Movimientos!$E$2:$E$1998,MATCH(A431&amp;"ENTRADA",Movimientos!$R$2:$R$1998,0)),"-")</f>
        <v>-</v>
      </c>
      <c r="E431" s="2" t="str">
        <f>IFERROR(INDEX(Movimientos!$F$2:$F$1998,MATCH(A431&amp;"ENTRADA",Movimientos!$R$2:$R$1998,0)),"-")</f>
        <v>-</v>
      </c>
      <c r="F431" s="2" t="str">
        <f>IFERROR(INDEX(Movimientos!$G$2:$G$1998,MATCH(A431&amp;"ENTRADA",Movimientos!$R$2:$R$1998,0)),"-")</f>
        <v>-</v>
      </c>
      <c r="G431" s="2" t="str">
        <f>IFERROR(INDEX(Movimientos!$L$2:$L$1998,MATCH(A431&amp;"ENTRADA",Movimientos!$R$2:$R$1998,0)),"-")</f>
        <v>-</v>
      </c>
      <c r="H431" s="17" t="str">
        <f>IFERROR(IF(INDEX(Movimientos!$M$2:$M$1998,MATCH(A431&amp;"ENTRADA",Movimientos!$R$2:$R$1998,0))=0,"S/D",INDEX(Movimientos!$M$2:$M$1998,MATCH(A431&amp;"ENTRADA",Movimientos!$R$2:$R$1998,0))),"S/D")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 ht="14.25">
      <c r="A432" s="16" t="s">
        <v>2597</v>
      </c>
      <c r="B432" s="2" t="str">
        <f>IFERROR(INDEX(Movimientos!$C$2:$C$1998,MATCH(A432&amp;"ENTRADA",Movimientos!$R$2:$R$1998,0)),"-")</f>
        <v>-</v>
      </c>
      <c r="C432" s="2" t="str">
        <f>IFERROR(INDEX(Movimientos!$D$2:$D$1998,MATCH(A432&amp;"ENTRADA",Movimientos!$R$2:$R$1998,0)),"-")</f>
        <v>-</v>
      </c>
      <c r="D432" s="2" t="str">
        <f>IFERROR(INDEX(Movimientos!$E$2:$E$1998,MATCH(A432&amp;"ENTRADA",Movimientos!$R$2:$R$1998,0)),"-")</f>
        <v>-</v>
      </c>
      <c r="E432" s="2" t="str">
        <f>IFERROR(INDEX(Movimientos!$F$2:$F$1998,MATCH(A432&amp;"ENTRADA",Movimientos!$R$2:$R$1998,0)),"-")</f>
        <v>-</v>
      </c>
      <c r="F432" s="2" t="str">
        <f>IFERROR(INDEX(Movimientos!$G$2:$G$1998,MATCH(A432&amp;"ENTRADA",Movimientos!$R$2:$R$1998,0)),"-")</f>
        <v>-</v>
      </c>
      <c r="G432" s="2" t="str">
        <f>IFERROR(INDEX(Movimientos!$L$2:$L$1998,MATCH(A432&amp;"ENTRADA",Movimientos!$R$2:$R$1998,0)),"-")</f>
        <v>-</v>
      </c>
      <c r="H432" s="17" t="str">
        <f>IFERROR(IF(INDEX(Movimientos!$M$2:$M$1998,MATCH(A432&amp;"ENTRADA",Movimientos!$R$2:$R$1998,0))=0,"S/D",INDEX(Movimientos!$M$2:$M$1998,MATCH(A432&amp;"ENTRADA",Movimientos!$R$2:$R$1998,0))),"S/D")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 ht="14.25">
      <c r="A433" s="16" t="s">
        <v>2598</v>
      </c>
      <c r="B433" s="2" t="str">
        <f>IFERROR(INDEX(Movimientos!$C$2:$C$1998,MATCH(A433&amp;"ENTRADA",Movimientos!$R$2:$R$1998,0)),"-")</f>
        <v>-</v>
      </c>
      <c r="C433" s="2" t="str">
        <f>IFERROR(INDEX(Movimientos!$D$2:$D$1998,MATCH(A433&amp;"ENTRADA",Movimientos!$R$2:$R$1998,0)),"-")</f>
        <v>-</v>
      </c>
      <c r="D433" s="2" t="str">
        <f>IFERROR(INDEX(Movimientos!$E$2:$E$1998,MATCH(A433&amp;"ENTRADA",Movimientos!$R$2:$R$1998,0)),"-")</f>
        <v>-</v>
      </c>
      <c r="E433" s="2" t="str">
        <f>IFERROR(INDEX(Movimientos!$F$2:$F$1998,MATCH(A433&amp;"ENTRADA",Movimientos!$R$2:$R$1998,0)),"-")</f>
        <v>-</v>
      </c>
      <c r="F433" s="2" t="str">
        <f>IFERROR(INDEX(Movimientos!$G$2:$G$1998,MATCH(A433&amp;"ENTRADA",Movimientos!$R$2:$R$1998,0)),"-")</f>
        <v>-</v>
      </c>
      <c r="G433" s="2" t="str">
        <f>IFERROR(INDEX(Movimientos!$L$2:$L$1998,MATCH(A433&amp;"ENTRADA",Movimientos!$R$2:$R$1998,0)),"-")</f>
        <v>-</v>
      </c>
      <c r="H433" s="17" t="str">
        <f>IFERROR(IF(INDEX(Movimientos!$M$2:$M$1998,MATCH(A433&amp;"ENTRADA",Movimientos!$R$2:$R$1998,0))=0,"S/D",INDEX(Movimientos!$M$2:$M$1998,MATCH(A433&amp;"ENTRADA",Movimientos!$R$2:$R$1998,0))),"S/D")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 ht="14.25">
      <c r="A434" s="16" t="s">
        <v>2599</v>
      </c>
      <c r="B434" s="2" t="str">
        <f>IFERROR(INDEX(Movimientos!$C$2:$C$1998,MATCH(A434&amp;"ENTRADA",Movimientos!$R$2:$R$1998,0)),"-")</f>
        <v>-</v>
      </c>
      <c r="C434" s="2" t="str">
        <f>IFERROR(INDEX(Movimientos!$D$2:$D$1998,MATCH(A434&amp;"ENTRADA",Movimientos!$R$2:$R$1998,0)),"-")</f>
        <v>-</v>
      </c>
      <c r="D434" s="2" t="str">
        <f>IFERROR(INDEX(Movimientos!$E$2:$E$1998,MATCH(A434&amp;"ENTRADA",Movimientos!$R$2:$R$1998,0)),"-")</f>
        <v>-</v>
      </c>
      <c r="E434" s="2" t="str">
        <f>IFERROR(INDEX(Movimientos!$F$2:$F$1998,MATCH(A434&amp;"ENTRADA",Movimientos!$R$2:$R$1998,0)),"-")</f>
        <v>-</v>
      </c>
      <c r="F434" s="2" t="str">
        <f>IFERROR(INDEX(Movimientos!$G$2:$G$1998,MATCH(A434&amp;"ENTRADA",Movimientos!$R$2:$R$1998,0)),"-")</f>
        <v>-</v>
      </c>
      <c r="G434" s="2" t="str">
        <f>IFERROR(INDEX(Movimientos!$L$2:$L$1998,MATCH(A434&amp;"ENTRADA",Movimientos!$R$2:$R$1998,0)),"-")</f>
        <v>-</v>
      </c>
      <c r="H434" s="17" t="str">
        <f>IFERROR(IF(INDEX(Movimientos!$M$2:$M$1998,MATCH(A434&amp;"ENTRADA",Movimientos!$R$2:$R$1998,0))=0,"S/D",INDEX(Movimientos!$M$2:$M$1998,MATCH(A434&amp;"ENTRADA",Movimientos!$R$2:$R$1998,0))),"S/D")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 ht="14.25">
      <c r="A435" s="16" t="s">
        <v>2600</v>
      </c>
      <c r="B435" s="2" t="str">
        <f>IFERROR(INDEX(Movimientos!$C$2:$C$1998,MATCH(A435&amp;"ENTRADA",Movimientos!$R$2:$R$1998,0)),"-")</f>
        <v>-</v>
      </c>
      <c r="C435" s="2" t="str">
        <f>IFERROR(INDEX(Movimientos!$D$2:$D$1998,MATCH(A435&amp;"ENTRADA",Movimientos!$R$2:$R$1998,0)),"-")</f>
        <v>-</v>
      </c>
      <c r="D435" s="2" t="str">
        <f>IFERROR(INDEX(Movimientos!$E$2:$E$1998,MATCH(A435&amp;"ENTRADA",Movimientos!$R$2:$R$1998,0)),"-")</f>
        <v>-</v>
      </c>
      <c r="E435" s="2" t="str">
        <f>IFERROR(INDEX(Movimientos!$F$2:$F$1998,MATCH(A435&amp;"ENTRADA",Movimientos!$R$2:$R$1998,0)),"-")</f>
        <v>-</v>
      </c>
      <c r="F435" s="2" t="str">
        <f>IFERROR(INDEX(Movimientos!$G$2:$G$1998,MATCH(A435&amp;"ENTRADA",Movimientos!$R$2:$R$1998,0)),"-")</f>
        <v>-</v>
      </c>
      <c r="G435" s="2" t="str">
        <f>IFERROR(INDEX(Movimientos!$L$2:$L$1998,MATCH(A435&amp;"ENTRADA",Movimientos!$R$2:$R$1998,0)),"-")</f>
        <v>-</v>
      </c>
      <c r="H435" s="17" t="str">
        <f>IFERROR(IF(INDEX(Movimientos!$M$2:$M$1998,MATCH(A435&amp;"ENTRADA",Movimientos!$R$2:$R$1998,0))=0,"S/D",INDEX(Movimientos!$M$2:$M$1998,MATCH(A435&amp;"ENTRADA",Movimientos!$R$2:$R$1998,0))),"S/D")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 ht="14.25">
      <c r="A436" s="16" t="s">
        <v>2601</v>
      </c>
      <c r="B436" s="2" t="str">
        <f>IFERROR(INDEX(Movimientos!$C$2:$C$1998,MATCH(A436&amp;"ENTRADA",Movimientos!$R$2:$R$1998,0)),"-")</f>
        <v>-</v>
      </c>
      <c r="C436" s="2" t="str">
        <f>IFERROR(INDEX(Movimientos!$D$2:$D$1998,MATCH(A436&amp;"ENTRADA",Movimientos!$R$2:$R$1998,0)),"-")</f>
        <v>-</v>
      </c>
      <c r="D436" s="2" t="str">
        <f>IFERROR(INDEX(Movimientos!$E$2:$E$1998,MATCH(A436&amp;"ENTRADA",Movimientos!$R$2:$R$1998,0)),"-")</f>
        <v>-</v>
      </c>
      <c r="E436" s="2" t="str">
        <f>IFERROR(INDEX(Movimientos!$F$2:$F$1998,MATCH(A436&amp;"ENTRADA",Movimientos!$R$2:$R$1998,0)),"-")</f>
        <v>-</v>
      </c>
      <c r="F436" s="2" t="str">
        <f>IFERROR(INDEX(Movimientos!$G$2:$G$1998,MATCH(A436&amp;"ENTRADA",Movimientos!$R$2:$R$1998,0)),"-")</f>
        <v>-</v>
      </c>
      <c r="G436" s="2" t="str">
        <f>IFERROR(INDEX(Movimientos!$L$2:$L$1998,MATCH(A436&amp;"ENTRADA",Movimientos!$R$2:$R$1998,0)),"-")</f>
        <v>-</v>
      </c>
      <c r="H436" s="17" t="str">
        <f>IFERROR(IF(INDEX(Movimientos!$M$2:$M$1998,MATCH(A436&amp;"ENTRADA",Movimientos!$R$2:$R$1998,0))=0,"S/D",INDEX(Movimientos!$M$2:$M$1998,MATCH(A436&amp;"ENTRADA",Movimientos!$R$2:$R$1998,0))),"S/D")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 ht="14.25">
      <c r="A437" s="16" t="s">
        <v>2602</v>
      </c>
      <c r="B437" s="2" t="str">
        <f>IFERROR(INDEX(Movimientos!$C$2:$C$1998,MATCH(A437&amp;"ENTRADA",Movimientos!$R$2:$R$1998,0)),"-")</f>
        <v>-</v>
      </c>
      <c r="C437" s="2" t="str">
        <f>IFERROR(INDEX(Movimientos!$D$2:$D$1998,MATCH(A437&amp;"ENTRADA",Movimientos!$R$2:$R$1998,0)),"-")</f>
        <v>-</v>
      </c>
      <c r="D437" s="2" t="str">
        <f>IFERROR(INDEX(Movimientos!$E$2:$E$1998,MATCH(A437&amp;"ENTRADA",Movimientos!$R$2:$R$1998,0)),"-")</f>
        <v>-</v>
      </c>
      <c r="E437" s="2" t="str">
        <f>IFERROR(INDEX(Movimientos!$F$2:$F$1998,MATCH(A437&amp;"ENTRADA",Movimientos!$R$2:$R$1998,0)),"-")</f>
        <v>-</v>
      </c>
      <c r="F437" s="2" t="str">
        <f>IFERROR(INDEX(Movimientos!$G$2:$G$1998,MATCH(A437&amp;"ENTRADA",Movimientos!$R$2:$R$1998,0)),"-")</f>
        <v>-</v>
      </c>
      <c r="G437" s="2" t="str">
        <f>IFERROR(INDEX(Movimientos!$L$2:$L$1998,MATCH(A437&amp;"ENTRADA",Movimientos!$R$2:$R$1998,0)),"-")</f>
        <v>-</v>
      </c>
      <c r="H437" s="17" t="str">
        <f>IFERROR(IF(INDEX(Movimientos!$M$2:$M$1998,MATCH(A437&amp;"ENTRADA",Movimientos!$R$2:$R$1998,0))=0,"S/D",INDEX(Movimientos!$M$2:$M$1998,MATCH(A437&amp;"ENTRADA",Movimientos!$R$2:$R$1998,0))),"S/D")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 ht="14.25">
      <c r="A438" s="16" t="s">
        <v>2603</v>
      </c>
      <c r="B438" s="2" t="str">
        <f>IFERROR(INDEX(Movimientos!$C$2:$C$1998,MATCH(A438&amp;"ENTRADA",Movimientos!$R$2:$R$1998,0)),"-")</f>
        <v>-</v>
      </c>
      <c r="C438" s="2" t="str">
        <f>IFERROR(INDEX(Movimientos!$D$2:$D$1998,MATCH(A438&amp;"ENTRADA",Movimientos!$R$2:$R$1998,0)),"-")</f>
        <v>-</v>
      </c>
      <c r="D438" s="2" t="str">
        <f>IFERROR(INDEX(Movimientos!$E$2:$E$1998,MATCH(A438&amp;"ENTRADA",Movimientos!$R$2:$R$1998,0)),"-")</f>
        <v>-</v>
      </c>
      <c r="E438" s="2" t="str">
        <f>IFERROR(INDEX(Movimientos!$F$2:$F$1998,MATCH(A438&amp;"ENTRADA",Movimientos!$R$2:$R$1998,0)),"-")</f>
        <v>-</v>
      </c>
      <c r="F438" s="2" t="str">
        <f>IFERROR(INDEX(Movimientos!$G$2:$G$1998,MATCH(A438&amp;"ENTRADA",Movimientos!$R$2:$R$1998,0)),"-")</f>
        <v>-</v>
      </c>
      <c r="G438" s="2" t="str">
        <f>IFERROR(INDEX(Movimientos!$L$2:$L$1998,MATCH(A438&amp;"ENTRADA",Movimientos!$R$2:$R$1998,0)),"-")</f>
        <v>-</v>
      </c>
      <c r="H438" s="17" t="str">
        <f>IFERROR(IF(INDEX(Movimientos!$M$2:$M$1998,MATCH(A438&amp;"ENTRADA",Movimientos!$R$2:$R$1998,0))=0,"S/D",INDEX(Movimientos!$M$2:$M$1998,MATCH(A438&amp;"ENTRADA",Movimientos!$R$2:$R$1998,0))),"S/D")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 ht="14.25">
      <c r="A439" s="16" t="s">
        <v>2604</v>
      </c>
      <c r="B439" s="2" t="str">
        <f>IFERROR(INDEX(Movimientos!$C$2:$C$1998,MATCH(A439&amp;"ENTRADA",Movimientos!$R$2:$R$1998,0)),"-")</f>
        <v>-</v>
      </c>
      <c r="C439" s="2" t="str">
        <f>IFERROR(INDEX(Movimientos!$D$2:$D$1998,MATCH(A439&amp;"ENTRADA",Movimientos!$R$2:$R$1998,0)),"-")</f>
        <v>-</v>
      </c>
      <c r="D439" s="2" t="str">
        <f>IFERROR(INDEX(Movimientos!$E$2:$E$1998,MATCH(A439&amp;"ENTRADA",Movimientos!$R$2:$R$1998,0)),"-")</f>
        <v>-</v>
      </c>
      <c r="E439" s="2" t="str">
        <f>IFERROR(INDEX(Movimientos!$F$2:$F$1998,MATCH(A439&amp;"ENTRADA",Movimientos!$R$2:$R$1998,0)),"-")</f>
        <v>-</v>
      </c>
      <c r="F439" s="2" t="str">
        <f>IFERROR(INDEX(Movimientos!$G$2:$G$1998,MATCH(A439&amp;"ENTRADA",Movimientos!$R$2:$R$1998,0)),"-")</f>
        <v>-</v>
      </c>
      <c r="G439" s="2" t="str">
        <f>IFERROR(INDEX(Movimientos!$L$2:$L$1998,MATCH(A439&amp;"ENTRADA",Movimientos!$R$2:$R$1998,0)),"-")</f>
        <v>-</v>
      </c>
      <c r="H439" s="17" t="str">
        <f>IFERROR(IF(INDEX(Movimientos!$M$2:$M$1998,MATCH(A439&amp;"ENTRADA",Movimientos!$R$2:$R$1998,0))=0,"S/D",INDEX(Movimientos!$M$2:$M$1998,MATCH(A439&amp;"ENTRADA",Movimientos!$R$2:$R$1998,0))),"S/D")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 ht="14.25">
      <c r="A440" s="16" t="s">
        <v>2605</v>
      </c>
      <c r="B440" s="2" t="str">
        <f>IFERROR(INDEX(Movimientos!$C$2:$C$1998,MATCH(A440&amp;"ENTRADA",Movimientos!$R$2:$R$1998,0)),"-")</f>
        <v>-</v>
      </c>
      <c r="C440" s="2" t="str">
        <f>IFERROR(INDEX(Movimientos!$D$2:$D$1998,MATCH(A440&amp;"ENTRADA",Movimientos!$R$2:$R$1998,0)),"-")</f>
        <v>-</v>
      </c>
      <c r="D440" s="2" t="str">
        <f>IFERROR(INDEX(Movimientos!$E$2:$E$1998,MATCH(A440&amp;"ENTRADA",Movimientos!$R$2:$R$1998,0)),"-")</f>
        <v>-</v>
      </c>
      <c r="E440" s="2" t="str">
        <f>IFERROR(INDEX(Movimientos!$F$2:$F$1998,MATCH(A440&amp;"ENTRADA",Movimientos!$R$2:$R$1998,0)),"-")</f>
        <v>-</v>
      </c>
      <c r="F440" s="2" t="str">
        <f>IFERROR(INDEX(Movimientos!$G$2:$G$1998,MATCH(A440&amp;"ENTRADA",Movimientos!$R$2:$R$1998,0)),"-")</f>
        <v>-</v>
      </c>
      <c r="G440" s="2" t="str">
        <f>IFERROR(INDEX(Movimientos!$L$2:$L$1998,MATCH(A440&amp;"ENTRADA",Movimientos!$R$2:$R$1998,0)),"-")</f>
        <v>-</v>
      </c>
      <c r="H440" s="17" t="str">
        <f>IFERROR(IF(INDEX(Movimientos!$M$2:$M$1998,MATCH(A440&amp;"ENTRADA",Movimientos!$R$2:$R$1998,0))=0,"S/D",INDEX(Movimientos!$M$2:$M$1998,MATCH(A440&amp;"ENTRADA",Movimientos!$R$2:$R$1998,0))),"S/D")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 ht="14.25">
      <c r="A441" s="16" t="s">
        <v>2606</v>
      </c>
      <c r="B441" s="2" t="str">
        <f>IFERROR(INDEX(Movimientos!$C$2:$C$1998,MATCH(A441&amp;"ENTRADA",Movimientos!$R$2:$R$1998,0)),"-")</f>
        <v>-</v>
      </c>
      <c r="C441" s="2" t="str">
        <f>IFERROR(INDEX(Movimientos!$D$2:$D$1998,MATCH(A441&amp;"ENTRADA",Movimientos!$R$2:$R$1998,0)),"-")</f>
        <v>-</v>
      </c>
      <c r="D441" s="2" t="str">
        <f>IFERROR(INDEX(Movimientos!$E$2:$E$1998,MATCH(A441&amp;"ENTRADA",Movimientos!$R$2:$R$1998,0)),"-")</f>
        <v>-</v>
      </c>
      <c r="E441" s="2" t="str">
        <f>IFERROR(INDEX(Movimientos!$F$2:$F$1998,MATCH(A441&amp;"ENTRADA",Movimientos!$R$2:$R$1998,0)),"-")</f>
        <v>-</v>
      </c>
      <c r="F441" s="2" t="str">
        <f>IFERROR(INDEX(Movimientos!$G$2:$G$1998,MATCH(A441&amp;"ENTRADA",Movimientos!$R$2:$R$1998,0)),"-")</f>
        <v>-</v>
      </c>
      <c r="G441" s="2" t="str">
        <f>IFERROR(INDEX(Movimientos!$L$2:$L$1998,MATCH(A441&amp;"ENTRADA",Movimientos!$R$2:$R$1998,0)),"-")</f>
        <v>-</v>
      </c>
      <c r="H441" s="17" t="str">
        <f>IFERROR(IF(INDEX(Movimientos!$M$2:$M$1998,MATCH(A441&amp;"ENTRADA",Movimientos!$R$2:$R$1998,0))=0,"S/D",INDEX(Movimientos!$M$2:$M$1998,MATCH(A441&amp;"ENTRADA",Movimientos!$R$2:$R$1998,0))),"S/D")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 ht="14.25">
      <c r="A442" s="16" t="s">
        <v>2607</v>
      </c>
      <c r="B442" s="2" t="str">
        <f>IFERROR(INDEX(Movimientos!$C$2:$C$1998,MATCH(A442&amp;"ENTRADA",Movimientos!$R$2:$R$1998,0)),"-")</f>
        <v>-</v>
      </c>
      <c r="C442" s="2" t="str">
        <f>IFERROR(INDEX(Movimientos!$D$2:$D$1998,MATCH(A442&amp;"ENTRADA",Movimientos!$R$2:$R$1998,0)),"-")</f>
        <v>-</v>
      </c>
      <c r="D442" s="2" t="str">
        <f>IFERROR(INDEX(Movimientos!$E$2:$E$1998,MATCH(A442&amp;"ENTRADA",Movimientos!$R$2:$R$1998,0)),"-")</f>
        <v>-</v>
      </c>
      <c r="E442" s="2" t="str">
        <f>IFERROR(INDEX(Movimientos!$F$2:$F$1998,MATCH(A442&amp;"ENTRADA",Movimientos!$R$2:$R$1998,0)),"-")</f>
        <v>-</v>
      </c>
      <c r="F442" s="2" t="str">
        <f>IFERROR(INDEX(Movimientos!$G$2:$G$1998,MATCH(A442&amp;"ENTRADA",Movimientos!$R$2:$R$1998,0)),"-")</f>
        <v>-</v>
      </c>
      <c r="G442" s="2" t="str">
        <f>IFERROR(INDEX(Movimientos!$L$2:$L$1998,MATCH(A442&amp;"ENTRADA",Movimientos!$R$2:$R$1998,0)),"-")</f>
        <v>-</v>
      </c>
      <c r="H442" s="17" t="str">
        <f>IFERROR(IF(INDEX(Movimientos!$M$2:$M$1998,MATCH(A442&amp;"ENTRADA",Movimientos!$R$2:$R$1998,0))=0,"S/D",INDEX(Movimientos!$M$2:$M$1998,MATCH(A442&amp;"ENTRADA",Movimientos!$R$2:$R$1998,0))),"S/D")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 ht="14.25">
      <c r="A443" s="16" t="s">
        <v>2608</v>
      </c>
      <c r="B443" s="2" t="str">
        <f>IFERROR(INDEX(Movimientos!$C$2:$C$1998,MATCH(A443&amp;"ENTRADA",Movimientos!$R$2:$R$1998,0)),"-")</f>
        <v>-</v>
      </c>
      <c r="C443" s="2" t="str">
        <f>IFERROR(INDEX(Movimientos!$D$2:$D$1998,MATCH(A443&amp;"ENTRADA",Movimientos!$R$2:$R$1998,0)),"-")</f>
        <v>-</v>
      </c>
      <c r="D443" s="2" t="str">
        <f>IFERROR(INDEX(Movimientos!$E$2:$E$1998,MATCH(A443&amp;"ENTRADA",Movimientos!$R$2:$R$1998,0)),"-")</f>
        <v>-</v>
      </c>
      <c r="E443" s="2" t="str">
        <f>IFERROR(INDEX(Movimientos!$F$2:$F$1998,MATCH(A443&amp;"ENTRADA",Movimientos!$R$2:$R$1998,0)),"-")</f>
        <v>-</v>
      </c>
      <c r="F443" s="2" t="str">
        <f>IFERROR(INDEX(Movimientos!$G$2:$G$1998,MATCH(A443&amp;"ENTRADA",Movimientos!$R$2:$R$1998,0)),"-")</f>
        <v>-</v>
      </c>
      <c r="G443" s="2" t="str">
        <f>IFERROR(INDEX(Movimientos!$L$2:$L$1998,MATCH(A443&amp;"ENTRADA",Movimientos!$R$2:$R$1998,0)),"-")</f>
        <v>-</v>
      </c>
      <c r="H443" s="17" t="str">
        <f>IFERROR(IF(INDEX(Movimientos!$M$2:$M$1998,MATCH(A443&amp;"ENTRADA",Movimientos!$R$2:$R$1998,0))=0,"S/D",INDEX(Movimientos!$M$2:$M$1998,MATCH(A443&amp;"ENTRADA",Movimientos!$R$2:$R$1998,0))),"S/D")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 ht="14.25">
      <c r="A444" s="16" t="s">
        <v>2609</v>
      </c>
      <c r="B444" s="2" t="str">
        <f>IFERROR(INDEX(Movimientos!$C$2:$C$1998,MATCH(A444&amp;"ENTRADA",Movimientos!$R$2:$R$1998,0)),"-")</f>
        <v>-</v>
      </c>
      <c r="C444" s="2" t="str">
        <f>IFERROR(INDEX(Movimientos!$D$2:$D$1998,MATCH(A444&amp;"ENTRADA",Movimientos!$R$2:$R$1998,0)),"-")</f>
        <v>-</v>
      </c>
      <c r="D444" s="2" t="str">
        <f>IFERROR(INDEX(Movimientos!$E$2:$E$1998,MATCH(A444&amp;"ENTRADA",Movimientos!$R$2:$R$1998,0)),"-")</f>
        <v>-</v>
      </c>
      <c r="E444" s="2" t="str">
        <f>IFERROR(INDEX(Movimientos!$F$2:$F$1998,MATCH(A444&amp;"ENTRADA",Movimientos!$R$2:$R$1998,0)),"-")</f>
        <v>-</v>
      </c>
      <c r="F444" s="2" t="str">
        <f>IFERROR(INDEX(Movimientos!$G$2:$G$1998,MATCH(A444&amp;"ENTRADA",Movimientos!$R$2:$R$1998,0)),"-")</f>
        <v>-</v>
      </c>
      <c r="G444" s="2" t="str">
        <f>IFERROR(INDEX(Movimientos!$L$2:$L$1998,MATCH(A444&amp;"ENTRADA",Movimientos!$R$2:$R$1998,0)),"-")</f>
        <v>-</v>
      </c>
      <c r="H444" s="17" t="str">
        <f>IFERROR(IF(INDEX(Movimientos!$M$2:$M$1998,MATCH(A444&amp;"ENTRADA",Movimientos!$R$2:$R$1998,0))=0,"S/D",INDEX(Movimientos!$M$2:$M$1998,MATCH(A444&amp;"ENTRADA",Movimientos!$R$2:$R$1998,0))),"S/D")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 ht="14.25">
      <c r="A445" s="16" t="s">
        <v>2610</v>
      </c>
      <c r="B445" s="2" t="str">
        <f>IFERROR(INDEX(Movimientos!$C$2:$C$1998,MATCH(A445&amp;"ENTRADA",Movimientos!$R$2:$R$1998,0)),"-")</f>
        <v>-</v>
      </c>
      <c r="C445" s="2" t="str">
        <f>IFERROR(INDEX(Movimientos!$D$2:$D$1998,MATCH(A445&amp;"ENTRADA",Movimientos!$R$2:$R$1998,0)),"-")</f>
        <v>-</v>
      </c>
      <c r="D445" s="2" t="str">
        <f>IFERROR(INDEX(Movimientos!$E$2:$E$1998,MATCH(A445&amp;"ENTRADA",Movimientos!$R$2:$R$1998,0)),"-")</f>
        <v>-</v>
      </c>
      <c r="E445" s="2" t="str">
        <f>IFERROR(INDEX(Movimientos!$F$2:$F$1998,MATCH(A445&amp;"ENTRADA",Movimientos!$R$2:$R$1998,0)),"-")</f>
        <v>-</v>
      </c>
      <c r="F445" s="2" t="str">
        <f>IFERROR(INDEX(Movimientos!$G$2:$G$1998,MATCH(A445&amp;"ENTRADA",Movimientos!$R$2:$R$1998,0)),"-")</f>
        <v>-</v>
      </c>
      <c r="G445" s="2" t="str">
        <f>IFERROR(INDEX(Movimientos!$L$2:$L$1998,MATCH(A445&amp;"ENTRADA",Movimientos!$R$2:$R$1998,0)),"-")</f>
        <v>-</v>
      </c>
      <c r="H445" s="17" t="str">
        <f>IFERROR(IF(INDEX(Movimientos!$M$2:$M$1998,MATCH(A445&amp;"ENTRADA",Movimientos!$R$2:$R$1998,0))=0,"S/D",INDEX(Movimientos!$M$2:$M$1998,MATCH(A445&amp;"ENTRADA",Movimientos!$R$2:$R$1998,0))),"S/D")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 ht="14.25">
      <c r="A446" s="16" t="s">
        <v>2611</v>
      </c>
      <c r="B446" s="2" t="str">
        <f>IFERROR(INDEX(Movimientos!$C$2:$C$1998,MATCH(A446&amp;"ENTRADA",Movimientos!$R$2:$R$1998,0)),"-")</f>
        <v>-</v>
      </c>
      <c r="C446" s="2" t="str">
        <f>IFERROR(INDEX(Movimientos!$D$2:$D$1998,MATCH(A446&amp;"ENTRADA",Movimientos!$R$2:$R$1998,0)),"-")</f>
        <v>-</v>
      </c>
      <c r="D446" s="2" t="str">
        <f>IFERROR(INDEX(Movimientos!$E$2:$E$1998,MATCH(A446&amp;"ENTRADA",Movimientos!$R$2:$R$1998,0)),"-")</f>
        <v>-</v>
      </c>
      <c r="E446" s="2" t="str">
        <f>IFERROR(INDEX(Movimientos!$F$2:$F$1998,MATCH(A446&amp;"ENTRADA",Movimientos!$R$2:$R$1998,0)),"-")</f>
        <v>-</v>
      </c>
      <c r="F446" s="2" t="str">
        <f>IFERROR(INDEX(Movimientos!$G$2:$G$1998,MATCH(A446&amp;"ENTRADA",Movimientos!$R$2:$R$1998,0)),"-")</f>
        <v>-</v>
      </c>
      <c r="G446" s="2" t="str">
        <f>IFERROR(INDEX(Movimientos!$L$2:$L$1998,MATCH(A446&amp;"ENTRADA",Movimientos!$R$2:$R$1998,0)),"-")</f>
        <v>-</v>
      </c>
      <c r="H446" s="17" t="str">
        <f>IFERROR(IF(INDEX(Movimientos!$M$2:$M$1998,MATCH(A446&amp;"ENTRADA",Movimientos!$R$2:$R$1998,0))=0,"S/D",INDEX(Movimientos!$M$2:$M$1998,MATCH(A446&amp;"ENTRADA",Movimientos!$R$2:$R$1998,0))),"S/D")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 ht="14.25">
      <c r="A447" s="16" t="s">
        <v>2612</v>
      </c>
      <c r="B447" s="2" t="str">
        <f>IFERROR(INDEX(Movimientos!$C$2:$C$1998,MATCH(A447&amp;"ENTRADA",Movimientos!$R$2:$R$1998,0)),"-")</f>
        <v>-</v>
      </c>
      <c r="C447" s="2" t="str">
        <f>IFERROR(INDEX(Movimientos!$D$2:$D$1998,MATCH(A447&amp;"ENTRADA",Movimientos!$R$2:$R$1998,0)),"-")</f>
        <v>-</v>
      </c>
      <c r="D447" s="2" t="str">
        <f>IFERROR(INDEX(Movimientos!$E$2:$E$1998,MATCH(A447&amp;"ENTRADA",Movimientos!$R$2:$R$1998,0)),"-")</f>
        <v>-</v>
      </c>
      <c r="E447" s="2" t="str">
        <f>IFERROR(INDEX(Movimientos!$F$2:$F$1998,MATCH(A447&amp;"ENTRADA",Movimientos!$R$2:$R$1998,0)),"-")</f>
        <v>-</v>
      </c>
      <c r="F447" s="2" t="str">
        <f>IFERROR(INDEX(Movimientos!$G$2:$G$1998,MATCH(A447&amp;"ENTRADA",Movimientos!$R$2:$R$1998,0)),"-")</f>
        <v>-</v>
      </c>
      <c r="G447" s="2" t="str">
        <f>IFERROR(INDEX(Movimientos!$L$2:$L$1998,MATCH(A447&amp;"ENTRADA",Movimientos!$R$2:$R$1998,0)),"-")</f>
        <v>-</v>
      </c>
      <c r="H447" s="17" t="str">
        <f>IFERROR(IF(INDEX(Movimientos!$M$2:$M$1998,MATCH(A447&amp;"ENTRADA",Movimientos!$R$2:$R$1998,0))=0,"S/D",INDEX(Movimientos!$M$2:$M$1998,MATCH(A447&amp;"ENTRADA",Movimientos!$R$2:$R$1998,0))),"S/D")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 ht="14.25">
      <c r="A448" s="16" t="s">
        <v>2613</v>
      </c>
      <c r="B448" s="2" t="str">
        <f>IFERROR(INDEX(Movimientos!$C$2:$C$1998,MATCH(A448&amp;"ENTRADA",Movimientos!$R$2:$R$1998,0)),"-")</f>
        <v>-</v>
      </c>
      <c r="C448" s="2" t="str">
        <f>IFERROR(INDEX(Movimientos!$D$2:$D$1998,MATCH(A448&amp;"ENTRADA",Movimientos!$R$2:$R$1998,0)),"-")</f>
        <v>-</v>
      </c>
      <c r="D448" s="2" t="str">
        <f>IFERROR(INDEX(Movimientos!$E$2:$E$1998,MATCH(A448&amp;"ENTRADA",Movimientos!$R$2:$R$1998,0)),"-")</f>
        <v>-</v>
      </c>
      <c r="E448" s="2" t="str">
        <f>IFERROR(INDEX(Movimientos!$F$2:$F$1998,MATCH(A448&amp;"ENTRADA",Movimientos!$R$2:$R$1998,0)),"-")</f>
        <v>-</v>
      </c>
      <c r="F448" s="2" t="str">
        <f>IFERROR(INDEX(Movimientos!$G$2:$G$1998,MATCH(A448&amp;"ENTRADA",Movimientos!$R$2:$R$1998,0)),"-")</f>
        <v>-</v>
      </c>
      <c r="G448" s="2" t="str">
        <f>IFERROR(INDEX(Movimientos!$L$2:$L$1998,MATCH(A448&amp;"ENTRADA",Movimientos!$R$2:$R$1998,0)),"-")</f>
        <v>-</v>
      </c>
      <c r="H448" s="17" t="str">
        <f>IFERROR(IF(INDEX(Movimientos!$M$2:$M$1998,MATCH(A448&amp;"ENTRADA",Movimientos!$R$2:$R$1998,0))=0,"S/D",INDEX(Movimientos!$M$2:$M$1998,MATCH(A448&amp;"ENTRADA",Movimientos!$R$2:$R$1998,0))),"S/D")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 ht="14.25">
      <c r="A449" s="16" t="s">
        <v>2614</v>
      </c>
      <c r="B449" s="2" t="str">
        <f>IFERROR(INDEX(Movimientos!$C$2:$C$1998,MATCH(A449&amp;"ENTRADA",Movimientos!$R$2:$R$1998,0)),"-")</f>
        <v>-</v>
      </c>
      <c r="C449" s="2" t="str">
        <f>IFERROR(INDEX(Movimientos!$D$2:$D$1998,MATCH(A449&amp;"ENTRADA",Movimientos!$R$2:$R$1998,0)),"-")</f>
        <v>-</v>
      </c>
      <c r="D449" s="2" t="str">
        <f>IFERROR(INDEX(Movimientos!$E$2:$E$1998,MATCH(A449&amp;"ENTRADA",Movimientos!$R$2:$R$1998,0)),"-")</f>
        <v>-</v>
      </c>
      <c r="E449" s="2" t="str">
        <f>IFERROR(INDEX(Movimientos!$F$2:$F$1998,MATCH(A449&amp;"ENTRADA",Movimientos!$R$2:$R$1998,0)),"-")</f>
        <v>-</v>
      </c>
      <c r="F449" s="2" t="str">
        <f>IFERROR(INDEX(Movimientos!$G$2:$G$1998,MATCH(A449&amp;"ENTRADA",Movimientos!$R$2:$R$1998,0)),"-")</f>
        <v>-</v>
      </c>
      <c r="G449" s="2" t="str">
        <f>IFERROR(INDEX(Movimientos!$L$2:$L$1998,MATCH(A449&amp;"ENTRADA",Movimientos!$R$2:$R$1998,0)),"-")</f>
        <v>-</v>
      </c>
      <c r="H449" s="17" t="str">
        <f>IFERROR(IF(INDEX(Movimientos!$M$2:$M$1998,MATCH(A449&amp;"ENTRADA",Movimientos!$R$2:$R$1998,0))=0,"S/D",INDEX(Movimientos!$M$2:$M$1998,MATCH(A449&amp;"ENTRADA",Movimientos!$R$2:$R$1998,0))),"S/D")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 ht="14.25">
      <c r="A450" s="16" t="s">
        <v>2615</v>
      </c>
      <c r="B450" s="2" t="str">
        <f>IFERROR(INDEX(Movimientos!$C$2:$C$1998,MATCH(A450&amp;"ENTRADA",Movimientos!$R$2:$R$1998,0)),"-")</f>
        <v>-</v>
      </c>
      <c r="C450" s="2" t="str">
        <f>IFERROR(INDEX(Movimientos!$D$2:$D$1998,MATCH(A450&amp;"ENTRADA",Movimientos!$R$2:$R$1998,0)),"-")</f>
        <v>-</v>
      </c>
      <c r="D450" s="2" t="str">
        <f>IFERROR(INDEX(Movimientos!$E$2:$E$1998,MATCH(A450&amp;"ENTRADA",Movimientos!$R$2:$R$1998,0)),"-")</f>
        <v>-</v>
      </c>
      <c r="E450" s="2" t="str">
        <f>IFERROR(INDEX(Movimientos!$F$2:$F$1998,MATCH(A450&amp;"ENTRADA",Movimientos!$R$2:$R$1998,0)),"-")</f>
        <v>-</v>
      </c>
      <c r="F450" s="2" t="str">
        <f>IFERROR(INDEX(Movimientos!$G$2:$G$1998,MATCH(A450&amp;"ENTRADA",Movimientos!$R$2:$R$1998,0)),"-")</f>
        <v>-</v>
      </c>
      <c r="G450" s="2" t="str">
        <f>IFERROR(INDEX(Movimientos!$L$2:$L$1998,MATCH(A450&amp;"ENTRADA",Movimientos!$R$2:$R$1998,0)),"-")</f>
        <v>-</v>
      </c>
      <c r="H450" s="17" t="str">
        <f>IFERROR(IF(INDEX(Movimientos!$M$2:$M$1998,MATCH(A450&amp;"ENTRADA",Movimientos!$R$2:$R$1998,0))=0,"S/D",INDEX(Movimientos!$M$2:$M$1998,MATCH(A450&amp;"ENTRADA",Movimientos!$R$2:$R$1998,0))),"S/D")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 ht="14.25">
      <c r="A451" s="16" t="s">
        <v>2616</v>
      </c>
      <c r="B451" s="2" t="str">
        <f>IFERROR(INDEX(Movimientos!$C$2:$C$1998,MATCH(A451&amp;"ENTRADA",Movimientos!$R$2:$R$1998,0)),"-")</f>
        <v>-</v>
      </c>
      <c r="C451" s="2" t="str">
        <f>IFERROR(INDEX(Movimientos!$D$2:$D$1998,MATCH(A451&amp;"ENTRADA",Movimientos!$R$2:$R$1998,0)),"-")</f>
        <v>-</v>
      </c>
      <c r="D451" s="2" t="str">
        <f>IFERROR(INDEX(Movimientos!$E$2:$E$1998,MATCH(A451&amp;"ENTRADA",Movimientos!$R$2:$R$1998,0)),"-")</f>
        <v>-</v>
      </c>
      <c r="E451" s="2" t="str">
        <f>IFERROR(INDEX(Movimientos!$F$2:$F$1998,MATCH(A451&amp;"ENTRADA",Movimientos!$R$2:$R$1998,0)),"-")</f>
        <v>-</v>
      </c>
      <c r="F451" s="2" t="str">
        <f>IFERROR(INDEX(Movimientos!$G$2:$G$1998,MATCH(A451&amp;"ENTRADA",Movimientos!$R$2:$R$1998,0)),"-")</f>
        <v>-</v>
      </c>
      <c r="G451" s="2" t="str">
        <f>IFERROR(INDEX(Movimientos!$L$2:$L$1998,MATCH(A451&amp;"ENTRADA",Movimientos!$R$2:$R$1998,0)),"-")</f>
        <v>-</v>
      </c>
      <c r="H451" s="17" t="str">
        <f>IFERROR(IF(INDEX(Movimientos!$M$2:$M$1998,MATCH(A451&amp;"ENTRADA",Movimientos!$R$2:$R$1998,0))=0,"S/D",INDEX(Movimientos!$M$2:$M$1998,MATCH(A451&amp;"ENTRADA",Movimientos!$R$2:$R$1998,0))),"S/D")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 ht="14.25">
      <c r="A452" s="16" t="s">
        <v>2617</v>
      </c>
      <c r="B452" s="2" t="str">
        <f>IFERROR(INDEX(Movimientos!$C$2:$C$1998,MATCH(A452&amp;"ENTRADA",Movimientos!$R$2:$R$1998,0)),"-")</f>
        <v>-</v>
      </c>
      <c r="C452" s="2" t="str">
        <f>IFERROR(INDEX(Movimientos!$D$2:$D$1998,MATCH(A452&amp;"ENTRADA",Movimientos!$R$2:$R$1998,0)),"-")</f>
        <v>-</v>
      </c>
      <c r="D452" s="2" t="str">
        <f>IFERROR(INDEX(Movimientos!$E$2:$E$1998,MATCH(A452&amp;"ENTRADA",Movimientos!$R$2:$R$1998,0)),"-")</f>
        <v>-</v>
      </c>
      <c r="E452" s="2" t="str">
        <f>IFERROR(INDEX(Movimientos!$F$2:$F$1998,MATCH(A452&amp;"ENTRADA",Movimientos!$R$2:$R$1998,0)),"-")</f>
        <v>-</v>
      </c>
      <c r="F452" s="2" t="str">
        <f>IFERROR(INDEX(Movimientos!$G$2:$G$1998,MATCH(A452&amp;"ENTRADA",Movimientos!$R$2:$R$1998,0)),"-")</f>
        <v>-</v>
      </c>
      <c r="G452" s="2" t="str">
        <f>IFERROR(INDEX(Movimientos!$L$2:$L$1998,MATCH(A452&amp;"ENTRADA",Movimientos!$R$2:$R$1998,0)),"-")</f>
        <v>-</v>
      </c>
      <c r="H452" s="17" t="str">
        <f>IFERROR(IF(INDEX(Movimientos!$M$2:$M$1998,MATCH(A452&amp;"ENTRADA",Movimientos!$R$2:$R$1998,0))=0,"S/D",INDEX(Movimientos!$M$2:$M$1998,MATCH(A452&amp;"ENTRADA",Movimientos!$R$2:$R$1998,0))),"S/D")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 ht="14.25">
      <c r="A453" s="16" t="s">
        <v>2618</v>
      </c>
      <c r="B453" s="2" t="str">
        <f>IFERROR(INDEX(Movimientos!$C$2:$C$1998,MATCH(A453&amp;"ENTRADA",Movimientos!$R$2:$R$1998,0)),"-")</f>
        <v>-</v>
      </c>
      <c r="C453" s="2" t="str">
        <f>IFERROR(INDEX(Movimientos!$D$2:$D$1998,MATCH(A453&amp;"ENTRADA",Movimientos!$R$2:$R$1998,0)),"-")</f>
        <v>-</v>
      </c>
      <c r="D453" s="2" t="str">
        <f>IFERROR(INDEX(Movimientos!$E$2:$E$1998,MATCH(A453&amp;"ENTRADA",Movimientos!$R$2:$R$1998,0)),"-")</f>
        <v>-</v>
      </c>
      <c r="E453" s="2" t="str">
        <f>IFERROR(INDEX(Movimientos!$F$2:$F$1998,MATCH(A453&amp;"ENTRADA",Movimientos!$R$2:$R$1998,0)),"-")</f>
        <v>-</v>
      </c>
      <c r="F453" s="2" t="str">
        <f>IFERROR(INDEX(Movimientos!$G$2:$G$1998,MATCH(A453&amp;"ENTRADA",Movimientos!$R$2:$R$1998,0)),"-")</f>
        <v>-</v>
      </c>
      <c r="G453" s="2" t="str">
        <f>IFERROR(INDEX(Movimientos!$L$2:$L$1998,MATCH(A453&amp;"ENTRADA",Movimientos!$R$2:$R$1998,0)),"-")</f>
        <v>-</v>
      </c>
      <c r="H453" s="17" t="str">
        <f>IFERROR(IF(INDEX(Movimientos!$M$2:$M$1998,MATCH(A453&amp;"ENTRADA",Movimientos!$R$2:$R$1998,0))=0,"S/D",INDEX(Movimientos!$M$2:$M$1998,MATCH(A453&amp;"ENTRADA",Movimientos!$R$2:$R$1998,0))),"S/D")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 ht="14.25">
      <c r="A454" s="16" t="s">
        <v>2619</v>
      </c>
      <c r="B454" s="2" t="str">
        <f>IFERROR(INDEX(Movimientos!$C$2:$C$1998,MATCH(A454&amp;"ENTRADA",Movimientos!$R$2:$R$1998,0)),"-")</f>
        <v>-</v>
      </c>
      <c r="C454" s="2" t="str">
        <f>IFERROR(INDEX(Movimientos!$D$2:$D$1998,MATCH(A454&amp;"ENTRADA",Movimientos!$R$2:$R$1998,0)),"-")</f>
        <v>-</v>
      </c>
      <c r="D454" s="2" t="str">
        <f>IFERROR(INDEX(Movimientos!$E$2:$E$1998,MATCH(A454&amp;"ENTRADA",Movimientos!$R$2:$R$1998,0)),"-")</f>
        <v>-</v>
      </c>
      <c r="E454" s="2" t="str">
        <f>IFERROR(INDEX(Movimientos!$F$2:$F$1998,MATCH(A454&amp;"ENTRADA",Movimientos!$R$2:$R$1998,0)),"-")</f>
        <v>-</v>
      </c>
      <c r="F454" s="2" t="str">
        <f>IFERROR(INDEX(Movimientos!$G$2:$G$1998,MATCH(A454&amp;"ENTRADA",Movimientos!$R$2:$R$1998,0)),"-")</f>
        <v>-</v>
      </c>
      <c r="G454" s="2" t="str">
        <f>IFERROR(INDEX(Movimientos!$L$2:$L$1998,MATCH(A454&amp;"ENTRADA",Movimientos!$R$2:$R$1998,0)),"-")</f>
        <v>-</v>
      </c>
      <c r="H454" s="17" t="str">
        <f>IFERROR(IF(INDEX(Movimientos!$M$2:$M$1998,MATCH(A454&amp;"ENTRADA",Movimientos!$R$2:$R$1998,0))=0,"S/D",INDEX(Movimientos!$M$2:$M$1998,MATCH(A454&amp;"ENTRADA",Movimientos!$R$2:$R$1998,0))),"S/D")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 ht="14.25">
      <c r="A455" s="16" t="s">
        <v>2620</v>
      </c>
      <c r="B455" s="2" t="str">
        <f>IFERROR(INDEX(Movimientos!$C$2:$C$1998,MATCH(A455&amp;"ENTRADA",Movimientos!$R$2:$R$1998,0)),"-")</f>
        <v>-</v>
      </c>
      <c r="C455" s="2" t="str">
        <f>IFERROR(INDEX(Movimientos!$D$2:$D$1998,MATCH(A455&amp;"ENTRADA",Movimientos!$R$2:$R$1998,0)),"-")</f>
        <v>-</v>
      </c>
      <c r="D455" s="2" t="str">
        <f>IFERROR(INDEX(Movimientos!$E$2:$E$1998,MATCH(A455&amp;"ENTRADA",Movimientos!$R$2:$R$1998,0)),"-")</f>
        <v>-</v>
      </c>
      <c r="E455" s="2" t="str">
        <f>IFERROR(INDEX(Movimientos!$F$2:$F$1998,MATCH(A455&amp;"ENTRADA",Movimientos!$R$2:$R$1998,0)),"-")</f>
        <v>-</v>
      </c>
      <c r="F455" s="2" t="str">
        <f>IFERROR(INDEX(Movimientos!$G$2:$G$1998,MATCH(A455&amp;"ENTRADA",Movimientos!$R$2:$R$1998,0)),"-")</f>
        <v>-</v>
      </c>
      <c r="G455" s="2" t="str">
        <f>IFERROR(INDEX(Movimientos!$L$2:$L$1998,MATCH(A455&amp;"ENTRADA",Movimientos!$R$2:$R$1998,0)),"-")</f>
        <v>-</v>
      </c>
      <c r="H455" s="17" t="str">
        <f>IFERROR(IF(INDEX(Movimientos!$M$2:$M$1998,MATCH(A455&amp;"ENTRADA",Movimientos!$R$2:$R$1998,0))=0,"S/D",INDEX(Movimientos!$M$2:$M$1998,MATCH(A455&amp;"ENTRADA",Movimientos!$R$2:$R$1998,0))),"S/D")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 ht="14.25">
      <c r="A456" s="16" t="s">
        <v>2621</v>
      </c>
      <c r="B456" s="2" t="str">
        <f>IFERROR(INDEX(Movimientos!$C$2:$C$1998,MATCH(A456&amp;"ENTRADA",Movimientos!$R$2:$R$1998,0)),"-")</f>
        <v>-</v>
      </c>
      <c r="C456" s="2" t="str">
        <f>IFERROR(INDEX(Movimientos!$D$2:$D$1998,MATCH(A456&amp;"ENTRADA",Movimientos!$R$2:$R$1998,0)),"-")</f>
        <v>-</v>
      </c>
      <c r="D456" s="2" t="str">
        <f>IFERROR(INDEX(Movimientos!$E$2:$E$1998,MATCH(A456&amp;"ENTRADA",Movimientos!$R$2:$R$1998,0)),"-")</f>
        <v>-</v>
      </c>
      <c r="E456" s="2" t="str">
        <f>IFERROR(INDEX(Movimientos!$F$2:$F$1998,MATCH(A456&amp;"ENTRADA",Movimientos!$R$2:$R$1998,0)),"-")</f>
        <v>-</v>
      </c>
      <c r="F456" s="2" t="str">
        <f>IFERROR(INDEX(Movimientos!$G$2:$G$1998,MATCH(A456&amp;"ENTRADA",Movimientos!$R$2:$R$1998,0)),"-")</f>
        <v>-</v>
      </c>
      <c r="G456" s="2" t="str">
        <f>IFERROR(INDEX(Movimientos!$L$2:$L$1998,MATCH(A456&amp;"ENTRADA",Movimientos!$R$2:$R$1998,0)),"-")</f>
        <v>-</v>
      </c>
      <c r="H456" s="17" t="str">
        <f>IFERROR(IF(INDEX(Movimientos!$M$2:$M$1998,MATCH(A456&amp;"ENTRADA",Movimientos!$R$2:$R$1998,0))=0,"S/D",INDEX(Movimientos!$M$2:$M$1998,MATCH(A456&amp;"ENTRADA",Movimientos!$R$2:$R$1998,0))),"S/D")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 ht="14.25">
      <c r="A457" s="16" t="s">
        <v>2622</v>
      </c>
      <c r="B457" s="2" t="str">
        <f>IFERROR(INDEX(Movimientos!$C$2:$C$1998,MATCH(A457&amp;"ENTRADA",Movimientos!$R$2:$R$1998,0)),"-")</f>
        <v>-</v>
      </c>
      <c r="C457" s="2" t="str">
        <f>IFERROR(INDEX(Movimientos!$D$2:$D$1998,MATCH(A457&amp;"ENTRADA",Movimientos!$R$2:$R$1998,0)),"-")</f>
        <v>-</v>
      </c>
      <c r="D457" s="2" t="str">
        <f>IFERROR(INDEX(Movimientos!$E$2:$E$1998,MATCH(A457&amp;"ENTRADA",Movimientos!$R$2:$R$1998,0)),"-")</f>
        <v>-</v>
      </c>
      <c r="E457" s="2" t="str">
        <f>IFERROR(INDEX(Movimientos!$F$2:$F$1998,MATCH(A457&amp;"ENTRADA",Movimientos!$R$2:$R$1998,0)),"-")</f>
        <v>-</v>
      </c>
      <c r="F457" s="2" t="str">
        <f>IFERROR(INDEX(Movimientos!$G$2:$G$1998,MATCH(A457&amp;"ENTRADA",Movimientos!$R$2:$R$1998,0)),"-")</f>
        <v>-</v>
      </c>
      <c r="G457" s="2" t="str">
        <f>IFERROR(INDEX(Movimientos!$L$2:$L$1998,MATCH(A457&amp;"ENTRADA",Movimientos!$R$2:$R$1998,0)),"-")</f>
        <v>-</v>
      </c>
      <c r="H457" s="17" t="str">
        <f>IFERROR(IF(INDEX(Movimientos!$M$2:$M$1998,MATCH(A457&amp;"ENTRADA",Movimientos!$R$2:$R$1998,0))=0,"S/D",INDEX(Movimientos!$M$2:$M$1998,MATCH(A457&amp;"ENTRADA",Movimientos!$R$2:$R$1998,0))),"S/D")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 ht="14.25">
      <c r="A458" s="16" t="s">
        <v>2623</v>
      </c>
      <c r="B458" s="2" t="str">
        <f>IFERROR(INDEX(Movimientos!$C$2:$C$1998,MATCH(A458&amp;"ENTRADA",Movimientos!$R$2:$R$1998,0)),"-")</f>
        <v>-</v>
      </c>
      <c r="C458" s="2" t="str">
        <f>IFERROR(INDEX(Movimientos!$D$2:$D$1998,MATCH(A458&amp;"ENTRADA",Movimientos!$R$2:$R$1998,0)),"-")</f>
        <v>-</v>
      </c>
      <c r="D458" s="2" t="str">
        <f>IFERROR(INDEX(Movimientos!$E$2:$E$1998,MATCH(A458&amp;"ENTRADA",Movimientos!$R$2:$R$1998,0)),"-")</f>
        <v>-</v>
      </c>
      <c r="E458" s="2" t="str">
        <f>IFERROR(INDEX(Movimientos!$F$2:$F$1998,MATCH(A458&amp;"ENTRADA",Movimientos!$R$2:$R$1998,0)),"-")</f>
        <v>-</v>
      </c>
      <c r="F458" s="2" t="str">
        <f>IFERROR(INDEX(Movimientos!$G$2:$G$1998,MATCH(A458&amp;"ENTRADA",Movimientos!$R$2:$R$1998,0)),"-")</f>
        <v>-</v>
      </c>
      <c r="G458" s="2" t="str">
        <f>IFERROR(INDEX(Movimientos!$L$2:$L$1998,MATCH(A458&amp;"ENTRADA",Movimientos!$R$2:$R$1998,0)),"-")</f>
        <v>-</v>
      </c>
      <c r="H458" s="17" t="str">
        <f>IFERROR(IF(INDEX(Movimientos!$M$2:$M$1998,MATCH(A458&amp;"ENTRADA",Movimientos!$R$2:$R$1998,0))=0,"S/D",INDEX(Movimientos!$M$2:$M$1998,MATCH(A458&amp;"ENTRADA",Movimientos!$R$2:$R$1998,0))),"S/D")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 ht="14.25">
      <c r="A459" s="16" t="s">
        <v>2624</v>
      </c>
      <c r="B459" s="2" t="str">
        <f>IFERROR(INDEX(Movimientos!$C$2:$C$1998,MATCH(A459&amp;"ENTRADA",Movimientos!$R$2:$R$1998,0)),"-")</f>
        <v>-</v>
      </c>
      <c r="C459" s="2" t="str">
        <f>IFERROR(INDEX(Movimientos!$D$2:$D$1998,MATCH(A459&amp;"ENTRADA",Movimientos!$R$2:$R$1998,0)),"-")</f>
        <v>-</v>
      </c>
      <c r="D459" s="2" t="str">
        <f>IFERROR(INDEX(Movimientos!$E$2:$E$1998,MATCH(A459&amp;"ENTRADA",Movimientos!$R$2:$R$1998,0)),"-")</f>
        <v>-</v>
      </c>
      <c r="E459" s="2" t="str">
        <f>IFERROR(INDEX(Movimientos!$F$2:$F$1998,MATCH(A459&amp;"ENTRADA",Movimientos!$R$2:$R$1998,0)),"-")</f>
        <v>-</v>
      </c>
      <c r="F459" s="2" t="str">
        <f>IFERROR(INDEX(Movimientos!$G$2:$G$1998,MATCH(A459&amp;"ENTRADA",Movimientos!$R$2:$R$1998,0)),"-")</f>
        <v>-</v>
      </c>
      <c r="G459" s="2" t="str">
        <f>IFERROR(INDEX(Movimientos!$L$2:$L$1998,MATCH(A459&amp;"ENTRADA",Movimientos!$R$2:$R$1998,0)),"-")</f>
        <v>-</v>
      </c>
      <c r="H459" s="17" t="str">
        <f>IFERROR(IF(INDEX(Movimientos!$M$2:$M$1998,MATCH(A459&amp;"ENTRADA",Movimientos!$R$2:$R$1998,0))=0,"S/D",INDEX(Movimientos!$M$2:$M$1998,MATCH(A459&amp;"ENTRADA",Movimientos!$R$2:$R$1998,0))),"S/D")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 ht="14.25">
      <c r="A460" s="16" t="s">
        <v>2625</v>
      </c>
      <c r="B460" s="2" t="str">
        <f>IFERROR(INDEX(Movimientos!$C$2:$C$1998,MATCH(A460&amp;"ENTRADA",Movimientos!$R$2:$R$1998,0)),"-")</f>
        <v>-</v>
      </c>
      <c r="C460" s="2" t="str">
        <f>IFERROR(INDEX(Movimientos!$D$2:$D$1998,MATCH(A460&amp;"ENTRADA",Movimientos!$R$2:$R$1998,0)),"-")</f>
        <v>-</v>
      </c>
      <c r="D460" s="2" t="str">
        <f>IFERROR(INDEX(Movimientos!$E$2:$E$1998,MATCH(A460&amp;"ENTRADA",Movimientos!$R$2:$R$1998,0)),"-")</f>
        <v>-</v>
      </c>
      <c r="E460" s="2" t="str">
        <f>IFERROR(INDEX(Movimientos!$F$2:$F$1998,MATCH(A460&amp;"ENTRADA",Movimientos!$R$2:$R$1998,0)),"-")</f>
        <v>-</v>
      </c>
      <c r="F460" s="2" t="str">
        <f>IFERROR(INDEX(Movimientos!$G$2:$G$1998,MATCH(A460&amp;"ENTRADA",Movimientos!$R$2:$R$1998,0)),"-")</f>
        <v>-</v>
      </c>
      <c r="G460" s="2" t="str">
        <f>IFERROR(INDEX(Movimientos!$L$2:$L$1998,MATCH(A460&amp;"ENTRADA",Movimientos!$R$2:$R$1998,0)),"-")</f>
        <v>-</v>
      </c>
      <c r="H460" s="17" t="str">
        <f>IFERROR(IF(INDEX(Movimientos!$M$2:$M$1998,MATCH(A460&amp;"ENTRADA",Movimientos!$R$2:$R$1998,0))=0,"S/D",INDEX(Movimientos!$M$2:$M$1998,MATCH(A460&amp;"ENTRADA",Movimientos!$R$2:$R$1998,0))),"S/D")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 ht="14.25">
      <c r="A461" s="16" t="s">
        <v>2626</v>
      </c>
      <c r="B461" s="2" t="str">
        <f>IFERROR(INDEX(Movimientos!$C$2:$C$1998,MATCH(A461&amp;"ENTRADA",Movimientos!$R$2:$R$1998,0)),"-")</f>
        <v>-</v>
      </c>
      <c r="C461" s="2" t="str">
        <f>IFERROR(INDEX(Movimientos!$D$2:$D$1998,MATCH(A461&amp;"ENTRADA",Movimientos!$R$2:$R$1998,0)),"-")</f>
        <v>-</v>
      </c>
      <c r="D461" s="2" t="str">
        <f>IFERROR(INDEX(Movimientos!$E$2:$E$1998,MATCH(A461&amp;"ENTRADA",Movimientos!$R$2:$R$1998,0)),"-")</f>
        <v>-</v>
      </c>
      <c r="E461" s="2" t="str">
        <f>IFERROR(INDEX(Movimientos!$F$2:$F$1998,MATCH(A461&amp;"ENTRADA",Movimientos!$R$2:$R$1998,0)),"-")</f>
        <v>-</v>
      </c>
      <c r="F461" s="2" t="str">
        <f>IFERROR(INDEX(Movimientos!$G$2:$G$1998,MATCH(A461&amp;"ENTRADA",Movimientos!$R$2:$R$1998,0)),"-")</f>
        <v>-</v>
      </c>
      <c r="G461" s="2" t="str">
        <f>IFERROR(INDEX(Movimientos!$L$2:$L$1998,MATCH(A461&amp;"ENTRADA",Movimientos!$R$2:$R$1998,0)),"-")</f>
        <v>-</v>
      </c>
      <c r="H461" s="17" t="str">
        <f>IFERROR(IF(INDEX(Movimientos!$M$2:$M$1998,MATCH(A461&amp;"ENTRADA",Movimientos!$R$2:$R$1998,0))=0,"S/D",INDEX(Movimientos!$M$2:$M$1998,MATCH(A461&amp;"ENTRADA",Movimientos!$R$2:$R$1998,0))),"S/D")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 ht="14.25">
      <c r="A462" s="16" t="s">
        <v>2627</v>
      </c>
      <c r="B462" s="2" t="str">
        <f>IFERROR(INDEX(Movimientos!$C$2:$C$1998,MATCH(A462&amp;"ENTRADA",Movimientos!$R$2:$R$1998,0)),"-")</f>
        <v>-</v>
      </c>
      <c r="C462" s="2" t="str">
        <f>IFERROR(INDEX(Movimientos!$D$2:$D$1998,MATCH(A462&amp;"ENTRADA",Movimientos!$R$2:$R$1998,0)),"-")</f>
        <v>-</v>
      </c>
      <c r="D462" s="2" t="str">
        <f>IFERROR(INDEX(Movimientos!$E$2:$E$1998,MATCH(A462&amp;"ENTRADA",Movimientos!$R$2:$R$1998,0)),"-")</f>
        <v>-</v>
      </c>
      <c r="E462" s="2" t="str">
        <f>IFERROR(INDEX(Movimientos!$F$2:$F$1998,MATCH(A462&amp;"ENTRADA",Movimientos!$R$2:$R$1998,0)),"-")</f>
        <v>-</v>
      </c>
      <c r="F462" s="2" t="str">
        <f>IFERROR(INDEX(Movimientos!$G$2:$G$1998,MATCH(A462&amp;"ENTRADA",Movimientos!$R$2:$R$1998,0)),"-")</f>
        <v>-</v>
      </c>
      <c r="G462" s="2" t="str">
        <f>IFERROR(INDEX(Movimientos!$L$2:$L$1998,MATCH(A462&amp;"ENTRADA",Movimientos!$R$2:$R$1998,0)),"-")</f>
        <v>-</v>
      </c>
      <c r="H462" s="17" t="str">
        <f>IFERROR(IF(INDEX(Movimientos!$M$2:$M$1998,MATCH(A462&amp;"ENTRADA",Movimientos!$R$2:$R$1998,0))=0,"S/D",INDEX(Movimientos!$M$2:$M$1998,MATCH(A462&amp;"ENTRADA",Movimientos!$R$2:$R$1998,0))),"S/D")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 ht="14.25">
      <c r="A463" s="16" t="s">
        <v>2628</v>
      </c>
      <c r="B463" s="2" t="str">
        <f>IFERROR(INDEX(Movimientos!$C$2:$C$1998,MATCH(A463&amp;"ENTRADA",Movimientos!$R$2:$R$1998,0)),"-")</f>
        <v>-</v>
      </c>
      <c r="C463" s="2" t="str">
        <f>IFERROR(INDEX(Movimientos!$D$2:$D$1998,MATCH(A463&amp;"ENTRADA",Movimientos!$R$2:$R$1998,0)),"-")</f>
        <v>-</v>
      </c>
      <c r="D463" s="2" t="str">
        <f>IFERROR(INDEX(Movimientos!$E$2:$E$1998,MATCH(A463&amp;"ENTRADA",Movimientos!$R$2:$R$1998,0)),"-")</f>
        <v>-</v>
      </c>
      <c r="E463" s="2" t="str">
        <f>IFERROR(INDEX(Movimientos!$F$2:$F$1998,MATCH(A463&amp;"ENTRADA",Movimientos!$R$2:$R$1998,0)),"-")</f>
        <v>-</v>
      </c>
      <c r="F463" s="2" t="str">
        <f>IFERROR(INDEX(Movimientos!$G$2:$G$1998,MATCH(A463&amp;"ENTRADA",Movimientos!$R$2:$R$1998,0)),"-")</f>
        <v>-</v>
      </c>
      <c r="G463" s="2" t="str">
        <f>IFERROR(INDEX(Movimientos!$L$2:$L$1998,MATCH(A463&amp;"ENTRADA",Movimientos!$R$2:$R$1998,0)),"-")</f>
        <v>-</v>
      </c>
      <c r="H463" s="17" t="str">
        <f>IFERROR(IF(INDEX(Movimientos!$M$2:$M$1998,MATCH(A463&amp;"ENTRADA",Movimientos!$R$2:$R$1998,0))=0,"S/D",INDEX(Movimientos!$M$2:$M$1998,MATCH(A463&amp;"ENTRADA",Movimientos!$R$2:$R$1998,0))),"S/D")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 ht="14.25">
      <c r="A464" s="16" t="s">
        <v>2629</v>
      </c>
      <c r="B464" s="2" t="str">
        <f>IFERROR(INDEX(Movimientos!$C$2:$C$1998,MATCH(A464&amp;"ENTRADA",Movimientos!$R$2:$R$1998,0)),"-")</f>
        <v>-</v>
      </c>
      <c r="C464" s="2" t="str">
        <f>IFERROR(INDEX(Movimientos!$D$2:$D$1998,MATCH(A464&amp;"ENTRADA",Movimientos!$R$2:$R$1998,0)),"-")</f>
        <v>-</v>
      </c>
      <c r="D464" s="2" t="str">
        <f>IFERROR(INDEX(Movimientos!$E$2:$E$1998,MATCH(A464&amp;"ENTRADA",Movimientos!$R$2:$R$1998,0)),"-")</f>
        <v>-</v>
      </c>
      <c r="E464" s="2" t="str">
        <f>IFERROR(INDEX(Movimientos!$F$2:$F$1998,MATCH(A464&amp;"ENTRADA",Movimientos!$R$2:$R$1998,0)),"-")</f>
        <v>-</v>
      </c>
      <c r="F464" s="2" t="str">
        <f>IFERROR(INDEX(Movimientos!$G$2:$G$1998,MATCH(A464&amp;"ENTRADA",Movimientos!$R$2:$R$1998,0)),"-")</f>
        <v>-</v>
      </c>
      <c r="G464" s="2" t="str">
        <f>IFERROR(INDEX(Movimientos!$L$2:$L$1998,MATCH(A464&amp;"ENTRADA",Movimientos!$R$2:$R$1998,0)),"-")</f>
        <v>-</v>
      </c>
      <c r="H464" s="17" t="str">
        <f>IFERROR(IF(INDEX(Movimientos!$M$2:$M$1998,MATCH(A464&amp;"ENTRADA",Movimientos!$R$2:$R$1998,0))=0,"S/D",INDEX(Movimientos!$M$2:$M$1998,MATCH(A464&amp;"ENTRADA",Movimientos!$R$2:$R$1998,0))),"S/D")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 ht="14.25">
      <c r="A465" s="16" t="s">
        <v>2630</v>
      </c>
      <c r="B465" s="2" t="str">
        <f>IFERROR(INDEX(Movimientos!$C$2:$C$1998,MATCH(A465&amp;"ENTRADA",Movimientos!$R$2:$R$1998,0)),"-")</f>
        <v>-</v>
      </c>
      <c r="C465" s="2" t="str">
        <f>IFERROR(INDEX(Movimientos!$D$2:$D$1998,MATCH(A465&amp;"ENTRADA",Movimientos!$R$2:$R$1998,0)),"-")</f>
        <v>-</v>
      </c>
      <c r="D465" s="2" t="str">
        <f>IFERROR(INDEX(Movimientos!$E$2:$E$1998,MATCH(A465&amp;"ENTRADA",Movimientos!$R$2:$R$1998,0)),"-")</f>
        <v>-</v>
      </c>
      <c r="E465" s="2" t="str">
        <f>IFERROR(INDEX(Movimientos!$F$2:$F$1998,MATCH(A465&amp;"ENTRADA",Movimientos!$R$2:$R$1998,0)),"-")</f>
        <v>-</v>
      </c>
      <c r="F465" s="2" t="str">
        <f>IFERROR(INDEX(Movimientos!$G$2:$G$1998,MATCH(A465&amp;"ENTRADA",Movimientos!$R$2:$R$1998,0)),"-")</f>
        <v>-</v>
      </c>
      <c r="G465" s="2" t="str">
        <f>IFERROR(INDEX(Movimientos!$L$2:$L$1998,MATCH(A465&amp;"ENTRADA",Movimientos!$R$2:$R$1998,0)),"-")</f>
        <v>-</v>
      </c>
      <c r="H465" s="17" t="str">
        <f>IFERROR(IF(INDEX(Movimientos!$M$2:$M$1998,MATCH(A465&amp;"ENTRADA",Movimientos!$R$2:$R$1998,0))=0,"S/D",INDEX(Movimientos!$M$2:$M$1998,MATCH(A465&amp;"ENTRADA",Movimientos!$R$2:$R$1998,0))),"S/D")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 ht="14.25">
      <c r="A466" s="16" t="s">
        <v>2631</v>
      </c>
      <c r="B466" s="2" t="str">
        <f>IFERROR(INDEX(Movimientos!$C$2:$C$1998,MATCH(A466&amp;"ENTRADA",Movimientos!$R$2:$R$1998,0)),"-")</f>
        <v>-</v>
      </c>
      <c r="C466" s="2" t="str">
        <f>IFERROR(INDEX(Movimientos!$D$2:$D$1998,MATCH(A466&amp;"ENTRADA",Movimientos!$R$2:$R$1998,0)),"-")</f>
        <v>-</v>
      </c>
      <c r="D466" s="2" t="str">
        <f>IFERROR(INDEX(Movimientos!$E$2:$E$1998,MATCH(A466&amp;"ENTRADA",Movimientos!$R$2:$R$1998,0)),"-")</f>
        <v>-</v>
      </c>
      <c r="E466" s="2" t="str">
        <f>IFERROR(INDEX(Movimientos!$F$2:$F$1998,MATCH(A466&amp;"ENTRADA",Movimientos!$R$2:$R$1998,0)),"-")</f>
        <v>-</v>
      </c>
      <c r="F466" s="2" t="str">
        <f>IFERROR(INDEX(Movimientos!$G$2:$G$1998,MATCH(A466&amp;"ENTRADA",Movimientos!$R$2:$R$1998,0)),"-")</f>
        <v>-</v>
      </c>
      <c r="G466" s="2" t="str">
        <f>IFERROR(INDEX(Movimientos!$L$2:$L$1998,MATCH(A466&amp;"ENTRADA",Movimientos!$R$2:$R$1998,0)),"-")</f>
        <v>-</v>
      </c>
      <c r="H466" s="17" t="str">
        <f>IFERROR(IF(INDEX(Movimientos!$M$2:$M$1998,MATCH(A466&amp;"ENTRADA",Movimientos!$R$2:$R$1998,0))=0,"S/D",INDEX(Movimientos!$M$2:$M$1998,MATCH(A466&amp;"ENTRADA",Movimientos!$R$2:$R$1998,0))),"S/D")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 ht="14.25">
      <c r="A467" s="16" t="s">
        <v>2632</v>
      </c>
      <c r="B467" s="2" t="str">
        <f>IFERROR(INDEX(Movimientos!$C$2:$C$1998,MATCH(A467&amp;"ENTRADA",Movimientos!$R$2:$R$1998,0)),"-")</f>
        <v>-</v>
      </c>
      <c r="C467" s="2" t="str">
        <f>IFERROR(INDEX(Movimientos!$D$2:$D$1998,MATCH(A467&amp;"ENTRADA",Movimientos!$R$2:$R$1998,0)),"-")</f>
        <v>-</v>
      </c>
      <c r="D467" s="2" t="str">
        <f>IFERROR(INDEX(Movimientos!$E$2:$E$1998,MATCH(A467&amp;"ENTRADA",Movimientos!$R$2:$R$1998,0)),"-")</f>
        <v>-</v>
      </c>
      <c r="E467" s="2" t="str">
        <f>IFERROR(INDEX(Movimientos!$F$2:$F$1998,MATCH(A467&amp;"ENTRADA",Movimientos!$R$2:$R$1998,0)),"-")</f>
        <v>-</v>
      </c>
      <c r="F467" s="2" t="str">
        <f>IFERROR(INDEX(Movimientos!$G$2:$G$1998,MATCH(A467&amp;"ENTRADA",Movimientos!$R$2:$R$1998,0)),"-")</f>
        <v>-</v>
      </c>
      <c r="G467" s="2" t="str">
        <f>IFERROR(INDEX(Movimientos!$L$2:$L$1998,MATCH(A467&amp;"ENTRADA",Movimientos!$R$2:$R$1998,0)),"-")</f>
        <v>-</v>
      </c>
      <c r="H467" s="17" t="str">
        <f>IFERROR(IF(INDEX(Movimientos!$M$2:$M$1998,MATCH(A467&amp;"ENTRADA",Movimientos!$R$2:$R$1998,0))=0,"S/D",INDEX(Movimientos!$M$2:$M$1998,MATCH(A467&amp;"ENTRADA",Movimientos!$R$2:$R$1998,0))),"S/D")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 ht="14.25">
      <c r="A468" s="16" t="s">
        <v>2633</v>
      </c>
      <c r="B468" s="2" t="str">
        <f>IFERROR(INDEX(Movimientos!$C$2:$C$1998,MATCH(A468&amp;"ENTRADA",Movimientos!$R$2:$R$1998,0)),"-")</f>
        <v>-</v>
      </c>
      <c r="C468" s="2" t="str">
        <f>IFERROR(INDEX(Movimientos!$D$2:$D$1998,MATCH(A468&amp;"ENTRADA",Movimientos!$R$2:$R$1998,0)),"-")</f>
        <v>-</v>
      </c>
      <c r="D468" s="2" t="str">
        <f>IFERROR(INDEX(Movimientos!$E$2:$E$1998,MATCH(A468&amp;"ENTRADA",Movimientos!$R$2:$R$1998,0)),"-")</f>
        <v>-</v>
      </c>
      <c r="E468" s="2" t="str">
        <f>IFERROR(INDEX(Movimientos!$F$2:$F$1998,MATCH(A468&amp;"ENTRADA",Movimientos!$R$2:$R$1998,0)),"-")</f>
        <v>-</v>
      </c>
      <c r="F468" s="2" t="str">
        <f>IFERROR(INDEX(Movimientos!$G$2:$G$1998,MATCH(A468&amp;"ENTRADA",Movimientos!$R$2:$R$1998,0)),"-")</f>
        <v>-</v>
      </c>
      <c r="G468" s="2" t="str">
        <f>IFERROR(INDEX(Movimientos!$L$2:$L$1998,MATCH(A468&amp;"ENTRADA",Movimientos!$R$2:$R$1998,0)),"-")</f>
        <v>-</v>
      </c>
      <c r="H468" s="17" t="str">
        <f>IFERROR(IF(INDEX(Movimientos!$M$2:$M$1998,MATCH(A468&amp;"ENTRADA",Movimientos!$R$2:$R$1998,0))=0,"S/D",INDEX(Movimientos!$M$2:$M$1998,MATCH(A468&amp;"ENTRADA",Movimientos!$R$2:$R$1998,0))),"S/D")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 ht="14.25">
      <c r="A469" s="16" t="s">
        <v>2634</v>
      </c>
      <c r="B469" s="2" t="str">
        <f>IFERROR(INDEX(Movimientos!$C$2:$C$1998,MATCH(A469&amp;"ENTRADA",Movimientos!$R$2:$R$1998,0)),"-")</f>
        <v>-</v>
      </c>
      <c r="C469" s="2" t="str">
        <f>IFERROR(INDEX(Movimientos!$D$2:$D$1998,MATCH(A469&amp;"ENTRADA",Movimientos!$R$2:$R$1998,0)),"-")</f>
        <v>-</v>
      </c>
      <c r="D469" s="2" t="str">
        <f>IFERROR(INDEX(Movimientos!$E$2:$E$1998,MATCH(A469&amp;"ENTRADA",Movimientos!$R$2:$R$1998,0)),"-")</f>
        <v>-</v>
      </c>
      <c r="E469" s="2" t="str">
        <f>IFERROR(INDEX(Movimientos!$F$2:$F$1998,MATCH(A469&amp;"ENTRADA",Movimientos!$R$2:$R$1998,0)),"-")</f>
        <v>-</v>
      </c>
      <c r="F469" s="2" t="str">
        <f>IFERROR(INDEX(Movimientos!$G$2:$G$1998,MATCH(A469&amp;"ENTRADA",Movimientos!$R$2:$R$1998,0)),"-")</f>
        <v>-</v>
      </c>
      <c r="G469" s="2" t="str">
        <f>IFERROR(INDEX(Movimientos!$L$2:$L$1998,MATCH(A469&amp;"ENTRADA",Movimientos!$R$2:$R$1998,0)),"-")</f>
        <v>-</v>
      </c>
      <c r="H469" s="17" t="str">
        <f>IFERROR(IF(INDEX(Movimientos!$M$2:$M$1998,MATCH(A469&amp;"ENTRADA",Movimientos!$R$2:$R$1998,0))=0,"S/D",INDEX(Movimientos!$M$2:$M$1998,MATCH(A469&amp;"ENTRADA",Movimientos!$R$2:$R$1998,0))),"S/D")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 ht="14.25">
      <c r="A470" s="16" t="s">
        <v>2635</v>
      </c>
      <c r="B470" s="2" t="str">
        <f>IFERROR(INDEX(Movimientos!$C$2:$C$1998,MATCH(A470&amp;"ENTRADA",Movimientos!$R$2:$R$1998,0)),"-")</f>
        <v>-</v>
      </c>
      <c r="C470" s="2" t="str">
        <f>IFERROR(INDEX(Movimientos!$D$2:$D$1998,MATCH(A470&amp;"ENTRADA",Movimientos!$R$2:$R$1998,0)),"-")</f>
        <v>-</v>
      </c>
      <c r="D470" s="2" t="str">
        <f>IFERROR(INDEX(Movimientos!$E$2:$E$1998,MATCH(A470&amp;"ENTRADA",Movimientos!$R$2:$R$1998,0)),"-")</f>
        <v>-</v>
      </c>
      <c r="E470" s="2" t="str">
        <f>IFERROR(INDEX(Movimientos!$F$2:$F$1998,MATCH(A470&amp;"ENTRADA",Movimientos!$R$2:$R$1998,0)),"-")</f>
        <v>-</v>
      </c>
      <c r="F470" s="2" t="str">
        <f>IFERROR(INDEX(Movimientos!$G$2:$G$1998,MATCH(A470&amp;"ENTRADA",Movimientos!$R$2:$R$1998,0)),"-")</f>
        <v>-</v>
      </c>
      <c r="G470" s="2" t="str">
        <f>IFERROR(INDEX(Movimientos!$L$2:$L$1998,MATCH(A470&amp;"ENTRADA",Movimientos!$R$2:$R$1998,0)),"-")</f>
        <v>-</v>
      </c>
      <c r="H470" s="17" t="str">
        <f>IFERROR(IF(INDEX(Movimientos!$M$2:$M$1998,MATCH(A470&amp;"ENTRADA",Movimientos!$R$2:$R$1998,0))=0,"S/D",INDEX(Movimientos!$M$2:$M$1998,MATCH(A470&amp;"ENTRADA",Movimientos!$R$2:$R$1998,0))),"S/D")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 ht="14.25">
      <c r="A471" s="16" t="s">
        <v>2636</v>
      </c>
      <c r="B471" s="2" t="str">
        <f>IFERROR(INDEX(Movimientos!$C$2:$C$1998,MATCH(A471&amp;"ENTRADA",Movimientos!$R$2:$R$1998,0)),"-")</f>
        <v>-</v>
      </c>
      <c r="C471" s="2" t="str">
        <f>IFERROR(INDEX(Movimientos!$D$2:$D$1998,MATCH(A471&amp;"ENTRADA",Movimientos!$R$2:$R$1998,0)),"-")</f>
        <v>-</v>
      </c>
      <c r="D471" s="2" t="str">
        <f>IFERROR(INDEX(Movimientos!$E$2:$E$1998,MATCH(A471&amp;"ENTRADA",Movimientos!$R$2:$R$1998,0)),"-")</f>
        <v>-</v>
      </c>
      <c r="E471" s="2" t="str">
        <f>IFERROR(INDEX(Movimientos!$F$2:$F$1998,MATCH(A471&amp;"ENTRADA",Movimientos!$R$2:$R$1998,0)),"-")</f>
        <v>-</v>
      </c>
      <c r="F471" s="2" t="str">
        <f>IFERROR(INDEX(Movimientos!$G$2:$G$1998,MATCH(A471&amp;"ENTRADA",Movimientos!$R$2:$R$1998,0)),"-")</f>
        <v>-</v>
      </c>
      <c r="G471" s="2" t="str">
        <f>IFERROR(INDEX(Movimientos!$L$2:$L$1998,MATCH(A471&amp;"ENTRADA",Movimientos!$R$2:$R$1998,0)),"-")</f>
        <v>-</v>
      </c>
      <c r="H471" s="17" t="str">
        <f>IFERROR(IF(INDEX(Movimientos!$M$2:$M$1998,MATCH(A471&amp;"ENTRADA",Movimientos!$R$2:$R$1998,0))=0,"S/D",INDEX(Movimientos!$M$2:$M$1998,MATCH(A471&amp;"ENTRADA",Movimientos!$R$2:$R$1998,0))),"S/D")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 ht="14.25">
      <c r="A472" s="16" t="s">
        <v>2637</v>
      </c>
      <c r="B472" s="2" t="str">
        <f>IFERROR(INDEX(Movimientos!$C$2:$C$1998,MATCH(A472&amp;"ENTRADA",Movimientos!$R$2:$R$1998,0)),"-")</f>
        <v>-</v>
      </c>
      <c r="C472" s="2" t="str">
        <f>IFERROR(INDEX(Movimientos!$D$2:$D$1998,MATCH(A472&amp;"ENTRADA",Movimientos!$R$2:$R$1998,0)),"-")</f>
        <v>-</v>
      </c>
      <c r="D472" s="2" t="str">
        <f>IFERROR(INDEX(Movimientos!$E$2:$E$1998,MATCH(A472&amp;"ENTRADA",Movimientos!$R$2:$R$1998,0)),"-")</f>
        <v>-</v>
      </c>
      <c r="E472" s="2" t="str">
        <f>IFERROR(INDEX(Movimientos!$F$2:$F$1998,MATCH(A472&amp;"ENTRADA",Movimientos!$R$2:$R$1998,0)),"-")</f>
        <v>-</v>
      </c>
      <c r="F472" s="2" t="str">
        <f>IFERROR(INDEX(Movimientos!$G$2:$G$1998,MATCH(A472&amp;"ENTRADA",Movimientos!$R$2:$R$1998,0)),"-")</f>
        <v>-</v>
      </c>
      <c r="G472" s="2" t="str">
        <f>IFERROR(INDEX(Movimientos!$L$2:$L$1998,MATCH(A472&amp;"ENTRADA",Movimientos!$R$2:$R$1998,0)),"-")</f>
        <v>-</v>
      </c>
      <c r="H472" s="17" t="str">
        <f>IFERROR(IF(INDEX(Movimientos!$M$2:$M$1998,MATCH(A472&amp;"ENTRADA",Movimientos!$R$2:$R$1998,0))=0,"S/D",INDEX(Movimientos!$M$2:$M$1998,MATCH(A472&amp;"ENTRADA",Movimientos!$R$2:$R$1998,0))),"S/D")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 ht="14.25">
      <c r="A473" s="16" t="s">
        <v>2638</v>
      </c>
      <c r="B473" s="2" t="str">
        <f>IFERROR(INDEX(Movimientos!$C$2:$C$1998,MATCH(A473&amp;"ENTRADA",Movimientos!$R$2:$R$1998,0)),"-")</f>
        <v>-</v>
      </c>
      <c r="C473" s="2" t="str">
        <f>IFERROR(INDEX(Movimientos!$D$2:$D$1998,MATCH(A473&amp;"ENTRADA",Movimientos!$R$2:$R$1998,0)),"-")</f>
        <v>-</v>
      </c>
      <c r="D473" s="2" t="str">
        <f>IFERROR(INDEX(Movimientos!$E$2:$E$1998,MATCH(A473&amp;"ENTRADA",Movimientos!$R$2:$R$1998,0)),"-")</f>
        <v>-</v>
      </c>
      <c r="E473" s="2" t="str">
        <f>IFERROR(INDEX(Movimientos!$F$2:$F$1998,MATCH(A473&amp;"ENTRADA",Movimientos!$R$2:$R$1998,0)),"-")</f>
        <v>-</v>
      </c>
      <c r="F473" s="2" t="str">
        <f>IFERROR(INDEX(Movimientos!$G$2:$G$1998,MATCH(A473&amp;"ENTRADA",Movimientos!$R$2:$R$1998,0)),"-")</f>
        <v>-</v>
      </c>
      <c r="G473" s="2" t="str">
        <f>IFERROR(INDEX(Movimientos!$L$2:$L$1998,MATCH(A473&amp;"ENTRADA",Movimientos!$R$2:$R$1998,0)),"-")</f>
        <v>-</v>
      </c>
      <c r="H473" s="17" t="str">
        <f>IFERROR(IF(INDEX(Movimientos!$M$2:$M$1998,MATCH(A473&amp;"ENTRADA",Movimientos!$R$2:$R$1998,0))=0,"S/D",INDEX(Movimientos!$M$2:$M$1998,MATCH(A473&amp;"ENTRADA",Movimientos!$R$2:$R$1998,0))),"S/D")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 ht="14.25">
      <c r="A474" s="16" t="s">
        <v>2639</v>
      </c>
      <c r="B474" s="2" t="str">
        <f>IFERROR(INDEX(Movimientos!$C$2:$C$1998,MATCH(A474&amp;"ENTRADA",Movimientos!$R$2:$R$1998,0)),"-")</f>
        <v>-</v>
      </c>
      <c r="C474" s="2" t="str">
        <f>IFERROR(INDEX(Movimientos!$D$2:$D$1998,MATCH(A474&amp;"ENTRADA",Movimientos!$R$2:$R$1998,0)),"-")</f>
        <v>-</v>
      </c>
      <c r="D474" s="2" t="str">
        <f>IFERROR(INDEX(Movimientos!$E$2:$E$1998,MATCH(A474&amp;"ENTRADA",Movimientos!$R$2:$R$1998,0)),"-")</f>
        <v>-</v>
      </c>
      <c r="E474" s="2" t="str">
        <f>IFERROR(INDEX(Movimientos!$F$2:$F$1998,MATCH(A474&amp;"ENTRADA",Movimientos!$R$2:$R$1998,0)),"-")</f>
        <v>-</v>
      </c>
      <c r="F474" s="2" t="str">
        <f>IFERROR(INDEX(Movimientos!$G$2:$G$1998,MATCH(A474&amp;"ENTRADA",Movimientos!$R$2:$R$1998,0)),"-")</f>
        <v>-</v>
      </c>
      <c r="G474" s="2" t="str">
        <f>IFERROR(INDEX(Movimientos!$L$2:$L$1998,MATCH(A474&amp;"ENTRADA",Movimientos!$R$2:$R$1998,0)),"-")</f>
        <v>-</v>
      </c>
      <c r="H474" s="17" t="str">
        <f>IFERROR(IF(INDEX(Movimientos!$M$2:$M$1998,MATCH(A474&amp;"ENTRADA",Movimientos!$R$2:$R$1998,0))=0,"S/D",INDEX(Movimientos!$M$2:$M$1998,MATCH(A474&amp;"ENTRADA",Movimientos!$R$2:$R$1998,0))),"S/D")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 ht="14.25">
      <c r="A475" s="16" t="s">
        <v>2640</v>
      </c>
      <c r="B475" s="2" t="str">
        <f>IFERROR(INDEX(Movimientos!$C$2:$C$1998,MATCH(A475&amp;"ENTRADA",Movimientos!$R$2:$R$1998,0)),"-")</f>
        <v>-</v>
      </c>
      <c r="C475" s="2" t="str">
        <f>IFERROR(INDEX(Movimientos!$D$2:$D$1998,MATCH(A475&amp;"ENTRADA",Movimientos!$R$2:$R$1998,0)),"-")</f>
        <v>-</v>
      </c>
      <c r="D475" s="2" t="str">
        <f>IFERROR(INDEX(Movimientos!$E$2:$E$1998,MATCH(A475&amp;"ENTRADA",Movimientos!$R$2:$R$1998,0)),"-")</f>
        <v>-</v>
      </c>
      <c r="E475" s="2" t="str">
        <f>IFERROR(INDEX(Movimientos!$F$2:$F$1998,MATCH(A475&amp;"ENTRADA",Movimientos!$R$2:$R$1998,0)),"-")</f>
        <v>-</v>
      </c>
      <c r="F475" s="2" t="str">
        <f>IFERROR(INDEX(Movimientos!$G$2:$G$1998,MATCH(A475&amp;"ENTRADA",Movimientos!$R$2:$R$1998,0)),"-")</f>
        <v>-</v>
      </c>
      <c r="G475" s="2" t="str">
        <f>IFERROR(INDEX(Movimientos!$L$2:$L$1998,MATCH(A475&amp;"ENTRADA",Movimientos!$R$2:$R$1998,0)),"-")</f>
        <v>-</v>
      </c>
      <c r="H475" s="17" t="str">
        <f>IFERROR(IF(INDEX(Movimientos!$M$2:$M$1998,MATCH(A475&amp;"ENTRADA",Movimientos!$R$2:$R$1998,0))=0,"S/D",INDEX(Movimientos!$M$2:$M$1998,MATCH(A475&amp;"ENTRADA",Movimientos!$R$2:$R$1998,0))),"S/D")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 ht="14.25">
      <c r="A476" s="16" t="s">
        <v>2641</v>
      </c>
      <c r="B476" s="2" t="str">
        <f>IFERROR(INDEX(Movimientos!$C$2:$C$1998,MATCH(A476&amp;"ENTRADA",Movimientos!$R$2:$R$1998,0)),"-")</f>
        <v>-</v>
      </c>
      <c r="C476" s="2" t="str">
        <f>IFERROR(INDEX(Movimientos!$D$2:$D$1998,MATCH(A476&amp;"ENTRADA",Movimientos!$R$2:$R$1998,0)),"-")</f>
        <v>-</v>
      </c>
      <c r="D476" s="2" t="str">
        <f>IFERROR(INDEX(Movimientos!$E$2:$E$1998,MATCH(A476&amp;"ENTRADA",Movimientos!$R$2:$R$1998,0)),"-")</f>
        <v>-</v>
      </c>
      <c r="E476" s="2" t="str">
        <f>IFERROR(INDEX(Movimientos!$F$2:$F$1998,MATCH(A476&amp;"ENTRADA",Movimientos!$R$2:$R$1998,0)),"-")</f>
        <v>-</v>
      </c>
      <c r="F476" s="2" t="str">
        <f>IFERROR(INDEX(Movimientos!$G$2:$G$1998,MATCH(A476&amp;"ENTRADA",Movimientos!$R$2:$R$1998,0)),"-")</f>
        <v>-</v>
      </c>
      <c r="G476" s="2" t="str">
        <f>IFERROR(INDEX(Movimientos!$L$2:$L$1998,MATCH(A476&amp;"ENTRADA",Movimientos!$R$2:$R$1998,0)),"-")</f>
        <v>-</v>
      </c>
      <c r="H476" s="17" t="str">
        <f>IFERROR(IF(INDEX(Movimientos!$M$2:$M$1998,MATCH(A476&amp;"ENTRADA",Movimientos!$R$2:$R$1998,0))=0,"S/D",INDEX(Movimientos!$M$2:$M$1998,MATCH(A476&amp;"ENTRADA",Movimientos!$R$2:$R$1998,0))),"S/D")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 ht="14.25">
      <c r="A477" s="16" t="s">
        <v>2642</v>
      </c>
      <c r="B477" s="2" t="str">
        <f>IFERROR(INDEX(Movimientos!$C$2:$C$1998,MATCH(A477&amp;"ENTRADA",Movimientos!$R$2:$R$1998,0)),"-")</f>
        <v>-</v>
      </c>
      <c r="C477" s="2" t="str">
        <f>IFERROR(INDEX(Movimientos!$D$2:$D$1998,MATCH(A477&amp;"ENTRADA",Movimientos!$R$2:$R$1998,0)),"-")</f>
        <v>-</v>
      </c>
      <c r="D477" s="2" t="str">
        <f>IFERROR(INDEX(Movimientos!$E$2:$E$1998,MATCH(A477&amp;"ENTRADA",Movimientos!$R$2:$R$1998,0)),"-")</f>
        <v>-</v>
      </c>
      <c r="E477" s="2" t="str">
        <f>IFERROR(INDEX(Movimientos!$F$2:$F$1998,MATCH(A477&amp;"ENTRADA",Movimientos!$R$2:$R$1998,0)),"-")</f>
        <v>-</v>
      </c>
      <c r="F477" s="2" t="str">
        <f>IFERROR(INDEX(Movimientos!$G$2:$G$1998,MATCH(A477&amp;"ENTRADA",Movimientos!$R$2:$R$1998,0)),"-")</f>
        <v>-</v>
      </c>
      <c r="G477" s="2" t="str">
        <f>IFERROR(INDEX(Movimientos!$L$2:$L$1998,MATCH(A477&amp;"ENTRADA",Movimientos!$R$2:$R$1998,0)),"-")</f>
        <v>-</v>
      </c>
      <c r="H477" s="17" t="str">
        <f>IFERROR(IF(INDEX(Movimientos!$M$2:$M$1998,MATCH(A477&amp;"ENTRADA",Movimientos!$R$2:$R$1998,0))=0,"S/D",INDEX(Movimientos!$M$2:$M$1998,MATCH(A477&amp;"ENTRADA",Movimientos!$R$2:$R$1998,0))),"S/D")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 ht="14.25">
      <c r="A478" s="16" t="s">
        <v>2643</v>
      </c>
      <c r="B478" s="2" t="str">
        <f>IFERROR(INDEX(Movimientos!$C$2:$C$1998,MATCH(A478&amp;"ENTRADA",Movimientos!$R$2:$R$1998,0)),"-")</f>
        <v>-</v>
      </c>
      <c r="C478" s="2" t="str">
        <f>IFERROR(INDEX(Movimientos!$D$2:$D$1998,MATCH(A478&amp;"ENTRADA",Movimientos!$R$2:$R$1998,0)),"-")</f>
        <v>-</v>
      </c>
      <c r="D478" s="2" t="str">
        <f>IFERROR(INDEX(Movimientos!$E$2:$E$1998,MATCH(A478&amp;"ENTRADA",Movimientos!$R$2:$R$1998,0)),"-")</f>
        <v>-</v>
      </c>
      <c r="E478" s="2" t="str">
        <f>IFERROR(INDEX(Movimientos!$F$2:$F$1998,MATCH(A478&amp;"ENTRADA",Movimientos!$R$2:$R$1998,0)),"-")</f>
        <v>-</v>
      </c>
      <c r="F478" s="2" t="str">
        <f>IFERROR(INDEX(Movimientos!$G$2:$G$1998,MATCH(A478&amp;"ENTRADA",Movimientos!$R$2:$R$1998,0)),"-")</f>
        <v>-</v>
      </c>
      <c r="G478" s="2" t="str">
        <f>IFERROR(INDEX(Movimientos!$L$2:$L$1998,MATCH(A478&amp;"ENTRADA",Movimientos!$R$2:$R$1998,0)),"-")</f>
        <v>-</v>
      </c>
      <c r="H478" s="17" t="str">
        <f>IFERROR(IF(INDEX(Movimientos!$M$2:$M$1998,MATCH(A478&amp;"ENTRADA",Movimientos!$R$2:$R$1998,0))=0,"S/D",INDEX(Movimientos!$M$2:$M$1998,MATCH(A478&amp;"ENTRADA",Movimientos!$R$2:$R$1998,0))),"S/D")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 ht="14.25">
      <c r="A479" s="16" t="s">
        <v>2644</v>
      </c>
      <c r="B479" s="2" t="str">
        <f>IFERROR(INDEX(Movimientos!$C$2:$C$1998,MATCH(A479&amp;"ENTRADA",Movimientos!$R$2:$R$1998,0)),"-")</f>
        <v>-</v>
      </c>
      <c r="C479" s="2" t="str">
        <f>IFERROR(INDEX(Movimientos!$D$2:$D$1998,MATCH(A479&amp;"ENTRADA",Movimientos!$R$2:$R$1998,0)),"-")</f>
        <v>-</v>
      </c>
      <c r="D479" s="2" t="str">
        <f>IFERROR(INDEX(Movimientos!$E$2:$E$1998,MATCH(A479&amp;"ENTRADA",Movimientos!$R$2:$R$1998,0)),"-")</f>
        <v>-</v>
      </c>
      <c r="E479" s="2" t="str">
        <f>IFERROR(INDEX(Movimientos!$F$2:$F$1998,MATCH(A479&amp;"ENTRADA",Movimientos!$R$2:$R$1998,0)),"-")</f>
        <v>-</v>
      </c>
      <c r="F479" s="2" t="str">
        <f>IFERROR(INDEX(Movimientos!$G$2:$G$1998,MATCH(A479&amp;"ENTRADA",Movimientos!$R$2:$R$1998,0)),"-")</f>
        <v>-</v>
      </c>
      <c r="G479" s="2" t="str">
        <f>IFERROR(INDEX(Movimientos!$L$2:$L$1998,MATCH(A479&amp;"ENTRADA",Movimientos!$R$2:$R$1998,0)),"-")</f>
        <v>-</v>
      </c>
      <c r="H479" s="17" t="str">
        <f>IFERROR(IF(INDEX(Movimientos!$M$2:$M$1998,MATCH(A479&amp;"ENTRADA",Movimientos!$R$2:$R$1998,0))=0,"S/D",INDEX(Movimientos!$M$2:$M$1998,MATCH(A479&amp;"ENTRADA",Movimientos!$R$2:$R$1998,0))),"S/D")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 ht="14.25">
      <c r="A480" s="16" t="s">
        <v>2645</v>
      </c>
      <c r="B480" s="2" t="str">
        <f>IFERROR(INDEX(Movimientos!$C$2:$C$1998,MATCH(A480&amp;"ENTRADA",Movimientos!$R$2:$R$1998,0)),"-")</f>
        <v>-</v>
      </c>
      <c r="C480" s="2" t="str">
        <f>IFERROR(INDEX(Movimientos!$D$2:$D$1998,MATCH(A480&amp;"ENTRADA",Movimientos!$R$2:$R$1998,0)),"-")</f>
        <v>-</v>
      </c>
      <c r="D480" s="2" t="str">
        <f>IFERROR(INDEX(Movimientos!$E$2:$E$1998,MATCH(A480&amp;"ENTRADA",Movimientos!$R$2:$R$1998,0)),"-")</f>
        <v>-</v>
      </c>
      <c r="E480" s="2" t="str">
        <f>IFERROR(INDEX(Movimientos!$F$2:$F$1998,MATCH(A480&amp;"ENTRADA",Movimientos!$R$2:$R$1998,0)),"-")</f>
        <v>-</v>
      </c>
      <c r="F480" s="2" t="str">
        <f>IFERROR(INDEX(Movimientos!$G$2:$G$1998,MATCH(A480&amp;"ENTRADA",Movimientos!$R$2:$R$1998,0)),"-")</f>
        <v>-</v>
      </c>
      <c r="G480" s="2" t="str">
        <f>IFERROR(INDEX(Movimientos!$L$2:$L$1998,MATCH(A480&amp;"ENTRADA",Movimientos!$R$2:$R$1998,0)),"-")</f>
        <v>-</v>
      </c>
      <c r="H480" s="17" t="str">
        <f>IFERROR(IF(INDEX(Movimientos!$M$2:$M$1998,MATCH(A480&amp;"ENTRADA",Movimientos!$R$2:$R$1998,0))=0,"S/D",INDEX(Movimientos!$M$2:$M$1998,MATCH(A480&amp;"ENTRADA",Movimientos!$R$2:$R$1998,0))),"S/D")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 ht="14.25">
      <c r="A481" s="16" t="s">
        <v>2646</v>
      </c>
      <c r="B481" s="2" t="str">
        <f>IFERROR(INDEX(Movimientos!$C$2:$C$1998,MATCH(A481&amp;"ENTRADA",Movimientos!$R$2:$R$1998,0)),"-")</f>
        <v>-</v>
      </c>
      <c r="C481" s="2" t="str">
        <f>IFERROR(INDEX(Movimientos!$D$2:$D$1998,MATCH(A481&amp;"ENTRADA",Movimientos!$R$2:$R$1998,0)),"-")</f>
        <v>-</v>
      </c>
      <c r="D481" s="2" t="str">
        <f>IFERROR(INDEX(Movimientos!$E$2:$E$1998,MATCH(A481&amp;"ENTRADA",Movimientos!$R$2:$R$1998,0)),"-")</f>
        <v>-</v>
      </c>
      <c r="E481" s="2" t="str">
        <f>IFERROR(INDEX(Movimientos!$F$2:$F$1998,MATCH(A481&amp;"ENTRADA",Movimientos!$R$2:$R$1998,0)),"-")</f>
        <v>-</v>
      </c>
      <c r="F481" s="2" t="str">
        <f>IFERROR(INDEX(Movimientos!$G$2:$G$1998,MATCH(A481&amp;"ENTRADA",Movimientos!$R$2:$R$1998,0)),"-")</f>
        <v>-</v>
      </c>
      <c r="G481" s="2" t="str">
        <f>IFERROR(INDEX(Movimientos!$L$2:$L$1998,MATCH(A481&amp;"ENTRADA",Movimientos!$R$2:$R$1998,0)),"-")</f>
        <v>-</v>
      </c>
      <c r="H481" s="17" t="str">
        <f>IFERROR(IF(INDEX(Movimientos!$M$2:$M$1998,MATCH(A481&amp;"ENTRADA",Movimientos!$R$2:$R$1998,0))=0,"S/D",INDEX(Movimientos!$M$2:$M$1998,MATCH(A481&amp;"ENTRADA",Movimientos!$R$2:$R$1998,0))),"S/D")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 ht="14.25">
      <c r="A482" s="16" t="s">
        <v>2647</v>
      </c>
      <c r="B482" s="2" t="str">
        <f>IFERROR(INDEX(Movimientos!$C$2:$C$1998,MATCH(A482&amp;"ENTRADA",Movimientos!$R$2:$R$1998,0)),"-")</f>
        <v>-</v>
      </c>
      <c r="C482" s="2" t="str">
        <f>IFERROR(INDEX(Movimientos!$D$2:$D$1998,MATCH(A482&amp;"ENTRADA",Movimientos!$R$2:$R$1998,0)),"-")</f>
        <v>-</v>
      </c>
      <c r="D482" s="2" t="str">
        <f>IFERROR(INDEX(Movimientos!$E$2:$E$1998,MATCH(A482&amp;"ENTRADA",Movimientos!$R$2:$R$1998,0)),"-")</f>
        <v>-</v>
      </c>
      <c r="E482" s="2" t="str">
        <f>IFERROR(INDEX(Movimientos!$F$2:$F$1998,MATCH(A482&amp;"ENTRADA",Movimientos!$R$2:$R$1998,0)),"-")</f>
        <v>-</v>
      </c>
      <c r="F482" s="2" t="str">
        <f>IFERROR(INDEX(Movimientos!$G$2:$G$1998,MATCH(A482&amp;"ENTRADA",Movimientos!$R$2:$R$1998,0)),"-")</f>
        <v>-</v>
      </c>
      <c r="G482" s="2" t="str">
        <f>IFERROR(INDEX(Movimientos!$L$2:$L$1998,MATCH(A482&amp;"ENTRADA",Movimientos!$R$2:$R$1998,0)),"-")</f>
        <v>-</v>
      </c>
      <c r="H482" s="17" t="str">
        <f>IFERROR(IF(INDEX(Movimientos!$M$2:$M$1998,MATCH(A482&amp;"ENTRADA",Movimientos!$R$2:$R$1998,0))=0,"S/D",INDEX(Movimientos!$M$2:$M$1998,MATCH(A482&amp;"ENTRADA",Movimientos!$R$2:$R$1998,0))),"S/D")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 ht="14.25">
      <c r="A483" s="16" t="s">
        <v>2648</v>
      </c>
      <c r="B483" s="2" t="str">
        <f>IFERROR(INDEX(Movimientos!$C$2:$C$1998,MATCH(A483&amp;"ENTRADA",Movimientos!$R$2:$R$1998,0)),"-")</f>
        <v>-</v>
      </c>
      <c r="C483" s="2" t="str">
        <f>IFERROR(INDEX(Movimientos!$D$2:$D$1998,MATCH(A483&amp;"ENTRADA",Movimientos!$R$2:$R$1998,0)),"-")</f>
        <v>-</v>
      </c>
      <c r="D483" s="2" t="str">
        <f>IFERROR(INDEX(Movimientos!$E$2:$E$1998,MATCH(A483&amp;"ENTRADA",Movimientos!$R$2:$R$1998,0)),"-")</f>
        <v>-</v>
      </c>
      <c r="E483" s="2" t="str">
        <f>IFERROR(INDEX(Movimientos!$F$2:$F$1998,MATCH(A483&amp;"ENTRADA",Movimientos!$R$2:$R$1998,0)),"-")</f>
        <v>-</v>
      </c>
      <c r="F483" s="2" t="str">
        <f>IFERROR(INDEX(Movimientos!$G$2:$G$1998,MATCH(A483&amp;"ENTRADA",Movimientos!$R$2:$R$1998,0)),"-")</f>
        <v>-</v>
      </c>
      <c r="G483" s="2" t="str">
        <f>IFERROR(INDEX(Movimientos!$L$2:$L$1998,MATCH(A483&amp;"ENTRADA",Movimientos!$R$2:$R$1998,0)),"-")</f>
        <v>-</v>
      </c>
      <c r="H483" s="17" t="str">
        <f>IFERROR(IF(INDEX(Movimientos!$M$2:$M$1998,MATCH(A483&amp;"ENTRADA",Movimientos!$R$2:$R$1998,0))=0,"S/D",INDEX(Movimientos!$M$2:$M$1998,MATCH(A483&amp;"ENTRADA",Movimientos!$R$2:$R$1998,0))),"S/D")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 ht="14.25">
      <c r="A484" s="16" t="s">
        <v>2649</v>
      </c>
      <c r="B484" s="2" t="str">
        <f>IFERROR(INDEX(Movimientos!$C$2:$C$1998,MATCH(A484&amp;"ENTRADA",Movimientos!$R$2:$R$1998,0)),"-")</f>
        <v>-</v>
      </c>
      <c r="C484" s="2" t="str">
        <f>IFERROR(INDEX(Movimientos!$D$2:$D$1998,MATCH(A484&amp;"ENTRADA",Movimientos!$R$2:$R$1998,0)),"-")</f>
        <v>-</v>
      </c>
      <c r="D484" s="2" t="str">
        <f>IFERROR(INDEX(Movimientos!$E$2:$E$1998,MATCH(A484&amp;"ENTRADA",Movimientos!$R$2:$R$1998,0)),"-")</f>
        <v>-</v>
      </c>
      <c r="E484" s="2" t="str">
        <f>IFERROR(INDEX(Movimientos!$F$2:$F$1998,MATCH(A484&amp;"ENTRADA",Movimientos!$R$2:$R$1998,0)),"-")</f>
        <v>-</v>
      </c>
      <c r="F484" s="2" t="str">
        <f>IFERROR(INDEX(Movimientos!$G$2:$G$1998,MATCH(A484&amp;"ENTRADA",Movimientos!$R$2:$R$1998,0)),"-")</f>
        <v>-</v>
      </c>
      <c r="G484" s="2" t="str">
        <f>IFERROR(INDEX(Movimientos!$L$2:$L$1998,MATCH(A484&amp;"ENTRADA",Movimientos!$R$2:$R$1998,0)),"-")</f>
        <v>-</v>
      </c>
      <c r="H484" s="17" t="str">
        <f>IFERROR(IF(INDEX(Movimientos!$M$2:$M$1998,MATCH(A484&amp;"ENTRADA",Movimientos!$R$2:$R$1998,0))=0,"S/D",INDEX(Movimientos!$M$2:$M$1998,MATCH(A484&amp;"ENTRADA",Movimientos!$R$2:$R$1998,0))),"S/D")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 ht="14.25">
      <c r="A485" s="16" t="s">
        <v>2650</v>
      </c>
      <c r="B485" s="2" t="str">
        <f>IFERROR(INDEX(Movimientos!$C$2:$C$1998,MATCH(A485&amp;"ENTRADA",Movimientos!$R$2:$R$1998,0)),"-")</f>
        <v>-</v>
      </c>
      <c r="C485" s="2" t="str">
        <f>IFERROR(INDEX(Movimientos!$D$2:$D$1998,MATCH(A485&amp;"ENTRADA",Movimientos!$R$2:$R$1998,0)),"-")</f>
        <v>-</v>
      </c>
      <c r="D485" s="2" t="str">
        <f>IFERROR(INDEX(Movimientos!$E$2:$E$1998,MATCH(A485&amp;"ENTRADA",Movimientos!$R$2:$R$1998,0)),"-")</f>
        <v>-</v>
      </c>
      <c r="E485" s="2" t="str">
        <f>IFERROR(INDEX(Movimientos!$F$2:$F$1998,MATCH(A485&amp;"ENTRADA",Movimientos!$R$2:$R$1998,0)),"-")</f>
        <v>-</v>
      </c>
      <c r="F485" s="2" t="str">
        <f>IFERROR(INDEX(Movimientos!$G$2:$G$1998,MATCH(A485&amp;"ENTRADA",Movimientos!$R$2:$R$1998,0)),"-")</f>
        <v>-</v>
      </c>
      <c r="G485" s="2" t="str">
        <f>IFERROR(INDEX(Movimientos!$L$2:$L$1998,MATCH(A485&amp;"ENTRADA",Movimientos!$R$2:$R$1998,0)),"-")</f>
        <v>-</v>
      </c>
      <c r="H485" s="17" t="str">
        <f>IFERROR(IF(INDEX(Movimientos!$M$2:$M$1998,MATCH(A485&amp;"ENTRADA",Movimientos!$R$2:$R$1998,0))=0,"S/D",INDEX(Movimientos!$M$2:$M$1998,MATCH(A485&amp;"ENTRADA",Movimientos!$R$2:$R$1998,0))),"S/D")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 ht="14.25">
      <c r="A486" s="16" t="s">
        <v>2651</v>
      </c>
      <c r="B486" s="2" t="str">
        <f>IFERROR(INDEX(Movimientos!$C$2:$C$1998,MATCH(A486&amp;"ENTRADA",Movimientos!$R$2:$R$1998,0)),"-")</f>
        <v>-</v>
      </c>
      <c r="C486" s="2" t="str">
        <f>IFERROR(INDEX(Movimientos!$D$2:$D$1998,MATCH(A486&amp;"ENTRADA",Movimientos!$R$2:$R$1998,0)),"-")</f>
        <v>-</v>
      </c>
      <c r="D486" s="2" t="str">
        <f>IFERROR(INDEX(Movimientos!$E$2:$E$1998,MATCH(A486&amp;"ENTRADA",Movimientos!$R$2:$R$1998,0)),"-")</f>
        <v>-</v>
      </c>
      <c r="E486" s="2" t="str">
        <f>IFERROR(INDEX(Movimientos!$F$2:$F$1998,MATCH(A486&amp;"ENTRADA",Movimientos!$R$2:$R$1998,0)),"-")</f>
        <v>-</v>
      </c>
      <c r="F486" s="2" t="str">
        <f>IFERROR(INDEX(Movimientos!$G$2:$G$1998,MATCH(A486&amp;"ENTRADA",Movimientos!$R$2:$R$1998,0)),"-")</f>
        <v>-</v>
      </c>
      <c r="G486" s="2" t="str">
        <f>IFERROR(INDEX(Movimientos!$L$2:$L$1998,MATCH(A486&amp;"ENTRADA",Movimientos!$R$2:$R$1998,0)),"-")</f>
        <v>-</v>
      </c>
      <c r="H486" s="17" t="str">
        <f>IFERROR(IF(INDEX(Movimientos!$M$2:$M$1998,MATCH(A486&amp;"ENTRADA",Movimientos!$R$2:$R$1998,0))=0,"S/D",INDEX(Movimientos!$M$2:$M$1998,MATCH(A486&amp;"ENTRADA",Movimientos!$R$2:$R$1998,0))),"S/D")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 ht="14.25">
      <c r="A487" s="16" t="s">
        <v>2652</v>
      </c>
      <c r="B487" s="2" t="str">
        <f>IFERROR(INDEX(Movimientos!$C$2:$C$1998,MATCH(A487&amp;"ENTRADA",Movimientos!$R$2:$R$1998,0)),"-")</f>
        <v>-</v>
      </c>
      <c r="C487" s="2" t="str">
        <f>IFERROR(INDEX(Movimientos!$D$2:$D$1998,MATCH(A487&amp;"ENTRADA",Movimientos!$R$2:$R$1998,0)),"-")</f>
        <v>-</v>
      </c>
      <c r="D487" s="2" t="str">
        <f>IFERROR(INDEX(Movimientos!$E$2:$E$1998,MATCH(A487&amp;"ENTRADA",Movimientos!$R$2:$R$1998,0)),"-")</f>
        <v>-</v>
      </c>
      <c r="E487" s="2" t="str">
        <f>IFERROR(INDEX(Movimientos!$F$2:$F$1998,MATCH(A487&amp;"ENTRADA",Movimientos!$R$2:$R$1998,0)),"-")</f>
        <v>-</v>
      </c>
      <c r="F487" s="2" t="str">
        <f>IFERROR(INDEX(Movimientos!$G$2:$G$1998,MATCH(A487&amp;"ENTRADA",Movimientos!$R$2:$R$1998,0)),"-")</f>
        <v>-</v>
      </c>
      <c r="G487" s="2" t="str">
        <f>IFERROR(INDEX(Movimientos!$L$2:$L$1998,MATCH(A487&amp;"ENTRADA",Movimientos!$R$2:$R$1998,0)),"-")</f>
        <v>-</v>
      </c>
      <c r="H487" s="17" t="str">
        <f>IFERROR(IF(INDEX(Movimientos!$M$2:$M$1998,MATCH(A487&amp;"ENTRADA",Movimientos!$R$2:$R$1998,0))=0,"S/D",INDEX(Movimientos!$M$2:$M$1998,MATCH(A487&amp;"ENTRADA",Movimientos!$R$2:$R$1998,0))),"S/D")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 ht="14.25">
      <c r="A488" s="16" t="s">
        <v>2653</v>
      </c>
      <c r="B488" s="2" t="str">
        <f>IFERROR(INDEX(Movimientos!$C$2:$C$1998,MATCH(A488&amp;"ENTRADA",Movimientos!$R$2:$R$1998,0)),"-")</f>
        <v>-</v>
      </c>
      <c r="C488" s="2" t="str">
        <f>IFERROR(INDEX(Movimientos!$D$2:$D$1998,MATCH(A488&amp;"ENTRADA",Movimientos!$R$2:$R$1998,0)),"-")</f>
        <v>-</v>
      </c>
      <c r="D488" s="2" t="str">
        <f>IFERROR(INDEX(Movimientos!$E$2:$E$1998,MATCH(A488&amp;"ENTRADA",Movimientos!$R$2:$R$1998,0)),"-")</f>
        <v>-</v>
      </c>
      <c r="E488" s="2" t="str">
        <f>IFERROR(INDEX(Movimientos!$F$2:$F$1998,MATCH(A488&amp;"ENTRADA",Movimientos!$R$2:$R$1998,0)),"-")</f>
        <v>-</v>
      </c>
      <c r="F488" s="2" t="str">
        <f>IFERROR(INDEX(Movimientos!$G$2:$G$1998,MATCH(A488&amp;"ENTRADA",Movimientos!$R$2:$R$1998,0)),"-")</f>
        <v>-</v>
      </c>
      <c r="G488" s="2" t="str">
        <f>IFERROR(INDEX(Movimientos!$L$2:$L$1998,MATCH(A488&amp;"ENTRADA",Movimientos!$R$2:$R$1998,0)),"-")</f>
        <v>-</v>
      </c>
      <c r="H488" s="17" t="str">
        <f>IFERROR(IF(INDEX(Movimientos!$M$2:$M$1998,MATCH(A488&amp;"ENTRADA",Movimientos!$R$2:$R$1998,0))=0,"S/D",INDEX(Movimientos!$M$2:$M$1998,MATCH(A488&amp;"ENTRADA",Movimientos!$R$2:$R$1998,0))),"S/D")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 ht="14.25">
      <c r="A489" s="16" t="s">
        <v>2654</v>
      </c>
      <c r="B489" s="2" t="str">
        <f>IFERROR(INDEX(Movimientos!$C$2:$C$1998,MATCH(A489&amp;"ENTRADA",Movimientos!$R$2:$R$1998,0)),"-")</f>
        <v>-</v>
      </c>
      <c r="C489" s="2" t="str">
        <f>IFERROR(INDEX(Movimientos!$D$2:$D$1998,MATCH(A489&amp;"ENTRADA",Movimientos!$R$2:$R$1998,0)),"-")</f>
        <v>-</v>
      </c>
      <c r="D489" s="2" t="str">
        <f>IFERROR(INDEX(Movimientos!$E$2:$E$1998,MATCH(A489&amp;"ENTRADA",Movimientos!$R$2:$R$1998,0)),"-")</f>
        <v>-</v>
      </c>
      <c r="E489" s="2" t="str">
        <f>IFERROR(INDEX(Movimientos!$F$2:$F$1998,MATCH(A489&amp;"ENTRADA",Movimientos!$R$2:$R$1998,0)),"-")</f>
        <v>-</v>
      </c>
      <c r="F489" s="2" t="str">
        <f>IFERROR(INDEX(Movimientos!$G$2:$G$1998,MATCH(A489&amp;"ENTRADA",Movimientos!$R$2:$R$1998,0)),"-")</f>
        <v>-</v>
      </c>
      <c r="G489" s="2" t="str">
        <f>IFERROR(INDEX(Movimientos!$L$2:$L$1998,MATCH(A489&amp;"ENTRADA",Movimientos!$R$2:$R$1998,0)),"-")</f>
        <v>-</v>
      </c>
      <c r="H489" s="17" t="str">
        <f>IFERROR(IF(INDEX(Movimientos!$M$2:$M$1998,MATCH(A489&amp;"ENTRADA",Movimientos!$R$2:$R$1998,0))=0,"S/D",INDEX(Movimientos!$M$2:$M$1998,MATCH(A489&amp;"ENTRADA",Movimientos!$R$2:$R$1998,0))),"S/D")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 ht="14.25">
      <c r="A490" s="16" t="s">
        <v>2655</v>
      </c>
      <c r="B490" s="2" t="str">
        <f>IFERROR(INDEX(Movimientos!$C$2:$C$1998,MATCH(A490&amp;"ENTRADA",Movimientos!$R$2:$R$1998,0)),"-")</f>
        <v>-</v>
      </c>
      <c r="C490" s="2" t="str">
        <f>IFERROR(INDEX(Movimientos!$D$2:$D$1998,MATCH(A490&amp;"ENTRADA",Movimientos!$R$2:$R$1998,0)),"-")</f>
        <v>-</v>
      </c>
      <c r="D490" s="2" t="str">
        <f>IFERROR(INDEX(Movimientos!$E$2:$E$1998,MATCH(A490&amp;"ENTRADA",Movimientos!$R$2:$R$1998,0)),"-")</f>
        <v>-</v>
      </c>
      <c r="E490" s="2" t="str">
        <f>IFERROR(INDEX(Movimientos!$F$2:$F$1998,MATCH(A490&amp;"ENTRADA",Movimientos!$R$2:$R$1998,0)),"-")</f>
        <v>-</v>
      </c>
      <c r="F490" s="2" t="str">
        <f>IFERROR(INDEX(Movimientos!$G$2:$G$1998,MATCH(A490&amp;"ENTRADA",Movimientos!$R$2:$R$1998,0)),"-")</f>
        <v>-</v>
      </c>
      <c r="G490" s="2" t="str">
        <f>IFERROR(INDEX(Movimientos!$L$2:$L$1998,MATCH(A490&amp;"ENTRADA",Movimientos!$R$2:$R$1998,0)),"-")</f>
        <v>-</v>
      </c>
      <c r="H490" s="17" t="str">
        <f>IFERROR(IF(INDEX(Movimientos!$M$2:$M$1998,MATCH(A490&amp;"ENTRADA",Movimientos!$R$2:$R$1998,0))=0,"S/D",INDEX(Movimientos!$M$2:$M$1998,MATCH(A490&amp;"ENTRADA",Movimientos!$R$2:$R$1998,0))),"S/D")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 ht="14.25">
      <c r="A491" s="16" t="s">
        <v>2656</v>
      </c>
      <c r="B491" s="2" t="str">
        <f>IFERROR(INDEX(Movimientos!$C$2:$C$1998,MATCH(A491&amp;"ENTRADA",Movimientos!$R$2:$R$1998,0)),"-")</f>
        <v>-</v>
      </c>
      <c r="C491" s="2" t="str">
        <f>IFERROR(INDEX(Movimientos!$D$2:$D$1998,MATCH(A491&amp;"ENTRADA",Movimientos!$R$2:$R$1998,0)),"-")</f>
        <v>-</v>
      </c>
      <c r="D491" s="2" t="str">
        <f>IFERROR(INDEX(Movimientos!$E$2:$E$1998,MATCH(A491&amp;"ENTRADA",Movimientos!$R$2:$R$1998,0)),"-")</f>
        <v>-</v>
      </c>
      <c r="E491" s="2" t="str">
        <f>IFERROR(INDEX(Movimientos!$F$2:$F$1998,MATCH(A491&amp;"ENTRADA",Movimientos!$R$2:$R$1998,0)),"-")</f>
        <v>-</v>
      </c>
      <c r="F491" s="2" t="str">
        <f>IFERROR(INDEX(Movimientos!$G$2:$G$1998,MATCH(A491&amp;"ENTRADA",Movimientos!$R$2:$R$1998,0)),"-")</f>
        <v>-</v>
      </c>
      <c r="G491" s="2" t="str">
        <f>IFERROR(INDEX(Movimientos!$L$2:$L$1998,MATCH(A491&amp;"ENTRADA",Movimientos!$R$2:$R$1998,0)),"-")</f>
        <v>-</v>
      </c>
      <c r="H491" s="17" t="str">
        <f>IFERROR(IF(INDEX(Movimientos!$M$2:$M$1998,MATCH(A491&amp;"ENTRADA",Movimientos!$R$2:$R$1998,0))=0,"S/D",INDEX(Movimientos!$M$2:$M$1998,MATCH(A491&amp;"ENTRADA",Movimientos!$R$2:$R$1998,0))),"S/D")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 ht="14.25">
      <c r="A492" s="16" t="s">
        <v>2657</v>
      </c>
      <c r="B492" s="2" t="str">
        <f>IFERROR(INDEX(Movimientos!$C$2:$C$1998,MATCH(A492&amp;"ENTRADA",Movimientos!$R$2:$R$1998,0)),"-")</f>
        <v>-</v>
      </c>
      <c r="C492" s="2" t="str">
        <f>IFERROR(INDEX(Movimientos!$D$2:$D$1998,MATCH(A492&amp;"ENTRADA",Movimientos!$R$2:$R$1998,0)),"-")</f>
        <v>-</v>
      </c>
      <c r="D492" s="2" t="str">
        <f>IFERROR(INDEX(Movimientos!$E$2:$E$1998,MATCH(A492&amp;"ENTRADA",Movimientos!$R$2:$R$1998,0)),"-")</f>
        <v>-</v>
      </c>
      <c r="E492" s="2" t="str">
        <f>IFERROR(INDEX(Movimientos!$F$2:$F$1998,MATCH(A492&amp;"ENTRADA",Movimientos!$R$2:$R$1998,0)),"-")</f>
        <v>-</v>
      </c>
      <c r="F492" s="2" t="str">
        <f>IFERROR(INDEX(Movimientos!$G$2:$G$1998,MATCH(A492&amp;"ENTRADA",Movimientos!$R$2:$R$1998,0)),"-")</f>
        <v>-</v>
      </c>
      <c r="G492" s="2" t="str">
        <f>IFERROR(INDEX(Movimientos!$L$2:$L$1998,MATCH(A492&amp;"ENTRADA",Movimientos!$R$2:$R$1998,0)),"-")</f>
        <v>-</v>
      </c>
      <c r="H492" s="17" t="str">
        <f>IFERROR(IF(INDEX(Movimientos!$M$2:$M$1998,MATCH(A492&amp;"ENTRADA",Movimientos!$R$2:$R$1998,0))=0,"S/D",INDEX(Movimientos!$M$2:$M$1998,MATCH(A492&amp;"ENTRADA",Movimientos!$R$2:$R$1998,0))),"S/D")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 ht="14.25">
      <c r="A493" s="16" t="s">
        <v>2658</v>
      </c>
      <c r="B493" s="2" t="str">
        <f>IFERROR(INDEX(Movimientos!$C$2:$C$1998,MATCH(A493&amp;"ENTRADA",Movimientos!$R$2:$R$1998,0)),"-")</f>
        <v>-</v>
      </c>
      <c r="C493" s="2" t="str">
        <f>IFERROR(INDEX(Movimientos!$D$2:$D$1998,MATCH(A493&amp;"ENTRADA",Movimientos!$R$2:$R$1998,0)),"-")</f>
        <v>-</v>
      </c>
      <c r="D493" s="2" t="str">
        <f>IFERROR(INDEX(Movimientos!$E$2:$E$1998,MATCH(A493&amp;"ENTRADA",Movimientos!$R$2:$R$1998,0)),"-")</f>
        <v>-</v>
      </c>
      <c r="E493" s="2" t="str">
        <f>IFERROR(INDEX(Movimientos!$F$2:$F$1998,MATCH(A493&amp;"ENTRADA",Movimientos!$R$2:$R$1998,0)),"-")</f>
        <v>-</v>
      </c>
      <c r="F493" s="2" t="str">
        <f>IFERROR(INDEX(Movimientos!$G$2:$G$1998,MATCH(A493&amp;"ENTRADA",Movimientos!$R$2:$R$1998,0)),"-")</f>
        <v>-</v>
      </c>
      <c r="G493" s="2" t="str">
        <f>IFERROR(INDEX(Movimientos!$L$2:$L$1998,MATCH(A493&amp;"ENTRADA",Movimientos!$R$2:$R$1998,0)),"-")</f>
        <v>-</v>
      </c>
      <c r="H493" s="17" t="str">
        <f>IFERROR(IF(INDEX(Movimientos!$M$2:$M$1998,MATCH(A493&amp;"ENTRADA",Movimientos!$R$2:$R$1998,0))=0,"S/D",INDEX(Movimientos!$M$2:$M$1998,MATCH(A493&amp;"ENTRADA",Movimientos!$R$2:$R$1998,0))),"S/D")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 ht="14.25">
      <c r="A494" s="16" t="s">
        <v>2659</v>
      </c>
      <c r="B494" s="2" t="str">
        <f>IFERROR(INDEX(Movimientos!$C$2:$C$1998,MATCH(A494&amp;"ENTRADA",Movimientos!$R$2:$R$1998,0)),"-")</f>
        <v>-</v>
      </c>
      <c r="C494" s="2" t="str">
        <f>IFERROR(INDEX(Movimientos!$D$2:$D$1998,MATCH(A494&amp;"ENTRADA",Movimientos!$R$2:$R$1998,0)),"-")</f>
        <v>-</v>
      </c>
      <c r="D494" s="2" t="str">
        <f>IFERROR(INDEX(Movimientos!$E$2:$E$1998,MATCH(A494&amp;"ENTRADA",Movimientos!$R$2:$R$1998,0)),"-")</f>
        <v>-</v>
      </c>
      <c r="E494" s="2" t="str">
        <f>IFERROR(INDEX(Movimientos!$F$2:$F$1998,MATCH(A494&amp;"ENTRADA",Movimientos!$R$2:$R$1998,0)),"-")</f>
        <v>-</v>
      </c>
      <c r="F494" s="2" t="str">
        <f>IFERROR(INDEX(Movimientos!$G$2:$G$1998,MATCH(A494&amp;"ENTRADA",Movimientos!$R$2:$R$1998,0)),"-")</f>
        <v>-</v>
      </c>
      <c r="G494" s="2" t="str">
        <f>IFERROR(INDEX(Movimientos!$L$2:$L$1998,MATCH(A494&amp;"ENTRADA",Movimientos!$R$2:$R$1998,0)),"-")</f>
        <v>-</v>
      </c>
      <c r="H494" s="17" t="str">
        <f>IFERROR(IF(INDEX(Movimientos!$M$2:$M$1998,MATCH(A494&amp;"ENTRADA",Movimientos!$R$2:$R$1998,0))=0,"S/D",INDEX(Movimientos!$M$2:$M$1998,MATCH(A494&amp;"ENTRADA",Movimientos!$R$2:$R$1998,0))),"S/D")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 ht="14.25">
      <c r="A495" s="16" t="s">
        <v>2660</v>
      </c>
      <c r="B495" s="2" t="str">
        <f>IFERROR(INDEX(Movimientos!$C$2:$C$1998,MATCH(A495&amp;"ENTRADA",Movimientos!$R$2:$R$1998,0)),"-")</f>
        <v>-</v>
      </c>
      <c r="C495" s="2" t="str">
        <f>IFERROR(INDEX(Movimientos!$D$2:$D$1998,MATCH(A495&amp;"ENTRADA",Movimientos!$R$2:$R$1998,0)),"-")</f>
        <v>-</v>
      </c>
      <c r="D495" s="2" t="str">
        <f>IFERROR(INDEX(Movimientos!$E$2:$E$1998,MATCH(A495&amp;"ENTRADA",Movimientos!$R$2:$R$1998,0)),"-")</f>
        <v>-</v>
      </c>
      <c r="E495" s="2" t="str">
        <f>IFERROR(INDEX(Movimientos!$F$2:$F$1998,MATCH(A495&amp;"ENTRADA",Movimientos!$R$2:$R$1998,0)),"-")</f>
        <v>-</v>
      </c>
      <c r="F495" s="2" t="str">
        <f>IFERROR(INDEX(Movimientos!$G$2:$G$1998,MATCH(A495&amp;"ENTRADA",Movimientos!$R$2:$R$1998,0)),"-")</f>
        <v>-</v>
      </c>
      <c r="G495" s="2" t="str">
        <f>IFERROR(INDEX(Movimientos!$L$2:$L$1998,MATCH(A495&amp;"ENTRADA",Movimientos!$R$2:$R$1998,0)),"-")</f>
        <v>-</v>
      </c>
      <c r="H495" s="17" t="str">
        <f>IFERROR(IF(INDEX(Movimientos!$M$2:$M$1998,MATCH(A495&amp;"ENTRADA",Movimientos!$R$2:$R$1998,0))=0,"S/D",INDEX(Movimientos!$M$2:$M$1998,MATCH(A495&amp;"ENTRADA",Movimientos!$R$2:$R$1998,0))),"S/D")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 ht="14.25">
      <c r="A496" s="16" t="s">
        <v>2661</v>
      </c>
      <c r="B496" s="2" t="str">
        <f>IFERROR(INDEX(Movimientos!$C$2:$C$1998,MATCH(A496&amp;"ENTRADA",Movimientos!$R$2:$R$1998,0)),"-")</f>
        <v>-</v>
      </c>
      <c r="C496" s="2" t="str">
        <f>IFERROR(INDEX(Movimientos!$D$2:$D$1998,MATCH(A496&amp;"ENTRADA",Movimientos!$R$2:$R$1998,0)),"-")</f>
        <v>-</v>
      </c>
      <c r="D496" s="2" t="str">
        <f>IFERROR(INDEX(Movimientos!$E$2:$E$1998,MATCH(A496&amp;"ENTRADA",Movimientos!$R$2:$R$1998,0)),"-")</f>
        <v>-</v>
      </c>
      <c r="E496" s="2" t="str">
        <f>IFERROR(INDEX(Movimientos!$F$2:$F$1998,MATCH(A496&amp;"ENTRADA",Movimientos!$R$2:$R$1998,0)),"-")</f>
        <v>-</v>
      </c>
      <c r="F496" s="2" t="str">
        <f>IFERROR(INDEX(Movimientos!$G$2:$G$1998,MATCH(A496&amp;"ENTRADA",Movimientos!$R$2:$R$1998,0)),"-")</f>
        <v>-</v>
      </c>
      <c r="G496" s="2" t="str">
        <f>IFERROR(INDEX(Movimientos!$L$2:$L$1998,MATCH(A496&amp;"ENTRADA",Movimientos!$R$2:$R$1998,0)),"-")</f>
        <v>-</v>
      </c>
      <c r="H496" s="17" t="str">
        <f>IFERROR(IF(INDEX(Movimientos!$M$2:$M$1998,MATCH(A496&amp;"ENTRADA",Movimientos!$R$2:$R$1998,0))=0,"S/D",INDEX(Movimientos!$M$2:$M$1998,MATCH(A496&amp;"ENTRADA",Movimientos!$R$2:$R$1998,0))),"S/D")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 ht="14.25">
      <c r="A497" s="16" t="s">
        <v>2662</v>
      </c>
      <c r="B497" s="2" t="str">
        <f>IFERROR(INDEX(Movimientos!$C$2:$C$1998,MATCH(A497&amp;"ENTRADA",Movimientos!$R$2:$R$1998,0)),"-")</f>
        <v>-</v>
      </c>
      <c r="C497" s="2" t="str">
        <f>IFERROR(INDEX(Movimientos!$D$2:$D$1998,MATCH(A497&amp;"ENTRADA",Movimientos!$R$2:$R$1998,0)),"-")</f>
        <v>-</v>
      </c>
      <c r="D497" s="2" t="str">
        <f>IFERROR(INDEX(Movimientos!$E$2:$E$1998,MATCH(A497&amp;"ENTRADA",Movimientos!$R$2:$R$1998,0)),"-")</f>
        <v>-</v>
      </c>
      <c r="E497" s="2" t="str">
        <f>IFERROR(INDEX(Movimientos!$F$2:$F$1998,MATCH(A497&amp;"ENTRADA",Movimientos!$R$2:$R$1998,0)),"-")</f>
        <v>-</v>
      </c>
      <c r="F497" s="2" t="str">
        <f>IFERROR(INDEX(Movimientos!$G$2:$G$1998,MATCH(A497&amp;"ENTRADA",Movimientos!$R$2:$R$1998,0)),"-")</f>
        <v>-</v>
      </c>
      <c r="G497" s="2" t="str">
        <f>IFERROR(INDEX(Movimientos!$L$2:$L$1998,MATCH(A497&amp;"ENTRADA",Movimientos!$R$2:$R$1998,0)),"-")</f>
        <v>-</v>
      </c>
      <c r="H497" s="17" t="str">
        <f>IFERROR(IF(INDEX(Movimientos!$M$2:$M$1998,MATCH(A497&amp;"ENTRADA",Movimientos!$R$2:$R$1998,0))=0,"S/D",INDEX(Movimientos!$M$2:$M$1998,MATCH(A497&amp;"ENTRADA",Movimientos!$R$2:$R$1998,0))),"S/D")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 ht="14.25">
      <c r="A498" s="16" t="s">
        <v>2663</v>
      </c>
      <c r="B498" s="2" t="str">
        <f>IFERROR(INDEX(Movimientos!$C$2:$C$1998,MATCH(A498&amp;"ENTRADA",Movimientos!$R$2:$R$1998,0)),"-")</f>
        <v>-</v>
      </c>
      <c r="C498" s="2" t="str">
        <f>IFERROR(INDEX(Movimientos!$D$2:$D$1998,MATCH(A498&amp;"ENTRADA",Movimientos!$R$2:$R$1998,0)),"-")</f>
        <v>-</v>
      </c>
      <c r="D498" s="2" t="str">
        <f>IFERROR(INDEX(Movimientos!$E$2:$E$1998,MATCH(A498&amp;"ENTRADA",Movimientos!$R$2:$R$1998,0)),"-")</f>
        <v>-</v>
      </c>
      <c r="E498" s="2" t="str">
        <f>IFERROR(INDEX(Movimientos!$F$2:$F$1998,MATCH(A498&amp;"ENTRADA",Movimientos!$R$2:$R$1998,0)),"-")</f>
        <v>-</v>
      </c>
      <c r="F498" s="2" t="str">
        <f>IFERROR(INDEX(Movimientos!$G$2:$G$1998,MATCH(A498&amp;"ENTRADA",Movimientos!$R$2:$R$1998,0)),"-")</f>
        <v>-</v>
      </c>
      <c r="G498" s="2" t="str">
        <f>IFERROR(INDEX(Movimientos!$L$2:$L$1998,MATCH(A498&amp;"ENTRADA",Movimientos!$R$2:$R$1998,0)),"-")</f>
        <v>-</v>
      </c>
      <c r="H498" s="17" t="str">
        <f>IFERROR(IF(INDEX(Movimientos!$M$2:$M$1998,MATCH(A498&amp;"ENTRADA",Movimientos!$R$2:$R$1998,0))=0,"S/D",INDEX(Movimientos!$M$2:$M$1998,MATCH(A498&amp;"ENTRADA",Movimientos!$R$2:$R$1998,0))),"S/D")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 ht="14.25">
      <c r="A499" s="16" t="s">
        <v>2664</v>
      </c>
      <c r="B499" s="2" t="str">
        <f>IFERROR(INDEX(Movimientos!$C$2:$C$1998,MATCH(A499&amp;"ENTRADA",Movimientos!$R$2:$R$1998,0)),"-")</f>
        <v>-</v>
      </c>
      <c r="C499" s="2" t="str">
        <f>IFERROR(INDEX(Movimientos!$D$2:$D$1998,MATCH(A499&amp;"ENTRADA",Movimientos!$R$2:$R$1998,0)),"-")</f>
        <v>-</v>
      </c>
      <c r="D499" s="2" t="str">
        <f>IFERROR(INDEX(Movimientos!$E$2:$E$1998,MATCH(A499&amp;"ENTRADA",Movimientos!$R$2:$R$1998,0)),"-")</f>
        <v>-</v>
      </c>
      <c r="E499" s="2" t="str">
        <f>IFERROR(INDEX(Movimientos!$F$2:$F$1998,MATCH(A499&amp;"ENTRADA",Movimientos!$R$2:$R$1998,0)),"-")</f>
        <v>-</v>
      </c>
      <c r="F499" s="2" t="str">
        <f>IFERROR(INDEX(Movimientos!$G$2:$G$1998,MATCH(A499&amp;"ENTRADA",Movimientos!$R$2:$R$1998,0)),"-")</f>
        <v>-</v>
      </c>
      <c r="G499" s="2" t="str">
        <f>IFERROR(INDEX(Movimientos!$L$2:$L$1998,MATCH(A499&amp;"ENTRADA",Movimientos!$R$2:$R$1998,0)),"-")</f>
        <v>-</v>
      </c>
      <c r="H499" s="17" t="str">
        <f>IFERROR(IF(INDEX(Movimientos!$M$2:$M$1998,MATCH(A499&amp;"ENTRADA",Movimientos!$R$2:$R$1998,0))=0,"S/D",INDEX(Movimientos!$M$2:$M$1998,MATCH(A499&amp;"ENTRADA",Movimientos!$R$2:$R$1998,0))),"S/D")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 ht="14.25">
      <c r="A500" s="16" t="s">
        <v>2665</v>
      </c>
      <c r="B500" s="2" t="str">
        <f>IFERROR(INDEX(Movimientos!$C$2:$C$1998,MATCH(A500&amp;"ENTRADA",Movimientos!$R$2:$R$1998,0)),"-")</f>
        <v>-</v>
      </c>
      <c r="C500" s="2" t="str">
        <f>IFERROR(INDEX(Movimientos!$D$2:$D$1998,MATCH(A500&amp;"ENTRADA",Movimientos!$R$2:$R$1998,0)),"-")</f>
        <v>-</v>
      </c>
      <c r="D500" s="2" t="str">
        <f>IFERROR(INDEX(Movimientos!$E$2:$E$1998,MATCH(A500&amp;"ENTRADA",Movimientos!$R$2:$R$1998,0)),"-")</f>
        <v>-</v>
      </c>
      <c r="E500" s="2" t="str">
        <f>IFERROR(INDEX(Movimientos!$F$2:$F$1998,MATCH(A500&amp;"ENTRADA",Movimientos!$R$2:$R$1998,0)),"-")</f>
        <v>-</v>
      </c>
      <c r="F500" s="2" t="str">
        <f>IFERROR(INDEX(Movimientos!$G$2:$G$1998,MATCH(A500&amp;"ENTRADA",Movimientos!$R$2:$R$1998,0)),"-")</f>
        <v>-</v>
      </c>
      <c r="G500" s="2" t="str">
        <f>IFERROR(INDEX(Movimientos!$L$2:$L$1998,MATCH(A500&amp;"ENTRADA",Movimientos!$R$2:$R$1998,0)),"-")</f>
        <v>-</v>
      </c>
      <c r="H500" s="17" t="str">
        <f>IFERROR(IF(INDEX(Movimientos!$M$2:$M$1998,MATCH(A500&amp;"ENTRADA",Movimientos!$R$2:$R$1998,0))=0,"S/D",INDEX(Movimientos!$M$2:$M$1998,MATCH(A500&amp;"ENTRADA",Movimientos!$R$2:$R$1998,0))),"S/D")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 ht="14.25">
      <c r="A501" s="16" t="s">
        <v>2666</v>
      </c>
      <c r="B501" s="2" t="str">
        <f>IFERROR(INDEX(Movimientos!$C$2:$C$1998,MATCH(A501&amp;"ENTRADA",Movimientos!$R$2:$R$1998,0)),"-")</f>
        <v>-</v>
      </c>
      <c r="C501" s="2" t="str">
        <f>IFERROR(INDEX(Movimientos!$D$2:$D$1998,MATCH(A501&amp;"ENTRADA",Movimientos!$R$2:$R$1998,0)),"-")</f>
        <v>-</v>
      </c>
      <c r="D501" s="2" t="str">
        <f>IFERROR(INDEX(Movimientos!$E$2:$E$1998,MATCH(A501&amp;"ENTRADA",Movimientos!$R$2:$R$1998,0)),"-")</f>
        <v>-</v>
      </c>
      <c r="E501" s="2" t="str">
        <f>IFERROR(INDEX(Movimientos!$F$2:$F$1998,MATCH(A501&amp;"ENTRADA",Movimientos!$R$2:$R$1998,0)),"-")</f>
        <v>-</v>
      </c>
      <c r="F501" s="2" t="str">
        <f>IFERROR(INDEX(Movimientos!$G$2:$G$1998,MATCH(A501&amp;"ENTRADA",Movimientos!$R$2:$R$1998,0)),"-")</f>
        <v>-</v>
      </c>
      <c r="G501" s="2" t="str">
        <f>IFERROR(INDEX(Movimientos!$L$2:$L$1998,MATCH(A501&amp;"ENTRADA",Movimientos!$R$2:$R$1998,0)),"-")</f>
        <v>-</v>
      </c>
      <c r="H501" s="17" t="str">
        <f>IFERROR(IF(INDEX(Movimientos!$M$2:$M$1998,MATCH(A501&amp;"ENTRADA",Movimientos!$R$2:$R$1998,0))=0,"S/D",INDEX(Movimientos!$M$2:$M$1998,MATCH(A501&amp;"ENTRADA",Movimientos!$R$2:$R$1998,0))),"S/D")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 ht="14.25">
      <c r="A502" s="16" t="s">
        <v>2667</v>
      </c>
      <c r="B502" s="2" t="str">
        <f>IFERROR(INDEX(Movimientos!$C$2:$C$1998,MATCH(A502&amp;"ENTRADA",Movimientos!$R$2:$R$1998,0)),"-")</f>
        <v>-</v>
      </c>
      <c r="C502" s="2" t="str">
        <f>IFERROR(INDEX(Movimientos!$D$2:$D$1998,MATCH(A502&amp;"ENTRADA",Movimientos!$R$2:$R$1998,0)),"-")</f>
        <v>-</v>
      </c>
      <c r="D502" s="2" t="str">
        <f>IFERROR(INDEX(Movimientos!$E$2:$E$1998,MATCH(A502&amp;"ENTRADA",Movimientos!$R$2:$R$1998,0)),"-")</f>
        <v>-</v>
      </c>
      <c r="E502" s="2" t="str">
        <f>IFERROR(INDEX(Movimientos!$F$2:$F$1998,MATCH(A502&amp;"ENTRADA",Movimientos!$R$2:$R$1998,0)),"-")</f>
        <v>-</v>
      </c>
      <c r="F502" s="2" t="str">
        <f>IFERROR(INDEX(Movimientos!$G$2:$G$1998,MATCH(A502&amp;"ENTRADA",Movimientos!$R$2:$R$1998,0)),"-")</f>
        <v>-</v>
      </c>
      <c r="G502" s="2" t="str">
        <f>IFERROR(INDEX(Movimientos!$L$2:$L$1998,MATCH(A502&amp;"ENTRADA",Movimientos!$R$2:$R$1998,0)),"-")</f>
        <v>-</v>
      </c>
      <c r="H502" s="17" t="str">
        <f>IFERROR(IF(INDEX(Movimientos!$M$2:$M$1998,MATCH(A502&amp;"ENTRADA",Movimientos!$R$2:$R$1998,0))=0,"S/D",INDEX(Movimientos!$M$2:$M$1998,MATCH(A502&amp;"ENTRADA",Movimientos!$R$2:$R$1998,0))),"S/D")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 ht="14.25">
      <c r="A503" s="16" t="s">
        <v>2668</v>
      </c>
      <c r="B503" s="2" t="str">
        <f>IFERROR(INDEX(Movimientos!$C$2:$C$1998,MATCH(A503&amp;"ENTRADA",Movimientos!$R$2:$R$1998,0)),"-")</f>
        <v>-</v>
      </c>
      <c r="C503" s="2" t="str">
        <f>IFERROR(INDEX(Movimientos!$D$2:$D$1998,MATCH(A503&amp;"ENTRADA",Movimientos!$R$2:$R$1998,0)),"-")</f>
        <v>-</v>
      </c>
      <c r="D503" s="2" t="str">
        <f>IFERROR(INDEX(Movimientos!$E$2:$E$1998,MATCH(A503&amp;"ENTRADA",Movimientos!$R$2:$R$1998,0)),"-")</f>
        <v>-</v>
      </c>
      <c r="E503" s="2" t="str">
        <f>IFERROR(INDEX(Movimientos!$F$2:$F$1998,MATCH(A503&amp;"ENTRADA",Movimientos!$R$2:$R$1998,0)),"-")</f>
        <v>-</v>
      </c>
      <c r="F503" s="2" t="str">
        <f>IFERROR(INDEX(Movimientos!$G$2:$G$1998,MATCH(A503&amp;"ENTRADA",Movimientos!$R$2:$R$1998,0)),"-")</f>
        <v>-</v>
      </c>
      <c r="G503" s="2" t="str">
        <f>IFERROR(INDEX(Movimientos!$L$2:$L$1998,MATCH(A503&amp;"ENTRADA",Movimientos!$R$2:$R$1998,0)),"-")</f>
        <v>-</v>
      </c>
      <c r="H503" s="17" t="str">
        <f>IFERROR(IF(INDEX(Movimientos!$M$2:$M$1998,MATCH(A503&amp;"ENTRADA",Movimientos!$R$2:$R$1998,0))=0,"S/D",INDEX(Movimientos!$M$2:$M$1998,MATCH(A503&amp;"ENTRADA",Movimientos!$R$2:$R$1998,0))),"S/D")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 ht="14.25">
      <c r="A504" s="16" t="s">
        <v>2669</v>
      </c>
      <c r="B504" s="2" t="str">
        <f>IFERROR(INDEX(Movimientos!$C$2:$C$1998,MATCH(A504&amp;"ENTRADA",Movimientos!$R$2:$R$1998,0)),"-")</f>
        <v>-</v>
      </c>
      <c r="C504" s="2" t="str">
        <f>IFERROR(INDEX(Movimientos!$D$2:$D$1998,MATCH(A504&amp;"ENTRADA",Movimientos!$R$2:$R$1998,0)),"-")</f>
        <v>-</v>
      </c>
      <c r="D504" s="2" t="str">
        <f>IFERROR(INDEX(Movimientos!$E$2:$E$1998,MATCH(A504&amp;"ENTRADA",Movimientos!$R$2:$R$1998,0)),"-")</f>
        <v>-</v>
      </c>
      <c r="E504" s="2" t="str">
        <f>IFERROR(INDEX(Movimientos!$F$2:$F$1998,MATCH(A504&amp;"ENTRADA",Movimientos!$R$2:$R$1998,0)),"-")</f>
        <v>-</v>
      </c>
      <c r="F504" s="2" t="str">
        <f>IFERROR(INDEX(Movimientos!$G$2:$G$1998,MATCH(A504&amp;"ENTRADA",Movimientos!$R$2:$R$1998,0)),"-")</f>
        <v>-</v>
      </c>
      <c r="G504" s="2" t="str">
        <f>IFERROR(INDEX(Movimientos!$L$2:$L$1998,MATCH(A504&amp;"ENTRADA",Movimientos!$R$2:$R$1998,0)),"-")</f>
        <v>-</v>
      </c>
      <c r="H504" s="17" t="str">
        <f>IFERROR(IF(INDEX(Movimientos!$M$2:$M$1998,MATCH(A504&amp;"ENTRADA",Movimientos!$R$2:$R$1998,0))=0,"S/D",INDEX(Movimientos!$M$2:$M$1998,MATCH(A504&amp;"ENTRADA",Movimientos!$R$2:$R$1998,0))),"S/D")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 ht="14.25">
      <c r="A505" s="16" t="s">
        <v>2670</v>
      </c>
      <c r="B505" s="2" t="str">
        <f>IFERROR(INDEX(Movimientos!$C$2:$C$1998,MATCH(A505&amp;"ENTRADA",Movimientos!$R$2:$R$1998,0)),"-")</f>
        <v>-</v>
      </c>
      <c r="C505" s="2" t="str">
        <f>IFERROR(INDEX(Movimientos!$D$2:$D$1998,MATCH(A505&amp;"ENTRADA",Movimientos!$R$2:$R$1998,0)),"-")</f>
        <v>-</v>
      </c>
      <c r="D505" s="2" t="str">
        <f>IFERROR(INDEX(Movimientos!$E$2:$E$1998,MATCH(A505&amp;"ENTRADA",Movimientos!$R$2:$R$1998,0)),"-")</f>
        <v>-</v>
      </c>
      <c r="E505" s="2" t="str">
        <f>IFERROR(INDEX(Movimientos!$F$2:$F$1998,MATCH(A505&amp;"ENTRADA",Movimientos!$R$2:$R$1998,0)),"-")</f>
        <v>-</v>
      </c>
      <c r="F505" s="2" t="str">
        <f>IFERROR(INDEX(Movimientos!$G$2:$G$1998,MATCH(A505&amp;"ENTRADA",Movimientos!$R$2:$R$1998,0)),"-")</f>
        <v>-</v>
      </c>
      <c r="G505" s="2" t="str">
        <f>IFERROR(INDEX(Movimientos!$L$2:$L$1998,MATCH(A505&amp;"ENTRADA",Movimientos!$R$2:$R$1998,0)),"-")</f>
        <v>-</v>
      </c>
      <c r="H505" s="17" t="str">
        <f>IFERROR(IF(INDEX(Movimientos!$M$2:$M$1998,MATCH(A505&amp;"ENTRADA",Movimientos!$R$2:$R$1998,0))=0,"S/D",INDEX(Movimientos!$M$2:$M$1998,MATCH(A505&amp;"ENTRADA",Movimientos!$R$2:$R$1998,0))),"S/D")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 ht="14.25">
      <c r="A506" s="16" t="s">
        <v>2671</v>
      </c>
      <c r="B506" s="2" t="str">
        <f>IFERROR(INDEX(Movimientos!$C$2:$C$1998,MATCH(A506&amp;"ENTRADA",Movimientos!$R$2:$R$1998,0)),"-")</f>
        <v>-</v>
      </c>
      <c r="C506" s="2" t="str">
        <f>IFERROR(INDEX(Movimientos!$D$2:$D$1998,MATCH(A506&amp;"ENTRADA",Movimientos!$R$2:$R$1998,0)),"-")</f>
        <v>-</v>
      </c>
      <c r="D506" s="2" t="str">
        <f>IFERROR(INDEX(Movimientos!$E$2:$E$1998,MATCH(A506&amp;"ENTRADA",Movimientos!$R$2:$R$1998,0)),"-")</f>
        <v>-</v>
      </c>
      <c r="E506" s="2" t="str">
        <f>IFERROR(INDEX(Movimientos!$F$2:$F$1998,MATCH(A506&amp;"ENTRADA",Movimientos!$R$2:$R$1998,0)),"-")</f>
        <v>-</v>
      </c>
      <c r="F506" s="2" t="str">
        <f>IFERROR(INDEX(Movimientos!$G$2:$G$1998,MATCH(A506&amp;"ENTRADA",Movimientos!$R$2:$R$1998,0)),"-")</f>
        <v>-</v>
      </c>
      <c r="G506" s="2" t="str">
        <f>IFERROR(INDEX(Movimientos!$L$2:$L$1998,MATCH(A506&amp;"ENTRADA",Movimientos!$R$2:$R$1998,0)),"-")</f>
        <v>-</v>
      </c>
      <c r="H506" s="17" t="str">
        <f>IFERROR(IF(INDEX(Movimientos!$M$2:$M$1998,MATCH(A506&amp;"ENTRADA",Movimientos!$R$2:$R$1998,0))=0,"S/D",INDEX(Movimientos!$M$2:$M$1998,MATCH(A506&amp;"ENTRADA",Movimientos!$R$2:$R$1998,0))),"S/D")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 ht="14.25">
      <c r="A507" s="16" t="s">
        <v>2672</v>
      </c>
      <c r="B507" s="2" t="str">
        <f>IFERROR(INDEX(Movimientos!$C$2:$C$1998,MATCH(A507&amp;"ENTRADA",Movimientos!$R$2:$R$1998,0)),"-")</f>
        <v>-</v>
      </c>
      <c r="C507" s="2" t="str">
        <f>IFERROR(INDEX(Movimientos!$D$2:$D$1998,MATCH(A507&amp;"ENTRADA",Movimientos!$R$2:$R$1998,0)),"-")</f>
        <v>-</v>
      </c>
      <c r="D507" s="2" t="str">
        <f>IFERROR(INDEX(Movimientos!$E$2:$E$1998,MATCH(A507&amp;"ENTRADA",Movimientos!$R$2:$R$1998,0)),"-")</f>
        <v>-</v>
      </c>
      <c r="E507" s="2" t="str">
        <f>IFERROR(INDEX(Movimientos!$F$2:$F$1998,MATCH(A507&amp;"ENTRADA",Movimientos!$R$2:$R$1998,0)),"-")</f>
        <v>-</v>
      </c>
      <c r="F507" s="2" t="str">
        <f>IFERROR(INDEX(Movimientos!$G$2:$G$1998,MATCH(A507&amp;"ENTRADA",Movimientos!$R$2:$R$1998,0)),"-")</f>
        <v>-</v>
      </c>
      <c r="G507" s="2" t="str">
        <f>IFERROR(INDEX(Movimientos!$L$2:$L$1998,MATCH(A507&amp;"ENTRADA",Movimientos!$R$2:$R$1998,0)),"-")</f>
        <v>-</v>
      </c>
      <c r="H507" s="17" t="str">
        <f>IFERROR(IF(INDEX(Movimientos!$M$2:$M$1998,MATCH(A507&amp;"ENTRADA",Movimientos!$R$2:$R$1998,0))=0,"S/D",INDEX(Movimientos!$M$2:$M$1998,MATCH(A507&amp;"ENTRADA",Movimientos!$R$2:$R$1998,0))),"S/D")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 ht="14.25">
      <c r="A508" s="16" t="s">
        <v>2673</v>
      </c>
      <c r="B508" s="2" t="str">
        <f>IFERROR(INDEX(Movimientos!$C$2:$C$1998,MATCH(A508&amp;"ENTRADA",Movimientos!$R$2:$R$1998,0)),"-")</f>
        <v>-</v>
      </c>
      <c r="C508" s="2" t="str">
        <f>IFERROR(INDEX(Movimientos!$D$2:$D$1998,MATCH(A508&amp;"ENTRADA",Movimientos!$R$2:$R$1998,0)),"-")</f>
        <v>-</v>
      </c>
      <c r="D508" s="2" t="str">
        <f>IFERROR(INDEX(Movimientos!$E$2:$E$1998,MATCH(A508&amp;"ENTRADA",Movimientos!$R$2:$R$1998,0)),"-")</f>
        <v>-</v>
      </c>
      <c r="E508" s="2" t="str">
        <f>IFERROR(INDEX(Movimientos!$F$2:$F$1998,MATCH(A508&amp;"ENTRADA",Movimientos!$R$2:$R$1998,0)),"-")</f>
        <v>-</v>
      </c>
      <c r="F508" s="2" t="str">
        <f>IFERROR(INDEX(Movimientos!$G$2:$G$1998,MATCH(A508&amp;"ENTRADA",Movimientos!$R$2:$R$1998,0)),"-")</f>
        <v>-</v>
      </c>
      <c r="G508" s="2" t="str">
        <f>IFERROR(INDEX(Movimientos!$L$2:$L$1998,MATCH(A508&amp;"ENTRADA",Movimientos!$R$2:$R$1998,0)),"-")</f>
        <v>-</v>
      </c>
      <c r="H508" s="17" t="str">
        <f>IFERROR(IF(INDEX(Movimientos!$M$2:$M$1998,MATCH(A508&amp;"ENTRADA",Movimientos!$R$2:$R$1998,0))=0,"S/D",INDEX(Movimientos!$M$2:$M$1998,MATCH(A508&amp;"ENTRADA",Movimientos!$R$2:$R$1998,0))),"S/D")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 ht="14.25">
      <c r="A509" s="16" t="s">
        <v>2674</v>
      </c>
      <c r="B509" s="2" t="str">
        <f>IFERROR(INDEX(Movimientos!$C$2:$C$1998,MATCH(A509&amp;"ENTRADA",Movimientos!$R$2:$R$1998,0)),"-")</f>
        <v>-</v>
      </c>
      <c r="C509" s="2" t="str">
        <f>IFERROR(INDEX(Movimientos!$D$2:$D$1998,MATCH(A509&amp;"ENTRADA",Movimientos!$R$2:$R$1998,0)),"-")</f>
        <v>-</v>
      </c>
      <c r="D509" s="2" t="str">
        <f>IFERROR(INDEX(Movimientos!$E$2:$E$1998,MATCH(A509&amp;"ENTRADA",Movimientos!$R$2:$R$1998,0)),"-")</f>
        <v>-</v>
      </c>
      <c r="E509" s="2" t="str">
        <f>IFERROR(INDEX(Movimientos!$F$2:$F$1998,MATCH(A509&amp;"ENTRADA",Movimientos!$R$2:$R$1998,0)),"-")</f>
        <v>-</v>
      </c>
      <c r="F509" s="2" t="str">
        <f>IFERROR(INDEX(Movimientos!$G$2:$G$1998,MATCH(A509&amp;"ENTRADA",Movimientos!$R$2:$R$1998,0)),"-")</f>
        <v>-</v>
      </c>
      <c r="G509" s="2" t="str">
        <f>IFERROR(INDEX(Movimientos!$L$2:$L$1998,MATCH(A509&amp;"ENTRADA",Movimientos!$R$2:$R$1998,0)),"-")</f>
        <v>-</v>
      </c>
      <c r="H509" s="17" t="str">
        <f>IFERROR(IF(INDEX(Movimientos!$M$2:$M$1998,MATCH(A509&amp;"ENTRADA",Movimientos!$R$2:$R$1998,0))=0,"S/D",INDEX(Movimientos!$M$2:$M$1998,MATCH(A509&amp;"ENTRADA",Movimientos!$R$2:$R$1998,0))),"S/D")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 ht="14.25">
      <c r="A510" s="16" t="s">
        <v>2675</v>
      </c>
      <c r="B510" s="2" t="str">
        <f>IFERROR(INDEX(Movimientos!$C$2:$C$1998,MATCH(A510&amp;"ENTRADA",Movimientos!$R$2:$R$1998,0)),"-")</f>
        <v>-</v>
      </c>
      <c r="C510" s="2" t="str">
        <f>IFERROR(INDEX(Movimientos!$D$2:$D$1998,MATCH(A510&amp;"ENTRADA",Movimientos!$R$2:$R$1998,0)),"-")</f>
        <v>-</v>
      </c>
      <c r="D510" s="2" t="str">
        <f>IFERROR(INDEX(Movimientos!$E$2:$E$1998,MATCH(A510&amp;"ENTRADA",Movimientos!$R$2:$R$1998,0)),"-")</f>
        <v>-</v>
      </c>
      <c r="E510" s="2" t="str">
        <f>IFERROR(INDEX(Movimientos!$F$2:$F$1998,MATCH(A510&amp;"ENTRADA",Movimientos!$R$2:$R$1998,0)),"-")</f>
        <v>-</v>
      </c>
      <c r="F510" s="2" t="str">
        <f>IFERROR(INDEX(Movimientos!$G$2:$G$1998,MATCH(A510&amp;"ENTRADA",Movimientos!$R$2:$R$1998,0)),"-")</f>
        <v>-</v>
      </c>
      <c r="G510" s="2" t="str">
        <f>IFERROR(INDEX(Movimientos!$L$2:$L$1998,MATCH(A510&amp;"ENTRADA",Movimientos!$R$2:$R$1998,0)),"-")</f>
        <v>-</v>
      </c>
      <c r="H510" s="17" t="str">
        <f>IFERROR(IF(INDEX(Movimientos!$M$2:$M$1998,MATCH(A510&amp;"ENTRADA",Movimientos!$R$2:$R$1998,0))=0,"S/D",INDEX(Movimientos!$M$2:$M$1998,MATCH(A510&amp;"ENTRADA",Movimientos!$R$2:$R$1998,0))),"S/D")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 ht="14.25">
      <c r="A511" s="16" t="s">
        <v>2676</v>
      </c>
      <c r="B511" s="2" t="str">
        <f>IFERROR(INDEX(Movimientos!$C$2:$C$1998,MATCH(A511&amp;"ENTRADA",Movimientos!$R$2:$R$1998,0)),"-")</f>
        <v>-</v>
      </c>
      <c r="C511" s="2" t="str">
        <f>IFERROR(INDEX(Movimientos!$D$2:$D$1998,MATCH(A511&amp;"ENTRADA",Movimientos!$R$2:$R$1998,0)),"-")</f>
        <v>-</v>
      </c>
      <c r="D511" s="2" t="str">
        <f>IFERROR(INDEX(Movimientos!$E$2:$E$1998,MATCH(A511&amp;"ENTRADA",Movimientos!$R$2:$R$1998,0)),"-")</f>
        <v>-</v>
      </c>
      <c r="E511" s="2" t="str">
        <f>IFERROR(INDEX(Movimientos!$F$2:$F$1998,MATCH(A511&amp;"ENTRADA",Movimientos!$R$2:$R$1998,0)),"-")</f>
        <v>-</v>
      </c>
      <c r="F511" s="2" t="str">
        <f>IFERROR(INDEX(Movimientos!$G$2:$G$1998,MATCH(A511&amp;"ENTRADA",Movimientos!$R$2:$R$1998,0)),"-")</f>
        <v>-</v>
      </c>
      <c r="G511" s="2" t="str">
        <f>IFERROR(INDEX(Movimientos!$L$2:$L$1998,MATCH(A511&amp;"ENTRADA",Movimientos!$R$2:$R$1998,0)),"-")</f>
        <v>-</v>
      </c>
      <c r="H511" s="17" t="str">
        <f>IFERROR(IF(INDEX(Movimientos!$M$2:$M$1998,MATCH(A511&amp;"ENTRADA",Movimientos!$R$2:$R$1998,0))=0,"S/D",INDEX(Movimientos!$M$2:$M$1998,MATCH(A511&amp;"ENTRADA",Movimientos!$R$2:$R$1998,0))),"S/D")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 ht="14.25">
      <c r="A512" s="16" t="s">
        <v>2677</v>
      </c>
      <c r="B512" s="2" t="str">
        <f>IFERROR(INDEX(Movimientos!$C$2:$C$1998,MATCH(A512&amp;"ENTRADA",Movimientos!$R$2:$R$1998,0)),"-")</f>
        <v>-</v>
      </c>
      <c r="C512" s="2" t="str">
        <f>IFERROR(INDEX(Movimientos!$D$2:$D$1998,MATCH(A512&amp;"ENTRADA",Movimientos!$R$2:$R$1998,0)),"-")</f>
        <v>-</v>
      </c>
      <c r="D512" s="2" t="str">
        <f>IFERROR(INDEX(Movimientos!$E$2:$E$1998,MATCH(A512&amp;"ENTRADA",Movimientos!$R$2:$R$1998,0)),"-")</f>
        <v>-</v>
      </c>
      <c r="E512" s="2" t="str">
        <f>IFERROR(INDEX(Movimientos!$F$2:$F$1998,MATCH(A512&amp;"ENTRADA",Movimientos!$R$2:$R$1998,0)),"-")</f>
        <v>-</v>
      </c>
      <c r="F512" s="2" t="str">
        <f>IFERROR(INDEX(Movimientos!$G$2:$G$1998,MATCH(A512&amp;"ENTRADA",Movimientos!$R$2:$R$1998,0)),"-")</f>
        <v>-</v>
      </c>
      <c r="G512" s="2" t="str">
        <f>IFERROR(INDEX(Movimientos!$L$2:$L$1998,MATCH(A512&amp;"ENTRADA",Movimientos!$R$2:$R$1998,0)),"-")</f>
        <v>-</v>
      </c>
      <c r="H512" s="17" t="str">
        <f>IFERROR(IF(INDEX(Movimientos!$M$2:$M$1998,MATCH(A512&amp;"ENTRADA",Movimientos!$R$2:$R$1998,0))=0,"S/D",INDEX(Movimientos!$M$2:$M$1998,MATCH(A512&amp;"ENTRADA",Movimientos!$R$2:$R$1998,0))),"S/D")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 ht="14.25">
      <c r="A513" s="16" t="s">
        <v>2678</v>
      </c>
      <c r="B513" s="2" t="str">
        <f>IFERROR(INDEX(Movimientos!$C$2:$C$1998,MATCH(A513&amp;"ENTRADA",Movimientos!$R$2:$R$1998,0)),"-")</f>
        <v>-</v>
      </c>
      <c r="C513" s="2" t="str">
        <f>IFERROR(INDEX(Movimientos!$D$2:$D$1998,MATCH(A513&amp;"ENTRADA",Movimientos!$R$2:$R$1998,0)),"-")</f>
        <v>-</v>
      </c>
      <c r="D513" s="2" t="str">
        <f>IFERROR(INDEX(Movimientos!$E$2:$E$1998,MATCH(A513&amp;"ENTRADA",Movimientos!$R$2:$R$1998,0)),"-")</f>
        <v>-</v>
      </c>
      <c r="E513" s="2" t="str">
        <f>IFERROR(INDEX(Movimientos!$F$2:$F$1998,MATCH(A513&amp;"ENTRADA",Movimientos!$R$2:$R$1998,0)),"-")</f>
        <v>-</v>
      </c>
      <c r="F513" s="2" t="str">
        <f>IFERROR(INDEX(Movimientos!$G$2:$G$1998,MATCH(A513&amp;"ENTRADA",Movimientos!$R$2:$R$1998,0)),"-")</f>
        <v>-</v>
      </c>
      <c r="G513" s="2" t="str">
        <f>IFERROR(INDEX(Movimientos!$L$2:$L$1998,MATCH(A513&amp;"ENTRADA",Movimientos!$R$2:$R$1998,0)),"-")</f>
        <v>-</v>
      </c>
      <c r="H513" s="17" t="str">
        <f>IFERROR(IF(INDEX(Movimientos!$M$2:$M$1998,MATCH(A513&amp;"ENTRADA",Movimientos!$R$2:$R$1998,0))=0,"S/D",INDEX(Movimientos!$M$2:$M$1998,MATCH(A513&amp;"ENTRADA",Movimientos!$R$2:$R$1998,0))),"S/D")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 ht="14.25">
      <c r="A514" s="16" t="s">
        <v>2679</v>
      </c>
      <c r="B514" s="2" t="str">
        <f>IFERROR(INDEX(Movimientos!$C$2:$C$1998,MATCH(A514&amp;"ENTRADA",Movimientos!$R$2:$R$1998,0)),"-")</f>
        <v>-</v>
      </c>
      <c r="C514" s="2" t="str">
        <f>IFERROR(INDEX(Movimientos!$D$2:$D$1998,MATCH(A514&amp;"ENTRADA",Movimientos!$R$2:$R$1998,0)),"-")</f>
        <v>-</v>
      </c>
      <c r="D514" s="2" t="str">
        <f>IFERROR(INDEX(Movimientos!$E$2:$E$1998,MATCH(A514&amp;"ENTRADA",Movimientos!$R$2:$R$1998,0)),"-")</f>
        <v>-</v>
      </c>
      <c r="E514" s="2" t="str">
        <f>IFERROR(INDEX(Movimientos!$F$2:$F$1998,MATCH(A514&amp;"ENTRADA",Movimientos!$R$2:$R$1998,0)),"-")</f>
        <v>-</v>
      </c>
      <c r="F514" s="2" t="str">
        <f>IFERROR(INDEX(Movimientos!$G$2:$G$1998,MATCH(A514&amp;"ENTRADA",Movimientos!$R$2:$R$1998,0)),"-")</f>
        <v>-</v>
      </c>
      <c r="G514" s="2" t="str">
        <f>IFERROR(INDEX(Movimientos!$L$2:$L$1998,MATCH(A514&amp;"ENTRADA",Movimientos!$R$2:$R$1998,0)),"-")</f>
        <v>-</v>
      </c>
      <c r="H514" s="17" t="str">
        <f>IFERROR(IF(INDEX(Movimientos!$M$2:$M$1998,MATCH(A514&amp;"ENTRADA",Movimientos!$R$2:$R$1998,0))=0,"S/D",INDEX(Movimientos!$M$2:$M$1998,MATCH(A514&amp;"ENTRADA",Movimientos!$R$2:$R$1998,0))),"S/D")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 ht="14.25">
      <c r="A515" s="16" t="s">
        <v>2680</v>
      </c>
      <c r="B515" s="2" t="str">
        <f>IFERROR(INDEX(Movimientos!$C$2:$C$1998,MATCH(A515&amp;"ENTRADA",Movimientos!$R$2:$R$1998,0)),"-")</f>
        <v>-</v>
      </c>
      <c r="C515" s="2" t="str">
        <f>IFERROR(INDEX(Movimientos!$D$2:$D$1998,MATCH(A515&amp;"ENTRADA",Movimientos!$R$2:$R$1998,0)),"-")</f>
        <v>-</v>
      </c>
      <c r="D515" s="2" t="str">
        <f>IFERROR(INDEX(Movimientos!$E$2:$E$1998,MATCH(A515&amp;"ENTRADA",Movimientos!$R$2:$R$1998,0)),"-")</f>
        <v>-</v>
      </c>
      <c r="E515" s="2" t="str">
        <f>IFERROR(INDEX(Movimientos!$F$2:$F$1998,MATCH(A515&amp;"ENTRADA",Movimientos!$R$2:$R$1998,0)),"-")</f>
        <v>-</v>
      </c>
      <c r="F515" s="2" t="str">
        <f>IFERROR(INDEX(Movimientos!$G$2:$G$1998,MATCH(A515&amp;"ENTRADA",Movimientos!$R$2:$R$1998,0)),"-")</f>
        <v>-</v>
      </c>
      <c r="G515" s="2" t="str">
        <f>IFERROR(INDEX(Movimientos!$L$2:$L$1998,MATCH(A515&amp;"ENTRADA",Movimientos!$R$2:$R$1998,0)),"-")</f>
        <v>-</v>
      </c>
      <c r="H515" s="17" t="str">
        <f>IFERROR(IF(INDEX(Movimientos!$M$2:$M$1998,MATCH(A515&amp;"ENTRADA",Movimientos!$R$2:$R$1998,0))=0,"S/D",INDEX(Movimientos!$M$2:$M$1998,MATCH(A515&amp;"ENTRADA",Movimientos!$R$2:$R$1998,0))),"S/D")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 ht="14.25">
      <c r="A516" s="16" t="s">
        <v>2681</v>
      </c>
      <c r="B516" s="2" t="str">
        <f>IFERROR(INDEX(Movimientos!$C$2:$C$1998,MATCH(A516&amp;"ENTRADA",Movimientos!$R$2:$R$1998,0)),"-")</f>
        <v>-</v>
      </c>
      <c r="C516" s="2" t="str">
        <f>IFERROR(INDEX(Movimientos!$D$2:$D$1998,MATCH(A516&amp;"ENTRADA",Movimientos!$R$2:$R$1998,0)),"-")</f>
        <v>-</v>
      </c>
      <c r="D516" s="2" t="str">
        <f>IFERROR(INDEX(Movimientos!$E$2:$E$1998,MATCH(A516&amp;"ENTRADA",Movimientos!$R$2:$R$1998,0)),"-")</f>
        <v>-</v>
      </c>
      <c r="E516" s="2" t="str">
        <f>IFERROR(INDEX(Movimientos!$F$2:$F$1998,MATCH(A516&amp;"ENTRADA",Movimientos!$R$2:$R$1998,0)),"-")</f>
        <v>-</v>
      </c>
      <c r="F516" s="2" t="str">
        <f>IFERROR(INDEX(Movimientos!$G$2:$G$1998,MATCH(A516&amp;"ENTRADA",Movimientos!$R$2:$R$1998,0)),"-")</f>
        <v>-</v>
      </c>
      <c r="G516" s="2" t="str">
        <f>IFERROR(INDEX(Movimientos!$L$2:$L$1998,MATCH(A516&amp;"ENTRADA",Movimientos!$R$2:$R$1998,0)),"-")</f>
        <v>-</v>
      </c>
      <c r="H516" s="17" t="str">
        <f>IFERROR(IF(INDEX(Movimientos!$M$2:$M$1998,MATCH(A516&amp;"ENTRADA",Movimientos!$R$2:$R$1998,0))=0,"S/D",INDEX(Movimientos!$M$2:$M$1998,MATCH(A516&amp;"ENTRADA",Movimientos!$R$2:$R$1998,0))),"S/D")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 ht="14.25">
      <c r="A517" s="16" t="s">
        <v>2682</v>
      </c>
      <c r="B517" s="2" t="str">
        <f>IFERROR(INDEX(Movimientos!$C$2:$C$1998,MATCH(A517&amp;"ENTRADA",Movimientos!$R$2:$R$1998,0)),"-")</f>
        <v>-</v>
      </c>
      <c r="C517" s="2" t="str">
        <f>IFERROR(INDEX(Movimientos!$D$2:$D$1998,MATCH(A517&amp;"ENTRADA",Movimientos!$R$2:$R$1998,0)),"-")</f>
        <v>-</v>
      </c>
      <c r="D517" s="2" t="str">
        <f>IFERROR(INDEX(Movimientos!$E$2:$E$1998,MATCH(A517&amp;"ENTRADA",Movimientos!$R$2:$R$1998,0)),"-")</f>
        <v>-</v>
      </c>
      <c r="E517" s="2" t="str">
        <f>IFERROR(INDEX(Movimientos!$F$2:$F$1998,MATCH(A517&amp;"ENTRADA",Movimientos!$R$2:$R$1998,0)),"-")</f>
        <v>-</v>
      </c>
      <c r="F517" s="2" t="str">
        <f>IFERROR(INDEX(Movimientos!$G$2:$G$1998,MATCH(A517&amp;"ENTRADA",Movimientos!$R$2:$R$1998,0)),"-")</f>
        <v>-</v>
      </c>
      <c r="G517" s="2" t="str">
        <f>IFERROR(INDEX(Movimientos!$L$2:$L$1998,MATCH(A517&amp;"ENTRADA",Movimientos!$R$2:$R$1998,0)),"-")</f>
        <v>-</v>
      </c>
      <c r="H517" s="17" t="str">
        <f>IFERROR(IF(INDEX(Movimientos!$M$2:$M$1998,MATCH(A517&amp;"ENTRADA",Movimientos!$R$2:$R$1998,0))=0,"S/D",INDEX(Movimientos!$M$2:$M$1998,MATCH(A517&amp;"ENTRADA",Movimientos!$R$2:$R$1998,0))),"S/D")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 ht="14.25">
      <c r="A518" s="16" t="s">
        <v>2683</v>
      </c>
      <c r="B518" s="2" t="str">
        <f>IFERROR(INDEX(Movimientos!$C$2:$C$1998,MATCH(A518&amp;"ENTRADA",Movimientos!$R$2:$R$1998,0)),"-")</f>
        <v>-</v>
      </c>
      <c r="C518" s="2" t="str">
        <f>IFERROR(INDEX(Movimientos!$D$2:$D$1998,MATCH(A518&amp;"ENTRADA",Movimientos!$R$2:$R$1998,0)),"-")</f>
        <v>-</v>
      </c>
      <c r="D518" s="2" t="str">
        <f>IFERROR(INDEX(Movimientos!$E$2:$E$1998,MATCH(A518&amp;"ENTRADA",Movimientos!$R$2:$R$1998,0)),"-")</f>
        <v>-</v>
      </c>
      <c r="E518" s="2" t="str">
        <f>IFERROR(INDEX(Movimientos!$F$2:$F$1998,MATCH(A518&amp;"ENTRADA",Movimientos!$R$2:$R$1998,0)),"-")</f>
        <v>-</v>
      </c>
      <c r="F518" s="2" t="str">
        <f>IFERROR(INDEX(Movimientos!$G$2:$G$1998,MATCH(A518&amp;"ENTRADA",Movimientos!$R$2:$R$1998,0)),"-")</f>
        <v>-</v>
      </c>
      <c r="G518" s="2" t="str">
        <f>IFERROR(INDEX(Movimientos!$L$2:$L$1998,MATCH(A518&amp;"ENTRADA",Movimientos!$R$2:$R$1998,0)),"-")</f>
        <v>-</v>
      </c>
      <c r="H518" s="17" t="str">
        <f>IFERROR(IF(INDEX(Movimientos!$M$2:$M$1998,MATCH(A518&amp;"ENTRADA",Movimientos!$R$2:$R$1998,0))=0,"S/D",INDEX(Movimientos!$M$2:$M$1998,MATCH(A518&amp;"ENTRADA",Movimientos!$R$2:$R$1998,0))),"S/D")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 ht="14.25">
      <c r="A519" s="16" t="s">
        <v>2684</v>
      </c>
      <c r="B519" s="2" t="str">
        <f>IFERROR(INDEX(Movimientos!$C$2:$C$1998,MATCH(A519&amp;"ENTRADA",Movimientos!$R$2:$R$1998,0)),"-")</f>
        <v>-</v>
      </c>
      <c r="C519" s="2" t="str">
        <f>IFERROR(INDEX(Movimientos!$D$2:$D$1998,MATCH(A519&amp;"ENTRADA",Movimientos!$R$2:$R$1998,0)),"-")</f>
        <v>-</v>
      </c>
      <c r="D519" s="2" t="str">
        <f>IFERROR(INDEX(Movimientos!$E$2:$E$1998,MATCH(A519&amp;"ENTRADA",Movimientos!$R$2:$R$1998,0)),"-")</f>
        <v>-</v>
      </c>
      <c r="E519" s="2" t="str">
        <f>IFERROR(INDEX(Movimientos!$F$2:$F$1998,MATCH(A519&amp;"ENTRADA",Movimientos!$R$2:$R$1998,0)),"-")</f>
        <v>-</v>
      </c>
      <c r="F519" s="2" t="str">
        <f>IFERROR(INDEX(Movimientos!$G$2:$G$1998,MATCH(A519&amp;"ENTRADA",Movimientos!$R$2:$R$1998,0)),"-")</f>
        <v>-</v>
      </c>
      <c r="G519" s="2" t="str">
        <f>IFERROR(INDEX(Movimientos!$L$2:$L$1998,MATCH(A519&amp;"ENTRADA",Movimientos!$R$2:$R$1998,0)),"-")</f>
        <v>-</v>
      </c>
      <c r="H519" s="17" t="str">
        <f>IFERROR(IF(INDEX(Movimientos!$M$2:$M$1998,MATCH(A519&amp;"ENTRADA",Movimientos!$R$2:$R$1998,0))=0,"S/D",INDEX(Movimientos!$M$2:$M$1998,MATCH(A519&amp;"ENTRADA",Movimientos!$R$2:$R$1998,0))),"S/D")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 ht="14.25">
      <c r="A520" s="16" t="s">
        <v>2685</v>
      </c>
      <c r="B520" s="2" t="str">
        <f>IFERROR(INDEX(Movimientos!$C$2:$C$1998,MATCH(A520&amp;"ENTRADA",Movimientos!$R$2:$R$1998,0)),"-")</f>
        <v>-</v>
      </c>
      <c r="C520" s="2" t="str">
        <f>IFERROR(INDEX(Movimientos!$D$2:$D$1998,MATCH(A520&amp;"ENTRADA",Movimientos!$R$2:$R$1998,0)),"-")</f>
        <v>-</v>
      </c>
      <c r="D520" s="2" t="str">
        <f>IFERROR(INDEX(Movimientos!$E$2:$E$1998,MATCH(A520&amp;"ENTRADA",Movimientos!$R$2:$R$1998,0)),"-")</f>
        <v>-</v>
      </c>
      <c r="E520" s="2" t="str">
        <f>IFERROR(INDEX(Movimientos!$F$2:$F$1998,MATCH(A520&amp;"ENTRADA",Movimientos!$R$2:$R$1998,0)),"-")</f>
        <v>-</v>
      </c>
      <c r="F520" s="2" t="str">
        <f>IFERROR(INDEX(Movimientos!$G$2:$G$1998,MATCH(A520&amp;"ENTRADA",Movimientos!$R$2:$R$1998,0)),"-")</f>
        <v>-</v>
      </c>
      <c r="G520" s="2" t="str">
        <f>IFERROR(INDEX(Movimientos!$L$2:$L$1998,MATCH(A520&amp;"ENTRADA",Movimientos!$R$2:$R$1998,0)),"-")</f>
        <v>-</v>
      </c>
      <c r="H520" s="17" t="str">
        <f>IFERROR(IF(INDEX(Movimientos!$M$2:$M$1998,MATCH(A520&amp;"ENTRADA",Movimientos!$R$2:$R$1998,0))=0,"S/D",INDEX(Movimientos!$M$2:$M$1998,MATCH(A520&amp;"ENTRADA",Movimientos!$R$2:$R$1998,0))),"S/D")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 ht="14.25">
      <c r="A521" s="16" t="s">
        <v>2686</v>
      </c>
      <c r="B521" s="2" t="str">
        <f>IFERROR(INDEX(Movimientos!$C$2:$C$1998,MATCH(A521&amp;"ENTRADA",Movimientos!$R$2:$R$1998,0)),"-")</f>
        <v>-</v>
      </c>
      <c r="C521" s="2" t="str">
        <f>IFERROR(INDEX(Movimientos!$D$2:$D$1998,MATCH(A521&amp;"ENTRADA",Movimientos!$R$2:$R$1998,0)),"-")</f>
        <v>-</v>
      </c>
      <c r="D521" s="2" t="str">
        <f>IFERROR(INDEX(Movimientos!$E$2:$E$1998,MATCH(A521&amp;"ENTRADA",Movimientos!$R$2:$R$1998,0)),"-")</f>
        <v>-</v>
      </c>
      <c r="E521" s="2" t="str">
        <f>IFERROR(INDEX(Movimientos!$F$2:$F$1998,MATCH(A521&amp;"ENTRADA",Movimientos!$R$2:$R$1998,0)),"-")</f>
        <v>-</v>
      </c>
      <c r="F521" s="2" t="str">
        <f>IFERROR(INDEX(Movimientos!$G$2:$G$1998,MATCH(A521&amp;"ENTRADA",Movimientos!$R$2:$R$1998,0)),"-")</f>
        <v>-</v>
      </c>
      <c r="G521" s="2" t="str">
        <f>IFERROR(INDEX(Movimientos!$L$2:$L$1998,MATCH(A521&amp;"ENTRADA",Movimientos!$R$2:$R$1998,0)),"-")</f>
        <v>-</v>
      </c>
      <c r="H521" s="17" t="str">
        <f>IFERROR(IF(INDEX(Movimientos!$M$2:$M$1998,MATCH(A521&amp;"ENTRADA",Movimientos!$R$2:$R$1998,0))=0,"S/D",INDEX(Movimientos!$M$2:$M$1998,MATCH(A521&amp;"ENTRADA",Movimientos!$R$2:$R$1998,0))),"S/D")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 ht="14.25">
      <c r="A522" s="16" t="s">
        <v>2687</v>
      </c>
      <c r="B522" s="2" t="str">
        <f>IFERROR(INDEX(Movimientos!$C$2:$C$1998,MATCH(A522&amp;"ENTRADA",Movimientos!$R$2:$R$1998,0)),"-")</f>
        <v>-</v>
      </c>
      <c r="C522" s="2" t="str">
        <f>IFERROR(INDEX(Movimientos!$D$2:$D$1998,MATCH(A522&amp;"ENTRADA",Movimientos!$R$2:$R$1998,0)),"-")</f>
        <v>-</v>
      </c>
      <c r="D522" s="2" t="str">
        <f>IFERROR(INDEX(Movimientos!$E$2:$E$1998,MATCH(A522&amp;"ENTRADA",Movimientos!$R$2:$R$1998,0)),"-")</f>
        <v>-</v>
      </c>
      <c r="E522" s="2" t="str">
        <f>IFERROR(INDEX(Movimientos!$F$2:$F$1998,MATCH(A522&amp;"ENTRADA",Movimientos!$R$2:$R$1998,0)),"-")</f>
        <v>-</v>
      </c>
      <c r="F522" s="2" t="str">
        <f>IFERROR(INDEX(Movimientos!$G$2:$G$1998,MATCH(A522&amp;"ENTRADA",Movimientos!$R$2:$R$1998,0)),"-")</f>
        <v>-</v>
      </c>
      <c r="G522" s="2" t="str">
        <f>IFERROR(INDEX(Movimientos!$L$2:$L$1998,MATCH(A522&amp;"ENTRADA",Movimientos!$R$2:$R$1998,0)),"-")</f>
        <v>-</v>
      </c>
      <c r="H522" s="17" t="str">
        <f>IFERROR(IF(INDEX(Movimientos!$M$2:$M$1998,MATCH(A522&amp;"ENTRADA",Movimientos!$R$2:$R$1998,0))=0,"S/D",INDEX(Movimientos!$M$2:$M$1998,MATCH(A522&amp;"ENTRADA",Movimientos!$R$2:$R$1998,0))),"S/D")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 ht="14.25">
      <c r="A523" s="16" t="s">
        <v>2688</v>
      </c>
      <c r="B523" s="2" t="str">
        <f>IFERROR(INDEX(Movimientos!$C$2:$C$1998,MATCH(A523&amp;"ENTRADA",Movimientos!$R$2:$R$1998,0)),"-")</f>
        <v>-</v>
      </c>
      <c r="C523" s="2" t="str">
        <f>IFERROR(INDEX(Movimientos!$D$2:$D$1998,MATCH(A523&amp;"ENTRADA",Movimientos!$R$2:$R$1998,0)),"-")</f>
        <v>-</v>
      </c>
      <c r="D523" s="2" t="str">
        <f>IFERROR(INDEX(Movimientos!$E$2:$E$1998,MATCH(A523&amp;"ENTRADA",Movimientos!$R$2:$R$1998,0)),"-")</f>
        <v>-</v>
      </c>
      <c r="E523" s="2" t="str">
        <f>IFERROR(INDEX(Movimientos!$F$2:$F$1998,MATCH(A523&amp;"ENTRADA",Movimientos!$R$2:$R$1998,0)),"-")</f>
        <v>-</v>
      </c>
      <c r="F523" s="2" t="str">
        <f>IFERROR(INDEX(Movimientos!$G$2:$G$1998,MATCH(A523&amp;"ENTRADA",Movimientos!$R$2:$R$1998,0)),"-")</f>
        <v>-</v>
      </c>
      <c r="G523" s="2" t="str">
        <f>IFERROR(INDEX(Movimientos!$L$2:$L$1998,MATCH(A523&amp;"ENTRADA",Movimientos!$R$2:$R$1998,0)),"-")</f>
        <v>-</v>
      </c>
      <c r="H523" s="17" t="str">
        <f>IFERROR(IF(INDEX(Movimientos!$M$2:$M$1998,MATCH(A523&amp;"ENTRADA",Movimientos!$R$2:$R$1998,0))=0,"S/D",INDEX(Movimientos!$M$2:$M$1998,MATCH(A523&amp;"ENTRADA",Movimientos!$R$2:$R$1998,0))),"S/D")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 ht="14.25">
      <c r="A524" s="16" t="s">
        <v>2689</v>
      </c>
      <c r="B524" s="2" t="str">
        <f>IFERROR(INDEX(Movimientos!$C$2:$C$1998,MATCH(A524&amp;"ENTRADA",Movimientos!$R$2:$R$1998,0)),"-")</f>
        <v>-</v>
      </c>
      <c r="C524" s="2" t="str">
        <f>IFERROR(INDEX(Movimientos!$D$2:$D$1998,MATCH(A524&amp;"ENTRADA",Movimientos!$R$2:$R$1998,0)),"-")</f>
        <v>-</v>
      </c>
      <c r="D524" s="2" t="str">
        <f>IFERROR(INDEX(Movimientos!$E$2:$E$1998,MATCH(A524&amp;"ENTRADA",Movimientos!$R$2:$R$1998,0)),"-")</f>
        <v>-</v>
      </c>
      <c r="E524" s="2" t="str">
        <f>IFERROR(INDEX(Movimientos!$F$2:$F$1998,MATCH(A524&amp;"ENTRADA",Movimientos!$R$2:$R$1998,0)),"-")</f>
        <v>-</v>
      </c>
      <c r="F524" s="2" t="str">
        <f>IFERROR(INDEX(Movimientos!$G$2:$G$1998,MATCH(A524&amp;"ENTRADA",Movimientos!$R$2:$R$1998,0)),"-")</f>
        <v>-</v>
      </c>
      <c r="G524" s="2" t="str">
        <f>IFERROR(INDEX(Movimientos!$L$2:$L$1998,MATCH(A524&amp;"ENTRADA",Movimientos!$R$2:$R$1998,0)),"-")</f>
        <v>-</v>
      </c>
      <c r="H524" s="17" t="str">
        <f>IFERROR(IF(INDEX(Movimientos!$M$2:$M$1998,MATCH(A524&amp;"ENTRADA",Movimientos!$R$2:$R$1998,0))=0,"S/D",INDEX(Movimientos!$M$2:$M$1998,MATCH(A524&amp;"ENTRADA",Movimientos!$R$2:$R$1998,0))),"S/D")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 ht="14.25">
      <c r="A525" s="16" t="s">
        <v>2690</v>
      </c>
      <c r="B525" s="2" t="str">
        <f>IFERROR(INDEX(Movimientos!$C$2:$C$1998,MATCH(A525&amp;"ENTRADA",Movimientos!$R$2:$R$1998,0)),"-")</f>
        <v>-</v>
      </c>
      <c r="C525" s="2" t="str">
        <f>IFERROR(INDEX(Movimientos!$D$2:$D$1998,MATCH(A525&amp;"ENTRADA",Movimientos!$R$2:$R$1998,0)),"-")</f>
        <v>-</v>
      </c>
      <c r="D525" s="2" t="str">
        <f>IFERROR(INDEX(Movimientos!$E$2:$E$1998,MATCH(A525&amp;"ENTRADA",Movimientos!$R$2:$R$1998,0)),"-")</f>
        <v>-</v>
      </c>
      <c r="E525" s="2" t="str">
        <f>IFERROR(INDEX(Movimientos!$F$2:$F$1998,MATCH(A525&amp;"ENTRADA",Movimientos!$R$2:$R$1998,0)),"-")</f>
        <v>-</v>
      </c>
      <c r="F525" s="2" t="str">
        <f>IFERROR(INDEX(Movimientos!$G$2:$G$1998,MATCH(A525&amp;"ENTRADA",Movimientos!$R$2:$R$1998,0)),"-")</f>
        <v>-</v>
      </c>
      <c r="G525" s="2" t="str">
        <f>IFERROR(INDEX(Movimientos!$L$2:$L$1998,MATCH(A525&amp;"ENTRADA",Movimientos!$R$2:$R$1998,0)),"-")</f>
        <v>-</v>
      </c>
      <c r="H525" s="17" t="str">
        <f>IFERROR(IF(INDEX(Movimientos!$M$2:$M$1998,MATCH(A525&amp;"ENTRADA",Movimientos!$R$2:$R$1998,0))=0,"S/D",INDEX(Movimientos!$M$2:$M$1998,MATCH(A525&amp;"ENTRADA",Movimientos!$R$2:$R$1998,0))),"S/D")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 ht="14.25">
      <c r="A526" s="16" t="s">
        <v>2691</v>
      </c>
      <c r="B526" s="2" t="str">
        <f>IFERROR(INDEX(Movimientos!$C$2:$C$1998,MATCH(A526&amp;"ENTRADA",Movimientos!$R$2:$R$1998,0)),"-")</f>
        <v>-</v>
      </c>
      <c r="C526" s="2" t="str">
        <f>IFERROR(INDEX(Movimientos!$D$2:$D$1998,MATCH(A526&amp;"ENTRADA",Movimientos!$R$2:$R$1998,0)),"-")</f>
        <v>-</v>
      </c>
      <c r="D526" s="2" t="str">
        <f>IFERROR(INDEX(Movimientos!$E$2:$E$1998,MATCH(A526&amp;"ENTRADA",Movimientos!$R$2:$R$1998,0)),"-")</f>
        <v>-</v>
      </c>
      <c r="E526" s="2" t="str">
        <f>IFERROR(INDEX(Movimientos!$F$2:$F$1998,MATCH(A526&amp;"ENTRADA",Movimientos!$R$2:$R$1998,0)),"-")</f>
        <v>-</v>
      </c>
      <c r="F526" s="2" t="str">
        <f>IFERROR(INDEX(Movimientos!$G$2:$G$1998,MATCH(A526&amp;"ENTRADA",Movimientos!$R$2:$R$1998,0)),"-")</f>
        <v>-</v>
      </c>
      <c r="G526" s="2" t="str">
        <f>IFERROR(INDEX(Movimientos!$L$2:$L$1998,MATCH(A526&amp;"ENTRADA",Movimientos!$R$2:$R$1998,0)),"-")</f>
        <v>-</v>
      </c>
      <c r="H526" s="17" t="str">
        <f>IFERROR(IF(INDEX(Movimientos!$M$2:$M$1998,MATCH(A526&amp;"ENTRADA",Movimientos!$R$2:$R$1998,0))=0,"S/D",INDEX(Movimientos!$M$2:$M$1998,MATCH(A526&amp;"ENTRADA",Movimientos!$R$2:$R$1998,0))),"S/D")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 ht="14.25">
      <c r="A527" s="16" t="s">
        <v>2692</v>
      </c>
      <c r="B527" s="2" t="str">
        <f>IFERROR(INDEX(Movimientos!$C$2:$C$1998,MATCH(A527&amp;"ENTRADA",Movimientos!$R$2:$R$1998,0)),"-")</f>
        <v>-</v>
      </c>
      <c r="C527" s="2" t="str">
        <f>IFERROR(INDEX(Movimientos!$D$2:$D$1998,MATCH(A527&amp;"ENTRADA",Movimientos!$R$2:$R$1998,0)),"-")</f>
        <v>-</v>
      </c>
      <c r="D527" s="2" t="str">
        <f>IFERROR(INDEX(Movimientos!$E$2:$E$1998,MATCH(A527&amp;"ENTRADA",Movimientos!$R$2:$R$1998,0)),"-")</f>
        <v>-</v>
      </c>
      <c r="E527" s="2" t="str">
        <f>IFERROR(INDEX(Movimientos!$F$2:$F$1998,MATCH(A527&amp;"ENTRADA",Movimientos!$R$2:$R$1998,0)),"-")</f>
        <v>-</v>
      </c>
      <c r="F527" s="2" t="str">
        <f>IFERROR(INDEX(Movimientos!$G$2:$G$1998,MATCH(A527&amp;"ENTRADA",Movimientos!$R$2:$R$1998,0)),"-")</f>
        <v>-</v>
      </c>
      <c r="G527" s="2" t="str">
        <f>IFERROR(INDEX(Movimientos!$L$2:$L$1998,MATCH(A527&amp;"ENTRADA",Movimientos!$R$2:$R$1998,0)),"-")</f>
        <v>-</v>
      </c>
      <c r="H527" s="17" t="str">
        <f>IFERROR(IF(INDEX(Movimientos!$M$2:$M$1998,MATCH(A527&amp;"ENTRADA",Movimientos!$R$2:$R$1998,0))=0,"S/D",INDEX(Movimientos!$M$2:$M$1998,MATCH(A527&amp;"ENTRADA",Movimientos!$R$2:$R$1998,0))),"S/D")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 ht="14.25">
      <c r="A528" s="16" t="s">
        <v>2693</v>
      </c>
      <c r="B528" s="2" t="str">
        <f>IFERROR(INDEX(Movimientos!$C$2:$C$1998,MATCH(A528&amp;"ENTRADA",Movimientos!$R$2:$R$1998,0)),"-")</f>
        <v>-</v>
      </c>
      <c r="C528" s="2" t="str">
        <f>IFERROR(INDEX(Movimientos!$D$2:$D$1998,MATCH(A528&amp;"ENTRADA",Movimientos!$R$2:$R$1998,0)),"-")</f>
        <v>-</v>
      </c>
      <c r="D528" s="2" t="str">
        <f>IFERROR(INDEX(Movimientos!$E$2:$E$1998,MATCH(A528&amp;"ENTRADA",Movimientos!$R$2:$R$1998,0)),"-")</f>
        <v>-</v>
      </c>
      <c r="E528" s="2" t="str">
        <f>IFERROR(INDEX(Movimientos!$F$2:$F$1998,MATCH(A528&amp;"ENTRADA",Movimientos!$R$2:$R$1998,0)),"-")</f>
        <v>-</v>
      </c>
      <c r="F528" s="2" t="str">
        <f>IFERROR(INDEX(Movimientos!$G$2:$G$1998,MATCH(A528&amp;"ENTRADA",Movimientos!$R$2:$R$1998,0)),"-")</f>
        <v>-</v>
      </c>
      <c r="G528" s="2" t="str">
        <f>IFERROR(INDEX(Movimientos!$L$2:$L$1998,MATCH(A528&amp;"ENTRADA",Movimientos!$R$2:$R$1998,0)),"-")</f>
        <v>-</v>
      </c>
      <c r="H528" s="17" t="str">
        <f>IFERROR(IF(INDEX(Movimientos!$M$2:$M$1998,MATCH(A528&amp;"ENTRADA",Movimientos!$R$2:$R$1998,0))=0,"S/D",INDEX(Movimientos!$M$2:$M$1998,MATCH(A528&amp;"ENTRADA",Movimientos!$R$2:$R$1998,0))),"S/D")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 ht="14.25">
      <c r="A529" s="16" t="s">
        <v>2694</v>
      </c>
      <c r="B529" s="2" t="str">
        <f>IFERROR(INDEX(Movimientos!$C$2:$C$1998,MATCH(A529&amp;"ENTRADA",Movimientos!$R$2:$R$1998,0)),"-")</f>
        <v>-</v>
      </c>
      <c r="C529" s="2" t="str">
        <f>IFERROR(INDEX(Movimientos!$D$2:$D$1998,MATCH(A529&amp;"ENTRADA",Movimientos!$R$2:$R$1998,0)),"-")</f>
        <v>-</v>
      </c>
      <c r="D529" s="2" t="str">
        <f>IFERROR(INDEX(Movimientos!$E$2:$E$1998,MATCH(A529&amp;"ENTRADA",Movimientos!$R$2:$R$1998,0)),"-")</f>
        <v>-</v>
      </c>
      <c r="E529" s="2" t="str">
        <f>IFERROR(INDEX(Movimientos!$F$2:$F$1998,MATCH(A529&amp;"ENTRADA",Movimientos!$R$2:$R$1998,0)),"-")</f>
        <v>-</v>
      </c>
      <c r="F529" s="2" t="str">
        <f>IFERROR(INDEX(Movimientos!$G$2:$G$1998,MATCH(A529&amp;"ENTRADA",Movimientos!$R$2:$R$1998,0)),"-")</f>
        <v>-</v>
      </c>
      <c r="G529" s="2" t="str">
        <f>IFERROR(INDEX(Movimientos!$L$2:$L$1998,MATCH(A529&amp;"ENTRADA",Movimientos!$R$2:$R$1998,0)),"-")</f>
        <v>-</v>
      </c>
      <c r="H529" s="17" t="str">
        <f>IFERROR(IF(INDEX(Movimientos!$M$2:$M$1998,MATCH(A529&amp;"ENTRADA",Movimientos!$R$2:$R$1998,0))=0,"S/D",INDEX(Movimientos!$M$2:$M$1998,MATCH(A529&amp;"ENTRADA",Movimientos!$R$2:$R$1998,0))),"S/D")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 ht="14.25">
      <c r="A530" s="16" t="s">
        <v>2695</v>
      </c>
      <c r="B530" s="2" t="str">
        <f>IFERROR(INDEX(Movimientos!$C$2:$C$1998,MATCH(A530&amp;"ENTRADA",Movimientos!$R$2:$R$1998,0)),"-")</f>
        <v>-</v>
      </c>
      <c r="C530" s="2" t="str">
        <f>IFERROR(INDEX(Movimientos!$D$2:$D$1998,MATCH(A530&amp;"ENTRADA",Movimientos!$R$2:$R$1998,0)),"-")</f>
        <v>-</v>
      </c>
      <c r="D530" s="2" t="str">
        <f>IFERROR(INDEX(Movimientos!$E$2:$E$1998,MATCH(A530&amp;"ENTRADA",Movimientos!$R$2:$R$1998,0)),"-")</f>
        <v>-</v>
      </c>
      <c r="E530" s="2" t="str">
        <f>IFERROR(INDEX(Movimientos!$F$2:$F$1998,MATCH(A530&amp;"ENTRADA",Movimientos!$R$2:$R$1998,0)),"-")</f>
        <v>-</v>
      </c>
      <c r="F530" s="2" t="str">
        <f>IFERROR(INDEX(Movimientos!$G$2:$G$1998,MATCH(A530&amp;"ENTRADA",Movimientos!$R$2:$R$1998,0)),"-")</f>
        <v>-</v>
      </c>
      <c r="G530" s="2" t="str">
        <f>IFERROR(INDEX(Movimientos!$L$2:$L$1998,MATCH(A530&amp;"ENTRADA",Movimientos!$R$2:$R$1998,0)),"-")</f>
        <v>-</v>
      </c>
      <c r="H530" s="17" t="str">
        <f>IFERROR(IF(INDEX(Movimientos!$M$2:$M$1998,MATCH(A530&amp;"ENTRADA",Movimientos!$R$2:$R$1998,0))=0,"S/D",INDEX(Movimientos!$M$2:$M$1998,MATCH(A530&amp;"ENTRADA",Movimientos!$R$2:$R$1998,0))),"S/D")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 ht="14.25">
      <c r="A531" s="16" t="s">
        <v>2696</v>
      </c>
      <c r="B531" s="2" t="str">
        <f>IFERROR(INDEX(Movimientos!$C$2:$C$1998,MATCH(A531&amp;"ENTRADA",Movimientos!$R$2:$R$1998,0)),"-")</f>
        <v>-</v>
      </c>
      <c r="C531" s="2" t="str">
        <f>IFERROR(INDEX(Movimientos!$D$2:$D$1998,MATCH(A531&amp;"ENTRADA",Movimientos!$R$2:$R$1998,0)),"-")</f>
        <v>-</v>
      </c>
      <c r="D531" s="2" t="str">
        <f>IFERROR(INDEX(Movimientos!$E$2:$E$1998,MATCH(A531&amp;"ENTRADA",Movimientos!$R$2:$R$1998,0)),"-")</f>
        <v>-</v>
      </c>
      <c r="E531" s="2" t="str">
        <f>IFERROR(INDEX(Movimientos!$F$2:$F$1998,MATCH(A531&amp;"ENTRADA",Movimientos!$R$2:$R$1998,0)),"-")</f>
        <v>-</v>
      </c>
      <c r="F531" s="2" t="str">
        <f>IFERROR(INDEX(Movimientos!$G$2:$G$1998,MATCH(A531&amp;"ENTRADA",Movimientos!$R$2:$R$1998,0)),"-")</f>
        <v>-</v>
      </c>
      <c r="G531" s="2" t="str">
        <f>IFERROR(INDEX(Movimientos!$L$2:$L$1998,MATCH(A531&amp;"ENTRADA",Movimientos!$R$2:$R$1998,0)),"-")</f>
        <v>-</v>
      </c>
      <c r="H531" s="17" t="str">
        <f>IFERROR(IF(INDEX(Movimientos!$M$2:$M$1998,MATCH(A531&amp;"ENTRADA",Movimientos!$R$2:$R$1998,0))=0,"S/D",INDEX(Movimientos!$M$2:$M$1998,MATCH(A531&amp;"ENTRADA",Movimientos!$R$2:$R$1998,0))),"S/D")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 ht="14.25">
      <c r="A532" s="16" t="s">
        <v>2697</v>
      </c>
      <c r="B532" s="2" t="str">
        <f>IFERROR(INDEX(Movimientos!$C$2:$C$1998,MATCH(A532&amp;"ENTRADA",Movimientos!$R$2:$R$1998,0)),"-")</f>
        <v>-</v>
      </c>
      <c r="C532" s="2" t="str">
        <f>IFERROR(INDEX(Movimientos!$D$2:$D$1998,MATCH(A532&amp;"ENTRADA",Movimientos!$R$2:$R$1998,0)),"-")</f>
        <v>-</v>
      </c>
      <c r="D532" s="2" t="str">
        <f>IFERROR(INDEX(Movimientos!$E$2:$E$1998,MATCH(A532&amp;"ENTRADA",Movimientos!$R$2:$R$1998,0)),"-")</f>
        <v>-</v>
      </c>
      <c r="E532" s="2" t="str">
        <f>IFERROR(INDEX(Movimientos!$F$2:$F$1998,MATCH(A532&amp;"ENTRADA",Movimientos!$R$2:$R$1998,0)),"-")</f>
        <v>-</v>
      </c>
      <c r="F532" s="2" t="str">
        <f>IFERROR(INDEX(Movimientos!$G$2:$G$1998,MATCH(A532&amp;"ENTRADA",Movimientos!$R$2:$R$1998,0)),"-")</f>
        <v>-</v>
      </c>
      <c r="G532" s="2" t="str">
        <f>IFERROR(INDEX(Movimientos!$L$2:$L$1998,MATCH(A532&amp;"ENTRADA",Movimientos!$R$2:$R$1998,0)),"-")</f>
        <v>-</v>
      </c>
      <c r="H532" s="17" t="str">
        <f>IFERROR(IF(INDEX(Movimientos!$M$2:$M$1998,MATCH(A532&amp;"ENTRADA",Movimientos!$R$2:$R$1998,0))=0,"S/D",INDEX(Movimientos!$M$2:$M$1998,MATCH(A532&amp;"ENTRADA",Movimientos!$R$2:$R$1998,0))),"S/D")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 ht="14.25">
      <c r="A533" s="16" t="s">
        <v>2698</v>
      </c>
      <c r="B533" s="2" t="str">
        <f>IFERROR(INDEX(Movimientos!$C$2:$C$1998,MATCH(A533&amp;"ENTRADA",Movimientos!$R$2:$R$1998,0)),"-")</f>
        <v>-</v>
      </c>
      <c r="C533" s="2" t="str">
        <f>IFERROR(INDEX(Movimientos!$D$2:$D$1998,MATCH(A533&amp;"ENTRADA",Movimientos!$R$2:$R$1998,0)),"-")</f>
        <v>-</v>
      </c>
      <c r="D533" s="2" t="str">
        <f>IFERROR(INDEX(Movimientos!$E$2:$E$1998,MATCH(A533&amp;"ENTRADA",Movimientos!$R$2:$R$1998,0)),"-")</f>
        <v>-</v>
      </c>
      <c r="E533" s="2" t="str">
        <f>IFERROR(INDEX(Movimientos!$F$2:$F$1998,MATCH(A533&amp;"ENTRADA",Movimientos!$R$2:$R$1998,0)),"-")</f>
        <v>-</v>
      </c>
      <c r="F533" s="2" t="str">
        <f>IFERROR(INDEX(Movimientos!$G$2:$G$1998,MATCH(A533&amp;"ENTRADA",Movimientos!$R$2:$R$1998,0)),"-")</f>
        <v>-</v>
      </c>
      <c r="G533" s="2" t="str">
        <f>IFERROR(INDEX(Movimientos!$L$2:$L$1998,MATCH(A533&amp;"ENTRADA",Movimientos!$R$2:$R$1998,0)),"-")</f>
        <v>-</v>
      </c>
      <c r="H533" s="17" t="str">
        <f>IFERROR(IF(INDEX(Movimientos!$M$2:$M$1998,MATCH(A533&amp;"ENTRADA",Movimientos!$R$2:$R$1998,0))=0,"S/D",INDEX(Movimientos!$M$2:$M$1998,MATCH(A533&amp;"ENTRADA",Movimientos!$R$2:$R$1998,0))),"S/D")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 ht="14.25">
      <c r="A534" s="16" t="s">
        <v>2699</v>
      </c>
      <c r="B534" s="2" t="str">
        <f>IFERROR(INDEX(Movimientos!$C$2:$C$1998,MATCH(A534&amp;"ENTRADA",Movimientos!$R$2:$R$1998,0)),"-")</f>
        <v>-</v>
      </c>
      <c r="C534" s="2" t="str">
        <f>IFERROR(INDEX(Movimientos!$D$2:$D$1998,MATCH(A534&amp;"ENTRADA",Movimientos!$R$2:$R$1998,0)),"-")</f>
        <v>-</v>
      </c>
      <c r="D534" s="2" t="str">
        <f>IFERROR(INDEX(Movimientos!$E$2:$E$1998,MATCH(A534&amp;"ENTRADA",Movimientos!$R$2:$R$1998,0)),"-")</f>
        <v>-</v>
      </c>
      <c r="E534" s="2" t="str">
        <f>IFERROR(INDEX(Movimientos!$F$2:$F$1998,MATCH(A534&amp;"ENTRADA",Movimientos!$R$2:$R$1998,0)),"-")</f>
        <v>-</v>
      </c>
      <c r="F534" s="2" t="str">
        <f>IFERROR(INDEX(Movimientos!$G$2:$G$1998,MATCH(A534&amp;"ENTRADA",Movimientos!$R$2:$R$1998,0)),"-")</f>
        <v>-</v>
      </c>
      <c r="G534" s="2" t="str">
        <f>IFERROR(INDEX(Movimientos!$L$2:$L$1998,MATCH(A534&amp;"ENTRADA",Movimientos!$R$2:$R$1998,0)),"-")</f>
        <v>-</v>
      </c>
      <c r="H534" s="17" t="str">
        <f>IFERROR(IF(INDEX(Movimientos!$M$2:$M$1998,MATCH(A534&amp;"ENTRADA",Movimientos!$R$2:$R$1998,0))=0,"S/D",INDEX(Movimientos!$M$2:$M$1998,MATCH(A534&amp;"ENTRADA",Movimientos!$R$2:$R$1998,0))),"S/D")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 ht="14.25">
      <c r="A535" s="16" t="s">
        <v>2700</v>
      </c>
      <c r="B535" s="2" t="str">
        <f>IFERROR(INDEX(Movimientos!$C$2:$C$1998,MATCH(A535&amp;"ENTRADA",Movimientos!$R$2:$R$1998,0)),"-")</f>
        <v>-</v>
      </c>
      <c r="C535" s="2" t="str">
        <f>IFERROR(INDEX(Movimientos!$D$2:$D$1998,MATCH(A535&amp;"ENTRADA",Movimientos!$R$2:$R$1998,0)),"-")</f>
        <v>-</v>
      </c>
      <c r="D535" s="2" t="str">
        <f>IFERROR(INDEX(Movimientos!$E$2:$E$1998,MATCH(A535&amp;"ENTRADA",Movimientos!$R$2:$R$1998,0)),"-")</f>
        <v>-</v>
      </c>
      <c r="E535" s="2" t="str">
        <f>IFERROR(INDEX(Movimientos!$F$2:$F$1998,MATCH(A535&amp;"ENTRADA",Movimientos!$R$2:$R$1998,0)),"-")</f>
        <v>-</v>
      </c>
      <c r="F535" s="2" t="str">
        <f>IFERROR(INDEX(Movimientos!$G$2:$G$1998,MATCH(A535&amp;"ENTRADA",Movimientos!$R$2:$R$1998,0)),"-")</f>
        <v>-</v>
      </c>
      <c r="G535" s="2" t="str">
        <f>IFERROR(INDEX(Movimientos!$L$2:$L$1998,MATCH(A535&amp;"ENTRADA",Movimientos!$R$2:$R$1998,0)),"-")</f>
        <v>-</v>
      </c>
      <c r="H535" s="17" t="str">
        <f>IFERROR(IF(INDEX(Movimientos!$M$2:$M$1998,MATCH(A535&amp;"ENTRADA",Movimientos!$R$2:$R$1998,0))=0,"S/D",INDEX(Movimientos!$M$2:$M$1998,MATCH(A535&amp;"ENTRADA",Movimientos!$R$2:$R$1998,0))),"S/D")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 ht="14.25">
      <c r="A536" s="16" t="s">
        <v>2701</v>
      </c>
      <c r="B536" s="2" t="str">
        <f>IFERROR(INDEX(Movimientos!$C$2:$C$1998,MATCH(A536&amp;"ENTRADA",Movimientos!$R$2:$R$1998,0)),"-")</f>
        <v>-</v>
      </c>
      <c r="C536" s="2" t="str">
        <f>IFERROR(INDEX(Movimientos!$D$2:$D$1998,MATCH(A536&amp;"ENTRADA",Movimientos!$R$2:$R$1998,0)),"-")</f>
        <v>-</v>
      </c>
      <c r="D536" s="2" t="str">
        <f>IFERROR(INDEX(Movimientos!$E$2:$E$1998,MATCH(A536&amp;"ENTRADA",Movimientos!$R$2:$R$1998,0)),"-")</f>
        <v>-</v>
      </c>
      <c r="E536" s="2" t="str">
        <f>IFERROR(INDEX(Movimientos!$F$2:$F$1998,MATCH(A536&amp;"ENTRADA",Movimientos!$R$2:$R$1998,0)),"-")</f>
        <v>-</v>
      </c>
      <c r="F536" s="2" t="str">
        <f>IFERROR(INDEX(Movimientos!$G$2:$G$1998,MATCH(A536&amp;"ENTRADA",Movimientos!$R$2:$R$1998,0)),"-")</f>
        <v>-</v>
      </c>
      <c r="G536" s="2" t="str">
        <f>IFERROR(INDEX(Movimientos!$L$2:$L$1998,MATCH(A536&amp;"ENTRADA",Movimientos!$R$2:$R$1998,0)),"-")</f>
        <v>-</v>
      </c>
      <c r="H536" s="17" t="str">
        <f>IFERROR(IF(INDEX(Movimientos!$M$2:$M$1998,MATCH(A536&amp;"ENTRADA",Movimientos!$R$2:$R$1998,0))=0,"S/D",INDEX(Movimientos!$M$2:$M$1998,MATCH(A536&amp;"ENTRADA",Movimientos!$R$2:$R$1998,0))),"S/D")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 ht="14.25">
      <c r="A537" s="16" t="s">
        <v>2702</v>
      </c>
      <c r="B537" s="2" t="str">
        <f>IFERROR(INDEX(Movimientos!$C$2:$C$1998,MATCH(A537&amp;"ENTRADA",Movimientos!$R$2:$R$1998,0)),"-")</f>
        <v>-</v>
      </c>
      <c r="C537" s="2" t="str">
        <f>IFERROR(INDEX(Movimientos!$D$2:$D$1998,MATCH(A537&amp;"ENTRADA",Movimientos!$R$2:$R$1998,0)),"-")</f>
        <v>-</v>
      </c>
      <c r="D537" s="2" t="str">
        <f>IFERROR(INDEX(Movimientos!$E$2:$E$1998,MATCH(A537&amp;"ENTRADA",Movimientos!$R$2:$R$1998,0)),"-")</f>
        <v>-</v>
      </c>
      <c r="E537" s="2" t="str">
        <f>IFERROR(INDEX(Movimientos!$F$2:$F$1998,MATCH(A537&amp;"ENTRADA",Movimientos!$R$2:$R$1998,0)),"-")</f>
        <v>-</v>
      </c>
      <c r="F537" s="2" t="str">
        <f>IFERROR(INDEX(Movimientos!$G$2:$G$1998,MATCH(A537&amp;"ENTRADA",Movimientos!$R$2:$R$1998,0)),"-")</f>
        <v>-</v>
      </c>
      <c r="G537" s="2" t="str">
        <f>IFERROR(INDEX(Movimientos!$L$2:$L$1998,MATCH(A537&amp;"ENTRADA",Movimientos!$R$2:$R$1998,0)),"-")</f>
        <v>-</v>
      </c>
      <c r="H537" s="17" t="str">
        <f>IFERROR(IF(INDEX(Movimientos!$M$2:$M$1998,MATCH(A537&amp;"ENTRADA",Movimientos!$R$2:$R$1998,0))=0,"S/D",INDEX(Movimientos!$M$2:$M$1998,MATCH(A537&amp;"ENTRADA",Movimientos!$R$2:$R$1998,0))),"S/D")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 ht="14.25">
      <c r="A538" s="16" t="s">
        <v>2703</v>
      </c>
      <c r="B538" s="2" t="str">
        <f>IFERROR(INDEX(Movimientos!$C$2:$C$1998,MATCH(A538&amp;"ENTRADA",Movimientos!$R$2:$R$1998,0)),"-")</f>
        <v>-</v>
      </c>
      <c r="C538" s="2" t="str">
        <f>IFERROR(INDEX(Movimientos!$D$2:$D$1998,MATCH(A538&amp;"ENTRADA",Movimientos!$R$2:$R$1998,0)),"-")</f>
        <v>-</v>
      </c>
      <c r="D538" s="2" t="str">
        <f>IFERROR(INDEX(Movimientos!$E$2:$E$1998,MATCH(A538&amp;"ENTRADA",Movimientos!$R$2:$R$1998,0)),"-")</f>
        <v>-</v>
      </c>
      <c r="E538" s="2" t="str">
        <f>IFERROR(INDEX(Movimientos!$F$2:$F$1998,MATCH(A538&amp;"ENTRADA",Movimientos!$R$2:$R$1998,0)),"-")</f>
        <v>-</v>
      </c>
      <c r="F538" s="2" t="str">
        <f>IFERROR(INDEX(Movimientos!$G$2:$G$1998,MATCH(A538&amp;"ENTRADA",Movimientos!$R$2:$R$1998,0)),"-")</f>
        <v>-</v>
      </c>
      <c r="G538" s="2" t="str">
        <f>IFERROR(INDEX(Movimientos!$L$2:$L$1998,MATCH(A538&amp;"ENTRADA",Movimientos!$R$2:$R$1998,0)),"-")</f>
        <v>-</v>
      </c>
      <c r="H538" s="17" t="str">
        <f>IFERROR(IF(INDEX(Movimientos!$M$2:$M$1998,MATCH(A538&amp;"ENTRADA",Movimientos!$R$2:$R$1998,0))=0,"S/D",INDEX(Movimientos!$M$2:$M$1998,MATCH(A538&amp;"ENTRADA",Movimientos!$R$2:$R$1998,0))),"S/D")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 ht="14.25">
      <c r="A539" s="16" t="s">
        <v>2704</v>
      </c>
      <c r="B539" s="2" t="str">
        <f>IFERROR(INDEX(Movimientos!$C$2:$C$1998,MATCH(A539&amp;"ENTRADA",Movimientos!$R$2:$R$1998,0)),"-")</f>
        <v>-</v>
      </c>
      <c r="C539" s="2" t="str">
        <f>IFERROR(INDEX(Movimientos!$D$2:$D$1998,MATCH(A539&amp;"ENTRADA",Movimientos!$R$2:$R$1998,0)),"-")</f>
        <v>-</v>
      </c>
      <c r="D539" s="2" t="str">
        <f>IFERROR(INDEX(Movimientos!$E$2:$E$1998,MATCH(A539&amp;"ENTRADA",Movimientos!$R$2:$R$1998,0)),"-")</f>
        <v>-</v>
      </c>
      <c r="E539" s="2" t="str">
        <f>IFERROR(INDEX(Movimientos!$F$2:$F$1998,MATCH(A539&amp;"ENTRADA",Movimientos!$R$2:$R$1998,0)),"-")</f>
        <v>-</v>
      </c>
      <c r="F539" s="2" t="str">
        <f>IFERROR(INDEX(Movimientos!$G$2:$G$1998,MATCH(A539&amp;"ENTRADA",Movimientos!$R$2:$R$1998,0)),"-")</f>
        <v>-</v>
      </c>
      <c r="G539" s="2" t="str">
        <f>IFERROR(INDEX(Movimientos!$L$2:$L$1998,MATCH(A539&amp;"ENTRADA",Movimientos!$R$2:$R$1998,0)),"-")</f>
        <v>-</v>
      </c>
      <c r="H539" s="17" t="str">
        <f>IFERROR(IF(INDEX(Movimientos!$M$2:$M$1998,MATCH(A539&amp;"ENTRADA",Movimientos!$R$2:$R$1998,0))=0,"S/D",INDEX(Movimientos!$M$2:$M$1998,MATCH(A539&amp;"ENTRADA",Movimientos!$R$2:$R$1998,0))),"S/D")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 ht="14.25">
      <c r="A540" s="16" t="s">
        <v>2705</v>
      </c>
      <c r="B540" s="2" t="str">
        <f>IFERROR(INDEX(Movimientos!$C$2:$C$1998,MATCH(A540&amp;"ENTRADA",Movimientos!$R$2:$R$1998,0)),"-")</f>
        <v>-</v>
      </c>
      <c r="C540" s="2" t="str">
        <f>IFERROR(INDEX(Movimientos!$D$2:$D$1998,MATCH(A540&amp;"ENTRADA",Movimientos!$R$2:$R$1998,0)),"-")</f>
        <v>-</v>
      </c>
      <c r="D540" s="2" t="str">
        <f>IFERROR(INDEX(Movimientos!$E$2:$E$1998,MATCH(A540&amp;"ENTRADA",Movimientos!$R$2:$R$1998,0)),"-")</f>
        <v>-</v>
      </c>
      <c r="E540" s="2" t="str">
        <f>IFERROR(INDEX(Movimientos!$F$2:$F$1998,MATCH(A540&amp;"ENTRADA",Movimientos!$R$2:$R$1998,0)),"-")</f>
        <v>-</v>
      </c>
      <c r="F540" s="2" t="str">
        <f>IFERROR(INDEX(Movimientos!$G$2:$G$1998,MATCH(A540&amp;"ENTRADA",Movimientos!$R$2:$R$1998,0)),"-")</f>
        <v>-</v>
      </c>
      <c r="G540" s="2" t="str">
        <f>IFERROR(INDEX(Movimientos!$L$2:$L$1998,MATCH(A540&amp;"ENTRADA",Movimientos!$R$2:$R$1998,0)),"-")</f>
        <v>-</v>
      </c>
      <c r="H540" s="17" t="str">
        <f>IFERROR(IF(INDEX(Movimientos!$M$2:$M$1998,MATCH(A540&amp;"ENTRADA",Movimientos!$R$2:$R$1998,0))=0,"S/D",INDEX(Movimientos!$M$2:$M$1998,MATCH(A540&amp;"ENTRADA",Movimientos!$R$2:$R$1998,0))),"S/D")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 ht="14.25">
      <c r="A541" s="16" t="s">
        <v>2706</v>
      </c>
      <c r="B541" s="2" t="str">
        <f>IFERROR(INDEX(Movimientos!$C$2:$C$1998,MATCH(A541&amp;"ENTRADA",Movimientos!$R$2:$R$1998,0)),"-")</f>
        <v>-</v>
      </c>
      <c r="C541" s="2" t="str">
        <f>IFERROR(INDEX(Movimientos!$D$2:$D$1998,MATCH(A541&amp;"ENTRADA",Movimientos!$R$2:$R$1998,0)),"-")</f>
        <v>-</v>
      </c>
      <c r="D541" s="2" t="str">
        <f>IFERROR(INDEX(Movimientos!$E$2:$E$1998,MATCH(A541&amp;"ENTRADA",Movimientos!$R$2:$R$1998,0)),"-")</f>
        <v>-</v>
      </c>
      <c r="E541" s="2" t="str">
        <f>IFERROR(INDEX(Movimientos!$F$2:$F$1998,MATCH(A541&amp;"ENTRADA",Movimientos!$R$2:$R$1998,0)),"-")</f>
        <v>-</v>
      </c>
      <c r="F541" s="2" t="str">
        <f>IFERROR(INDEX(Movimientos!$G$2:$G$1998,MATCH(A541&amp;"ENTRADA",Movimientos!$R$2:$R$1998,0)),"-")</f>
        <v>-</v>
      </c>
      <c r="G541" s="2" t="str">
        <f>IFERROR(INDEX(Movimientos!$L$2:$L$1998,MATCH(A541&amp;"ENTRADA",Movimientos!$R$2:$R$1998,0)),"-")</f>
        <v>-</v>
      </c>
      <c r="H541" s="17" t="str">
        <f>IFERROR(IF(INDEX(Movimientos!$M$2:$M$1998,MATCH(A541&amp;"ENTRADA",Movimientos!$R$2:$R$1998,0))=0,"S/D",INDEX(Movimientos!$M$2:$M$1998,MATCH(A541&amp;"ENTRADA",Movimientos!$R$2:$R$1998,0))),"S/D")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 ht="14.25">
      <c r="A542" s="16" t="s">
        <v>2707</v>
      </c>
      <c r="B542" s="2" t="str">
        <f>IFERROR(INDEX(Movimientos!$C$2:$C$1998,MATCH(A542&amp;"ENTRADA",Movimientos!$R$2:$R$1998,0)),"-")</f>
        <v>-</v>
      </c>
      <c r="C542" s="2" t="str">
        <f>IFERROR(INDEX(Movimientos!$D$2:$D$1998,MATCH(A542&amp;"ENTRADA",Movimientos!$R$2:$R$1998,0)),"-")</f>
        <v>-</v>
      </c>
      <c r="D542" s="2" t="str">
        <f>IFERROR(INDEX(Movimientos!$E$2:$E$1998,MATCH(A542&amp;"ENTRADA",Movimientos!$R$2:$R$1998,0)),"-")</f>
        <v>-</v>
      </c>
      <c r="E542" s="2" t="str">
        <f>IFERROR(INDEX(Movimientos!$F$2:$F$1998,MATCH(A542&amp;"ENTRADA",Movimientos!$R$2:$R$1998,0)),"-")</f>
        <v>-</v>
      </c>
      <c r="F542" s="2" t="str">
        <f>IFERROR(INDEX(Movimientos!$G$2:$G$1998,MATCH(A542&amp;"ENTRADA",Movimientos!$R$2:$R$1998,0)),"-")</f>
        <v>-</v>
      </c>
      <c r="G542" s="2" t="str">
        <f>IFERROR(INDEX(Movimientos!$L$2:$L$1998,MATCH(A542&amp;"ENTRADA",Movimientos!$R$2:$R$1998,0)),"-")</f>
        <v>-</v>
      </c>
      <c r="H542" s="17" t="str">
        <f>IFERROR(IF(INDEX(Movimientos!$M$2:$M$1998,MATCH(A542&amp;"ENTRADA",Movimientos!$R$2:$R$1998,0))=0,"S/D",INDEX(Movimientos!$M$2:$M$1998,MATCH(A542&amp;"ENTRADA",Movimientos!$R$2:$R$1998,0))),"S/D")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 ht="14.25">
      <c r="A543" s="16" t="s">
        <v>2708</v>
      </c>
      <c r="B543" s="2" t="str">
        <f>IFERROR(INDEX(Movimientos!$C$2:$C$1998,MATCH(A543&amp;"ENTRADA",Movimientos!$R$2:$R$1998,0)),"-")</f>
        <v>-</v>
      </c>
      <c r="C543" s="2" t="str">
        <f>IFERROR(INDEX(Movimientos!$D$2:$D$1998,MATCH(A543&amp;"ENTRADA",Movimientos!$R$2:$R$1998,0)),"-")</f>
        <v>-</v>
      </c>
      <c r="D543" s="2" t="str">
        <f>IFERROR(INDEX(Movimientos!$E$2:$E$1998,MATCH(A543&amp;"ENTRADA",Movimientos!$R$2:$R$1998,0)),"-")</f>
        <v>-</v>
      </c>
      <c r="E543" s="2" t="str">
        <f>IFERROR(INDEX(Movimientos!$F$2:$F$1998,MATCH(A543&amp;"ENTRADA",Movimientos!$R$2:$R$1998,0)),"-")</f>
        <v>-</v>
      </c>
      <c r="F543" s="2" t="str">
        <f>IFERROR(INDEX(Movimientos!$G$2:$G$1998,MATCH(A543&amp;"ENTRADA",Movimientos!$R$2:$R$1998,0)),"-")</f>
        <v>-</v>
      </c>
      <c r="G543" s="2" t="str">
        <f>IFERROR(INDEX(Movimientos!$L$2:$L$1998,MATCH(A543&amp;"ENTRADA",Movimientos!$R$2:$R$1998,0)),"-")</f>
        <v>-</v>
      </c>
      <c r="H543" s="17" t="str">
        <f>IFERROR(IF(INDEX(Movimientos!$M$2:$M$1998,MATCH(A543&amp;"ENTRADA",Movimientos!$R$2:$R$1998,0))=0,"S/D",INDEX(Movimientos!$M$2:$M$1998,MATCH(A543&amp;"ENTRADA",Movimientos!$R$2:$R$1998,0))),"S/D")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 ht="14.25">
      <c r="A544" s="16" t="s">
        <v>2709</v>
      </c>
      <c r="B544" s="2" t="str">
        <f>IFERROR(INDEX(Movimientos!$C$2:$C$1998,MATCH(A544&amp;"ENTRADA",Movimientos!$R$2:$R$1998,0)),"-")</f>
        <v>-</v>
      </c>
      <c r="C544" s="2" t="str">
        <f>IFERROR(INDEX(Movimientos!$D$2:$D$1998,MATCH(A544&amp;"ENTRADA",Movimientos!$R$2:$R$1998,0)),"-")</f>
        <v>-</v>
      </c>
      <c r="D544" s="2" t="str">
        <f>IFERROR(INDEX(Movimientos!$E$2:$E$1998,MATCH(A544&amp;"ENTRADA",Movimientos!$R$2:$R$1998,0)),"-")</f>
        <v>-</v>
      </c>
      <c r="E544" s="2" t="str">
        <f>IFERROR(INDEX(Movimientos!$F$2:$F$1998,MATCH(A544&amp;"ENTRADA",Movimientos!$R$2:$R$1998,0)),"-")</f>
        <v>-</v>
      </c>
      <c r="F544" s="2" t="str">
        <f>IFERROR(INDEX(Movimientos!$G$2:$G$1998,MATCH(A544&amp;"ENTRADA",Movimientos!$R$2:$R$1998,0)),"-")</f>
        <v>-</v>
      </c>
      <c r="G544" s="2" t="str">
        <f>IFERROR(INDEX(Movimientos!$L$2:$L$1998,MATCH(A544&amp;"ENTRADA",Movimientos!$R$2:$R$1998,0)),"-")</f>
        <v>-</v>
      </c>
      <c r="H544" s="17" t="str">
        <f>IFERROR(IF(INDEX(Movimientos!$M$2:$M$1998,MATCH(A544&amp;"ENTRADA",Movimientos!$R$2:$R$1998,0))=0,"S/D",INDEX(Movimientos!$M$2:$M$1998,MATCH(A544&amp;"ENTRADA",Movimientos!$R$2:$R$1998,0))),"S/D")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 ht="14.25">
      <c r="A545" s="16" t="s">
        <v>2710</v>
      </c>
      <c r="B545" s="2" t="str">
        <f>IFERROR(INDEX(Movimientos!$C$2:$C$1998,MATCH(A545&amp;"ENTRADA",Movimientos!$R$2:$R$1998,0)),"-")</f>
        <v>-</v>
      </c>
      <c r="C545" s="2" t="str">
        <f>IFERROR(INDEX(Movimientos!$D$2:$D$1998,MATCH(A545&amp;"ENTRADA",Movimientos!$R$2:$R$1998,0)),"-")</f>
        <v>-</v>
      </c>
      <c r="D545" s="2" t="str">
        <f>IFERROR(INDEX(Movimientos!$E$2:$E$1998,MATCH(A545&amp;"ENTRADA",Movimientos!$R$2:$R$1998,0)),"-")</f>
        <v>-</v>
      </c>
      <c r="E545" s="2" t="str">
        <f>IFERROR(INDEX(Movimientos!$F$2:$F$1998,MATCH(A545&amp;"ENTRADA",Movimientos!$R$2:$R$1998,0)),"-")</f>
        <v>-</v>
      </c>
      <c r="F545" s="2" t="str">
        <f>IFERROR(INDEX(Movimientos!$G$2:$G$1998,MATCH(A545&amp;"ENTRADA",Movimientos!$R$2:$R$1998,0)),"-")</f>
        <v>-</v>
      </c>
      <c r="G545" s="2" t="str">
        <f>IFERROR(INDEX(Movimientos!$L$2:$L$1998,MATCH(A545&amp;"ENTRADA",Movimientos!$R$2:$R$1998,0)),"-")</f>
        <v>-</v>
      </c>
      <c r="H545" s="17" t="str">
        <f>IFERROR(IF(INDEX(Movimientos!$M$2:$M$1998,MATCH(A545&amp;"ENTRADA",Movimientos!$R$2:$R$1998,0))=0,"S/D",INDEX(Movimientos!$M$2:$M$1998,MATCH(A545&amp;"ENTRADA",Movimientos!$R$2:$R$1998,0))),"S/D")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 ht="14.25">
      <c r="A546" s="16" t="s">
        <v>2711</v>
      </c>
      <c r="B546" s="2" t="str">
        <f>IFERROR(INDEX(Movimientos!$C$2:$C$1998,MATCH(A546&amp;"ENTRADA",Movimientos!$R$2:$R$1998,0)),"-")</f>
        <v>-</v>
      </c>
      <c r="C546" s="2" t="str">
        <f>IFERROR(INDEX(Movimientos!$D$2:$D$1998,MATCH(A546&amp;"ENTRADA",Movimientos!$R$2:$R$1998,0)),"-")</f>
        <v>-</v>
      </c>
      <c r="D546" s="2" t="str">
        <f>IFERROR(INDEX(Movimientos!$E$2:$E$1998,MATCH(A546&amp;"ENTRADA",Movimientos!$R$2:$R$1998,0)),"-")</f>
        <v>-</v>
      </c>
      <c r="E546" s="2" t="str">
        <f>IFERROR(INDEX(Movimientos!$F$2:$F$1998,MATCH(A546&amp;"ENTRADA",Movimientos!$R$2:$R$1998,0)),"-")</f>
        <v>-</v>
      </c>
      <c r="F546" s="2" t="str">
        <f>IFERROR(INDEX(Movimientos!$G$2:$G$1998,MATCH(A546&amp;"ENTRADA",Movimientos!$R$2:$R$1998,0)),"-")</f>
        <v>-</v>
      </c>
      <c r="G546" s="2" t="str">
        <f>IFERROR(INDEX(Movimientos!$L$2:$L$1998,MATCH(A546&amp;"ENTRADA",Movimientos!$R$2:$R$1998,0)),"-")</f>
        <v>-</v>
      </c>
      <c r="H546" s="17" t="str">
        <f>IFERROR(IF(INDEX(Movimientos!$M$2:$M$1998,MATCH(A546&amp;"ENTRADA",Movimientos!$R$2:$R$1998,0))=0,"S/D",INDEX(Movimientos!$M$2:$M$1998,MATCH(A546&amp;"ENTRADA",Movimientos!$R$2:$R$1998,0))),"S/D")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 ht="14.25">
      <c r="A547" s="16" t="s">
        <v>2712</v>
      </c>
      <c r="B547" s="2" t="str">
        <f>IFERROR(INDEX(Movimientos!$C$2:$C$1998,MATCH(A547&amp;"ENTRADA",Movimientos!$R$2:$R$1998,0)),"-")</f>
        <v>-</v>
      </c>
      <c r="C547" s="2" t="str">
        <f>IFERROR(INDEX(Movimientos!$D$2:$D$1998,MATCH(A547&amp;"ENTRADA",Movimientos!$R$2:$R$1998,0)),"-")</f>
        <v>-</v>
      </c>
      <c r="D547" s="2" t="str">
        <f>IFERROR(INDEX(Movimientos!$E$2:$E$1998,MATCH(A547&amp;"ENTRADA",Movimientos!$R$2:$R$1998,0)),"-")</f>
        <v>-</v>
      </c>
      <c r="E547" s="2" t="str">
        <f>IFERROR(INDEX(Movimientos!$F$2:$F$1998,MATCH(A547&amp;"ENTRADA",Movimientos!$R$2:$R$1998,0)),"-")</f>
        <v>-</v>
      </c>
      <c r="F547" s="2" t="str">
        <f>IFERROR(INDEX(Movimientos!$G$2:$G$1998,MATCH(A547&amp;"ENTRADA",Movimientos!$R$2:$R$1998,0)),"-")</f>
        <v>-</v>
      </c>
      <c r="G547" s="2" t="str">
        <f>IFERROR(INDEX(Movimientos!$L$2:$L$1998,MATCH(A547&amp;"ENTRADA",Movimientos!$R$2:$R$1998,0)),"-")</f>
        <v>-</v>
      </c>
      <c r="H547" s="17" t="str">
        <f>IFERROR(IF(INDEX(Movimientos!$M$2:$M$1998,MATCH(A547&amp;"ENTRADA",Movimientos!$R$2:$R$1998,0))=0,"S/D",INDEX(Movimientos!$M$2:$M$1998,MATCH(A547&amp;"ENTRADA",Movimientos!$R$2:$R$1998,0))),"S/D")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 ht="14.25">
      <c r="A548" s="16" t="s">
        <v>2713</v>
      </c>
      <c r="B548" s="2" t="str">
        <f>IFERROR(INDEX(Movimientos!$C$2:$C$1998,MATCH(A548&amp;"ENTRADA",Movimientos!$R$2:$R$1998,0)),"-")</f>
        <v>-</v>
      </c>
      <c r="C548" s="2" t="str">
        <f>IFERROR(INDEX(Movimientos!$D$2:$D$1998,MATCH(A548&amp;"ENTRADA",Movimientos!$R$2:$R$1998,0)),"-")</f>
        <v>-</v>
      </c>
      <c r="D548" s="2" t="str">
        <f>IFERROR(INDEX(Movimientos!$E$2:$E$1998,MATCH(A548&amp;"ENTRADA",Movimientos!$R$2:$R$1998,0)),"-")</f>
        <v>-</v>
      </c>
      <c r="E548" s="2" t="str">
        <f>IFERROR(INDEX(Movimientos!$F$2:$F$1998,MATCH(A548&amp;"ENTRADA",Movimientos!$R$2:$R$1998,0)),"-")</f>
        <v>-</v>
      </c>
      <c r="F548" s="2" t="str">
        <f>IFERROR(INDEX(Movimientos!$G$2:$G$1998,MATCH(A548&amp;"ENTRADA",Movimientos!$R$2:$R$1998,0)),"-")</f>
        <v>-</v>
      </c>
      <c r="G548" s="2" t="str">
        <f>IFERROR(INDEX(Movimientos!$L$2:$L$1998,MATCH(A548&amp;"ENTRADA",Movimientos!$R$2:$R$1998,0)),"-")</f>
        <v>-</v>
      </c>
      <c r="H548" s="17" t="str">
        <f>IFERROR(IF(INDEX(Movimientos!$M$2:$M$1998,MATCH(A548&amp;"ENTRADA",Movimientos!$R$2:$R$1998,0))=0,"S/D",INDEX(Movimientos!$M$2:$M$1998,MATCH(A548&amp;"ENTRADA",Movimientos!$R$2:$R$1998,0))),"S/D")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 ht="14.25">
      <c r="A549" s="16" t="s">
        <v>2714</v>
      </c>
      <c r="B549" s="2" t="str">
        <f>IFERROR(INDEX(Movimientos!$C$2:$C$1998,MATCH(A549&amp;"ENTRADA",Movimientos!$R$2:$R$1998,0)),"-")</f>
        <v>-</v>
      </c>
      <c r="C549" s="2" t="str">
        <f>IFERROR(INDEX(Movimientos!$D$2:$D$1998,MATCH(A549&amp;"ENTRADA",Movimientos!$R$2:$R$1998,0)),"-")</f>
        <v>-</v>
      </c>
      <c r="D549" s="2" t="str">
        <f>IFERROR(INDEX(Movimientos!$E$2:$E$1998,MATCH(A549&amp;"ENTRADA",Movimientos!$R$2:$R$1998,0)),"-")</f>
        <v>-</v>
      </c>
      <c r="E549" s="2" t="str">
        <f>IFERROR(INDEX(Movimientos!$F$2:$F$1998,MATCH(A549&amp;"ENTRADA",Movimientos!$R$2:$R$1998,0)),"-")</f>
        <v>-</v>
      </c>
      <c r="F549" s="2" t="str">
        <f>IFERROR(INDEX(Movimientos!$G$2:$G$1998,MATCH(A549&amp;"ENTRADA",Movimientos!$R$2:$R$1998,0)),"-")</f>
        <v>-</v>
      </c>
      <c r="G549" s="2" t="str">
        <f>IFERROR(INDEX(Movimientos!$L$2:$L$1998,MATCH(A549&amp;"ENTRADA",Movimientos!$R$2:$R$1998,0)),"-")</f>
        <v>-</v>
      </c>
      <c r="H549" s="17" t="str">
        <f>IFERROR(IF(INDEX(Movimientos!$M$2:$M$1998,MATCH(A549&amp;"ENTRADA",Movimientos!$R$2:$R$1998,0))=0,"S/D",INDEX(Movimientos!$M$2:$M$1998,MATCH(A549&amp;"ENTRADA",Movimientos!$R$2:$R$1998,0))),"S/D")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 ht="14.25">
      <c r="A550" s="16" t="s">
        <v>2715</v>
      </c>
      <c r="B550" s="2" t="str">
        <f>IFERROR(INDEX(Movimientos!$C$2:$C$1998,MATCH(A550&amp;"ENTRADA",Movimientos!$R$2:$R$1998,0)),"-")</f>
        <v>-</v>
      </c>
      <c r="C550" s="2" t="str">
        <f>IFERROR(INDEX(Movimientos!$D$2:$D$1998,MATCH(A550&amp;"ENTRADA",Movimientos!$R$2:$R$1998,0)),"-")</f>
        <v>-</v>
      </c>
      <c r="D550" s="2" t="str">
        <f>IFERROR(INDEX(Movimientos!$E$2:$E$1998,MATCH(A550&amp;"ENTRADA",Movimientos!$R$2:$R$1998,0)),"-")</f>
        <v>-</v>
      </c>
      <c r="E550" s="2" t="str">
        <f>IFERROR(INDEX(Movimientos!$F$2:$F$1998,MATCH(A550&amp;"ENTRADA",Movimientos!$R$2:$R$1998,0)),"-")</f>
        <v>-</v>
      </c>
      <c r="F550" s="2" t="str">
        <f>IFERROR(INDEX(Movimientos!$G$2:$G$1998,MATCH(A550&amp;"ENTRADA",Movimientos!$R$2:$R$1998,0)),"-")</f>
        <v>-</v>
      </c>
      <c r="G550" s="2" t="str">
        <f>IFERROR(INDEX(Movimientos!$L$2:$L$1998,MATCH(A550&amp;"ENTRADA",Movimientos!$R$2:$R$1998,0)),"-")</f>
        <v>-</v>
      </c>
      <c r="H550" s="17" t="str">
        <f>IFERROR(IF(INDEX(Movimientos!$M$2:$M$1998,MATCH(A550&amp;"ENTRADA",Movimientos!$R$2:$R$1998,0))=0,"S/D",INDEX(Movimientos!$M$2:$M$1998,MATCH(A550&amp;"ENTRADA",Movimientos!$R$2:$R$1998,0))),"S/D")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 ht="14.25">
      <c r="A551" s="16" t="s">
        <v>2716</v>
      </c>
      <c r="B551" s="2" t="str">
        <f>IFERROR(INDEX(Movimientos!$C$2:$C$1998,MATCH(A551&amp;"ENTRADA",Movimientos!$R$2:$R$1998,0)),"-")</f>
        <v>-</v>
      </c>
      <c r="C551" s="2" t="str">
        <f>IFERROR(INDEX(Movimientos!$D$2:$D$1998,MATCH(A551&amp;"ENTRADA",Movimientos!$R$2:$R$1998,0)),"-")</f>
        <v>-</v>
      </c>
      <c r="D551" s="2" t="str">
        <f>IFERROR(INDEX(Movimientos!$E$2:$E$1998,MATCH(A551&amp;"ENTRADA",Movimientos!$R$2:$R$1998,0)),"-")</f>
        <v>-</v>
      </c>
      <c r="E551" s="2" t="str">
        <f>IFERROR(INDEX(Movimientos!$F$2:$F$1998,MATCH(A551&amp;"ENTRADA",Movimientos!$R$2:$R$1998,0)),"-")</f>
        <v>-</v>
      </c>
      <c r="F551" s="2" t="str">
        <f>IFERROR(INDEX(Movimientos!$G$2:$G$1998,MATCH(A551&amp;"ENTRADA",Movimientos!$R$2:$R$1998,0)),"-")</f>
        <v>-</v>
      </c>
      <c r="G551" s="2" t="str">
        <f>IFERROR(INDEX(Movimientos!$L$2:$L$1998,MATCH(A551&amp;"ENTRADA",Movimientos!$R$2:$R$1998,0)),"-")</f>
        <v>-</v>
      </c>
      <c r="H551" s="17" t="str">
        <f>IFERROR(IF(INDEX(Movimientos!$M$2:$M$1998,MATCH(A551&amp;"ENTRADA",Movimientos!$R$2:$R$1998,0))=0,"S/D",INDEX(Movimientos!$M$2:$M$1998,MATCH(A551&amp;"ENTRADA",Movimientos!$R$2:$R$1998,0))),"S/D")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 ht="14.25">
      <c r="A552" s="16" t="s">
        <v>2717</v>
      </c>
      <c r="B552" s="2" t="str">
        <f>IFERROR(INDEX(Movimientos!$C$2:$C$1998,MATCH(A552&amp;"ENTRADA",Movimientos!$R$2:$R$1998,0)),"-")</f>
        <v>-</v>
      </c>
      <c r="C552" s="2" t="str">
        <f>IFERROR(INDEX(Movimientos!$D$2:$D$1998,MATCH(A552&amp;"ENTRADA",Movimientos!$R$2:$R$1998,0)),"-")</f>
        <v>-</v>
      </c>
      <c r="D552" s="2" t="str">
        <f>IFERROR(INDEX(Movimientos!$E$2:$E$1998,MATCH(A552&amp;"ENTRADA",Movimientos!$R$2:$R$1998,0)),"-")</f>
        <v>-</v>
      </c>
      <c r="E552" s="2" t="str">
        <f>IFERROR(INDEX(Movimientos!$F$2:$F$1998,MATCH(A552&amp;"ENTRADA",Movimientos!$R$2:$R$1998,0)),"-")</f>
        <v>-</v>
      </c>
      <c r="F552" s="2" t="str">
        <f>IFERROR(INDEX(Movimientos!$G$2:$G$1998,MATCH(A552&amp;"ENTRADA",Movimientos!$R$2:$R$1998,0)),"-")</f>
        <v>-</v>
      </c>
      <c r="G552" s="2" t="str">
        <f>IFERROR(INDEX(Movimientos!$L$2:$L$1998,MATCH(A552&amp;"ENTRADA",Movimientos!$R$2:$R$1998,0)),"-")</f>
        <v>-</v>
      </c>
      <c r="H552" s="17" t="str">
        <f>IFERROR(IF(INDEX(Movimientos!$M$2:$M$1998,MATCH(A552&amp;"ENTRADA",Movimientos!$R$2:$R$1998,0))=0,"S/D",INDEX(Movimientos!$M$2:$M$1998,MATCH(A552&amp;"ENTRADA",Movimientos!$R$2:$R$1998,0))),"S/D")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 ht="14.25">
      <c r="A553" s="16" t="s">
        <v>2718</v>
      </c>
      <c r="B553" s="2" t="str">
        <f>IFERROR(INDEX(Movimientos!$C$2:$C$1998,MATCH(A553&amp;"ENTRADA",Movimientos!$R$2:$R$1998,0)),"-")</f>
        <v>-</v>
      </c>
      <c r="C553" s="2" t="str">
        <f>IFERROR(INDEX(Movimientos!$D$2:$D$1998,MATCH(A553&amp;"ENTRADA",Movimientos!$R$2:$R$1998,0)),"-")</f>
        <v>-</v>
      </c>
      <c r="D553" s="2" t="str">
        <f>IFERROR(INDEX(Movimientos!$E$2:$E$1998,MATCH(A553&amp;"ENTRADA",Movimientos!$R$2:$R$1998,0)),"-")</f>
        <v>-</v>
      </c>
      <c r="E553" s="2" t="str">
        <f>IFERROR(INDEX(Movimientos!$F$2:$F$1998,MATCH(A553&amp;"ENTRADA",Movimientos!$R$2:$R$1998,0)),"-")</f>
        <v>-</v>
      </c>
      <c r="F553" s="2" t="str">
        <f>IFERROR(INDEX(Movimientos!$G$2:$G$1998,MATCH(A553&amp;"ENTRADA",Movimientos!$R$2:$R$1998,0)),"-")</f>
        <v>-</v>
      </c>
      <c r="G553" s="2" t="str">
        <f>IFERROR(INDEX(Movimientos!$L$2:$L$1998,MATCH(A553&amp;"ENTRADA",Movimientos!$R$2:$R$1998,0)),"-")</f>
        <v>-</v>
      </c>
      <c r="H553" s="17" t="str">
        <f>IFERROR(IF(INDEX(Movimientos!$M$2:$M$1998,MATCH(A553&amp;"ENTRADA",Movimientos!$R$2:$R$1998,0))=0,"S/D",INDEX(Movimientos!$M$2:$M$1998,MATCH(A553&amp;"ENTRADA",Movimientos!$R$2:$R$1998,0))),"S/D")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 ht="14.25">
      <c r="A554" s="16" t="s">
        <v>2719</v>
      </c>
      <c r="B554" s="2" t="str">
        <f>IFERROR(INDEX(Movimientos!$C$2:$C$1998,MATCH(A554&amp;"ENTRADA",Movimientos!$R$2:$R$1998,0)),"-")</f>
        <v>-</v>
      </c>
      <c r="C554" s="2" t="str">
        <f>IFERROR(INDEX(Movimientos!$D$2:$D$1998,MATCH(A554&amp;"ENTRADA",Movimientos!$R$2:$R$1998,0)),"-")</f>
        <v>-</v>
      </c>
      <c r="D554" s="2" t="str">
        <f>IFERROR(INDEX(Movimientos!$E$2:$E$1998,MATCH(A554&amp;"ENTRADA",Movimientos!$R$2:$R$1998,0)),"-")</f>
        <v>-</v>
      </c>
      <c r="E554" s="2" t="str">
        <f>IFERROR(INDEX(Movimientos!$F$2:$F$1998,MATCH(A554&amp;"ENTRADA",Movimientos!$R$2:$R$1998,0)),"-")</f>
        <v>-</v>
      </c>
      <c r="F554" s="2" t="str">
        <f>IFERROR(INDEX(Movimientos!$G$2:$G$1998,MATCH(A554&amp;"ENTRADA",Movimientos!$R$2:$R$1998,0)),"-")</f>
        <v>-</v>
      </c>
      <c r="G554" s="2" t="str">
        <f>IFERROR(INDEX(Movimientos!$L$2:$L$1998,MATCH(A554&amp;"ENTRADA",Movimientos!$R$2:$R$1998,0)),"-")</f>
        <v>-</v>
      </c>
      <c r="H554" s="17" t="str">
        <f>IFERROR(IF(INDEX(Movimientos!$M$2:$M$1998,MATCH(A554&amp;"ENTRADA",Movimientos!$R$2:$R$1998,0))=0,"S/D",INDEX(Movimientos!$M$2:$M$1998,MATCH(A554&amp;"ENTRADA",Movimientos!$R$2:$R$1998,0))),"S/D")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 ht="14.25">
      <c r="A555" s="16" t="s">
        <v>2720</v>
      </c>
      <c r="B555" s="2" t="str">
        <f>IFERROR(INDEX(Movimientos!$C$2:$C$1998,MATCH(A555&amp;"ENTRADA",Movimientos!$R$2:$R$1998,0)),"-")</f>
        <v>-</v>
      </c>
      <c r="C555" s="2" t="str">
        <f>IFERROR(INDEX(Movimientos!$D$2:$D$1998,MATCH(A555&amp;"ENTRADA",Movimientos!$R$2:$R$1998,0)),"-")</f>
        <v>-</v>
      </c>
      <c r="D555" s="2" t="str">
        <f>IFERROR(INDEX(Movimientos!$E$2:$E$1998,MATCH(A555&amp;"ENTRADA",Movimientos!$R$2:$R$1998,0)),"-")</f>
        <v>-</v>
      </c>
      <c r="E555" s="2" t="str">
        <f>IFERROR(INDEX(Movimientos!$F$2:$F$1998,MATCH(A555&amp;"ENTRADA",Movimientos!$R$2:$R$1998,0)),"-")</f>
        <v>-</v>
      </c>
      <c r="F555" s="2" t="str">
        <f>IFERROR(INDEX(Movimientos!$G$2:$G$1998,MATCH(A555&amp;"ENTRADA",Movimientos!$R$2:$R$1998,0)),"-")</f>
        <v>-</v>
      </c>
      <c r="G555" s="2" t="str">
        <f>IFERROR(INDEX(Movimientos!$L$2:$L$1998,MATCH(A555&amp;"ENTRADA",Movimientos!$R$2:$R$1998,0)),"-")</f>
        <v>-</v>
      </c>
      <c r="H555" s="17" t="str">
        <f>IFERROR(IF(INDEX(Movimientos!$M$2:$M$1998,MATCH(A555&amp;"ENTRADA",Movimientos!$R$2:$R$1998,0))=0,"S/D",INDEX(Movimientos!$M$2:$M$1998,MATCH(A555&amp;"ENTRADA",Movimientos!$R$2:$R$1998,0))),"S/D")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 ht="14.25">
      <c r="A556" s="16" t="s">
        <v>2721</v>
      </c>
      <c r="B556" s="2" t="str">
        <f>IFERROR(INDEX(Movimientos!$C$2:$C$1998,MATCH(A556&amp;"ENTRADA",Movimientos!$R$2:$R$1998,0)),"-")</f>
        <v>-</v>
      </c>
      <c r="C556" s="2" t="str">
        <f>IFERROR(INDEX(Movimientos!$D$2:$D$1998,MATCH(A556&amp;"ENTRADA",Movimientos!$R$2:$R$1998,0)),"-")</f>
        <v>-</v>
      </c>
      <c r="D556" s="2" t="str">
        <f>IFERROR(INDEX(Movimientos!$E$2:$E$1998,MATCH(A556&amp;"ENTRADA",Movimientos!$R$2:$R$1998,0)),"-")</f>
        <v>-</v>
      </c>
      <c r="E556" s="2" t="str">
        <f>IFERROR(INDEX(Movimientos!$F$2:$F$1998,MATCH(A556&amp;"ENTRADA",Movimientos!$R$2:$R$1998,0)),"-")</f>
        <v>-</v>
      </c>
      <c r="F556" s="2" t="str">
        <f>IFERROR(INDEX(Movimientos!$G$2:$G$1998,MATCH(A556&amp;"ENTRADA",Movimientos!$R$2:$R$1998,0)),"-")</f>
        <v>-</v>
      </c>
      <c r="G556" s="2" t="str">
        <f>IFERROR(INDEX(Movimientos!$L$2:$L$1998,MATCH(A556&amp;"ENTRADA",Movimientos!$R$2:$R$1998,0)),"-")</f>
        <v>-</v>
      </c>
      <c r="H556" s="17" t="str">
        <f>IFERROR(IF(INDEX(Movimientos!$M$2:$M$1998,MATCH(A556&amp;"ENTRADA",Movimientos!$R$2:$R$1998,0))=0,"S/D",INDEX(Movimientos!$M$2:$M$1998,MATCH(A556&amp;"ENTRADA",Movimientos!$R$2:$R$1998,0))),"S/D")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 ht="14.25">
      <c r="A557" s="16" t="s">
        <v>2722</v>
      </c>
      <c r="B557" s="2" t="str">
        <f>IFERROR(INDEX(Movimientos!$C$2:$C$1998,MATCH(A557&amp;"ENTRADA",Movimientos!$R$2:$R$1998,0)),"-")</f>
        <v>-</v>
      </c>
      <c r="C557" s="2" t="str">
        <f>IFERROR(INDEX(Movimientos!$D$2:$D$1998,MATCH(A557&amp;"ENTRADA",Movimientos!$R$2:$R$1998,0)),"-")</f>
        <v>-</v>
      </c>
      <c r="D557" s="2" t="str">
        <f>IFERROR(INDEX(Movimientos!$E$2:$E$1998,MATCH(A557&amp;"ENTRADA",Movimientos!$R$2:$R$1998,0)),"-")</f>
        <v>-</v>
      </c>
      <c r="E557" s="2" t="str">
        <f>IFERROR(INDEX(Movimientos!$F$2:$F$1998,MATCH(A557&amp;"ENTRADA",Movimientos!$R$2:$R$1998,0)),"-")</f>
        <v>-</v>
      </c>
      <c r="F557" s="2" t="str">
        <f>IFERROR(INDEX(Movimientos!$G$2:$G$1998,MATCH(A557&amp;"ENTRADA",Movimientos!$R$2:$R$1998,0)),"-")</f>
        <v>-</v>
      </c>
      <c r="G557" s="2" t="str">
        <f>IFERROR(INDEX(Movimientos!$L$2:$L$1998,MATCH(A557&amp;"ENTRADA",Movimientos!$R$2:$R$1998,0)),"-")</f>
        <v>-</v>
      </c>
      <c r="H557" s="17" t="str">
        <f>IFERROR(IF(INDEX(Movimientos!$M$2:$M$1998,MATCH(A557&amp;"ENTRADA",Movimientos!$R$2:$R$1998,0))=0,"S/D",INDEX(Movimientos!$M$2:$M$1998,MATCH(A557&amp;"ENTRADA",Movimientos!$R$2:$R$1998,0))),"S/D")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 ht="14.25">
      <c r="A558" s="16" t="s">
        <v>2723</v>
      </c>
      <c r="B558" s="2" t="str">
        <f>IFERROR(INDEX(Movimientos!$C$2:$C$1998,MATCH(A558&amp;"ENTRADA",Movimientos!$R$2:$R$1998,0)),"-")</f>
        <v>-</v>
      </c>
      <c r="C558" s="2" t="str">
        <f>IFERROR(INDEX(Movimientos!$D$2:$D$1998,MATCH(A558&amp;"ENTRADA",Movimientos!$R$2:$R$1998,0)),"-")</f>
        <v>-</v>
      </c>
      <c r="D558" s="2" t="str">
        <f>IFERROR(INDEX(Movimientos!$E$2:$E$1998,MATCH(A558&amp;"ENTRADA",Movimientos!$R$2:$R$1998,0)),"-")</f>
        <v>-</v>
      </c>
      <c r="E558" s="2" t="str">
        <f>IFERROR(INDEX(Movimientos!$F$2:$F$1998,MATCH(A558&amp;"ENTRADA",Movimientos!$R$2:$R$1998,0)),"-")</f>
        <v>-</v>
      </c>
      <c r="F558" s="2" t="str">
        <f>IFERROR(INDEX(Movimientos!$G$2:$G$1998,MATCH(A558&amp;"ENTRADA",Movimientos!$R$2:$R$1998,0)),"-")</f>
        <v>-</v>
      </c>
      <c r="G558" s="2" t="str">
        <f>IFERROR(INDEX(Movimientos!$L$2:$L$1998,MATCH(A558&amp;"ENTRADA",Movimientos!$R$2:$R$1998,0)),"-")</f>
        <v>-</v>
      </c>
      <c r="H558" s="17" t="str">
        <f>IFERROR(IF(INDEX(Movimientos!$M$2:$M$1998,MATCH(A558&amp;"ENTRADA",Movimientos!$R$2:$R$1998,0))=0,"S/D",INDEX(Movimientos!$M$2:$M$1998,MATCH(A558&amp;"ENTRADA",Movimientos!$R$2:$R$1998,0))),"S/D")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 ht="14.25">
      <c r="A559" s="16" t="s">
        <v>2724</v>
      </c>
      <c r="B559" s="2" t="str">
        <f>IFERROR(INDEX(Movimientos!$C$2:$C$1998,MATCH(A559&amp;"ENTRADA",Movimientos!$R$2:$R$1998,0)),"-")</f>
        <v>-</v>
      </c>
      <c r="C559" s="2" t="str">
        <f>IFERROR(INDEX(Movimientos!$D$2:$D$1998,MATCH(A559&amp;"ENTRADA",Movimientos!$R$2:$R$1998,0)),"-")</f>
        <v>-</v>
      </c>
      <c r="D559" s="2" t="str">
        <f>IFERROR(INDEX(Movimientos!$E$2:$E$1998,MATCH(A559&amp;"ENTRADA",Movimientos!$R$2:$R$1998,0)),"-")</f>
        <v>-</v>
      </c>
      <c r="E559" s="2" t="str">
        <f>IFERROR(INDEX(Movimientos!$F$2:$F$1998,MATCH(A559&amp;"ENTRADA",Movimientos!$R$2:$R$1998,0)),"-")</f>
        <v>-</v>
      </c>
      <c r="F559" s="2" t="str">
        <f>IFERROR(INDEX(Movimientos!$G$2:$G$1998,MATCH(A559&amp;"ENTRADA",Movimientos!$R$2:$R$1998,0)),"-")</f>
        <v>-</v>
      </c>
      <c r="G559" s="2" t="str">
        <f>IFERROR(INDEX(Movimientos!$L$2:$L$1998,MATCH(A559&amp;"ENTRADA",Movimientos!$R$2:$R$1998,0)),"-")</f>
        <v>-</v>
      </c>
      <c r="H559" s="17" t="str">
        <f>IFERROR(IF(INDEX(Movimientos!$M$2:$M$1998,MATCH(A559&amp;"ENTRADA",Movimientos!$R$2:$R$1998,0))=0,"S/D",INDEX(Movimientos!$M$2:$M$1998,MATCH(A559&amp;"ENTRADA",Movimientos!$R$2:$R$1998,0))),"S/D")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 ht="14.25">
      <c r="A560" s="16" t="s">
        <v>2725</v>
      </c>
      <c r="B560" s="2" t="str">
        <f>IFERROR(INDEX(Movimientos!$C$2:$C$1998,MATCH(A560&amp;"ENTRADA",Movimientos!$R$2:$R$1998,0)),"-")</f>
        <v>-</v>
      </c>
      <c r="C560" s="2" t="str">
        <f>IFERROR(INDEX(Movimientos!$D$2:$D$1998,MATCH(A560&amp;"ENTRADA",Movimientos!$R$2:$R$1998,0)),"-")</f>
        <v>-</v>
      </c>
      <c r="D560" s="2" t="str">
        <f>IFERROR(INDEX(Movimientos!$E$2:$E$1998,MATCH(A560&amp;"ENTRADA",Movimientos!$R$2:$R$1998,0)),"-")</f>
        <v>-</v>
      </c>
      <c r="E560" s="2" t="str">
        <f>IFERROR(INDEX(Movimientos!$F$2:$F$1998,MATCH(A560&amp;"ENTRADA",Movimientos!$R$2:$R$1998,0)),"-")</f>
        <v>-</v>
      </c>
      <c r="F560" s="2" t="str">
        <f>IFERROR(INDEX(Movimientos!$G$2:$G$1998,MATCH(A560&amp;"ENTRADA",Movimientos!$R$2:$R$1998,0)),"-")</f>
        <v>-</v>
      </c>
      <c r="G560" s="2" t="str">
        <f>IFERROR(INDEX(Movimientos!$L$2:$L$1998,MATCH(A560&amp;"ENTRADA",Movimientos!$R$2:$R$1998,0)),"-")</f>
        <v>-</v>
      </c>
      <c r="H560" s="17" t="str">
        <f>IFERROR(IF(INDEX(Movimientos!$M$2:$M$1998,MATCH(A560&amp;"ENTRADA",Movimientos!$R$2:$R$1998,0))=0,"S/D",INDEX(Movimientos!$M$2:$M$1998,MATCH(A560&amp;"ENTRADA",Movimientos!$R$2:$R$1998,0))),"S/D")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 ht="14.25">
      <c r="A561" s="16" t="s">
        <v>2726</v>
      </c>
      <c r="B561" s="2" t="str">
        <f>IFERROR(INDEX(Movimientos!$C$2:$C$1998,MATCH(A561&amp;"ENTRADA",Movimientos!$R$2:$R$1998,0)),"-")</f>
        <v>-</v>
      </c>
      <c r="C561" s="2" t="str">
        <f>IFERROR(INDEX(Movimientos!$D$2:$D$1998,MATCH(A561&amp;"ENTRADA",Movimientos!$R$2:$R$1998,0)),"-")</f>
        <v>-</v>
      </c>
      <c r="D561" s="2" t="str">
        <f>IFERROR(INDEX(Movimientos!$E$2:$E$1998,MATCH(A561&amp;"ENTRADA",Movimientos!$R$2:$R$1998,0)),"-")</f>
        <v>-</v>
      </c>
      <c r="E561" s="2" t="str">
        <f>IFERROR(INDEX(Movimientos!$F$2:$F$1998,MATCH(A561&amp;"ENTRADA",Movimientos!$R$2:$R$1998,0)),"-")</f>
        <v>-</v>
      </c>
      <c r="F561" s="2" t="str">
        <f>IFERROR(INDEX(Movimientos!$G$2:$G$1998,MATCH(A561&amp;"ENTRADA",Movimientos!$R$2:$R$1998,0)),"-")</f>
        <v>-</v>
      </c>
      <c r="G561" s="2" t="str">
        <f>IFERROR(INDEX(Movimientos!$L$2:$L$1998,MATCH(A561&amp;"ENTRADA",Movimientos!$R$2:$R$1998,0)),"-")</f>
        <v>-</v>
      </c>
      <c r="H561" s="17" t="str">
        <f>IFERROR(IF(INDEX(Movimientos!$M$2:$M$1998,MATCH(A561&amp;"ENTRADA",Movimientos!$R$2:$R$1998,0))=0,"S/D",INDEX(Movimientos!$M$2:$M$1998,MATCH(A561&amp;"ENTRADA",Movimientos!$R$2:$R$1998,0))),"S/D")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 ht="14.25">
      <c r="A562" s="16" t="s">
        <v>2727</v>
      </c>
      <c r="B562" s="2" t="str">
        <f>IFERROR(INDEX(Movimientos!$C$2:$C$1998,MATCH(A562&amp;"ENTRADA",Movimientos!$R$2:$R$1998,0)),"-")</f>
        <v>-</v>
      </c>
      <c r="C562" s="2" t="str">
        <f>IFERROR(INDEX(Movimientos!$D$2:$D$1998,MATCH(A562&amp;"ENTRADA",Movimientos!$R$2:$R$1998,0)),"-")</f>
        <v>-</v>
      </c>
      <c r="D562" s="2" t="str">
        <f>IFERROR(INDEX(Movimientos!$E$2:$E$1998,MATCH(A562&amp;"ENTRADA",Movimientos!$R$2:$R$1998,0)),"-")</f>
        <v>-</v>
      </c>
      <c r="E562" s="2" t="str">
        <f>IFERROR(INDEX(Movimientos!$F$2:$F$1998,MATCH(A562&amp;"ENTRADA",Movimientos!$R$2:$R$1998,0)),"-")</f>
        <v>-</v>
      </c>
      <c r="F562" s="2" t="str">
        <f>IFERROR(INDEX(Movimientos!$G$2:$G$1998,MATCH(A562&amp;"ENTRADA",Movimientos!$R$2:$R$1998,0)),"-")</f>
        <v>-</v>
      </c>
      <c r="G562" s="2" t="str">
        <f>IFERROR(INDEX(Movimientos!$L$2:$L$1998,MATCH(A562&amp;"ENTRADA",Movimientos!$R$2:$R$1998,0)),"-")</f>
        <v>-</v>
      </c>
      <c r="H562" s="17" t="str">
        <f>IFERROR(IF(INDEX(Movimientos!$M$2:$M$1998,MATCH(A562&amp;"ENTRADA",Movimientos!$R$2:$R$1998,0))=0,"S/D",INDEX(Movimientos!$M$2:$M$1998,MATCH(A562&amp;"ENTRADA",Movimientos!$R$2:$R$1998,0))),"S/D")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 ht="14.25">
      <c r="A563" s="16" t="s">
        <v>2728</v>
      </c>
      <c r="B563" s="2" t="str">
        <f>IFERROR(INDEX(Movimientos!$C$2:$C$1998,MATCH(A563&amp;"ENTRADA",Movimientos!$R$2:$R$1998,0)),"-")</f>
        <v>-</v>
      </c>
      <c r="C563" s="2" t="str">
        <f>IFERROR(INDEX(Movimientos!$D$2:$D$1998,MATCH(A563&amp;"ENTRADA",Movimientos!$R$2:$R$1998,0)),"-")</f>
        <v>-</v>
      </c>
      <c r="D563" s="2" t="str">
        <f>IFERROR(INDEX(Movimientos!$E$2:$E$1998,MATCH(A563&amp;"ENTRADA",Movimientos!$R$2:$R$1998,0)),"-")</f>
        <v>-</v>
      </c>
      <c r="E563" s="2" t="str">
        <f>IFERROR(INDEX(Movimientos!$F$2:$F$1998,MATCH(A563&amp;"ENTRADA",Movimientos!$R$2:$R$1998,0)),"-")</f>
        <v>-</v>
      </c>
      <c r="F563" s="2" t="str">
        <f>IFERROR(INDEX(Movimientos!$G$2:$G$1998,MATCH(A563&amp;"ENTRADA",Movimientos!$R$2:$R$1998,0)),"-")</f>
        <v>-</v>
      </c>
      <c r="G563" s="2" t="str">
        <f>IFERROR(INDEX(Movimientos!$L$2:$L$1998,MATCH(A563&amp;"ENTRADA",Movimientos!$R$2:$R$1998,0)),"-")</f>
        <v>-</v>
      </c>
      <c r="H563" s="17" t="str">
        <f>IFERROR(IF(INDEX(Movimientos!$M$2:$M$1998,MATCH(A563&amp;"ENTRADA",Movimientos!$R$2:$R$1998,0))=0,"S/D",INDEX(Movimientos!$M$2:$M$1998,MATCH(A563&amp;"ENTRADA",Movimientos!$R$2:$R$1998,0))),"S/D")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 ht="14.25">
      <c r="A564" s="16" t="s">
        <v>2729</v>
      </c>
      <c r="B564" s="2" t="str">
        <f>IFERROR(INDEX(Movimientos!$C$2:$C$1998,MATCH(A564&amp;"ENTRADA",Movimientos!$R$2:$R$1998,0)),"-")</f>
        <v>-</v>
      </c>
      <c r="C564" s="2" t="str">
        <f>IFERROR(INDEX(Movimientos!$D$2:$D$1998,MATCH(A564&amp;"ENTRADA",Movimientos!$R$2:$R$1998,0)),"-")</f>
        <v>-</v>
      </c>
      <c r="D564" s="2" t="str">
        <f>IFERROR(INDEX(Movimientos!$E$2:$E$1998,MATCH(A564&amp;"ENTRADA",Movimientos!$R$2:$R$1998,0)),"-")</f>
        <v>-</v>
      </c>
      <c r="E564" s="2" t="str">
        <f>IFERROR(INDEX(Movimientos!$F$2:$F$1998,MATCH(A564&amp;"ENTRADA",Movimientos!$R$2:$R$1998,0)),"-")</f>
        <v>-</v>
      </c>
      <c r="F564" s="2" t="str">
        <f>IFERROR(INDEX(Movimientos!$G$2:$G$1998,MATCH(A564&amp;"ENTRADA",Movimientos!$R$2:$R$1998,0)),"-")</f>
        <v>-</v>
      </c>
      <c r="G564" s="2" t="str">
        <f>IFERROR(INDEX(Movimientos!$L$2:$L$1998,MATCH(A564&amp;"ENTRADA",Movimientos!$R$2:$R$1998,0)),"-")</f>
        <v>-</v>
      </c>
      <c r="H564" s="17" t="str">
        <f>IFERROR(IF(INDEX(Movimientos!$M$2:$M$1998,MATCH(A564&amp;"ENTRADA",Movimientos!$R$2:$R$1998,0))=0,"S/D",INDEX(Movimientos!$M$2:$M$1998,MATCH(A564&amp;"ENTRADA",Movimientos!$R$2:$R$1998,0))),"S/D")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 ht="14.25">
      <c r="A565" s="16" t="s">
        <v>2730</v>
      </c>
      <c r="B565" s="2" t="str">
        <f>IFERROR(INDEX(Movimientos!$C$2:$C$1998,MATCH(A565&amp;"ENTRADA",Movimientos!$R$2:$R$1998,0)),"-")</f>
        <v>-</v>
      </c>
      <c r="C565" s="2" t="str">
        <f>IFERROR(INDEX(Movimientos!$D$2:$D$1998,MATCH(A565&amp;"ENTRADA",Movimientos!$R$2:$R$1998,0)),"-")</f>
        <v>-</v>
      </c>
      <c r="D565" s="2" t="str">
        <f>IFERROR(INDEX(Movimientos!$E$2:$E$1998,MATCH(A565&amp;"ENTRADA",Movimientos!$R$2:$R$1998,0)),"-")</f>
        <v>-</v>
      </c>
      <c r="E565" s="2" t="str">
        <f>IFERROR(INDEX(Movimientos!$F$2:$F$1998,MATCH(A565&amp;"ENTRADA",Movimientos!$R$2:$R$1998,0)),"-")</f>
        <v>-</v>
      </c>
      <c r="F565" s="2" t="str">
        <f>IFERROR(INDEX(Movimientos!$G$2:$G$1998,MATCH(A565&amp;"ENTRADA",Movimientos!$R$2:$R$1998,0)),"-")</f>
        <v>-</v>
      </c>
      <c r="G565" s="2" t="str">
        <f>IFERROR(INDEX(Movimientos!$L$2:$L$1998,MATCH(A565&amp;"ENTRADA",Movimientos!$R$2:$R$1998,0)),"-")</f>
        <v>-</v>
      </c>
      <c r="H565" s="17" t="str">
        <f>IFERROR(IF(INDEX(Movimientos!$M$2:$M$1998,MATCH(A565&amp;"ENTRADA",Movimientos!$R$2:$R$1998,0))=0,"S/D",INDEX(Movimientos!$M$2:$M$1998,MATCH(A565&amp;"ENTRADA",Movimientos!$R$2:$R$1998,0))),"S/D")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 ht="14.25">
      <c r="A566" s="16" t="s">
        <v>2731</v>
      </c>
      <c r="B566" s="2" t="str">
        <f>IFERROR(INDEX(Movimientos!$C$2:$C$1998,MATCH(A566&amp;"ENTRADA",Movimientos!$R$2:$R$1998,0)),"-")</f>
        <v>-</v>
      </c>
      <c r="C566" s="2" t="str">
        <f>IFERROR(INDEX(Movimientos!$D$2:$D$1998,MATCH(A566&amp;"ENTRADA",Movimientos!$R$2:$R$1998,0)),"-")</f>
        <v>-</v>
      </c>
      <c r="D566" s="2" t="str">
        <f>IFERROR(INDEX(Movimientos!$E$2:$E$1998,MATCH(A566&amp;"ENTRADA",Movimientos!$R$2:$R$1998,0)),"-")</f>
        <v>-</v>
      </c>
      <c r="E566" s="2" t="str">
        <f>IFERROR(INDEX(Movimientos!$F$2:$F$1998,MATCH(A566&amp;"ENTRADA",Movimientos!$R$2:$R$1998,0)),"-")</f>
        <v>-</v>
      </c>
      <c r="F566" s="2" t="str">
        <f>IFERROR(INDEX(Movimientos!$G$2:$G$1998,MATCH(A566&amp;"ENTRADA",Movimientos!$R$2:$R$1998,0)),"-")</f>
        <v>-</v>
      </c>
      <c r="G566" s="2" t="str">
        <f>IFERROR(INDEX(Movimientos!$L$2:$L$1998,MATCH(A566&amp;"ENTRADA",Movimientos!$R$2:$R$1998,0)),"-")</f>
        <v>-</v>
      </c>
      <c r="H566" s="17" t="str">
        <f>IFERROR(IF(INDEX(Movimientos!$M$2:$M$1998,MATCH(A566&amp;"ENTRADA",Movimientos!$R$2:$R$1998,0))=0,"S/D",INDEX(Movimientos!$M$2:$M$1998,MATCH(A566&amp;"ENTRADA",Movimientos!$R$2:$R$1998,0))),"S/D")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 ht="14.25">
      <c r="A567" s="16" t="s">
        <v>2732</v>
      </c>
      <c r="B567" s="2" t="str">
        <f>IFERROR(INDEX(Movimientos!$C$2:$C$1998,MATCH(A567&amp;"ENTRADA",Movimientos!$R$2:$R$1998,0)),"-")</f>
        <v>-</v>
      </c>
      <c r="C567" s="2" t="str">
        <f>IFERROR(INDEX(Movimientos!$D$2:$D$1998,MATCH(A567&amp;"ENTRADA",Movimientos!$R$2:$R$1998,0)),"-")</f>
        <v>-</v>
      </c>
      <c r="D567" s="2" t="str">
        <f>IFERROR(INDEX(Movimientos!$E$2:$E$1998,MATCH(A567&amp;"ENTRADA",Movimientos!$R$2:$R$1998,0)),"-")</f>
        <v>-</v>
      </c>
      <c r="E567" s="2" t="str">
        <f>IFERROR(INDEX(Movimientos!$F$2:$F$1998,MATCH(A567&amp;"ENTRADA",Movimientos!$R$2:$R$1998,0)),"-")</f>
        <v>-</v>
      </c>
      <c r="F567" s="2" t="str">
        <f>IFERROR(INDEX(Movimientos!$G$2:$G$1998,MATCH(A567&amp;"ENTRADA",Movimientos!$R$2:$R$1998,0)),"-")</f>
        <v>-</v>
      </c>
      <c r="G567" s="2" t="str">
        <f>IFERROR(INDEX(Movimientos!$L$2:$L$1998,MATCH(A567&amp;"ENTRADA",Movimientos!$R$2:$R$1998,0)),"-")</f>
        <v>-</v>
      </c>
      <c r="H567" s="17" t="str">
        <f>IFERROR(IF(INDEX(Movimientos!$M$2:$M$1998,MATCH(A567&amp;"ENTRADA",Movimientos!$R$2:$R$1998,0))=0,"S/D",INDEX(Movimientos!$M$2:$M$1998,MATCH(A567&amp;"ENTRADA",Movimientos!$R$2:$R$1998,0))),"S/D")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 ht="14.25">
      <c r="A568" s="16" t="s">
        <v>2733</v>
      </c>
      <c r="B568" s="2" t="str">
        <f>IFERROR(INDEX(Movimientos!$C$2:$C$1998,MATCH(A568&amp;"ENTRADA",Movimientos!$R$2:$R$1998,0)),"-")</f>
        <v>-</v>
      </c>
      <c r="C568" s="2" t="str">
        <f>IFERROR(INDEX(Movimientos!$D$2:$D$1998,MATCH(A568&amp;"ENTRADA",Movimientos!$R$2:$R$1998,0)),"-")</f>
        <v>-</v>
      </c>
      <c r="D568" s="2" t="str">
        <f>IFERROR(INDEX(Movimientos!$E$2:$E$1998,MATCH(A568&amp;"ENTRADA",Movimientos!$R$2:$R$1998,0)),"-")</f>
        <v>-</v>
      </c>
      <c r="E568" s="2" t="str">
        <f>IFERROR(INDEX(Movimientos!$F$2:$F$1998,MATCH(A568&amp;"ENTRADA",Movimientos!$R$2:$R$1998,0)),"-")</f>
        <v>-</v>
      </c>
      <c r="F568" s="2" t="str">
        <f>IFERROR(INDEX(Movimientos!$G$2:$G$1998,MATCH(A568&amp;"ENTRADA",Movimientos!$R$2:$R$1998,0)),"-")</f>
        <v>-</v>
      </c>
      <c r="G568" s="2" t="str">
        <f>IFERROR(INDEX(Movimientos!$L$2:$L$1998,MATCH(A568&amp;"ENTRADA",Movimientos!$R$2:$R$1998,0)),"-")</f>
        <v>-</v>
      </c>
      <c r="H568" s="17" t="str">
        <f>IFERROR(IF(INDEX(Movimientos!$M$2:$M$1998,MATCH(A568&amp;"ENTRADA",Movimientos!$R$2:$R$1998,0))=0,"S/D",INDEX(Movimientos!$M$2:$M$1998,MATCH(A568&amp;"ENTRADA",Movimientos!$R$2:$R$1998,0))),"S/D")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 ht="14.25">
      <c r="A569" s="16" t="s">
        <v>2734</v>
      </c>
      <c r="B569" s="2" t="str">
        <f>IFERROR(INDEX(Movimientos!$C$2:$C$1998,MATCH(A569&amp;"ENTRADA",Movimientos!$R$2:$R$1998,0)),"-")</f>
        <v>-</v>
      </c>
      <c r="C569" s="2" t="str">
        <f>IFERROR(INDEX(Movimientos!$D$2:$D$1998,MATCH(A569&amp;"ENTRADA",Movimientos!$R$2:$R$1998,0)),"-")</f>
        <v>-</v>
      </c>
      <c r="D569" s="2" t="str">
        <f>IFERROR(INDEX(Movimientos!$E$2:$E$1998,MATCH(A569&amp;"ENTRADA",Movimientos!$R$2:$R$1998,0)),"-")</f>
        <v>-</v>
      </c>
      <c r="E569" s="2" t="str">
        <f>IFERROR(INDEX(Movimientos!$F$2:$F$1998,MATCH(A569&amp;"ENTRADA",Movimientos!$R$2:$R$1998,0)),"-")</f>
        <v>-</v>
      </c>
      <c r="F569" s="2" t="str">
        <f>IFERROR(INDEX(Movimientos!$G$2:$G$1998,MATCH(A569&amp;"ENTRADA",Movimientos!$R$2:$R$1998,0)),"-")</f>
        <v>-</v>
      </c>
      <c r="G569" s="2" t="str">
        <f>IFERROR(INDEX(Movimientos!$L$2:$L$1998,MATCH(A569&amp;"ENTRADA",Movimientos!$R$2:$R$1998,0)),"-")</f>
        <v>-</v>
      </c>
      <c r="H569" s="17" t="str">
        <f>IFERROR(IF(INDEX(Movimientos!$M$2:$M$1998,MATCH(A569&amp;"ENTRADA",Movimientos!$R$2:$R$1998,0))=0,"S/D",INDEX(Movimientos!$M$2:$M$1998,MATCH(A569&amp;"ENTRADA",Movimientos!$R$2:$R$1998,0))),"S/D")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 ht="14.25">
      <c r="A570" s="16" t="s">
        <v>2735</v>
      </c>
      <c r="B570" s="2" t="str">
        <f>IFERROR(INDEX(Movimientos!$C$2:$C$1998,MATCH(A570&amp;"ENTRADA",Movimientos!$R$2:$R$1998,0)),"-")</f>
        <v>-</v>
      </c>
      <c r="C570" s="2" t="str">
        <f>IFERROR(INDEX(Movimientos!$D$2:$D$1998,MATCH(A570&amp;"ENTRADA",Movimientos!$R$2:$R$1998,0)),"-")</f>
        <v>-</v>
      </c>
      <c r="D570" s="2" t="str">
        <f>IFERROR(INDEX(Movimientos!$E$2:$E$1998,MATCH(A570&amp;"ENTRADA",Movimientos!$R$2:$R$1998,0)),"-")</f>
        <v>-</v>
      </c>
      <c r="E570" s="2" t="str">
        <f>IFERROR(INDEX(Movimientos!$F$2:$F$1998,MATCH(A570&amp;"ENTRADA",Movimientos!$R$2:$R$1998,0)),"-")</f>
        <v>-</v>
      </c>
      <c r="F570" s="2" t="str">
        <f>IFERROR(INDEX(Movimientos!$G$2:$G$1998,MATCH(A570&amp;"ENTRADA",Movimientos!$R$2:$R$1998,0)),"-")</f>
        <v>-</v>
      </c>
      <c r="G570" s="2" t="str">
        <f>IFERROR(INDEX(Movimientos!$L$2:$L$1998,MATCH(A570&amp;"ENTRADA",Movimientos!$R$2:$R$1998,0)),"-")</f>
        <v>-</v>
      </c>
      <c r="H570" s="17" t="str">
        <f>IFERROR(IF(INDEX(Movimientos!$M$2:$M$1998,MATCH(A570&amp;"ENTRADA",Movimientos!$R$2:$R$1998,0))=0,"S/D",INDEX(Movimientos!$M$2:$M$1998,MATCH(A570&amp;"ENTRADA",Movimientos!$R$2:$R$1998,0))),"S/D")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 ht="14.25">
      <c r="A571" s="16" t="s">
        <v>2736</v>
      </c>
      <c r="B571" s="2" t="str">
        <f>IFERROR(INDEX(Movimientos!$C$2:$C$1998,MATCH(A571&amp;"ENTRADA",Movimientos!$R$2:$R$1998,0)),"-")</f>
        <v>-</v>
      </c>
      <c r="C571" s="2" t="str">
        <f>IFERROR(INDEX(Movimientos!$D$2:$D$1998,MATCH(A571&amp;"ENTRADA",Movimientos!$R$2:$R$1998,0)),"-")</f>
        <v>-</v>
      </c>
      <c r="D571" s="2" t="str">
        <f>IFERROR(INDEX(Movimientos!$E$2:$E$1998,MATCH(A571&amp;"ENTRADA",Movimientos!$R$2:$R$1998,0)),"-")</f>
        <v>-</v>
      </c>
      <c r="E571" s="2" t="str">
        <f>IFERROR(INDEX(Movimientos!$F$2:$F$1998,MATCH(A571&amp;"ENTRADA",Movimientos!$R$2:$R$1998,0)),"-")</f>
        <v>-</v>
      </c>
      <c r="F571" s="2" t="str">
        <f>IFERROR(INDEX(Movimientos!$G$2:$G$1998,MATCH(A571&amp;"ENTRADA",Movimientos!$R$2:$R$1998,0)),"-")</f>
        <v>-</v>
      </c>
      <c r="G571" s="2" t="str">
        <f>IFERROR(INDEX(Movimientos!$L$2:$L$1998,MATCH(A571&amp;"ENTRADA",Movimientos!$R$2:$R$1998,0)),"-")</f>
        <v>-</v>
      </c>
      <c r="H571" s="17" t="str">
        <f>IFERROR(IF(INDEX(Movimientos!$M$2:$M$1998,MATCH(A571&amp;"ENTRADA",Movimientos!$R$2:$R$1998,0))=0,"S/D",INDEX(Movimientos!$M$2:$M$1998,MATCH(A571&amp;"ENTRADA",Movimientos!$R$2:$R$1998,0))),"S/D")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 ht="14.25">
      <c r="A572" s="16" t="s">
        <v>2737</v>
      </c>
      <c r="B572" s="2" t="str">
        <f>IFERROR(INDEX(Movimientos!$C$2:$C$1998,MATCH(A572&amp;"ENTRADA",Movimientos!$R$2:$R$1998,0)),"-")</f>
        <v>-</v>
      </c>
      <c r="C572" s="2" t="str">
        <f>IFERROR(INDEX(Movimientos!$D$2:$D$1998,MATCH(A572&amp;"ENTRADA",Movimientos!$R$2:$R$1998,0)),"-")</f>
        <v>-</v>
      </c>
      <c r="D572" s="2" t="str">
        <f>IFERROR(INDEX(Movimientos!$E$2:$E$1998,MATCH(A572&amp;"ENTRADA",Movimientos!$R$2:$R$1998,0)),"-")</f>
        <v>-</v>
      </c>
      <c r="E572" s="2" t="str">
        <f>IFERROR(INDEX(Movimientos!$F$2:$F$1998,MATCH(A572&amp;"ENTRADA",Movimientos!$R$2:$R$1998,0)),"-")</f>
        <v>-</v>
      </c>
      <c r="F572" s="2" t="str">
        <f>IFERROR(INDEX(Movimientos!$G$2:$G$1998,MATCH(A572&amp;"ENTRADA",Movimientos!$R$2:$R$1998,0)),"-")</f>
        <v>-</v>
      </c>
      <c r="G572" s="2" t="str">
        <f>IFERROR(INDEX(Movimientos!$L$2:$L$1998,MATCH(A572&amp;"ENTRADA",Movimientos!$R$2:$R$1998,0)),"-")</f>
        <v>-</v>
      </c>
      <c r="H572" s="17" t="str">
        <f>IFERROR(IF(INDEX(Movimientos!$M$2:$M$1998,MATCH(A572&amp;"ENTRADA",Movimientos!$R$2:$R$1998,0))=0,"S/D",INDEX(Movimientos!$M$2:$M$1998,MATCH(A572&amp;"ENTRADA",Movimientos!$R$2:$R$1998,0))),"S/D")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 ht="14.25">
      <c r="A573" s="16" t="s">
        <v>2738</v>
      </c>
      <c r="B573" s="2" t="str">
        <f>IFERROR(INDEX(Movimientos!$C$2:$C$1998,MATCH(A573&amp;"ENTRADA",Movimientos!$R$2:$R$1998,0)),"-")</f>
        <v>-</v>
      </c>
      <c r="C573" s="2" t="str">
        <f>IFERROR(INDEX(Movimientos!$D$2:$D$1998,MATCH(A573&amp;"ENTRADA",Movimientos!$R$2:$R$1998,0)),"-")</f>
        <v>-</v>
      </c>
      <c r="D573" s="2" t="str">
        <f>IFERROR(INDEX(Movimientos!$E$2:$E$1998,MATCH(A573&amp;"ENTRADA",Movimientos!$R$2:$R$1998,0)),"-")</f>
        <v>-</v>
      </c>
      <c r="E573" s="2" t="str">
        <f>IFERROR(INDEX(Movimientos!$F$2:$F$1998,MATCH(A573&amp;"ENTRADA",Movimientos!$R$2:$R$1998,0)),"-")</f>
        <v>-</v>
      </c>
      <c r="F573" s="2" t="str">
        <f>IFERROR(INDEX(Movimientos!$G$2:$G$1998,MATCH(A573&amp;"ENTRADA",Movimientos!$R$2:$R$1998,0)),"-")</f>
        <v>-</v>
      </c>
      <c r="G573" s="2" t="str">
        <f>IFERROR(INDEX(Movimientos!$L$2:$L$1998,MATCH(A573&amp;"ENTRADA",Movimientos!$R$2:$R$1998,0)),"-")</f>
        <v>-</v>
      </c>
      <c r="H573" s="17" t="str">
        <f>IFERROR(IF(INDEX(Movimientos!$M$2:$M$1998,MATCH(A573&amp;"ENTRADA",Movimientos!$R$2:$R$1998,0))=0,"S/D",INDEX(Movimientos!$M$2:$M$1998,MATCH(A573&amp;"ENTRADA",Movimientos!$R$2:$R$1998,0))),"S/D")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 ht="14.25">
      <c r="A574" s="16" t="s">
        <v>2739</v>
      </c>
      <c r="B574" s="2" t="str">
        <f>IFERROR(INDEX(Movimientos!$C$2:$C$1998,MATCH(A574&amp;"ENTRADA",Movimientos!$R$2:$R$1998,0)),"-")</f>
        <v>-</v>
      </c>
      <c r="C574" s="2" t="str">
        <f>IFERROR(INDEX(Movimientos!$D$2:$D$1998,MATCH(A574&amp;"ENTRADA",Movimientos!$R$2:$R$1998,0)),"-")</f>
        <v>-</v>
      </c>
      <c r="D574" s="2" t="str">
        <f>IFERROR(INDEX(Movimientos!$E$2:$E$1998,MATCH(A574&amp;"ENTRADA",Movimientos!$R$2:$R$1998,0)),"-")</f>
        <v>-</v>
      </c>
      <c r="E574" s="2" t="str">
        <f>IFERROR(INDEX(Movimientos!$F$2:$F$1998,MATCH(A574&amp;"ENTRADA",Movimientos!$R$2:$R$1998,0)),"-")</f>
        <v>-</v>
      </c>
      <c r="F574" s="2" t="str">
        <f>IFERROR(INDEX(Movimientos!$G$2:$G$1998,MATCH(A574&amp;"ENTRADA",Movimientos!$R$2:$R$1998,0)),"-")</f>
        <v>-</v>
      </c>
      <c r="G574" s="2" t="str">
        <f>IFERROR(INDEX(Movimientos!$L$2:$L$1998,MATCH(A574&amp;"ENTRADA",Movimientos!$R$2:$R$1998,0)),"-")</f>
        <v>-</v>
      </c>
      <c r="H574" s="17" t="str">
        <f>IFERROR(IF(INDEX(Movimientos!$M$2:$M$1998,MATCH(A574&amp;"ENTRADA",Movimientos!$R$2:$R$1998,0))=0,"S/D",INDEX(Movimientos!$M$2:$M$1998,MATCH(A574&amp;"ENTRADA",Movimientos!$R$2:$R$1998,0))),"S/D")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 ht="14.25">
      <c r="A575" s="16" t="s">
        <v>2740</v>
      </c>
      <c r="B575" s="2" t="str">
        <f>IFERROR(INDEX(Movimientos!$C$2:$C$1998,MATCH(A575&amp;"ENTRADA",Movimientos!$R$2:$R$1998,0)),"-")</f>
        <v>-</v>
      </c>
      <c r="C575" s="2" t="str">
        <f>IFERROR(INDEX(Movimientos!$D$2:$D$1998,MATCH(A575&amp;"ENTRADA",Movimientos!$R$2:$R$1998,0)),"-")</f>
        <v>-</v>
      </c>
      <c r="D575" s="2" t="str">
        <f>IFERROR(INDEX(Movimientos!$E$2:$E$1998,MATCH(A575&amp;"ENTRADA",Movimientos!$R$2:$R$1998,0)),"-")</f>
        <v>-</v>
      </c>
      <c r="E575" s="2" t="str">
        <f>IFERROR(INDEX(Movimientos!$F$2:$F$1998,MATCH(A575&amp;"ENTRADA",Movimientos!$R$2:$R$1998,0)),"-")</f>
        <v>-</v>
      </c>
      <c r="F575" s="2" t="str">
        <f>IFERROR(INDEX(Movimientos!$G$2:$G$1998,MATCH(A575&amp;"ENTRADA",Movimientos!$R$2:$R$1998,0)),"-")</f>
        <v>-</v>
      </c>
      <c r="G575" s="2" t="str">
        <f>IFERROR(INDEX(Movimientos!$L$2:$L$1998,MATCH(A575&amp;"ENTRADA",Movimientos!$R$2:$R$1998,0)),"-")</f>
        <v>-</v>
      </c>
      <c r="H575" s="17" t="str">
        <f>IFERROR(IF(INDEX(Movimientos!$M$2:$M$1998,MATCH(A575&amp;"ENTRADA",Movimientos!$R$2:$R$1998,0))=0,"S/D",INDEX(Movimientos!$M$2:$M$1998,MATCH(A575&amp;"ENTRADA",Movimientos!$R$2:$R$1998,0))),"S/D")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 ht="14.25">
      <c r="A576" s="16" t="s">
        <v>2741</v>
      </c>
      <c r="B576" s="2" t="str">
        <f>IFERROR(INDEX(Movimientos!$C$2:$C$1998,MATCH(A576&amp;"ENTRADA",Movimientos!$R$2:$R$1998,0)),"-")</f>
        <v>-</v>
      </c>
      <c r="C576" s="2" t="str">
        <f>IFERROR(INDEX(Movimientos!$D$2:$D$1998,MATCH(A576&amp;"ENTRADA",Movimientos!$R$2:$R$1998,0)),"-")</f>
        <v>-</v>
      </c>
      <c r="D576" s="2" t="str">
        <f>IFERROR(INDEX(Movimientos!$E$2:$E$1998,MATCH(A576&amp;"ENTRADA",Movimientos!$R$2:$R$1998,0)),"-")</f>
        <v>-</v>
      </c>
      <c r="E576" s="2" t="str">
        <f>IFERROR(INDEX(Movimientos!$F$2:$F$1998,MATCH(A576&amp;"ENTRADA",Movimientos!$R$2:$R$1998,0)),"-")</f>
        <v>-</v>
      </c>
      <c r="F576" s="2" t="str">
        <f>IFERROR(INDEX(Movimientos!$G$2:$G$1998,MATCH(A576&amp;"ENTRADA",Movimientos!$R$2:$R$1998,0)),"-")</f>
        <v>-</v>
      </c>
      <c r="G576" s="2" t="str">
        <f>IFERROR(INDEX(Movimientos!$L$2:$L$1998,MATCH(A576&amp;"ENTRADA",Movimientos!$R$2:$R$1998,0)),"-")</f>
        <v>-</v>
      </c>
      <c r="H576" s="17" t="str">
        <f>IFERROR(IF(INDEX(Movimientos!$M$2:$M$1998,MATCH(A576&amp;"ENTRADA",Movimientos!$R$2:$R$1998,0))=0,"S/D",INDEX(Movimientos!$M$2:$M$1998,MATCH(A576&amp;"ENTRADA",Movimientos!$R$2:$R$1998,0))),"S/D")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 ht="14.25">
      <c r="A577" s="16" t="s">
        <v>2742</v>
      </c>
      <c r="B577" s="2" t="str">
        <f>IFERROR(INDEX(Movimientos!$C$2:$C$1998,MATCH(A577&amp;"ENTRADA",Movimientos!$R$2:$R$1998,0)),"-")</f>
        <v>-</v>
      </c>
      <c r="C577" s="2" t="str">
        <f>IFERROR(INDEX(Movimientos!$D$2:$D$1998,MATCH(A577&amp;"ENTRADA",Movimientos!$R$2:$R$1998,0)),"-")</f>
        <v>-</v>
      </c>
      <c r="D577" s="2" t="str">
        <f>IFERROR(INDEX(Movimientos!$E$2:$E$1998,MATCH(A577&amp;"ENTRADA",Movimientos!$R$2:$R$1998,0)),"-")</f>
        <v>-</v>
      </c>
      <c r="E577" s="2" t="str">
        <f>IFERROR(INDEX(Movimientos!$F$2:$F$1998,MATCH(A577&amp;"ENTRADA",Movimientos!$R$2:$R$1998,0)),"-")</f>
        <v>-</v>
      </c>
      <c r="F577" s="2" t="str">
        <f>IFERROR(INDEX(Movimientos!$G$2:$G$1998,MATCH(A577&amp;"ENTRADA",Movimientos!$R$2:$R$1998,0)),"-")</f>
        <v>-</v>
      </c>
      <c r="G577" s="2" t="str">
        <f>IFERROR(INDEX(Movimientos!$L$2:$L$1998,MATCH(A577&amp;"ENTRADA",Movimientos!$R$2:$R$1998,0)),"-")</f>
        <v>-</v>
      </c>
      <c r="H577" s="17" t="str">
        <f>IFERROR(IF(INDEX(Movimientos!$M$2:$M$1998,MATCH(A577&amp;"ENTRADA",Movimientos!$R$2:$R$1998,0))=0,"S/D",INDEX(Movimientos!$M$2:$M$1998,MATCH(A577&amp;"ENTRADA",Movimientos!$R$2:$R$1998,0))),"S/D")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 ht="14.25">
      <c r="A578" s="16" t="s">
        <v>2743</v>
      </c>
      <c r="B578" s="2" t="str">
        <f>IFERROR(INDEX(Movimientos!$C$2:$C$1998,MATCH(A578&amp;"ENTRADA",Movimientos!$R$2:$R$1998,0)),"-")</f>
        <v>-</v>
      </c>
      <c r="C578" s="2" t="str">
        <f>IFERROR(INDEX(Movimientos!$D$2:$D$1998,MATCH(A578&amp;"ENTRADA",Movimientos!$R$2:$R$1998,0)),"-")</f>
        <v>-</v>
      </c>
      <c r="D578" s="2" t="str">
        <f>IFERROR(INDEX(Movimientos!$E$2:$E$1998,MATCH(A578&amp;"ENTRADA",Movimientos!$R$2:$R$1998,0)),"-")</f>
        <v>-</v>
      </c>
      <c r="E578" s="2" t="str">
        <f>IFERROR(INDEX(Movimientos!$F$2:$F$1998,MATCH(A578&amp;"ENTRADA",Movimientos!$R$2:$R$1998,0)),"-")</f>
        <v>-</v>
      </c>
      <c r="F578" s="2" t="str">
        <f>IFERROR(INDEX(Movimientos!$G$2:$G$1998,MATCH(A578&amp;"ENTRADA",Movimientos!$R$2:$R$1998,0)),"-")</f>
        <v>-</v>
      </c>
      <c r="G578" s="2" t="str">
        <f>IFERROR(INDEX(Movimientos!$L$2:$L$1998,MATCH(A578&amp;"ENTRADA",Movimientos!$R$2:$R$1998,0)),"-")</f>
        <v>-</v>
      </c>
      <c r="H578" s="17" t="str">
        <f>IFERROR(IF(INDEX(Movimientos!$M$2:$M$1998,MATCH(A578&amp;"ENTRADA",Movimientos!$R$2:$R$1998,0))=0,"S/D",INDEX(Movimientos!$M$2:$M$1998,MATCH(A578&amp;"ENTRADA",Movimientos!$R$2:$R$1998,0))),"S/D")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 ht="14.25">
      <c r="A579" s="16" t="s">
        <v>2744</v>
      </c>
      <c r="B579" s="2" t="str">
        <f>IFERROR(INDEX(Movimientos!$C$2:$C$1998,MATCH(A579&amp;"ENTRADA",Movimientos!$R$2:$R$1998,0)),"-")</f>
        <v>-</v>
      </c>
      <c r="C579" s="2" t="str">
        <f>IFERROR(INDEX(Movimientos!$D$2:$D$1998,MATCH(A579&amp;"ENTRADA",Movimientos!$R$2:$R$1998,0)),"-")</f>
        <v>-</v>
      </c>
      <c r="D579" s="2" t="str">
        <f>IFERROR(INDEX(Movimientos!$E$2:$E$1998,MATCH(A579&amp;"ENTRADA",Movimientos!$R$2:$R$1998,0)),"-")</f>
        <v>-</v>
      </c>
      <c r="E579" s="2" t="str">
        <f>IFERROR(INDEX(Movimientos!$F$2:$F$1998,MATCH(A579&amp;"ENTRADA",Movimientos!$R$2:$R$1998,0)),"-")</f>
        <v>-</v>
      </c>
      <c r="F579" s="2" t="str">
        <f>IFERROR(INDEX(Movimientos!$G$2:$G$1998,MATCH(A579&amp;"ENTRADA",Movimientos!$R$2:$R$1998,0)),"-")</f>
        <v>-</v>
      </c>
      <c r="G579" s="2" t="str">
        <f>IFERROR(INDEX(Movimientos!$L$2:$L$1998,MATCH(A579&amp;"ENTRADA",Movimientos!$R$2:$R$1998,0)),"-")</f>
        <v>-</v>
      </c>
      <c r="H579" s="17" t="str">
        <f>IFERROR(IF(INDEX(Movimientos!$M$2:$M$1998,MATCH(A579&amp;"ENTRADA",Movimientos!$R$2:$R$1998,0))=0,"S/D",INDEX(Movimientos!$M$2:$M$1998,MATCH(A579&amp;"ENTRADA",Movimientos!$R$2:$R$1998,0))),"S/D")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 ht="14.25">
      <c r="A580" s="16" t="s">
        <v>2745</v>
      </c>
      <c r="B580" s="2" t="str">
        <f>IFERROR(INDEX(Movimientos!$C$2:$C$1998,MATCH(A580&amp;"ENTRADA",Movimientos!$R$2:$R$1998,0)),"-")</f>
        <v>-</v>
      </c>
      <c r="C580" s="2" t="str">
        <f>IFERROR(INDEX(Movimientos!$D$2:$D$1998,MATCH(A580&amp;"ENTRADA",Movimientos!$R$2:$R$1998,0)),"-")</f>
        <v>-</v>
      </c>
      <c r="D580" s="2" t="str">
        <f>IFERROR(INDEX(Movimientos!$E$2:$E$1998,MATCH(A580&amp;"ENTRADA",Movimientos!$R$2:$R$1998,0)),"-")</f>
        <v>-</v>
      </c>
      <c r="E580" s="2" t="str">
        <f>IFERROR(INDEX(Movimientos!$F$2:$F$1998,MATCH(A580&amp;"ENTRADA",Movimientos!$R$2:$R$1998,0)),"-")</f>
        <v>-</v>
      </c>
      <c r="F580" s="2" t="str">
        <f>IFERROR(INDEX(Movimientos!$G$2:$G$1998,MATCH(A580&amp;"ENTRADA",Movimientos!$R$2:$R$1998,0)),"-")</f>
        <v>-</v>
      </c>
      <c r="G580" s="2" t="str">
        <f>IFERROR(INDEX(Movimientos!$L$2:$L$1998,MATCH(A580&amp;"ENTRADA",Movimientos!$R$2:$R$1998,0)),"-")</f>
        <v>-</v>
      </c>
      <c r="H580" s="17" t="str">
        <f>IFERROR(IF(INDEX(Movimientos!$M$2:$M$1998,MATCH(A580&amp;"ENTRADA",Movimientos!$R$2:$R$1998,0))=0,"S/D",INDEX(Movimientos!$M$2:$M$1998,MATCH(A580&amp;"ENTRADA",Movimientos!$R$2:$R$1998,0))),"S/D")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 ht="14.25">
      <c r="A581" s="16" t="s">
        <v>2746</v>
      </c>
      <c r="B581" s="2" t="str">
        <f>IFERROR(INDEX(Movimientos!$C$2:$C$1998,MATCH(A581&amp;"ENTRADA",Movimientos!$R$2:$R$1998,0)),"-")</f>
        <v>-</v>
      </c>
      <c r="C581" s="2" t="str">
        <f>IFERROR(INDEX(Movimientos!$D$2:$D$1998,MATCH(A581&amp;"ENTRADA",Movimientos!$R$2:$R$1998,0)),"-")</f>
        <v>-</v>
      </c>
      <c r="D581" s="2" t="str">
        <f>IFERROR(INDEX(Movimientos!$E$2:$E$1998,MATCH(A581&amp;"ENTRADA",Movimientos!$R$2:$R$1998,0)),"-")</f>
        <v>-</v>
      </c>
      <c r="E581" s="2" t="str">
        <f>IFERROR(INDEX(Movimientos!$F$2:$F$1998,MATCH(A581&amp;"ENTRADA",Movimientos!$R$2:$R$1998,0)),"-")</f>
        <v>-</v>
      </c>
      <c r="F581" s="2" t="str">
        <f>IFERROR(INDEX(Movimientos!$G$2:$G$1998,MATCH(A581&amp;"ENTRADA",Movimientos!$R$2:$R$1998,0)),"-")</f>
        <v>-</v>
      </c>
      <c r="G581" s="2" t="str">
        <f>IFERROR(INDEX(Movimientos!$L$2:$L$1998,MATCH(A581&amp;"ENTRADA",Movimientos!$R$2:$R$1998,0)),"-")</f>
        <v>-</v>
      </c>
      <c r="H581" s="17" t="str">
        <f>IFERROR(IF(INDEX(Movimientos!$M$2:$M$1998,MATCH(A581&amp;"ENTRADA",Movimientos!$R$2:$R$1998,0))=0,"S/D",INDEX(Movimientos!$M$2:$M$1998,MATCH(A581&amp;"ENTRADA",Movimientos!$R$2:$R$1998,0))),"S/D")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 ht="14.25">
      <c r="A582" s="16" t="s">
        <v>2747</v>
      </c>
      <c r="B582" s="2" t="str">
        <f>IFERROR(INDEX(Movimientos!$C$2:$C$1998,MATCH(A582&amp;"ENTRADA",Movimientos!$R$2:$R$1998,0)),"-")</f>
        <v>-</v>
      </c>
      <c r="C582" s="2" t="str">
        <f>IFERROR(INDEX(Movimientos!$D$2:$D$1998,MATCH(A582&amp;"ENTRADA",Movimientos!$R$2:$R$1998,0)),"-")</f>
        <v>-</v>
      </c>
      <c r="D582" s="2" t="str">
        <f>IFERROR(INDEX(Movimientos!$E$2:$E$1998,MATCH(A582&amp;"ENTRADA",Movimientos!$R$2:$R$1998,0)),"-")</f>
        <v>-</v>
      </c>
      <c r="E582" s="2" t="str">
        <f>IFERROR(INDEX(Movimientos!$F$2:$F$1998,MATCH(A582&amp;"ENTRADA",Movimientos!$R$2:$R$1998,0)),"-")</f>
        <v>-</v>
      </c>
      <c r="F582" s="2" t="str">
        <f>IFERROR(INDEX(Movimientos!$G$2:$G$1998,MATCH(A582&amp;"ENTRADA",Movimientos!$R$2:$R$1998,0)),"-")</f>
        <v>-</v>
      </c>
      <c r="G582" s="2" t="str">
        <f>IFERROR(INDEX(Movimientos!$L$2:$L$1998,MATCH(A582&amp;"ENTRADA",Movimientos!$R$2:$R$1998,0)),"-")</f>
        <v>-</v>
      </c>
      <c r="H582" s="17" t="str">
        <f>IFERROR(IF(INDEX(Movimientos!$M$2:$M$1998,MATCH(A582&amp;"ENTRADA",Movimientos!$R$2:$R$1998,0))=0,"S/D",INDEX(Movimientos!$M$2:$M$1998,MATCH(A582&amp;"ENTRADA",Movimientos!$R$2:$R$1998,0))),"S/D")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 ht="14.25">
      <c r="A583" s="16" t="s">
        <v>2748</v>
      </c>
      <c r="B583" s="2" t="str">
        <f>IFERROR(INDEX(Movimientos!$C$2:$C$1998,MATCH(A583&amp;"ENTRADA",Movimientos!$R$2:$R$1998,0)),"-")</f>
        <v>-</v>
      </c>
      <c r="C583" s="2" t="str">
        <f>IFERROR(INDEX(Movimientos!$D$2:$D$1998,MATCH(A583&amp;"ENTRADA",Movimientos!$R$2:$R$1998,0)),"-")</f>
        <v>-</v>
      </c>
      <c r="D583" s="2" t="str">
        <f>IFERROR(INDEX(Movimientos!$E$2:$E$1998,MATCH(A583&amp;"ENTRADA",Movimientos!$R$2:$R$1998,0)),"-")</f>
        <v>-</v>
      </c>
      <c r="E583" s="2" t="str">
        <f>IFERROR(INDEX(Movimientos!$F$2:$F$1998,MATCH(A583&amp;"ENTRADA",Movimientos!$R$2:$R$1998,0)),"-")</f>
        <v>-</v>
      </c>
      <c r="F583" s="2" t="str">
        <f>IFERROR(INDEX(Movimientos!$G$2:$G$1998,MATCH(A583&amp;"ENTRADA",Movimientos!$R$2:$R$1998,0)),"-")</f>
        <v>-</v>
      </c>
      <c r="G583" s="2" t="str">
        <f>IFERROR(INDEX(Movimientos!$L$2:$L$1998,MATCH(A583&amp;"ENTRADA",Movimientos!$R$2:$R$1998,0)),"-")</f>
        <v>-</v>
      </c>
      <c r="H583" s="17" t="str">
        <f>IFERROR(IF(INDEX(Movimientos!$M$2:$M$1998,MATCH(A583&amp;"ENTRADA",Movimientos!$R$2:$R$1998,0))=0,"S/D",INDEX(Movimientos!$M$2:$M$1998,MATCH(A583&amp;"ENTRADA",Movimientos!$R$2:$R$1998,0))),"S/D")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 ht="14.25">
      <c r="A584" s="16" t="s">
        <v>2749</v>
      </c>
      <c r="B584" s="2" t="str">
        <f>IFERROR(INDEX(Movimientos!$C$2:$C$1998,MATCH(A584&amp;"ENTRADA",Movimientos!$R$2:$R$1998,0)),"-")</f>
        <v>-</v>
      </c>
      <c r="C584" s="2" t="str">
        <f>IFERROR(INDEX(Movimientos!$D$2:$D$1998,MATCH(A584&amp;"ENTRADA",Movimientos!$R$2:$R$1998,0)),"-")</f>
        <v>-</v>
      </c>
      <c r="D584" s="2" t="str">
        <f>IFERROR(INDEX(Movimientos!$E$2:$E$1998,MATCH(A584&amp;"ENTRADA",Movimientos!$R$2:$R$1998,0)),"-")</f>
        <v>-</v>
      </c>
      <c r="E584" s="2" t="str">
        <f>IFERROR(INDEX(Movimientos!$F$2:$F$1998,MATCH(A584&amp;"ENTRADA",Movimientos!$R$2:$R$1998,0)),"-")</f>
        <v>-</v>
      </c>
      <c r="F584" s="2" t="str">
        <f>IFERROR(INDEX(Movimientos!$G$2:$G$1998,MATCH(A584&amp;"ENTRADA",Movimientos!$R$2:$R$1998,0)),"-")</f>
        <v>-</v>
      </c>
      <c r="G584" s="2" t="str">
        <f>IFERROR(INDEX(Movimientos!$L$2:$L$1998,MATCH(A584&amp;"ENTRADA",Movimientos!$R$2:$R$1998,0)),"-")</f>
        <v>-</v>
      </c>
      <c r="H584" s="17" t="str">
        <f>IFERROR(IF(INDEX(Movimientos!$M$2:$M$1998,MATCH(A584&amp;"ENTRADA",Movimientos!$R$2:$R$1998,0))=0,"S/D",INDEX(Movimientos!$M$2:$M$1998,MATCH(A584&amp;"ENTRADA",Movimientos!$R$2:$R$1998,0))),"S/D")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 ht="14.25">
      <c r="A585" s="16" t="s">
        <v>2750</v>
      </c>
      <c r="B585" s="2" t="str">
        <f>IFERROR(INDEX(Movimientos!$C$2:$C$1998,MATCH(A585&amp;"ENTRADA",Movimientos!$R$2:$R$1998,0)),"-")</f>
        <v>-</v>
      </c>
      <c r="C585" s="2" t="str">
        <f>IFERROR(INDEX(Movimientos!$D$2:$D$1998,MATCH(A585&amp;"ENTRADA",Movimientos!$R$2:$R$1998,0)),"-")</f>
        <v>-</v>
      </c>
      <c r="D585" s="2" t="str">
        <f>IFERROR(INDEX(Movimientos!$E$2:$E$1998,MATCH(A585&amp;"ENTRADA",Movimientos!$R$2:$R$1998,0)),"-")</f>
        <v>-</v>
      </c>
      <c r="E585" s="2" t="str">
        <f>IFERROR(INDEX(Movimientos!$F$2:$F$1998,MATCH(A585&amp;"ENTRADA",Movimientos!$R$2:$R$1998,0)),"-")</f>
        <v>-</v>
      </c>
      <c r="F585" s="2" t="str">
        <f>IFERROR(INDEX(Movimientos!$G$2:$G$1998,MATCH(A585&amp;"ENTRADA",Movimientos!$R$2:$R$1998,0)),"-")</f>
        <v>-</v>
      </c>
      <c r="G585" s="2" t="str">
        <f>IFERROR(INDEX(Movimientos!$L$2:$L$1998,MATCH(A585&amp;"ENTRADA",Movimientos!$R$2:$R$1998,0)),"-")</f>
        <v>-</v>
      </c>
      <c r="H585" s="17" t="str">
        <f>IFERROR(IF(INDEX(Movimientos!$M$2:$M$1998,MATCH(A585&amp;"ENTRADA",Movimientos!$R$2:$R$1998,0))=0,"S/D",INDEX(Movimientos!$M$2:$M$1998,MATCH(A585&amp;"ENTRADA",Movimientos!$R$2:$R$1998,0))),"S/D")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 ht="14.25">
      <c r="A586" s="16" t="s">
        <v>2751</v>
      </c>
      <c r="B586" s="2" t="str">
        <f>IFERROR(INDEX(Movimientos!$C$2:$C$1998,MATCH(A586&amp;"ENTRADA",Movimientos!$R$2:$R$1998,0)),"-")</f>
        <v>-</v>
      </c>
      <c r="C586" s="2" t="str">
        <f>IFERROR(INDEX(Movimientos!$D$2:$D$1998,MATCH(A586&amp;"ENTRADA",Movimientos!$R$2:$R$1998,0)),"-")</f>
        <v>-</v>
      </c>
      <c r="D586" s="2" t="str">
        <f>IFERROR(INDEX(Movimientos!$E$2:$E$1998,MATCH(A586&amp;"ENTRADA",Movimientos!$R$2:$R$1998,0)),"-")</f>
        <v>-</v>
      </c>
      <c r="E586" s="2" t="str">
        <f>IFERROR(INDEX(Movimientos!$F$2:$F$1998,MATCH(A586&amp;"ENTRADA",Movimientos!$R$2:$R$1998,0)),"-")</f>
        <v>-</v>
      </c>
      <c r="F586" s="2" t="str">
        <f>IFERROR(INDEX(Movimientos!$G$2:$G$1998,MATCH(A586&amp;"ENTRADA",Movimientos!$R$2:$R$1998,0)),"-")</f>
        <v>-</v>
      </c>
      <c r="G586" s="2" t="str">
        <f>IFERROR(INDEX(Movimientos!$L$2:$L$1998,MATCH(A586&amp;"ENTRADA",Movimientos!$R$2:$R$1998,0)),"-")</f>
        <v>-</v>
      </c>
      <c r="H586" s="17" t="str">
        <f>IFERROR(IF(INDEX(Movimientos!$M$2:$M$1998,MATCH(A586&amp;"ENTRADA",Movimientos!$R$2:$R$1998,0))=0,"S/D",INDEX(Movimientos!$M$2:$M$1998,MATCH(A586&amp;"ENTRADA",Movimientos!$R$2:$R$1998,0))),"S/D")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 ht="14.25">
      <c r="A587" s="16" t="s">
        <v>2752</v>
      </c>
      <c r="B587" s="2" t="str">
        <f>IFERROR(INDEX(Movimientos!$C$2:$C$1998,MATCH(A587&amp;"ENTRADA",Movimientos!$R$2:$R$1998,0)),"-")</f>
        <v>-</v>
      </c>
      <c r="C587" s="2" t="str">
        <f>IFERROR(INDEX(Movimientos!$D$2:$D$1998,MATCH(A587&amp;"ENTRADA",Movimientos!$R$2:$R$1998,0)),"-")</f>
        <v>-</v>
      </c>
      <c r="D587" s="2" t="str">
        <f>IFERROR(INDEX(Movimientos!$E$2:$E$1998,MATCH(A587&amp;"ENTRADA",Movimientos!$R$2:$R$1998,0)),"-")</f>
        <v>-</v>
      </c>
      <c r="E587" s="2" t="str">
        <f>IFERROR(INDEX(Movimientos!$F$2:$F$1998,MATCH(A587&amp;"ENTRADA",Movimientos!$R$2:$R$1998,0)),"-")</f>
        <v>-</v>
      </c>
      <c r="F587" s="2" t="str">
        <f>IFERROR(INDEX(Movimientos!$G$2:$G$1998,MATCH(A587&amp;"ENTRADA",Movimientos!$R$2:$R$1998,0)),"-")</f>
        <v>-</v>
      </c>
      <c r="G587" s="2" t="str">
        <f>IFERROR(INDEX(Movimientos!$L$2:$L$1998,MATCH(A587&amp;"ENTRADA",Movimientos!$R$2:$R$1998,0)),"-")</f>
        <v>-</v>
      </c>
      <c r="H587" s="17" t="str">
        <f>IFERROR(IF(INDEX(Movimientos!$M$2:$M$1998,MATCH(A587&amp;"ENTRADA",Movimientos!$R$2:$R$1998,0))=0,"S/D",INDEX(Movimientos!$M$2:$M$1998,MATCH(A587&amp;"ENTRADA",Movimientos!$R$2:$R$1998,0))),"S/D")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 ht="14.25">
      <c r="A588" s="16" t="s">
        <v>2753</v>
      </c>
      <c r="B588" s="2" t="str">
        <f>IFERROR(INDEX(Movimientos!$C$2:$C$1998,MATCH(A588&amp;"ENTRADA",Movimientos!$R$2:$R$1998,0)),"-")</f>
        <v>-</v>
      </c>
      <c r="C588" s="2" t="str">
        <f>IFERROR(INDEX(Movimientos!$D$2:$D$1998,MATCH(A588&amp;"ENTRADA",Movimientos!$R$2:$R$1998,0)),"-")</f>
        <v>-</v>
      </c>
      <c r="D588" s="2" t="str">
        <f>IFERROR(INDEX(Movimientos!$E$2:$E$1998,MATCH(A588&amp;"ENTRADA",Movimientos!$R$2:$R$1998,0)),"-")</f>
        <v>-</v>
      </c>
      <c r="E588" s="2" t="str">
        <f>IFERROR(INDEX(Movimientos!$F$2:$F$1998,MATCH(A588&amp;"ENTRADA",Movimientos!$R$2:$R$1998,0)),"-")</f>
        <v>-</v>
      </c>
      <c r="F588" s="2" t="str">
        <f>IFERROR(INDEX(Movimientos!$G$2:$G$1998,MATCH(A588&amp;"ENTRADA",Movimientos!$R$2:$R$1998,0)),"-")</f>
        <v>-</v>
      </c>
      <c r="G588" s="2" t="str">
        <f>IFERROR(INDEX(Movimientos!$L$2:$L$1998,MATCH(A588&amp;"ENTRADA",Movimientos!$R$2:$R$1998,0)),"-")</f>
        <v>-</v>
      </c>
      <c r="H588" s="17" t="str">
        <f>IFERROR(IF(INDEX(Movimientos!$M$2:$M$1998,MATCH(A588&amp;"ENTRADA",Movimientos!$R$2:$R$1998,0))=0,"S/D",INDEX(Movimientos!$M$2:$M$1998,MATCH(A588&amp;"ENTRADA",Movimientos!$R$2:$R$1998,0))),"S/D")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 ht="14.25">
      <c r="A589" s="16" t="s">
        <v>2754</v>
      </c>
      <c r="B589" s="2" t="str">
        <f>IFERROR(INDEX(Movimientos!$C$2:$C$1998,MATCH(A589&amp;"ENTRADA",Movimientos!$R$2:$R$1998,0)),"-")</f>
        <v>-</v>
      </c>
      <c r="C589" s="2" t="str">
        <f>IFERROR(INDEX(Movimientos!$D$2:$D$1998,MATCH(A589&amp;"ENTRADA",Movimientos!$R$2:$R$1998,0)),"-")</f>
        <v>-</v>
      </c>
      <c r="D589" s="2" t="str">
        <f>IFERROR(INDEX(Movimientos!$E$2:$E$1998,MATCH(A589&amp;"ENTRADA",Movimientos!$R$2:$R$1998,0)),"-")</f>
        <v>-</v>
      </c>
      <c r="E589" s="2" t="str">
        <f>IFERROR(INDEX(Movimientos!$F$2:$F$1998,MATCH(A589&amp;"ENTRADA",Movimientos!$R$2:$R$1998,0)),"-")</f>
        <v>-</v>
      </c>
      <c r="F589" s="2" t="str">
        <f>IFERROR(INDEX(Movimientos!$G$2:$G$1998,MATCH(A589&amp;"ENTRADA",Movimientos!$R$2:$R$1998,0)),"-")</f>
        <v>-</v>
      </c>
      <c r="G589" s="2" t="str">
        <f>IFERROR(INDEX(Movimientos!$L$2:$L$1998,MATCH(A589&amp;"ENTRADA",Movimientos!$R$2:$R$1998,0)),"-")</f>
        <v>-</v>
      </c>
      <c r="H589" s="17" t="str">
        <f>IFERROR(IF(INDEX(Movimientos!$M$2:$M$1998,MATCH(A589&amp;"ENTRADA",Movimientos!$R$2:$R$1998,0))=0,"S/D",INDEX(Movimientos!$M$2:$M$1998,MATCH(A589&amp;"ENTRADA",Movimientos!$R$2:$R$1998,0))),"S/D")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 ht="14.25">
      <c r="A590" s="16" t="s">
        <v>2755</v>
      </c>
      <c r="B590" s="2" t="str">
        <f>IFERROR(INDEX(Movimientos!$C$2:$C$1998,MATCH(A590&amp;"ENTRADA",Movimientos!$R$2:$R$1998,0)),"-")</f>
        <v>-</v>
      </c>
      <c r="C590" s="2" t="str">
        <f>IFERROR(INDEX(Movimientos!$D$2:$D$1998,MATCH(A590&amp;"ENTRADA",Movimientos!$R$2:$R$1998,0)),"-")</f>
        <v>-</v>
      </c>
      <c r="D590" s="2" t="str">
        <f>IFERROR(INDEX(Movimientos!$E$2:$E$1998,MATCH(A590&amp;"ENTRADA",Movimientos!$R$2:$R$1998,0)),"-")</f>
        <v>-</v>
      </c>
      <c r="E590" s="2" t="str">
        <f>IFERROR(INDEX(Movimientos!$F$2:$F$1998,MATCH(A590&amp;"ENTRADA",Movimientos!$R$2:$R$1998,0)),"-")</f>
        <v>-</v>
      </c>
      <c r="F590" s="2" t="str">
        <f>IFERROR(INDEX(Movimientos!$G$2:$G$1998,MATCH(A590&amp;"ENTRADA",Movimientos!$R$2:$R$1998,0)),"-")</f>
        <v>-</v>
      </c>
      <c r="G590" s="2" t="str">
        <f>IFERROR(INDEX(Movimientos!$L$2:$L$1998,MATCH(A590&amp;"ENTRADA",Movimientos!$R$2:$R$1998,0)),"-")</f>
        <v>-</v>
      </c>
      <c r="H590" s="17" t="str">
        <f>IFERROR(IF(INDEX(Movimientos!$M$2:$M$1998,MATCH(A590&amp;"ENTRADA",Movimientos!$R$2:$R$1998,0))=0,"S/D",INDEX(Movimientos!$M$2:$M$1998,MATCH(A590&amp;"ENTRADA",Movimientos!$R$2:$R$1998,0))),"S/D")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 ht="14.25">
      <c r="A591" s="16" t="s">
        <v>2756</v>
      </c>
      <c r="B591" s="2" t="str">
        <f>IFERROR(INDEX(Movimientos!$C$2:$C$1998,MATCH(A591&amp;"ENTRADA",Movimientos!$R$2:$R$1998,0)),"-")</f>
        <v>-</v>
      </c>
      <c r="C591" s="2" t="str">
        <f>IFERROR(INDEX(Movimientos!$D$2:$D$1998,MATCH(A591&amp;"ENTRADA",Movimientos!$R$2:$R$1998,0)),"-")</f>
        <v>-</v>
      </c>
      <c r="D591" s="2" t="str">
        <f>IFERROR(INDEX(Movimientos!$E$2:$E$1998,MATCH(A591&amp;"ENTRADA",Movimientos!$R$2:$R$1998,0)),"-")</f>
        <v>-</v>
      </c>
      <c r="E591" s="2" t="str">
        <f>IFERROR(INDEX(Movimientos!$F$2:$F$1998,MATCH(A591&amp;"ENTRADA",Movimientos!$R$2:$R$1998,0)),"-")</f>
        <v>-</v>
      </c>
      <c r="F591" s="2" t="str">
        <f>IFERROR(INDEX(Movimientos!$G$2:$G$1998,MATCH(A591&amp;"ENTRADA",Movimientos!$R$2:$R$1998,0)),"-")</f>
        <v>-</v>
      </c>
      <c r="G591" s="2" t="str">
        <f>IFERROR(INDEX(Movimientos!$L$2:$L$1998,MATCH(A591&amp;"ENTRADA",Movimientos!$R$2:$R$1998,0)),"-")</f>
        <v>-</v>
      </c>
      <c r="H591" s="17" t="str">
        <f>IFERROR(IF(INDEX(Movimientos!$M$2:$M$1998,MATCH(A591&amp;"ENTRADA",Movimientos!$R$2:$R$1998,0))=0,"S/D",INDEX(Movimientos!$M$2:$M$1998,MATCH(A591&amp;"ENTRADA",Movimientos!$R$2:$R$1998,0))),"S/D")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 ht="14.25">
      <c r="A592" s="16" t="s">
        <v>2757</v>
      </c>
      <c r="B592" s="2" t="str">
        <f>IFERROR(INDEX(Movimientos!$C$2:$C$1998,MATCH(A592&amp;"ENTRADA",Movimientos!$R$2:$R$1998,0)),"-")</f>
        <v>-</v>
      </c>
      <c r="C592" s="2" t="str">
        <f>IFERROR(INDEX(Movimientos!$D$2:$D$1998,MATCH(A592&amp;"ENTRADA",Movimientos!$R$2:$R$1998,0)),"-")</f>
        <v>-</v>
      </c>
      <c r="D592" s="2" t="str">
        <f>IFERROR(INDEX(Movimientos!$E$2:$E$1998,MATCH(A592&amp;"ENTRADA",Movimientos!$R$2:$R$1998,0)),"-")</f>
        <v>-</v>
      </c>
      <c r="E592" s="2" t="str">
        <f>IFERROR(INDEX(Movimientos!$F$2:$F$1998,MATCH(A592&amp;"ENTRADA",Movimientos!$R$2:$R$1998,0)),"-")</f>
        <v>-</v>
      </c>
      <c r="F592" s="2" t="str">
        <f>IFERROR(INDEX(Movimientos!$G$2:$G$1998,MATCH(A592&amp;"ENTRADA",Movimientos!$R$2:$R$1998,0)),"-")</f>
        <v>-</v>
      </c>
      <c r="G592" s="2" t="str">
        <f>IFERROR(INDEX(Movimientos!$L$2:$L$1998,MATCH(A592&amp;"ENTRADA",Movimientos!$R$2:$R$1998,0)),"-")</f>
        <v>-</v>
      </c>
      <c r="H592" s="17" t="str">
        <f>IFERROR(IF(INDEX(Movimientos!$M$2:$M$1998,MATCH(A592&amp;"ENTRADA",Movimientos!$R$2:$R$1998,0))=0,"S/D",INDEX(Movimientos!$M$2:$M$1998,MATCH(A592&amp;"ENTRADA",Movimientos!$R$2:$R$1998,0))),"S/D")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 ht="14.25">
      <c r="A593" s="16" t="s">
        <v>2758</v>
      </c>
      <c r="B593" s="2" t="str">
        <f>IFERROR(INDEX(Movimientos!$C$2:$C$1998,MATCH(A593&amp;"ENTRADA",Movimientos!$R$2:$R$1998,0)),"-")</f>
        <v>-</v>
      </c>
      <c r="C593" s="2" t="str">
        <f>IFERROR(INDEX(Movimientos!$D$2:$D$1998,MATCH(A593&amp;"ENTRADA",Movimientos!$R$2:$R$1998,0)),"-")</f>
        <v>-</v>
      </c>
      <c r="D593" s="2" t="str">
        <f>IFERROR(INDEX(Movimientos!$E$2:$E$1998,MATCH(A593&amp;"ENTRADA",Movimientos!$R$2:$R$1998,0)),"-")</f>
        <v>-</v>
      </c>
      <c r="E593" s="2" t="str">
        <f>IFERROR(INDEX(Movimientos!$F$2:$F$1998,MATCH(A593&amp;"ENTRADA",Movimientos!$R$2:$R$1998,0)),"-")</f>
        <v>-</v>
      </c>
      <c r="F593" s="2" t="str">
        <f>IFERROR(INDEX(Movimientos!$G$2:$G$1998,MATCH(A593&amp;"ENTRADA",Movimientos!$R$2:$R$1998,0)),"-")</f>
        <v>-</v>
      </c>
      <c r="G593" s="2" t="str">
        <f>IFERROR(INDEX(Movimientos!$L$2:$L$1998,MATCH(A593&amp;"ENTRADA",Movimientos!$R$2:$R$1998,0)),"-")</f>
        <v>-</v>
      </c>
      <c r="H593" s="17" t="str">
        <f>IFERROR(IF(INDEX(Movimientos!$M$2:$M$1998,MATCH(A593&amp;"ENTRADA",Movimientos!$R$2:$R$1998,0))=0,"S/D",INDEX(Movimientos!$M$2:$M$1998,MATCH(A593&amp;"ENTRADA",Movimientos!$R$2:$R$1998,0))),"S/D")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 ht="14.25">
      <c r="A594" s="16" t="s">
        <v>2759</v>
      </c>
      <c r="B594" s="2" t="str">
        <f>IFERROR(INDEX(Movimientos!$C$2:$C$1998,MATCH(A594&amp;"ENTRADA",Movimientos!$R$2:$R$1998,0)),"-")</f>
        <v>-</v>
      </c>
      <c r="C594" s="2" t="str">
        <f>IFERROR(INDEX(Movimientos!$D$2:$D$1998,MATCH(A594&amp;"ENTRADA",Movimientos!$R$2:$R$1998,0)),"-")</f>
        <v>-</v>
      </c>
      <c r="D594" s="2" t="str">
        <f>IFERROR(INDEX(Movimientos!$E$2:$E$1998,MATCH(A594&amp;"ENTRADA",Movimientos!$R$2:$R$1998,0)),"-")</f>
        <v>-</v>
      </c>
      <c r="E594" s="2" t="str">
        <f>IFERROR(INDEX(Movimientos!$F$2:$F$1998,MATCH(A594&amp;"ENTRADA",Movimientos!$R$2:$R$1998,0)),"-")</f>
        <v>-</v>
      </c>
      <c r="F594" s="2" t="str">
        <f>IFERROR(INDEX(Movimientos!$G$2:$G$1998,MATCH(A594&amp;"ENTRADA",Movimientos!$R$2:$R$1998,0)),"-")</f>
        <v>-</v>
      </c>
      <c r="G594" s="2" t="str">
        <f>IFERROR(INDEX(Movimientos!$L$2:$L$1998,MATCH(A594&amp;"ENTRADA",Movimientos!$R$2:$R$1998,0)),"-")</f>
        <v>-</v>
      </c>
      <c r="H594" s="17" t="str">
        <f>IFERROR(IF(INDEX(Movimientos!$M$2:$M$1998,MATCH(A594&amp;"ENTRADA",Movimientos!$R$2:$R$1998,0))=0,"S/D",INDEX(Movimientos!$M$2:$M$1998,MATCH(A594&amp;"ENTRADA",Movimientos!$R$2:$R$1998,0))),"S/D")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 ht="14.25">
      <c r="A595" s="16" t="s">
        <v>2760</v>
      </c>
      <c r="B595" s="2" t="str">
        <f>IFERROR(INDEX(Movimientos!$C$2:$C$1998,MATCH(A595&amp;"ENTRADA",Movimientos!$R$2:$R$1998,0)),"-")</f>
        <v>-</v>
      </c>
      <c r="C595" s="2" t="str">
        <f>IFERROR(INDEX(Movimientos!$D$2:$D$1998,MATCH(A595&amp;"ENTRADA",Movimientos!$R$2:$R$1998,0)),"-")</f>
        <v>-</v>
      </c>
      <c r="D595" s="2" t="str">
        <f>IFERROR(INDEX(Movimientos!$E$2:$E$1998,MATCH(A595&amp;"ENTRADA",Movimientos!$R$2:$R$1998,0)),"-")</f>
        <v>-</v>
      </c>
      <c r="E595" s="2" t="str">
        <f>IFERROR(INDEX(Movimientos!$F$2:$F$1998,MATCH(A595&amp;"ENTRADA",Movimientos!$R$2:$R$1998,0)),"-")</f>
        <v>-</v>
      </c>
      <c r="F595" s="2" t="str">
        <f>IFERROR(INDEX(Movimientos!$G$2:$G$1998,MATCH(A595&amp;"ENTRADA",Movimientos!$R$2:$R$1998,0)),"-")</f>
        <v>-</v>
      </c>
      <c r="G595" s="2" t="str">
        <f>IFERROR(INDEX(Movimientos!$L$2:$L$1998,MATCH(A595&amp;"ENTRADA",Movimientos!$R$2:$R$1998,0)),"-")</f>
        <v>-</v>
      </c>
      <c r="H595" s="17" t="str">
        <f>IFERROR(IF(INDEX(Movimientos!$M$2:$M$1998,MATCH(A595&amp;"ENTRADA",Movimientos!$R$2:$R$1998,0))=0,"S/D",INDEX(Movimientos!$M$2:$M$1998,MATCH(A595&amp;"ENTRADA",Movimientos!$R$2:$R$1998,0))),"S/D")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 ht="14.25">
      <c r="A596" s="16" t="s">
        <v>2761</v>
      </c>
      <c r="B596" s="2" t="str">
        <f>IFERROR(INDEX(Movimientos!$C$2:$C$1998,MATCH(A596&amp;"ENTRADA",Movimientos!$R$2:$R$1998,0)),"-")</f>
        <v>-</v>
      </c>
      <c r="C596" s="2" t="str">
        <f>IFERROR(INDEX(Movimientos!$D$2:$D$1998,MATCH(A596&amp;"ENTRADA",Movimientos!$R$2:$R$1998,0)),"-")</f>
        <v>-</v>
      </c>
      <c r="D596" s="2" t="str">
        <f>IFERROR(INDEX(Movimientos!$E$2:$E$1998,MATCH(A596&amp;"ENTRADA",Movimientos!$R$2:$R$1998,0)),"-")</f>
        <v>-</v>
      </c>
      <c r="E596" s="2" t="str">
        <f>IFERROR(INDEX(Movimientos!$F$2:$F$1998,MATCH(A596&amp;"ENTRADA",Movimientos!$R$2:$R$1998,0)),"-")</f>
        <v>-</v>
      </c>
      <c r="F596" s="2" t="str">
        <f>IFERROR(INDEX(Movimientos!$G$2:$G$1998,MATCH(A596&amp;"ENTRADA",Movimientos!$R$2:$R$1998,0)),"-")</f>
        <v>-</v>
      </c>
      <c r="G596" s="2" t="str">
        <f>IFERROR(INDEX(Movimientos!$L$2:$L$1998,MATCH(A596&amp;"ENTRADA",Movimientos!$R$2:$R$1998,0)),"-")</f>
        <v>-</v>
      </c>
      <c r="H596" s="17" t="str">
        <f>IFERROR(IF(INDEX(Movimientos!$M$2:$M$1998,MATCH(A596&amp;"ENTRADA",Movimientos!$R$2:$R$1998,0))=0,"S/D",INDEX(Movimientos!$M$2:$M$1998,MATCH(A596&amp;"ENTRADA",Movimientos!$R$2:$R$1998,0))),"S/D")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 ht="14.25">
      <c r="A597" s="16" t="s">
        <v>2762</v>
      </c>
      <c r="B597" s="2" t="str">
        <f>IFERROR(INDEX(Movimientos!$C$2:$C$1998,MATCH(A597&amp;"ENTRADA",Movimientos!$R$2:$R$1998,0)),"-")</f>
        <v>-</v>
      </c>
      <c r="C597" s="2" t="str">
        <f>IFERROR(INDEX(Movimientos!$D$2:$D$1998,MATCH(A597&amp;"ENTRADA",Movimientos!$R$2:$R$1998,0)),"-")</f>
        <v>-</v>
      </c>
      <c r="D597" s="2" t="str">
        <f>IFERROR(INDEX(Movimientos!$E$2:$E$1998,MATCH(A597&amp;"ENTRADA",Movimientos!$R$2:$R$1998,0)),"-")</f>
        <v>-</v>
      </c>
      <c r="E597" s="2" t="str">
        <f>IFERROR(INDEX(Movimientos!$F$2:$F$1998,MATCH(A597&amp;"ENTRADA",Movimientos!$R$2:$R$1998,0)),"-")</f>
        <v>-</v>
      </c>
      <c r="F597" s="2" t="str">
        <f>IFERROR(INDEX(Movimientos!$G$2:$G$1998,MATCH(A597&amp;"ENTRADA",Movimientos!$R$2:$R$1998,0)),"-")</f>
        <v>-</v>
      </c>
      <c r="G597" s="2" t="str">
        <f>IFERROR(INDEX(Movimientos!$L$2:$L$1998,MATCH(A597&amp;"ENTRADA",Movimientos!$R$2:$R$1998,0)),"-")</f>
        <v>-</v>
      </c>
      <c r="H597" s="17" t="str">
        <f>IFERROR(IF(INDEX(Movimientos!$M$2:$M$1998,MATCH(A597&amp;"ENTRADA",Movimientos!$R$2:$R$1998,0))=0,"S/D",INDEX(Movimientos!$M$2:$M$1998,MATCH(A597&amp;"ENTRADA",Movimientos!$R$2:$R$1998,0))),"S/D")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 ht="14.25">
      <c r="A598" s="16" t="s">
        <v>2763</v>
      </c>
      <c r="B598" s="2" t="str">
        <f>IFERROR(INDEX(Movimientos!$C$2:$C$1998,MATCH(A598&amp;"ENTRADA",Movimientos!$R$2:$R$1998,0)),"-")</f>
        <v>-</v>
      </c>
      <c r="C598" s="2" t="str">
        <f>IFERROR(INDEX(Movimientos!$D$2:$D$1998,MATCH(A598&amp;"ENTRADA",Movimientos!$R$2:$R$1998,0)),"-")</f>
        <v>-</v>
      </c>
      <c r="D598" s="2" t="str">
        <f>IFERROR(INDEX(Movimientos!$E$2:$E$1998,MATCH(A598&amp;"ENTRADA",Movimientos!$R$2:$R$1998,0)),"-")</f>
        <v>-</v>
      </c>
      <c r="E598" s="2" t="str">
        <f>IFERROR(INDEX(Movimientos!$F$2:$F$1998,MATCH(A598&amp;"ENTRADA",Movimientos!$R$2:$R$1998,0)),"-")</f>
        <v>-</v>
      </c>
      <c r="F598" s="2" t="str">
        <f>IFERROR(INDEX(Movimientos!$G$2:$G$1998,MATCH(A598&amp;"ENTRADA",Movimientos!$R$2:$R$1998,0)),"-")</f>
        <v>-</v>
      </c>
      <c r="G598" s="2" t="str">
        <f>IFERROR(INDEX(Movimientos!$L$2:$L$1998,MATCH(A598&amp;"ENTRADA",Movimientos!$R$2:$R$1998,0)),"-")</f>
        <v>-</v>
      </c>
      <c r="H598" s="17" t="str">
        <f>IFERROR(IF(INDEX(Movimientos!$M$2:$M$1998,MATCH(A598&amp;"ENTRADA",Movimientos!$R$2:$R$1998,0))=0,"S/D",INDEX(Movimientos!$M$2:$M$1998,MATCH(A598&amp;"ENTRADA",Movimientos!$R$2:$R$1998,0))),"S/D")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 ht="14.25">
      <c r="A599" s="16" t="s">
        <v>2764</v>
      </c>
      <c r="B599" s="2" t="str">
        <f>IFERROR(INDEX(Movimientos!$C$2:$C$1998,MATCH(A599&amp;"ENTRADA",Movimientos!$R$2:$R$1998,0)),"-")</f>
        <v>-</v>
      </c>
      <c r="C599" s="2" t="str">
        <f>IFERROR(INDEX(Movimientos!$D$2:$D$1998,MATCH(A599&amp;"ENTRADA",Movimientos!$R$2:$R$1998,0)),"-")</f>
        <v>-</v>
      </c>
      <c r="D599" s="2" t="str">
        <f>IFERROR(INDEX(Movimientos!$E$2:$E$1998,MATCH(A599&amp;"ENTRADA",Movimientos!$R$2:$R$1998,0)),"-")</f>
        <v>-</v>
      </c>
      <c r="E599" s="2" t="str">
        <f>IFERROR(INDEX(Movimientos!$F$2:$F$1998,MATCH(A599&amp;"ENTRADA",Movimientos!$R$2:$R$1998,0)),"-")</f>
        <v>-</v>
      </c>
      <c r="F599" s="2" t="str">
        <f>IFERROR(INDEX(Movimientos!$G$2:$G$1998,MATCH(A599&amp;"ENTRADA",Movimientos!$R$2:$R$1998,0)),"-")</f>
        <v>-</v>
      </c>
      <c r="G599" s="2" t="str">
        <f>IFERROR(INDEX(Movimientos!$L$2:$L$1998,MATCH(A599&amp;"ENTRADA",Movimientos!$R$2:$R$1998,0)),"-")</f>
        <v>-</v>
      </c>
      <c r="H599" s="17" t="str">
        <f>IFERROR(IF(INDEX(Movimientos!$M$2:$M$1998,MATCH(A599&amp;"ENTRADA",Movimientos!$R$2:$R$1998,0))=0,"S/D",INDEX(Movimientos!$M$2:$M$1998,MATCH(A599&amp;"ENTRADA",Movimientos!$R$2:$R$1998,0))),"S/D")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 ht="14.25">
      <c r="A600" s="16" t="s">
        <v>2765</v>
      </c>
      <c r="B600" s="2" t="str">
        <f>IFERROR(INDEX(Movimientos!$C$2:$C$1998,MATCH(A600&amp;"ENTRADA",Movimientos!$R$2:$R$1998,0)),"-")</f>
        <v>-</v>
      </c>
      <c r="C600" s="2" t="str">
        <f>IFERROR(INDEX(Movimientos!$D$2:$D$1998,MATCH(A600&amp;"ENTRADA",Movimientos!$R$2:$R$1998,0)),"-")</f>
        <v>-</v>
      </c>
      <c r="D600" s="2" t="str">
        <f>IFERROR(INDEX(Movimientos!$E$2:$E$1998,MATCH(A600&amp;"ENTRADA",Movimientos!$R$2:$R$1998,0)),"-")</f>
        <v>-</v>
      </c>
      <c r="E600" s="2" t="str">
        <f>IFERROR(INDEX(Movimientos!$F$2:$F$1998,MATCH(A600&amp;"ENTRADA",Movimientos!$R$2:$R$1998,0)),"-")</f>
        <v>-</v>
      </c>
      <c r="F600" s="2" t="str">
        <f>IFERROR(INDEX(Movimientos!$G$2:$G$1998,MATCH(A600&amp;"ENTRADA",Movimientos!$R$2:$R$1998,0)),"-")</f>
        <v>-</v>
      </c>
      <c r="G600" s="2" t="str">
        <f>IFERROR(INDEX(Movimientos!$L$2:$L$1998,MATCH(A600&amp;"ENTRADA",Movimientos!$R$2:$R$1998,0)),"-")</f>
        <v>-</v>
      </c>
      <c r="H600" s="17" t="str">
        <f>IFERROR(IF(INDEX(Movimientos!$M$2:$M$1998,MATCH(A600&amp;"ENTRADA",Movimientos!$R$2:$R$1998,0))=0,"S/D",INDEX(Movimientos!$M$2:$M$1998,MATCH(A600&amp;"ENTRADA",Movimientos!$R$2:$R$1998,0))),"S/D")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 ht="14.25">
      <c r="A601" s="16" t="s">
        <v>2766</v>
      </c>
      <c r="B601" s="2" t="str">
        <f>IFERROR(INDEX(Movimientos!$C$2:$C$1998,MATCH(A601&amp;"ENTRADA",Movimientos!$R$2:$R$1998,0)),"-")</f>
        <v>-</v>
      </c>
      <c r="C601" s="2" t="str">
        <f>IFERROR(INDEX(Movimientos!$D$2:$D$1998,MATCH(A601&amp;"ENTRADA",Movimientos!$R$2:$R$1998,0)),"-")</f>
        <v>-</v>
      </c>
      <c r="D601" s="2" t="str">
        <f>IFERROR(INDEX(Movimientos!$E$2:$E$1998,MATCH(A601&amp;"ENTRADA",Movimientos!$R$2:$R$1998,0)),"-")</f>
        <v>-</v>
      </c>
      <c r="E601" s="2" t="str">
        <f>IFERROR(INDEX(Movimientos!$F$2:$F$1998,MATCH(A601&amp;"ENTRADA",Movimientos!$R$2:$R$1998,0)),"-")</f>
        <v>-</v>
      </c>
      <c r="F601" s="2" t="str">
        <f>IFERROR(INDEX(Movimientos!$G$2:$G$1998,MATCH(A601&amp;"ENTRADA",Movimientos!$R$2:$R$1998,0)),"-")</f>
        <v>-</v>
      </c>
      <c r="G601" s="2" t="str">
        <f>IFERROR(INDEX(Movimientos!$L$2:$L$1998,MATCH(A601&amp;"ENTRADA",Movimientos!$R$2:$R$1998,0)),"-")</f>
        <v>-</v>
      </c>
      <c r="H601" s="17" t="str">
        <f>IFERROR(IF(INDEX(Movimientos!$M$2:$M$1998,MATCH(A601&amp;"ENTRADA",Movimientos!$R$2:$R$1998,0))=0,"S/D",INDEX(Movimientos!$M$2:$M$1998,MATCH(A601&amp;"ENTRADA",Movimientos!$R$2:$R$1998,0))),"S/D")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 ht="14.25">
      <c r="A602" s="16" t="s">
        <v>2767</v>
      </c>
      <c r="B602" s="2" t="str">
        <f>IFERROR(INDEX(Movimientos!$C$2:$C$1998,MATCH(A602&amp;"ENTRADA",Movimientos!$R$2:$R$1998,0)),"-")</f>
        <v>-</v>
      </c>
      <c r="C602" s="2" t="str">
        <f>IFERROR(INDEX(Movimientos!$D$2:$D$1998,MATCH(A602&amp;"ENTRADA",Movimientos!$R$2:$R$1998,0)),"-")</f>
        <v>-</v>
      </c>
      <c r="D602" s="2" t="str">
        <f>IFERROR(INDEX(Movimientos!$E$2:$E$1998,MATCH(A602&amp;"ENTRADA",Movimientos!$R$2:$R$1998,0)),"-")</f>
        <v>-</v>
      </c>
      <c r="E602" s="2" t="str">
        <f>IFERROR(INDEX(Movimientos!$F$2:$F$1998,MATCH(A602&amp;"ENTRADA",Movimientos!$R$2:$R$1998,0)),"-")</f>
        <v>-</v>
      </c>
      <c r="F602" s="2" t="str">
        <f>IFERROR(INDEX(Movimientos!$G$2:$G$1998,MATCH(A602&amp;"ENTRADA",Movimientos!$R$2:$R$1998,0)),"-")</f>
        <v>-</v>
      </c>
      <c r="G602" s="2" t="str">
        <f>IFERROR(INDEX(Movimientos!$L$2:$L$1998,MATCH(A602&amp;"ENTRADA",Movimientos!$R$2:$R$1998,0)),"-")</f>
        <v>-</v>
      </c>
      <c r="H602" s="17" t="str">
        <f>IFERROR(IF(INDEX(Movimientos!$M$2:$M$1998,MATCH(A602&amp;"ENTRADA",Movimientos!$R$2:$R$1998,0))=0,"S/D",INDEX(Movimientos!$M$2:$M$1998,MATCH(A602&amp;"ENTRADA",Movimientos!$R$2:$R$1998,0))),"S/D")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 ht="14.25">
      <c r="A603" s="16" t="s">
        <v>2768</v>
      </c>
      <c r="B603" s="2" t="str">
        <f>IFERROR(INDEX(Movimientos!$C$2:$C$1998,MATCH(A603&amp;"ENTRADA",Movimientos!$R$2:$R$1998,0)),"-")</f>
        <v>-</v>
      </c>
      <c r="C603" s="2" t="str">
        <f>IFERROR(INDEX(Movimientos!$D$2:$D$1998,MATCH(A603&amp;"ENTRADA",Movimientos!$R$2:$R$1998,0)),"-")</f>
        <v>-</v>
      </c>
      <c r="D603" s="2" t="str">
        <f>IFERROR(INDEX(Movimientos!$E$2:$E$1998,MATCH(A603&amp;"ENTRADA",Movimientos!$R$2:$R$1998,0)),"-")</f>
        <v>-</v>
      </c>
      <c r="E603" s="2" t="str">
        <f>IFERROR(INDEX(Movimientos!$F$2:$F$1998,MATCH(A603&amp;"ENTRADA",Movimientos!$R$2:$R$1998,0)),"-")</f>
        <v>-</v>
      </c>
      <c r="F603" s="2" t="str">
        <f>IFERROR(INDEX(Movimientos!$G$2:$G$1998,MATCH(A603&amp;"ENTRADA",Movimientos!$R$2:$R$1998,0)),"-")</f>
        <v>-</v>
      </c>
      <c r="G603" s="2" t="str">
        <f>IFERROR(INDEX(Movimientos!$L$2:$L$1998,MATCH(A603&amp;"ENTRADA",Movimientos!$R$2:$R$1998,0)),"-")</f>
        <v>-</v>
      </c>
      <c r="H603" s="17" t="str">
        <f>IFERROR(IF(INDEX(Movimientos!$M$2:$M$1998,MATCH(A603&amp;"ENTRADA",Movimientos!$R$2:$R$1998,0))=0,"S/D",INDEX(Movimientos!$M$2:$M$1998,MATCH(A603&amp;"ENTRADA",Movimientos!$R$2:$R$1998,0))),"S/D")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 ht="14.25">
      <c r="A604" s="16" t="s">
        <v>2769</v>
      </c>
      <c r="B604" s="2" t="str">
        <f>IFERROR(INDEX(Movimientos!$C$2:$C$1998,MATCH(A604&amp;"ENTRADA",Movimientos!$R$2:$R$1998,0)),"-")</f>
        <v>-</v>
      </c>
      <c r="C604" s="2" t="str">
        <f>IFERROR(INDEX(Movimientos!$D$2:$D$1998,MATCH(A604&amp;"ENTRADA",Movimientos!$R$2:$R$1998,0)),"-")</f>
        <v>-</v>
      </c>
      <c r="D604" s="2" t="str">
        <f>IFERROR(INDEX(Movimientos!$E$2:$E$1998,MATCH(A604&amp;"ENTRADA",Movimientos!$R$2:$R$1998,0)),"-")</f>
        <v>-</v>
      </c>
      <c r="E604" s="2" t="str">
        <f>IFERROR(INDEX(Movimientos!$F$2:$F$1998,MATCH(A604&amp;"ENTRADA",Movimientos!$R$2:$R$1998,0)),"-")</f>
        <v>-</v>
      </c>
      <c r="F604" s="2" t="str">
        <f>IFERROR(INDEX(Movimientos!$G$2:$G$1998,MATCH(A604&amp;"ENTRADA",Movimientos!$R$2:$R$1998,0)),"-")</f>
        <v>-</v>
      </c>
      <c r="G604" s="2" t="str">
        <f>IFERROR(INDEX(Movimientos!$L$2:$L$1998,MATCH(A604&amp;"ENTRADA",Movimientos!$R$2:$R$1998,0)),"-")</f>
        <v>-</v>
      </c>
      <c r="H604" s="17" t="str">
        <f>IFERROR(IF(INDEX(Movimientos!$M$2:$M$1998,MATCH(A604&amp;"ENTRADA",Movimientos!$R$2:$R$1998,0))=0,"S/D",INDEX(Movimientos!$M$2:$M$1998,MATCH(A604&amp;"ENTRADA",Movimientos!$R$2:$R$1998,0))),"S/D")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 ht="14.25">
      <c r="A605" s="16" t="s">
        <v>2770</v>
      </c>
      <c r="B605" s="2" t="str">
        <f>IFERROR(INDEX(Movimientos!$C$2:$C$1998,MATCH(A605&amp;"ENTRADA",Movimientos!$R$2:$R$1998,0)),"-")</f>
        <v>-</v>
      </c>
      <c r="C605" s="2" t="str">
        <f>IFERROR(INDEX(Movimientos!$D$2:$D$1998,MATCH(A605&amp;"ENTRADA",Movimientos!$R$2:$R$1998,0)),"-")</f>
        <v>-</v>
      </c>
      <c r="D605" s="2" t="str">
        <f>IFERROR(INDEX(Movimientos!$E$2:$E$1998,MATCH(A605&amp;"ENTRADA",Movimientos!$R$2:$R$1998,0)),"-")</f>
        <v>-</v>
      </c>
      <c r="E605" s="2" t="str">
        <f>IFERROR(INDEX(Movimientos!$F$2:$F$1998,MATCH(A605&amp;"ENTRADA",Movimientos!$R$2:$R$1998,0)),"-")</f>
        <v>-</v>
      </c>
      <c r="F605" s="2" t="str">
        <f>IFERROR(INDEX(Movimientos!$G$2:$G$1998,MATCH(A605&amp;"ENTRADA",Movimientos!$R$2:$R$1998,0)),"-")</f>
        <v>-</v>
      </c>
      <c r="G605" s="2" t="str">
        <f>IFERROR(INDEX(Movimientos!$L$2:$L$1998,MATCH(A605&amp;"ENTRADA",Movimientos!$R$2:$R$1998,0)),"-")</f>
        <v>-</v>
      </c>
      <c r="H605" s="17" t="str">
        <f>IFERROR(IF(INDEX(Movimientos!$M$2:$M$1998,MATCH(A605&amp;"ENTRADA",Movimientos!$R$2:$R$1998,0))=0,"S/D",INDEX(Movimientos!$M$2:$M$1998,MATCH(A605&amp;"ENTRADA",Movimientos!$R$2:$R$1998,0))),"S/D")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 ht="14.25">
      <c r="A606" s="16" t="s">
        <v>2771</v>
      </c>
      <c r="B606" s="2" t="str">
        <f>IFERROR(INDEX(Movimientos!$C$2:$C$1998,MATCH(A606&amp;"ENTRADA",Movimientos!$R$2:$R$1998,0)),"-")</f>
        <v>-</v>
      </c>
      <c r="C606" s="2" t="str">
        <f>IFERROR(INDEX(Movimientos!$D$2:$D$1998,MATCH(A606&amp;"ENTRADA",Movimientos!$R$2:$R$1998,0)),"-")</f>
        <v>-</v>
      </c>
      <c r="D606" s="2" t="str">
        <f>IFERROR(INDEX(Movimientos!$E$2:$E$1998,MATCH(A606&amp;"ENTRADA",Movimientos!$R$2:$R$1998,0)),"-")</f>
        <v>-</v>
      </c>
      <c r="E606" s="2" t="str">
        <f>IFERROR(INDEX(Movimientos!$F$2:$F$1998,MATCH(A606&amp;"ENTRADA",Movimientos!$R$2:$R$1998,0)),"-")</f>
        <v>-</v>
      </c>
      <c r="F606" s="2" t="str">
        <f>IFERROR(INDEX(Movimientos!$G$2:$G$1998,MATCH(A606&amp;"ENTRADA",Movimientos!$R$2:$R$1998,0)),"-")</f>
        <v>-</v>
      </c>
      <c r="G606" s="2" t="str">
        <f>IFERROR(INDEX(Movimientos!$L$2:$L$1998,MATCH(A606&amp;"ENTRADA",Movimientos!$R$2:$R$1998,0)),"-")</f>
        <v>-</v>
      </c>
      <c r="H606" s="17" t="str">
        <f>IFERROR(IF(INDEX(Movimientos!$M$2:$M$1998,MATCH(A606&amp;"ENTRADA",Movimientos!$R$2:$R$1998,0))=0,"S/D",INDEX(Movimientos!$M$2:$M$1998,MATCH(A606&amp;"ENTRADA",Movimientos!$R$2:$R$1998,0))),"S/D")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 ht="14.25">
      <c r="A607" s="16" t="s">
        <v>2772</v>
      </c>
      <c r="B607" s="2" t="str">
        <f>IFERROR(INDEX(Movimientos!$C$2:$C$1998,MATCH(A607&amp;"ENTRADA",Movimientos!$R$2:$R$1998,0)),"-")</f>
        <v>-</v>
      </c>
      <c r="C607" s="2" t="str">
        <f>IFERROR(INDEX(Movimientos!$D$2:$D$1998,MATCH(A607&amp;"ENTRADA",Movimientos!$R$2:$R$1998,0)),"-")</f>
        <v>-</v>
      </c>
      <c r="D607" s="2" t="str">
        <f>IFERROR(INDEX(Movimientos!$E$2:$E$1998,MATCH(A607&amp;"ENTRADA",Movimientos!$R$2:$R$1998,0)),"-")</f>
        <v>-</v>
      </c>
      <c r="E607" s="2" t="str">
        <f>IFERROR(INDEX(Movimientos!$F$2:$F$1998,MATCH(A607&amp;"ENTRADA",Movimientos!$R$2:$R$1998,0)),"-")</f>
        <v>-</v>
      </c>
      <c r="F607" s="2" t="str">
        <f>IFERROR(INDEX(Movimientos!$G$2:$G$1998,MATCH(A607&amp;"ENTRADA",Movimientos!$R$2:$R$1998,0)),"-")</f>
        <v>-</v>
      </c>
      <c r="G607" s="2" t="str">
        <f>IFERROR(INDEX(Movimientos!$L$2:$L$1998,MATCH(A607&amp;"ENTRADA",Movimientos!$R$2:$R$1998,0)),"-")</f>
        <v>-</v>
      </c>
      <c r="H607" s="17" t="str">
        <f>IFERROR(IF(INDEX(Movimientos!$M$2:$M$1998,MATCH(A607&amp;"ENTRADA",Movimientos!$R$2:$R$1998,0))=0,"S/D",INDEX(Movimientos!$M$2:$M$1998,MATCH(A607&amp;"ENTRADA",Movimientos!$R$2:$R$1998,0))),"S/D")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 ht="14.25">
      <c r="A608" s="16" t="s">
        <v>2773</v>
      </c>
      <c r="B608" s="2" t="str">
        <f>IFERROR(INDEX(Movimientos!$C$2:$C$1998,MATCH(A608&amp;"ENTRADA",Movimientos!$R$2:$R$1998,0)),"-")</f>
        <v>-</v>
      </c>
      <c r="C608" s="2" t="str">
        <f>IFERROR(INDEX(Movimientos!$D$2:$D$1998,MATCH(A608&amp;"ENTRADA",Movimientos!$R$2:$R$1998,0)),"-")</f>
        <v>-</v>
      </c>
      <c r="D608" s="2" t="str">
        <f>IFERROR(INDEX(Movimientos!$E$2:$E$1998,MATCH(A608&amp;"ENTRADA",Movimientos!$R$2:$R$1998,0)),"-")</f>
        <v>-</v>
      </c>
      <c r="E608" s="2" t="str">
        <f>IFERROR(INDEX(Movimientos!$F$2:$F$1998,MATCH(A608&amp;"ENTRADA",Movimientos!$R$2:$R$1998,0)),"-")</f>
        <v>-</v>
      </c>
      <c r="F608" s="2" t="str">
        <f>IFERROR(INDEX(Movimientos!$G$2:$G$1998,MATCH(A608&amp;"ENTRADA",Movimientos!$R$2:$R$1998,0)),"-")</f>
        <v>-</v>
      </c>
      <c r="G608" s="2" t="str">
        <f>IFERROR(INDEX(Movimientos!$L$2:$L$1998,MATCH(A608&amp;"ENTRADA",Movimientos!$R$2:$R$1998,0)),"-")</f>
        <v>-</v>
      </c>
      <c r="H608" s="17" t="str">
        <f>IFERROR(IF(INDEX(Movimientos!$M$2:$M$1998,MATCH(A608&amp;"ENTRADA",Movimientos!$R$2:$R$1998,0))=0,"S/D",INDEX(Movimientos!$M$2:$M$1998,MATCH(A608&amp;"ENTRADA",Movimientos!$R$2:$R$1998,0))),"S/D")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 ht="14.25">
      <c r="A609" s="16" t="s">
        <v>2774</v>
      </c>
      <c r="B609" s="2" t="str">
        <f>IFERROR(INDEX(Movimientos!$C$2:$C$1998,MATCH(A609&amp;"ENTRADA",Movimientos!$R$2:$R$1998,0)),"-")</f>
        <v>-</v>
      </c>
      <c r="C609" s="2" t="str">
        <f>IFERROR(INDEX(Movimientos!$D$2:$D$1998,MATCH(A609&amp;"ENTRADA",Movimientos!$R$2:$R$1998,0)),"-")</f>
        <v>-</v>
      </c>
      <c r="D609" s="2" t="str">
        <f>IFERROR(INDEX(Movimientos!$E$2:$E$1998,MATCH(A609&amp;"ENTRADA",Movimientos!$R$2:$R$1998,0)),"-")</f>
        <v>-</v>
      </c>
      <c r="E609" s="2" t="str">
        <f>IFERROR(INDEX(Movimientos!$F$2:$F$1998,MATCH(A609&amp;"ENTRADA",Movimientos!$R$2:$R$1998,0)),"-")</f>
        <v>-</v>
      </c>
      <c r="F609" s="2" t="str">
        <f>IFERROR(INDEX(Movimientos!$G$2:$G$1998,MATCH(A609&amp;"ENTRADA",Movimientos!$R$2:$R$1998,0)),"-")</f>
        <v>-</v>
      </c>
      <c r="G609" s="2" t="str">
        <f>IFERROR(INDEX(Movimientos!$L$2:$L$1998,MATCH(A609&amp;"ENTRADA",Movimientos!$R$2:$R$1998,0)),"-")</f>
        <v>-</v>
      </c>
      <c r="H609" s="17" t="str">
        <f>IFERROR(IF(INDEX(Movimientos!$M$2:$M$1998,MATCH(A609&amp;"ENTRADA",Movimientos!$R$2:$R$1998,0))=0,"S/D",INDEX(Movimientos!$M$2:$M$1998,MATCH(A609&amp;"ENTRADA",Movimientos!$R$2:$R$1998,0))),"S/D")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 ht="14.25">
      <c r="A610" s="16" t="s">
        <v>2775</v>
      </c>
      <c r="B610" s="2" t="str">
        <f>IFERROR(INDEX(Movimientos!$C$2:$C$1998,MATCH(A610&amp;"ENTRADA",Movimientos!$R$2:$R$1998,0)),"-")</f>
        <v>-</v>
      </c>
      <c r="C610" s="2" t="str">
        <f>IFERROR(INDEX(Movimientos!$D$2:$D$1998,MATCH(A610&amp;"ENTRADA",Movimientos!$R$2:$R$1998,0)),"-")</f>
        <v>-</v>
      </c>
      <c r="D610" s="2" t="str">
        <f>IFERROR(INDEX(Movimientos!$E$2:$E$1998,MATCH(A610&amp;"ENTRADA",Movimientos!$R$2:$R$1998,0)),"-")</f>
        <v>-</v>
      </c>
      <c r="E610" s="2" t="str">
        <f>IFERROR(INDEX(Movimientos!$F$2:$F$1998,MATCH(A610&amp;"ENTRADA",Movimientos!$R$2:$R$1998,0)),"-")</f>
        <v>-</v>
      </c>
      <c r="F610" s="2" t="str">
        <f>IFERROR(INDEX(Movimientos!$G$2:$G$1998,MATCH(A610&amp;"ENTRADA",Movimientos!$R$2:$R$1998,0)),"-")</f>
        <v>-</v>
      </c>
      <c r="G610" s="2" t="str">
        <f>IFERROR(INDEX(Movimientos!$L$2:$L$1998,MATCH(A610&amp;"ENTRADA",Movimientos!$R$2:$R$1998,0)),"-")</f>
        <v>-</v>
      </c>
      <c r="H610" s="17" t="str">
        <f>IFERROR(IF(INDEX(Movimientos!$M$2:$M$1998,MATCH(A610&amp;"ENTRADA",Movimientos!$R$2:$R$1998,0))=0,"S/D",INDEX(Movimientos!$M$2:$M$1998,MATCH(A610&amp;"ENTRADA",Movimientos!$R$2:$R$1998,0))),"S/D")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 ht="14.25">
      <c r="A611" s="16" t="s">
        <v>2776</v>
      </c>
      <c r="B611" s="2" t="str">
        <f>IFERROR(INDEX(Movimientos!$C$2:$C$1998,MATCH(A611&amp;"ENTRADA",Movimientos!$R$2:$R$1998,0)),"-")</f>
        <v>-</v>
      </c>
      <c r="C611" s="2" t="str">
        <f>IFERROR(INDEX(Movimientos!$D$2:$D$1998,MATCH(A611&amp;"ENTRADA",Movimientos!$R$2:$R$1998,0)),"-")</f>
        <v>-</v>
      </c>
      <c r="D611" s="2" t="str">
        <f>IFERROR(INDEX(Movimientos!$E$2:$E$1998,MATCH(A611&amp;"ENTRADA",Movimientos!$R$2:$R$1998,0)),"-")</f>
        <v>-</v>
      </c>
      <c r="E611" s="2" t="str">
        <f>IFERROR(INDEX(Movimientos!$F$2:$F$1998,MATCH(A611&amp;"ENTRADA",Movimientos!$R$2:$R$1998,0)),"-")</f>
        <v>-</v>
      </c>
      <c r="F611" s="2" t="str">
        <f>IFERROR(INDEX(Movimientos!$G$2:$G$1998,MATCH(A611&amp;"ENTRADA",Movimientos!$R$2:$R$1998,0)),"-")</f>
        <v>-</v>
      </c>
      <c r="G611" s="2" t="str">
        <f>IFERROR(INDEX(Movimientos!$L$2:$L$1998,MATCH(A611&amp;"ENTRADA",Movimientos!$R$2:$R$1998,0)),"-")</f>
        <v>-</v>
      </c>
      <c r="H611" s="17" t="str">
        <f>IFERROR(IF(INDEX(Movimientos!$M$2:$M$1998,MATCH(A611&amp;"ENTRADA",Movimientos!$R$2:$R$1998,0))=0,"S/D",INDEX(Movimientos!$M$2:$M$1998,MATCH(A611&amp;"ENTRADA",Movimientos!$R$2:$R$1998,0))),"S/D")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 ht="14.25">
      <c r="A612" s="16" t="s">
        <v>2777</v>
      </c>
      <c r="B612" s="2" t="str">
        <f>IFERROR(INDEX(Movimientos!$C$2:$C$1998,MATCH(A612&amp;"ENTRADA",Movimientos!$R$2:$R$1998,0)),"-")</f>
        <v>-</v>
      </c>
      <c r="C612" s="2" t="str">
        <f>IFERROR(INDEX(Movimientos!$D$2:$D$1998,MATCH(A612&amp;"ENTRADA",Movimientos!$R$2:$R$1998,0)),"-")</f>
        <v>-</v>
      </c>
      <c r="D612" s="2" t="str">
        <f>IFERROR(INDEX(Movimientos!$E$2:$E$1998,MATCH(A612&amp;"ENTRADA",Movimientos!$R$2:$R$1998,0)),"-")</f>
        <v>-</v>
      </c>
      <c r="E612" s="2" t="str">
        <f>IFERROR(INDEX(Movimientos!$F$2:$F$1998,MATCH(A612&amp;"ENTRADA",Movimientos!$R$2:$R$1998,0)),"-")</f>
        <v>-</v>
      </c>
      <c r="F612" s="2" t="str">
        <f>IFERROR(INDEX(Movimientos!$G$2:$G$1998,MATCH(A612&amp;"ENTRADA",Movimientos!$R$2:$R$1998,0)),"-")</f>
        <v>-</v>
      </c>
      <c r="G612" s="2" t="str">
        <f>IFERROR(INDEX(Movimientos!$L$2:$L$1998,MATCH(A612&amp;"ENTRADA",Movimientos!$R$2:$R$1998,0)),"-")</f>
        <v>-</v>
      </c>
      <c r="H612" s="17" t="str">
        <f>IFERROR(IF(INDEX(Movimientos!$M$2:$M$1998,MATCH(A612&amp;"ENTRADA",Movimientos!$R$2:$R$1998,0))=0,"S/D",INDEX(Movimientos!$M$2:$M$1998,MATCH(A612&amp;"ENTRADA",Movimientos!$R$2:$R$1998,0))),"S/D")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 ht="14.25">
      <c r="A613" s="16" t="s">
        <v>2778</v>
      </c>
      <c r="B613" s="2" t="str">
        <f>IFERROR(INDEX(Movimientos!$C$2:$C$1998,MATCH(A613&amp;"ENTRADA",Movimientos!$R$2:$R$1998,0)),"-")</f>
        <v>-</v>
      </c>
      <c r="C613" s="2" t="str">
        <f>IFERROR(INDEX(Movimientos!$D$2:$D$1998,MATCH(A613&amp;"ENTRADA",Movimientos!$R$2:$R$1998,0)),"-")</f>
        <v>-</v>
      </c>
      <c r="D613" s="2" t="str">
        <f>IFERROR(INDEX(Movimientos!$E$2:$E$1998,MATCH(A613&amp;"ENTRADA",Movimientos!$R$2:$R$1998,0)),"-")</f>
        <v>-</v>
      </c>
      <c r="E613" s="2" t="str">
        <f>IFERROR(INDEX(Movimientos!$F$2:$F$1998,MATCH(A613&amp;"ENTRADA",Movimientos!$R$2:$R$1998,0)),"-")</f>
        <v>-</v>
      </c>
      <c r="F613" s="2" t="str">
        <f>IFERROR(INDEX(Movimientos!$G$2:$G$1998,MATCH(A613&amp;"ENTRADA",Movimientos!$R$2:$R$1998,0)),"-")</f>
        <v>-</v>
      </c>
      <c r="G613" s="2" t="str">
        <f>IFERROR(INDEX(Movimientos!$L$2:$L$1998,MATCH(A613&amp;"ENTRADA",Movimientos!$R$2:$R$1998,0)),"-")</f>
        <v>-</v>
      </c>
      <c r="H613" s="17" t="str">
        <f>IFERROR(IF(INDEX(Movimientos!$M$2:$M$1998,MATCH(A613&amp;"ENTRADA",Movimientos!$R$2:$R$1998,0))=0,"S/D",INDEX(Movimientos!$M$2:$M$1998,MATCH(A613&amp;"ENTRADA",Movimientos!$R$2:$R$1998,0))),"S/D")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 ht="14.25">
      <c r="A614" s="16" t="s">
        <v>2779</v>
      </c>
      <c r="B614" s="2" t="str">
        <f>IFERROR(INDEX(Movimientos!$C$2:$C$1998,MATCH(A614&amp;"ENTRADA",Movimientos!$R$2:$R$1998,0)),"-")</f>
        <v>-</v>
      </c>
      <c r="C614" s="2" t="str">
        <f>IFERROR(INDEX(Movimientos!$D$2:$D$1998,MATCH(A614&amp;"ENTRADA",Movimientos!$R$2:$R$1998,0)),"-")</f>
        <v>-</v>
      </c>
      <c r="D614" s="2" t="str">
        <f>IFERROR(INDEX(Movimientos!$E$2:$E$1998,MATCH(A614&amp;"ENTRADA",Movimientos!$R$2:$R$1998,0)),"-")</f>
        <v>-</v>
      </c>
      <c r="E614" s="2" t="str">
        <f>IFERROR(INDEX(Movimientos!$F$2:$F$1998,MATCH(A614&amp;"ENTRADA",Movimientos!$R$2:$R$1998,0)),"-")</f>
        <v>-</v>
      </c>
      <c r="F614" s="2" t="str">
        <f>IFERROR(INDEX(Movimientos!$G$2:$G$1998,MATCH(A614&amp;"ENTRADA",Movimientos!$R$2:$R$1998,0)),"-")</f>
        <v>-</v>
      </c>
      <c r="G614" s="2" t="str">
        <f>IFERROR(INDEX(Movimientos!$L$2:$L$1998,MATCH(A614&amp;"ENTRADA",Movimientos!$R$2:$R$1998,0)),"-")</f>
        <v>-</v>
      </c>
      <c r="H614" s="17" t="str">
        <f>IFERROR(IF(INDEX(Movimientos!$M$2:$M$1998,MATCH(A614&amp;"ENTRADA",Movimientos!$R$2:$R$1998,0))=0,"S/D",INDEX(Movimientos!$M$2:$M$1998,MATCH(A614&amp;"ENTRADA",Movimientos!$R$2:$R$1998,0))),"S/D")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 ht="14.25">
      <c r="A615" s="16" t="s">
        <v>2780</v>
      </c>
      <c r="B615" s="2" t="str">
        <f>IFERROR(INDEX(Movimientos!$C$2:$C$1998,MATCH(A615&amp;"ENTRADA",Movimientos!$R$2:$R$1998,0)),"-")</f>
        <v>-</v>
      </c>
      <c r="C615" s="2" t="str">
        <f>IFERROR(INDEX(Movimientos!$D$2:$D$1998,MATCH(A615&amp;"ENTRADA",Movimientos!$R$2:$R$1998,0)),"-")</f>
        <v>-</v>
      </c>
      <c r="D615" s="2" t="str">
        <f>IFERROR(INDEX(Movimientos!$E$2:$E$1998,MATCH(A615&amp;"ENTRADA",Movimientos!$R$2:$R$1998,0)),"-")</f>
        <v>-</v>
      </c>
      <c r="E615" s="2" t="str">
        <f>IFERROR(INDEX(Movimientos!$F$2:$F$1998,MATCH(A615&amp;"ENTRADA",Movimientos!$R$2:$R$1998,0)),"-")</f>
        <v>-</v>
      </c>
      <c r="F615" s="2" t="str">
        <f>IFERROR(INDEX(Movimientos!$G$2:$G$1998,MATCH(A615&amp;"ENTRADA",Movimientos!$R$2:$R$1998,0)),"-")</f>
        <v>-</v>
      </c>
      <c r="G615" s="2" t="str">
        <f>IFERROR(INDEX(Movimientos!$L$2:$L$1998,MATCH(A615&amp;"ENTRADA",Movimientos!$R$2:$R$1998,0)),"-")</f>
        <v>-</v>
      </c>
      <c r="H615" s="17" t="str">
        <f>IFERROR(IF(INDEX(Movimientos!$M$2:$M$1998,MATCH(A615&amp;"ENTRADA",Movimientos!$R$2:$R$1998,0))=0,"S/D",INDEX(Movimientos!$M$2:$M$1998,MATCH(A615&amp;"ENTRADA",Movimientos!$R$2:$R$1998,0))),"S/D")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 ht="14.25">
      <c r="A616" s="16" t="s">
        <v>2781</v>
      </c>
      <c r="B616" s="2" t="str">
        <f>IFERROR(INDEX(Movimientos!$C$2:$C$1998,MATCH(A616&amp;"ENTRADA",Movimientos!$R$2:$R$1998,0)),"-")</f>
        <v>-</v>
      </c>
      <c r="C616" s="2" t="str">
        <f>IFERROR(INDEX(Movimientos!$D$2:$D$1998,MATCH(A616&amp;"ENTRADA",Movimientos!$R$2:$R$1998,0)),"-")</f>
        <v>-</v>
      </c>
      <c r="D616" s="2" t="str">
        <f>IFERROR(INDEX(Movimientos!$E$2:$E$1998,MATCH(A616&amp;"ENTRADA",Movimientos!$R$2:$R$1998,0)),"-")</f>
        <v>-</v>
      </c>
      <c r="E616" s="2" t="str">
        <f>IFERROR(INDEX(Movimientos!$F$2:$F$1998,MATCH(A616&amp;"ENTRADA",Movimientos!$R$2:$R$1998,0)),"-")</f>
        <v>-</v>
      </c>
      <c r="F616" s="2" t="str">
        <f>IFERROR(INDEX(Movimientos!$G$2:$G$1998,MATCH(A616&amp;"ENTRADA",Movimientos!$R$2:$R$1998,0)),"-")</f>
        <v>-</v>
      </c>
      <c r="G616" s="2" t="str">
        <f>IFERROR(INDEX(Movimientos!$L$2:$L$1998,MATCH(A616&amp;"ENTRADA",Movimientos!$R$2:$R$1998,0)),"-")</f>
        <v>-</v>
      </c>
      <c r="H616" s="17" t="str">
        <f>IFERROR(IF(INDEX(Movimientos!$M$2:$M$1998,MATCH(A616&amp;"ENTRADA",Movimientos!$R$2:$R$1998,0))=0,"S/D",INDEX(Movimientos!$M$2:$M$1998,MATCH(A616&amp;"ENTRADA",Movimientos!$R$2:$R$1998,0))),"S/D")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 ht="14.25">
      <c r="A617" s="16" t="s">
        <v>2782</v>
      </c>
      <c r="B617" s="2" t="str">
        <f>IFERROR(INDEX(Movimientos!$C$2:$C$1998,MATCH(A617&amp;"ENTRADA",Movimientos!$R$2:$R$1998,0)),"-")</f>
        <v>-</v>
      </c>
      <c r="C617" s="2" t="str">
        <f>IFERROR(INDEX(Movimientos!$D$2:$D$1998,MATCH(A617&amp;"ENTRADA",Movimientos!$R$2:$R$1998,0)),"-")</f>
        <v>-</v>
      </c>
      <c r="D617" s="2" t="str">
        <f>IFERROR(INDEX(Movimientos!$E$2:$E$1998,MATCH(A617&amp;"ENTRADA",Movimientos!$R$2:$R$1998,0)),"-")</f>
        <v>-</v>
      </c>
      <c r="E617" s="2" t="str">
        <f>IFERROR(INDEX(Movimientos!$F$2:$F$1998,MATCH(A617&amp;"ENTRADA",Movimientos!$R$2:$R$1998,0)),"-")</f>
        <v>-</v>
      </c>
      <c r="F617" s="2" t="str">
        <f>IFERROR(INDEX(Movimientos!$G$2:$G$1998,MATCH(A617&amp;"ENTRADA",Movimientos!$R$2:$R$1998,0)),"-")</f>
        <v>-</v>
      </c>
      <c r="G617" s="2" t="str">
        <f>IFERROR(INDEX(Movimientos!$L$2:$L$1998,MATCH(A617&amp;"ENTRADA",Movimientos!$R$2:$R$1998,0)),"-")</f>
        <v>-</v>
      </c>
      <c r="H617" s="17" t="str">
        <f>IFERROR(IF(INDEX(Movimientos!$M$2:$M$1998,MATCH(A617&amp;"ENTRADA",Movimientos!$R$2:$R$1998,0))=0,"S/D",INDEX(Movimientos!$M$2:$M$1998,MATCH(A617&amp;"ENTRADA",Movimientos!$R$2:$R$1998,0))),"S/D")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 ht="14.25">
      <c r="A618" s="16" t="s">
        <v>2783</v>
      </c>
      <c r="B618" s="2" t="str">
        <f>IFERROR(INDEX(Movimientos!$C$2:$C$1998,MATCH(A618&amp;"ENTRADA",Movimientos!$R$2:$R$1998,0)),"-")</f>
        <v>-</v>
      </c>
      <c r="C618" s="2" t="str">
        <f>IFERROR(INDEX(Movimientos!$D$2:$D$1998,MATCH(A618&amp;"ENTRADA",Movimientos!$R$2:$R$1998,0)),"-")</f>
        <v>-</v>
      </c>
      <c r="D618" s="2" t="str">
        <f>IFERROR(INDEX(Movimientos!$E$2:$E$1998,MATCH(A618&amp;"ENTRADA",Movimientos!$R$2:$R$1998,0)),"-")</f>
        <v>-</v>
      </c>
      <c r="E618" s="2" t="str">
        <f>IFERROR(INDEX(Movimientos!$F$2:$F$1998,MATCH(A618&amp;"ENTRADA",Movimientos!$R$2:$R$1998,0)),"-")</f>
        <v>-</v>
      </c>
      <c r="F618" s="2" t="str">
        <f>IFERROR(INDEX(Movimientos!$G$2:$G$1998,MATCH(A618&amp;"ENTRADA",Movimientos!$R$2:$R$1998,0)),"-")</f>
        <v>-</v>
      </c>
      <c r="G618" s="2" t="str">
        <f>IFERROR(INDEX(Movimientos!$L$2:$L$1998,MATCH(A618&amp;"ENTRADA",Movimientos!$R$2:$R$1998,0)),"-")</f>
        <v>-</v>
      </c>
      <c r="H618" s="17" t="str">
        <f>IFERROR(IF(INDEX(Movimientos!$M$2:$M$1998,MATCH(A618&amp;"ENTRADA",Movimientos!$R$2:$R$1998,0))=0,"S/D",INDEX(Movimientos!$M$2:$M$1998,MATCH(A618&amp;"ENTRADA",Movimientos!$R$2:$R$1998,0))),"S/D")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 ht="14.25">
      <c r="A619" s="16" t="s">
        <v>2784</v>
      </c>
      <c r="B619" s="2" t="str">
        <f>IFERROR(INDEX(Movimientos!$C$2:$C$1998,MATCH(A619&amp;"ENTRADA",Movimientos!$R$2:$R$1998,0)),"-")</f>
        <v>-</v>
      </c>
      <c r="C619" s="2" t="str">
        <f>IFERROR(INDEX(Movimientos!$D$2:$D$1998,MATCH(A619&amp;"ENTRADA",Movimientos!$R$2:$R$1998,0)),"-")</f>
        <v>-</v>
      </c>
      <c r="D619" s="2" t="str">
        <f>IFERROR(INDEX(Movimientos!$E$2:$E$1998,MATCH(A619&amp;"ENTRADA",Movimientos!$R$2:$R$1998,0)),"-")</f>
        <v>-</v>
      </c>
      <c r="E619" s="2" t="str">
        <f>IFERROR(INDEX(Movimientos!$F$2:$F$1998,MATCH(A619&amp;"ENTRADA",Movimientos!$R$2:$R$1998,0)),"-")</f>
        <v>-</v>
      </c>
      <c r="F619" s="2" t="str">
        <f>IFERROR(INDEX(Movimientos!$G$2:$G$1998,MATCH(A619&amp;"ENTRADA",Movimientos!$R$2:$R$1998,0)),"-")</f>
        <v>-</v>
      </c>
      <c r="G619" s="2" t="str">
        <f>IFERROR(INDEX(Movimientos!$L$2:$L$1998,MATCH(A619&amp;"ENTRADA",Movimientos!$R$2:$R$1998,0)),"-")</f>
        <v>-</v>
      </c>
      <c r="H619" s="17" t="str">
        <f>IFERROR(IF(INDEX(Movimientos!$M$2:$M$1998,MATCH(A619&amp;"ENTRADA",Movimientos!$R$2:$R$1998,0))=0,"S/D",INDEX(Movimientos!$M$2:$M$1998,MATCH(A619&amp;"ENTRADA",Movimientos!$R$2:$R$1998,0))),"S/D")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 ht="14.25">
      <c r="A620" s="16" t="s">
        <v>2785</v>
      </c>
      <c r="B620" s="2" t="str">
        <f>IFERROR(INDEX(Movimientos!$C$2:$C$1998,MATCH(A620&amp;"ENTRADA",Movimientos!$R$2:$R$1998,0)),"-")</f>
        <v>-</v>
      </c>
      <c r="C620" s="2" t="str">
        <f>IFERROR(INDEX(Movimientos!$D$2:$D$1998,MATCH(A620&amp;"ENTRADA",Movimientos!$R$2:$R$1998,0)),"-")</f>
        <v>-</v>
      </c>
      <c r="D620" s="2" t="str">
        <f>IFERROR(INDEX(Movimientos!$E$2:$E$1998,MATCH(A620&amp;"ENTRADA",Movimientos!$R$2:$R$1998,0)),"-")</f>
        <v>-</v>
      </c>
      <c r="E620" s="2" t="str">
        <f>IFERROR(INDEX(Movimientos!$F$2:$F$1998,MATCH(A620&amp;"ENTRADA",Movimientos!$R$2:$R$1998,0)),"-")</f>
        <v>-</v>
      </c>
      <c r="F620" s="2" t="str">
        <f>IFERROR(INDEX(Movimientos!$G$2:$G$1998,MATCH(A620&amp;"ENTRADA",Movimientos!$R$2:$R$1998,0)),"-")</f>
        <v>-</v>
      </c>
      <c r="G620" s="2" t="str">
        <f>IFERROR(INDEX(Movimientos!$L$2:$L$1998,MATCH(A620&amp;"ENTRADA",Movimientos!$R$2:$R$1998,0)),"-")</f>
        <v>-</v>
      </c>
      <c r="H620" s="17" t="str">
        <f>IFERROR(IF(INDEX(Movimientos!$M$2:$M$1998,MATCH(A620&amp;"ENTRADA",Movimientos!$R$2:$R$1998,0))=0,"S/D",INDEX(Movimientos!$M$2:$M$1998,MATCH(A620&amp;"ENTRADA",Movimientos!$R$2:$R$1998,0))),"S/D")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 ht="14.25">
      <c r="A621" s="16" t="s">
        <v>2786</v>
      </c>
      <c r="B621" s="2" t="str">
        <f>IFERROR(INDEX(Movimientos!$C$2:$C$1998,MATCH(A621&amp;"ENTRADA",Movimientos!$R$2:$R$1998,0)),"-")</f>
        <v>-</v>
      </c>
      <c r="C621" s="2" t="str">
        <f>IFERROR(INDEX(Movimientos!$D$2:$D$1998,MATCH(A621&amp;"ENTRADA",Movimientos!$R$2:$R$1998,0)),"-")</f>
        <v>-</v>
      </c>
      <c r="D621" s="2" t="str">
        <f>IFERROR(INDEX(Movimientos!$E$2:$E$1998,MATCH(A621&amp;"ENTRADA",Movimientos!$R$2:$R$1998,0)),"-")</f>
        <v>-</v>
      </c>
      <c r="E621" s="2" t="str">
        <f>IFERROR(INDEX(Movimientos!$F$2:$F$1998,MATCH(A621&amp;"ENTRADA",Movimientos!$R$2:$R$1998,0)),"-")</f>
        <v>-</v>
      </c>
      <c r="F621" s="2" t="str">
        <f>IFERROR(INDEX(Movimientos!$G$2:$G$1998,MATCH(A621&amp;"ENTRADA",Movimientos!$R$2:$R$1998,0)),"-")</f>
        <v>-</v>
      </c>
      <c r="G621" s="2" t="str">
        <f>IFERROR(INDEX(Movimientos!$L$2:$L$1998,MATCH(A621&amp;"ENTRADA",Movimientos!$R$2:$R$1998,0)),"-")</f>
        <v>-</v>
      </c>
      <c r="H621" s="17" t="str">
        <f>IFERROR(IF(INDEX(Movimientos!$M$2:$M$1998,MATCH(A621&amp;"ENTRADA",Movimientos!$R$2:$R$1998,0))=0,"S/D",INDEX(Movimientos!$M$2:$M$1998,MATCH(A621&amp;"ENTRADA",Movimientos!$R$2:$R$1998,0))),"S/D")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 ht="14.25">
      <c r="A622" s="16" t="s">
        <v>2787</v>
      </c>
      <c r="B622" s="2" t="str">
        <f>IFERROR(INDEX(Movimientos!$C$2:$C$1998,MATCH(A622&amp;"ENTRADA",Movimientos!$R$2:$R$1998,0)),"-")</f>
        <v>-</v>
      </c>
      <c r="C622" s="2" t="str">
        <f>IFERROR(INDEX(Movimientos!$D$2:$D$1998,MATCH(A622&amp;"ENTRADA",Movimientos!$R$2:$R$1998,0)),"-")</f>
        <v>-</v>
      </c>
      <c r="D622" s="2" t="str">
        <f>IFERROR(INDEX(Movimientos!$E$2:$E$1998,MATCH(A622&amp;"ENTRADA",Movimientos!$R$2:$R$1998,0)),"-")</f>
        <v>-</v>
      </c>
      <c r="E622" s="2" t="str">
        <f>IFERROR(INDEX(Movimientos!$F$2:$F$1998,MATCH(A622&amp;"ENTRADA",Movimientos!$R$2:$R$1998,0)),"-")</f>
        <v>-</v>
      </c>
      <c r="F622" s="2" t="str">
        <f>IFERROR(INDEX(Movimientos!$G$2:$G$1998,MATCH(A622&amp;"ENTRADA",Movimientos!$R$2:$R$1998,0)),"-")</f>
        <v>-</v>
      </c>
      <c r="G622" s="2" t="str">
        <f>IFERROR(INDEX(Movimientos!$L$2:$L$1998,MATCH(A622&amp;"ENTRADA",Movimientos!$R$2:$R$1998,0)),"-")</f>
        <v>-</v>
      </c>
      <c r="H622" s="17" t="str">
        <f>IFERROR(IF(INDEX(Movimientos!$M$2:$M$1998,MATCH(A622&amp;"ENTRADA",Movimientos!$R$2:$R$1998,0))=0,"S/D",INDEX(Movimientos!$M$2:$M$1998,MATCH(A622&amp;"ENTRADA",Movimientos!$R$2:$R$1998,0))),"S/D")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 ht="14.25">
      <c r="A623" s="16" t="s">
        <v>2788</v>
      </c>
      <c r="B623" s="2" t="str">
        <f>IFERROR(INDEX(Movimientos!$C$2:$C$1998,MATCH(A623&amp;"ENTRADA",Movimientos!$R$2:$R$1998,0)),"-")</f>
        <v>-</v>
      </c>
      <c r="C623" s="2" t="str">
        <f>IFERROR(INDEX(Movimientos!$D$2:$D$1998,MATCH(A623&amp;"ENTRADA",Movimientos!$R$2:$R$1998,0)),"-")</f>
        <v>-</v>
      </c>
      <c r="D623" s="2" t="str">
        <f>IFERROR(INDEX(Movimientos!$E$2:$E$1998,MATCH(A623&amp;"ENTRADA",Movimientos!$R$2:$R$1998,0)),"-")</f>
        <v>-</v>
      </c>
      <c r="E623" s="2" t="str">
        <f>IFERROR(INDEX(Movimientos!$F$2:$F$1998,MATCH(A623&amp;"ENTRADA",Movimientos!$R$2:$R$1998,0)),"-")</f>
        <v>-</v>
      </c>
      <c r="F623" s="2" t="str">
        <f>IFERROR(INDEX(Movimientos!$G$2:$G$1998,MATCH(A623&amp;"ENTRADA",Movimientos!$R$2:$R$1998,0)),"-")</f>
        <v>-</v>
      </c>
      <c r="G623" s="2" t="str">
        <f>IFERROR(INDEX(Movimientos!$L$2:$L$1998,MATCH(A623&amp;"ENTRADA",Movimientos!$R$2:$R$1998,0)),"-")</f>
        <v>-</v>
      </c>
      <c r="H623" s="17" t="str">
        <f>IFERROR(IF(INDEX(Movimientos!$M$2:$M$1998,MATCH(A623&amp;"ENTRADA",Movimientos!$R$2:$R$1998,0))=0,"S/D",INDEX(Movimientos!$M$2:$M$1998,MATCH(A623&amp;"ENTRADA",Movimientos!$R$2:$R$1998,0))),"S/D")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 ht="14.25">
      <c r="A624" s="16" t="s">
        <v>2789</v>
      </c>
      <c r="B624" s="2" t="str">
        <f>IFERROR(INDEX(Movimientos!$C$2:$C$1998,MATCH(A624&amp;"ENTRADA",Movimientos!$R$2:$R$1998,0)),"-")</f>
        <v>-</v>
      </c>
      <c r="C624" s="2" t="str">
        <f>IFERROR(INDEX(Movimientos!$D$2:$D$1998,MATCH(A624&amp;"ENTRADA",Movimientos!$R$2:$R$1998,0)),"-")</f>
        <v>-</v>
      </c>
      <c r="D624" s="2" t="str">
        <f>IFERROR(INDEX(Movimientos!$E$2:$E$1998,MATCH(A624&amp;"ENTRADA",Movimientos!$R$2:$R$1998,0)),"-")</f>
        <v>-</v>
      </c>
      <c r="E624" s="2" t="str">
        <f>IFERROR(INDEX(Movimientos!$F$2:$F$1998,MATCH(A624&amp;"ENTRADA",Movimientos!$R$2:$R$1998,0)),"-")</f>
        <v>-</v>
      </c>
      <c r="F624" s="2" t="str">
        <f>IFERROR(INDEX(Movimientos!$G$2:$G$1998,MATCH(A624&amp;"ENTRADA",Movimientos!$R$2:$R$1998,0)),"-")</f>
        <v>-</v>
      </c>
      <c r="G624" s="2" t="str">
        <f>IFERROR(INDEX(Movimientos!$L$2:$L$1998,MATCH(A624&amp;"ENTRADA",Movimientos!$R$2:$R$1998,0)),"-")</f>
        <v>-</v>
      </c>
      <c r="H624" s="17" t="str">
        <f>IFERROR(IF(INDEX(Movimientos!$M$2:$M$1998,MATCH(A624&amp;"ENTRADA",Movimientos!$R$2:$R$1998,0))=0,"S/D",INDEX(Movimientos!$M$2:$M$1998,MATCH(A624&amp;"ENTRADA",Movimientos!$R$2:$R$1998,0))),"S/D")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 ht="14.25">
      <c r="A625" s="16" t="s">
        <v>2790</v>
      </c>
      <c r="B625" s="2" t="str">
        <f>IFERROR(INDEX(Movimientos!$C$2:$C$1998,MATCH(A625&amp;"ENTRADA",Movimientos!$R$2:$R$1998,0)),"-")</f>
        <v>-</v>
      </c>
      <c r="C625" s="2" t="str">
        <f>IFERROR(INDEX(Movimientos!$D$2:$D$1998,MATCH(A625&amp;"ENTRADA",Movimientos!$R$2:$R$1998,0)),"-")</f>
        <v>-</v>
      </c>
      <c r="D625" s="2" t="str">
        <f>IFERROR(INDEX(Movimientos!$E$2:$E$1998,MATCH(A625&amp;"ENTRADA",Movimientos!$R$2:$R$1998,0)),"-")</f>
        <v>-</v>
      </c>
      <c r="E625" s="2" t="str">
        <f>IFERROR(INDEX(Movimientos!$F$2:$F$1998,MATCH(A625&amp;"ENTRADA",Movimientos!$R$2:$R$1998,0)),"-")</f>
        <v>-</v>
      </c>
      <c r="F625" s="2" t="str">
        <f>IFERROR(INDEX(Movimientos!$G$2:$G$1998,MATCH(A625&amp;"ENTRADA",Movimientos!$R$2:$R$1998,0)),"-")</f>
        <v>-</v>
      </c>
      <c r="G625" s="2" t="str">
        <f>IFERROR(INDEX(Movimientos!$L$2:$L$1998,MATCH(A625&amp;"ENTRADA",Movimientos!$R$2:$R$1998,0)),"-")</f>
        <v>-</v>
      </c>
      <c r="H625" s="17" t="str">
        <f>IFERROR(IF(INDEX(Movimientos!$M$2:$M$1998,MATCH(A625&amp;"ENTRADA",Movimientos!$R$2:$R$1998,0))=0,"S/D",INDEX(Movimientos!$M$2:$M$1998,MATCH(A625&amp;"ENTRADA",Movimientos!$R$2:$R$1998,0))),"S/D")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 ht="14.25">
      <c r="A626" s="16" t="s">
        <v>2791</v>
      </c>
      <c r="B626" s="2" t="str">
        <f>IFERROR(INDEX(Movimientos!$C$2:$C$1998,MATCH(A626&amp;"ENTRADA",Movimientos!$R$2:$R$1998,0)),"-")</f>
        <v>-</v>
      </c>
      <c r="C626" s="2" t="str">
        <f>IFERROR(INDEX(Movimientos!$D$2:$D$1998,MATCH(A626&amp;"ENTRADA",Movimientos!$R$2:$R$1998,0)),"-")</f>
        <v>-</v>
      </c>
      <c r="D626" s="2" t="str">
        <f>IFERROR(INDEX(Movimientos!$E$2:$E$1998,MATCH(A626&amp;"ENTRADA",Movimientos!$R$2:$R$1998,0)),"-")</f>
        <v>-</v>
      </c>
      <c r="E626" s="2" t="str">
        <f>IFERROR(INDEX(Movimientos!$F$2:$F$1998,MATCH(A626&amp;"ENTRADA",Movimientos!$R$2:$R$1998,0)),"-")</f>
        <v>-</v>
      </c>
      <c r="F626" s="2" t="str">
        <f>IFERROR(INDEX(Movimientos!$G$2:$G$1998,MATCH(A626&amp;"ENTRADA",Movimientos!$R$2:$R$1998,0)),"-")</f>
        <v>-</v>
      </c>
      <c r="G626" s="2" t="str">
        <f>IFERROR(INDEX(Movimientos!$L$2:$L$1998,MATCH(A626&amp;"ENTRADA",Movimientos!$R$2:$R$1998,0)),"-")</f>
        <v>-</v>
      </c>
      <c r="H626" s="17" t="str">
        <f>IFERROR(IF(INDEX(Movimientos!$M$2:$M$1998,MATCH(A626&amp;"ENTRADA",Movimientos!$R$2:$R$1998,0))=0,"S/D",INDEX(Movimientos!$M$2:$M$1998,MATCH(A626&amp;"ENTRADA",Movimientos!$R$2:$R$1998,0))),"S/D")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 ht="14.25">
      <c r="A627" s="16" t="s">
        <v>2792</v>
      </c>
      <c r="B627" s="2" t="str">
        <f>IFERROR(INDEX(Movimientos!$C$2:$C$1998,MATCH(A627&amp;"ENTRADA",Movimientos!$R$2:$R$1998,0)),"-")</f>
        <v>-</v>
      </c>
      <c r="C627" s="2" t="str">
        <f>IFERROR(INDEX(Movimientos!$D$2:$D$1998,MATCH(A627&amp;"ENTRADA",Movimientos!$R$2:$R$1998,0)),"-")</f>
        <v>-</v>
      </c>
      <c r="D627" s="2" t="str">
        <f>IFERROR(INDEX(Movimientos!$E$2:$E$1998,MATCH(A627&amp;"ENTRADA",Movimientos!$R$2:$R$1998,0)),"-")</f>
        <v>-</v>
      </c>
      <c r="E627" s="2" t="str">
        <f>IFERROR(INDEX(Movimientos!$F$2:$F$1998,MATCH(A627&amp;"ENTRADA",Movimientos!$R$2:$R$1998,0)),"-")</f>
        <v>-</v>
      </c>
      <c r="F627" s="2" t="str">
        <f>IFERROR(INDEX(Movimientos!$G$2:$G$1998,MATCH(A627&amp;"ENTRADA",Movimientos!$R$2:$R$1998,0)),"-")</f>
        <v>-</v>
      </c>
      <c r="G627" s="2" t="str">
        <f>IFERROR(INDEX(Movimientos!$L$2:$L$1998,MATCH(A627&amp;"ENTRADA",Movimientos!$R$2:$R$1998,0)),"-")</f>
        <v>-</v>
      </c>
      <c r="H627" s="17" t="str">
        <f>IFERROR(IF(INDEX(Movimientos!$M$2:$M$1998,MATCH(A627&amp;"ENTRADA",Movimientos!$R$2:$R$1998,0))=0,"S/D",INDEX(Movimientos!$M$2:$M$1998,MATCH(A627&amp;"ENTRADA",Movimientos!$R$2:$R$1998,0))),"S/D")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 ht="14.25">
      <c r="A628" s="16" t="s">
        <v>2793</v>
      </c>
      <c r="B628" s="2" t="str">
        <f>IFERROR(INDEX(Movimientos!$C$2:$C$1998,MATCH(A628&amp;"ENTRADA",Movimientos!$R$2:$R$1998,0)),"-")</f>
        <v>-</v>
      </c>
      <c r="C628" s="2" t="str">
        <f>IFERROR(INDEX(Movimientos!$D$2:$D$1998,MATCH(A628&amp;"ENTRADA",Movimientos!$R$2:$R$1998,0)),"-")</f>
        <v>-</v>
      </c>
      <c r="D628" s="2" t="str">
        <f>IFERROR(INDEX(Movimientos!$E$2:$E$1998,MATCH(A628&amp;"ENTRADA",Movimientos!$R$2:$R$1998,0)),"-")</f>
        <v>-</v>
      </c>
      <c r="E628" s="2" t="str">
        <f>IFERROR(INDEX(Movimientos!$F$2:$F$1998,MATCH(A628&amp;"ENTRADA",Movimientos!$R$2:$R$1998,0)),"-")</f>
        <v>-</v>
      </c>
      <c r="F628" s="2" t="str">
        <f>IFERROR(INDEX(Movimientos!$G$2:$G$1998,MATCH(A628&amp;"ENTRADA",Movimientos!$R$2:$R$1998,0)),"-")</f>
        <v>-</v>
      </c>
      <c r="G628" s="2" t="str">
        <f>IFERROR(INDEX(Movimientos!$L$2:$L$1998,MATCH(A628&amp;"ENTRADA",Movimientos!$R$2:$R$1998,0)),"-")</f>
        <v>-</v>
      </c>
      <c r="H628" s="17" t="str">
        <f>IFERROR(IF(INDEX(Movimientos!$M$2:$M$1998,MATCH(A628&amp;"ENTRADA",Movimientos!$R$2:$R$1998,0))=0,"S/D",INDEX(Movimientos!$M$2:$M$1998,MATCH(A628&amp;"ENTRADA",Movimientos!$R$2:$R$1998,0))),"S/D")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 ht="14.25">
      <c r="A629" s="16" t="s">
        <v>2794</v>
      </c>
      <c r="B629" s="2" t="str">
        <f>IFERROR(INDEX(Movimientos!$C$2:$C$1998,MATCH(A629&amp;"ENTRADA",Movimientos!$R$2:$R$1998,0)),"-")</f>
        <v>-</v>
      </c>
      <c r="C629" s="2" t="str">
        <f>IFERROR(INDEX(Movimientos!$D$2:$D$1998,MATCH(A629&amp;"ENTRADA",Movimientos!$R$2:$R$1998,0)),"-")</f>
        <v>-</v>
      </c>
      <c r="D629" s="2" t="str">
        <f>IFERROR(INDEX(Movimientos!$E$2:$E$1998,MATCH(A629&amp;"ENTRADA",Movimientos!$R$2:$R$1998,0)),"-")</f>
        <v>-</v>
      </c>
      <c r="E629" s="2" t="str">
        <f>IFERROR(INDEX(Movimientos!$F$2:$F$1998,MATCH(A629&amp;"ENTRADA",Movimientos!$R$2:$R$1998,0)),"-")</f>
        <v>-</v>
      </c>
      <c r="F629" s="2" t="str">
        <f>IFERROR(INDEX(Movimientos!$G$2:$G$1998,MATCH(A629&amp;"ENTRADA",Movimientos!$R$2:$R$1998,0)),"-")</f>
        <v>-</v>
      </c>
      <c r="G629" s="2" t="str">
        <f>IFERROR(INDEX(Movimientos!$L$2:$L$1998,MATCH(A629&amp;"ENTRADA",Movimientos!$R$2:$R$1998,0)),"-")</f>
        <v>-</v>
      </c>
      <c r="H629" s="17" t="str">
        <f>IFERROR(IF(INDEX(Movimientos!$M$2:$M$1998,MATCH(A629&amp;"ENTRADA",Movimientos!$R$2:$R$1998,0))=0,"S/D",INDEX(Movimientos!$M$2:$M$1998,MATCH(A629&amp;"ENTRADA",Movimientos!$R$2:$R$1998,0))),"S/D")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 ht="14.25">
      <c r="A630" s="16" t="s">
        <v>2795</v>
      </c>
      <c r="B630" s="2" t="str">
        <f>IFERROR(INDEX(Movimientos!$C$2:$C$1998,MATCH(A630&amp;"ENTRADA",Movimientos!$R$2:$R$1998,0)),"-")</f>
        <v>-</v>
      </c>
      <c r="C630" s="2" t="str">
        <f>IFERROR(INDEX(Movimientos!$D$2:$D$1998,MATCH(A630&amp;"ENTRADA",Movimientos!$R$2:$R$1998,0)),"-")</f>
        <v>-</v>
      </c>
      <c r="D630" s="2" t="str">
        <f>IFERROR(INDEX(Movimientos!$E$2:$E$1998,MATCH(A630&amp;"ENTRADA",Movimientos!$R$2:$R$1998,0)),"-")</f>
        <v>-</v>
      </c>
      <c r="E630" s="2" t="str">
        <f>IFERROR(INDEX(Movimientos!$F$2:$F$1998,MATCH(A630&amp;"ENTRADA",Movimientos!$R$2:$R$1998,0)),"-")</f>
        <v>-</v>
      </c>
      <c r="F630" s="2" t="str">
        <f>IFERROR(INDEX(Movimientos!$G$2:$G$1998,MATCH(A630&amp;"ENTRADA",Movimientos!$R$2:$R$1998,0)),"-")</f>
        <v>-</v>
      </c>
      <c r="G630" s="2" t="str">
        <f>IFERROR(INDEX(Movimientos!$L$2:$L$1998,MATCH(A630&amp;"ENTRADA",Movimientos!$R$2:$R$1998,0)),"-")</f>
        <v>-</v>
      </c>
      <c r="H630" s="17" t="str">
        <f>IFERROR(IF(INDEX(Movimientos!$M$2:$M$1998,MATCH(A630&amp;"ENTRADA",Movimientos!$R$2:$R$1998,0))=0,"S/D",INDEX(Movimientos!$M$2:$M$1998,MATCH(A630&amp;"ENTRADA",Movimientos!$R$2:$R$1998,0))),"S/D")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 ht="14.25">
      <c r="A631" s="16" t="s">
        <v>2796</v>
      </c>
      <c r="B631" s="2" t="str">
        <f>IFERROR(INDEX(Movimientos!$C$2:$C$1998,MATCH(A631&amp;"ENTRADA",Movimientos!$R$2:$R$1998,0)),"-")</f>
        <v>-</v>
      </c>
      <c r="C631" s="2" t="str">
        <f>IFERROR(INDEX(Movimientos!$D$2:$D$1998,MATCH(A631&amp;"ENTRADA",Movimientos!$R$2:$R$1998,0)),"-")</f>
        <v>-</v>
      </c>
      <c r="D631" s="2" t="str">
        <f>IFERROR(INDEX(Movimientos!$E$2:$E$1998,MATCH(A631&amp;"ENTRADA",Movimientos!$R$2:$R$1998,0)),"-")</f>
        <v>-</v>
      </c>
      <c r="E631" s="2" t="str">
        <f>IFERROR(INDEX(Movimientos!$F$2:$F$1998,MATCH(A631&amp;"ENTRADA",Movimientos!$R$2:$R$1998,0)),"-")</f>
        <v>-</v>
      </c>
      <c r="F631" s="2" t="str">
        <f>IFERROR(INDEX(Movimientos!$G$2:$G$1998,MATCH(A631&amp;"ENTRADA",Movimientos!$R$2:$R$1998,0)),"-")</f>
        <v>-</v>
      </c>
      <c r="G631" s="2" t="str">
        <f>IFERROR(INDEX(Movimientos!$L$2:$L$1998,MATCH(A631&amp;"ENTRADA",Movimientos!$R$2:$R$1998,0)),"-")</f>
        <v>-</v>
      </c>
      <c r="H631" s="17" t="str">
        <f>IFERROR(IF(INDEX(Movimientos!$M$2:$M$1998,MATCH(A631&amp;"ENTRADA",Movimientos!$R$2:$R$1998,0))=0,"S/D",INDEX(Movimientos!$M$2:$M$1998,MATCH(A631&amp;"ENTRADA",Movimientos!$R$2:$R$1998,0))),"S/D")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 ht="14.25">
      <c r="A632" s="16" t="s">
        <v>2797</v>
      </c>
      <c r="B632" s="2" t="str">
        <f>IFERROR(INDEX(Movimientos!$C$2:$C$1998,MATCH(A632&amp;"ENTRADA",Movimientos!$R$2:$R$1998,0)),"-")</f>
        <v>-</v>
      </c>
      <c r="C632" s="2" t="str">
        <f>IFERROR(INDEX(Movimientos!$D$2:$D$1998,MATCH(A632&amp;"ENTRADA",Movimientos!$R$2:$R$1998,0)),"-")</f>
        <v>-</v>
      </c>
      <c r="D632" s="2" t="str">
        <f>IFERROR(INDEX(Movimientos!$E$2:$E$1998,MATCH(A632&amp;"ENTRADA",Movimientos!$R$2:$R$1998,0)),"-")</f>
        <v>-</v>
      </c>
      <c r="E632" s="2" t="str">
        <f>IFERROR(INDEX(Movimientos!$F$2:$F$1998,MATCH(A632&amp;"ENTRADA",Movimientos!$R$2:$R$1998,0)),"-")</f>
        <v>-</v>
      </c>
      <c r="F632" s="2" t="str">
        <f>IFERROR(INDEX(Movimientos!$G$2:$G$1998,MATCH(A632&amp;"ENTRADA",Movimientos!$R$2:$R$1998,0)),"-")</f>
        <v>-</v>
      </c>
      <c r="G632" s="2" t="str">
        <f>IFERROR(INDEX(Movimientos!$L$2:$L$1998,MATCH(A632&amp;"ENTRADA",Movimientos!$R$2:$R$1998,0)),"-")</f>
        <v>-</v>
      </c>
      <c r="H632" s="17" t="str">
        <f>IFERROR(IF(INDEX(Movimientos!$M$2:$M$1998,MATCH(A632&amp;"ENTRADA",Movimientos!$R$2:$R$1998,0))=0,"S/D",INDEX(Movimientos!$M$2:$M$1998,MATCH(A632&amp;"ENTRADA",Movimientos!$R$2:$R$1998,0))),"S/D")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 ht="14.25">
      <c r="A633" s="16" t="s">
        <v>2798</v>
      </c>
      <c r="B633" s="2" t="str">
        <f>IFERROR(INDEX(Movimientos!$C$2:$C$1998,MATCH(A633&amp;"ENTRADA",Movimientos!$R$2:$R$1998,0)),"-")</f>
        <v>-</v>
      </c>
      <c r="C633" s="2" t="str">
        <f>IFERROR(INDEX(Movimientos!$D$2:$D$1998,MATCH(A633&amp;"ENTRADA",Movimientos!$R$2:$R$1998,0)),"-")</f>
        <v>-</v>
      </c>
      <c r="D633" s="2" t="str">
        <f>IFERROR(INDEX(Movimientos!$E$2:$E$1998,MATCH(A633&amp;"ENTRADA",Movimientos!$R$2:$R$1998,0)),"-")</f>
        <v>-</v>
      </c>
      <c r="E633" s="2" t="str">
        <f>IFERROR(INDEX(Movimientos!$F$2:$F$1998,MATCH(A633&amp;"ENTRADA",Movimientos!$R$2:$R$1998,0)),"-")</f>
        <v>-</v>
      </c>
      <c r="F633" s="2" t="str">
        <f>IFERROR(INDEX(Movimientos!$G$2:$G$1998,MATCH(A633&amp;"ENTRADA",Movimientos!$R$2:$R$1998,0)),"-")</f>
        <v>-</v>
      </c>
      <c r="G633" s="2" t="str">
        <f>IFERROR(INDEX(Movimientos!$L$2:$L$1998,MATCH(A633&amp;"ENTRADA",Movimientos!$R$2:$R$1998,0)),"-")</f>
        <v>-</v>
      </c>
      <c r="H633" s="17" t="str">
        <f>IFERROR(IF(INDEX(Movimientos!$M$2:$M$1998,MATCH(A633&amp;"ENTRADA",Movimientos!$R$2:$R$1998,0))=0,"S/D",INDEX(Movimientos!$M$2:$M$1998,MATCH(A633&amp;"ENTRADA",Movimientos!$R$2:$R$1998,0))),"S/D")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 ht="14.25">
      <c r="A634" s="16" t="s">
        <v>2799</v>
      </c>
      <c r="B634" s="2" t="str">
        <f>IFERROR(INDEX(Movimientos!$C$2:$C$1998,MATCH(A634&amp;"ENTRADA",Movimientos!$R$2:$R$1998,0)),"-")</f>
        <v>-</v>
      </c>
      <c r="C634" s="2" t="str">
        <f>IFERROR(INDEX(Movimientos!$D$2:$D$1998,MATCH(A634&amp;"ENTRADA",Movimientos!$R$2:$R$1998,0)),"-")</f>
        <v>-</v>
      </c>
      <c r="D634" s="2" t="str">
        <f>IFERROR(INDEX(Movimientos!$E$2:$E$1998,MATCH(A634&amp;"ENTRADA",Movimientos!$R$2:$R$1998,0)),"-")</f>
        <v>-</v>
      </c>
      <c r="E634" s="2" t="str">
        <f>IFERROR(INDEX(Movimientos!$F$2:$F$1998,MATCH(A634&amp;"ENTRADA",Movimientos!$R$2:$R$1998,0)),"-")</f>
        <v>-</v>
      </c>
      <c r="F634" s="2" t="str">
        <f>IFERROR(INDEX(Movimientos!$G$2:$G$1998,MATCH(A634&amp;"ENTRADA",Movimientos!$R$2:$R$1998,0)),"-")</f>
        <v>-</v>
      </c>
      <c r="G634" s="2" t="str">
        <f>IFERROR(INDEX(Movimientos!$L$2:$L$1998,MATCH(A634&amp;"ENTRADA",Movimientos!$R$2:$R$1998,0)),"-")</f>
        <v>-</v>
      </c>
      <c r="H634" s="17" t="str">
        <f>IFERROR(IF(INDEX(Movimientos!$M$2:$M$1998,MATCH(A634&amp;"ENTRADA",Movimientos!$R$2:$R$1998,0))=0,"S/D",INDEX(Movimientos!$M$2:$M$1998,MATCH(A634&amp;"ENTRADA",Movimientos!$R$2:$R$1998,0))),"S/D")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 ht="14.25">
      <c r="A635" s="16" t="s">
        <v>2800</v>
      </c>
      <c r="B635" s="2" t="str">
        <f>IFERROR(INDEX(Movimientos!$C$2:$C$1998,MATCH(A635&amp;"ENTRADA",Movimientos!$R$2:$R$1998,0)),"-")</f>
        <v>-</v>
      </c>
      <c r="C635" s="2" t="str">
        <f>IFERROR(INDEX(Movimientos!$D$2:$D$1998,MATCH(A635&amp;"ENTRADA",Movimientos!$R$2:$R$1998,0)),"-")</f>
        <v>-</v>
      </c>
      <c r="D635" s="2" t="str">
        <f>IFERROR(INDEX(Movimientos!$E$2:$E$1998,MATCH(A635&amp;"ENTRADA",Movimientos!$R$2:$R$1998,0)),"-")</f>
        <v>-</v>
      </c>
      <c r="E635" s="2" t="str">
        <f>IFERROR(INDEX(Movimientos!$F$2:$F$1998,MATCH(A635&amp;"ENTRADA",Movimientos!$R$2:$R$1998,0)),"-")</f>
        <v>-</v>
      </c>
      <c r="F635" s="2" t="str">
        <f>IFERROR(INDEX(Movimientos!$G$2:$G$1998,MATCH(A635&amp;"ENTRADA",Movimientos!$R$2:$R$1998,0)),"-")</f>
        <v>-</v>
      </c>
      <c r="G635" s="2" t="str">
        <f>IFERROR(INDEX(Movimientos!$L$2:$L$1998,MATCH(A635&amp;"ENTRADA",Movimientos!$R$2:$R$1998,0)),"-")</f>
        <v>-</v>
      </c>
      <c r="H635" s="17" t="str">
        <f>IFERROR(IF(INDEX(Movimientos!$M$2:$M$1998,MATCH(A635&amp;"ENTRADA",Movimientos!$R$2:$R$1998,0))=0,"S/D",INDEX(Movimientos!$M$2:$M$1998,MATCH(A635&amp;"ENTRADA",Movimientos!$R$2:$R$1998,0))),"S/D")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 ht="14.25">
      <c r="A636" s="16" t="s">
        <v>2801</v>
      </c>
      <c r="B636" s="2" t="str">
        <f>IFERROR(INDEX(Movimientos!$C$2:$C$1998,MATCH(A636&amp;"ENTRADA",Movimientos!$R$2:$R$1998,0)),"-")</f>
        <v>-</v>
      </c>
      <c r="C636" s="2" t="str">
        <f>IFERROR(INDEX(Movimientos!$D$2:$D$1998,MATCH(A636&amp;"ENTRADA",Movimientos!$R$2:$R$1998,0)),"-")</f>
        <v>-</v>
      </c>
      <c r="D636" s="2" t="str">
        <f>IFERROR(INDEX(Movimientos!$E$2:$E$1998,MATCH(A636&amp;"ENTRADA",Movimientos!$R$2:$R$1998,0)),"-")</f>
        <v>-</v>
      </c>
      <c r="E636" s="2" t="str">
        <f>IFERROR(INDEX(Movimientos!$F$2:$F$1998,MATCH(A636&amp;"ENTRADA",Movimientos!$R$2:$R$1998,0)),"-")</f>
        <v>-</v>
      </c>
      <c r="F636" s="2" t="str">
        <f>IFERROR(INDEX(Movimientos!$G$2:$G$1998,MATCH(A636&amp;"ENTRADA",Movimientos!$R$2:$R$1998,0)),"-")</f>
        <v>-</v>
      </c>
      <c r="G636" s="2" t="str">
        <f>IFERROR(INDEX(Movimientos!$L$2:$L$1998,MATCH(A636&amp;"ENTRADA",Movimientos!$R$2:$R$1998,0)),"-")</f>
        <v>-</v>
      </c>
      <c r="H636" s="17" t="str">
        <f>IFERROR(IF(INDEX(Movimientos!$M$2:$M$1998,MATCH(A636&amp;"ENTRADA",Movimientos!$R$2:$R$1998,0))=0,"S/D",INDEX(Movimientos!$M$2:$M$1998,MATCH(A636&amp;"ENTRADA",Movimientos!$R$2:$R$1998,0))),"S/D")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 ht="14.25">
      <c r="A637" s="16" t="s">
        <v>2802</v>
      </c>
      <c r="B637" s="2" t="str">
        <f>IFERROR(INDEX(Movimientos!$C$2:$C$1998,MATCH(A637&amp;"ENTRADA",Movimientos!$R$2:$R$1998,0)),"-")</f>
        <v>-</v>
      </c>
      <c r="C637" s="2" t="str">
        <f>IFERROR(INDEX(Movimientos!$D$2:$D$1998,MATCH(A637&amp;"ENTRADA",Movimientos!$R$2:$R$1998,0)),"-")</f>
        <v>-</v>
      </c>
      <c r="D637" s="2" t="str">
        <f>IFERROR(INDEX(Movimientos!$E$2:$E$1998,MATCH(A637&amp;"ENTRADA",Movimientos!$R$2:$R$1998,0)),"-")</f>
        <v>-</v>
      </c>
      <c r="E637" s="2" t="str">
        <f>IFERROR(INDEX(Movimientos!$F$2:$F$1998,MATCH(A637&amp;"ENTRADA",Movimientos!$R$2:$R$1998,0)),"-")</f>
        <v>-</v>
      </c>
      <c r="F637" s="2" t="str">
        <f>IFERROR(INDEX(Movimientos!$G$2:$G$1998,MATCH(A637&amp;"ENTRADA",Movimientos!$R$2:$R$1998,0)),"-")</f>
        <v>-</v>
      </c>
      <c r="G637" s="2" t="str">
        <f>IFERROR(INDEX(Movimientos!$L$2:$L$1998,MATCH(A637&amp;"ENTRADA",Movimientos!$R$2:$R$1998,0)),"-")</f>
        <v>-</v>
      </c>
      <c r="H637" s="17" t="str">
        <f>IFERROR(IF(INDEX(Movimientos!$M$2:$M$1998,MATCH(A637&amp;"ENTRADA",Movimientos!$R$2:$R$1998,0))=0,"S/D",INDEX(Movimientos!$M$2:$M$1998,MATCH(A637&amp;"ENTRADA",Movimientos!$R$2:$R$1998,0))),"S/D")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 ht="14.25">
      <c r="A638" s="16" t="s">
        <v>2803</v>
      </c>
      <c r="B638" s="2" t="str">
        <f>IFERROR(INDEX(Movimientos!$C$2:$C$1998,MATCH(A638&amp;"ENTRADA",Movimientos!$R$2:$R$1998,0)),"-")</f>
        <v>-</v>
      </c>
      <c r="C638" s="2" t="str">
        <f>IFERROR(INDEX(Movimientos!$D$2:$D$1998,MATCH(A638&amp;"ENTRADA",Movimientos!$R$2:$R$1998,0)),"-")</f>
        <v>-</v>
      </c>
      <c r="D638" s="2" t="str">
        <f>IFERROR(INDEX(Movimientos!$E$2:$E$1998,MATCH(A638&amp;"ENTRADA",Movimientos!$R$2:$R$1998,0)),"-")</f>
        <v>-</v>
      </c>
      <c r="E638" s="2" t="str">
        <f>IFERROR(INDEX(Movimientos!$F$2:$F$1998,MATCH(A638&amp;"ENTRADA",Movimientos!$R$2:$R$1998,0)),"-")</f>
        <v>-</v>
      </c>
      <c r="F638" s="2" t="str">
        <f>IFERROR(INDEX(Movimientos!$G$2:$G$1998,MATCH(A638&amp;"ENTRADA",Movimientos!$R$2:$R$1998,0)),"-")</f>
        <v>-</v>
      </c>
      <c r="G638" s="2" t="str">
        <f>IFERROR(INDEX(Movimientos!$L$2:$L$1998,MATCH(A638&amp;"ENTRADA",Movimientos!$R$2:$R$1998,0)),"-")</f>
        <v>-</v>
      </c>
      <c r="H638" s="17" t="str">
        <f>IFERROR(IF(INDEX(Movimientos!$M$2:$M$1998,MATCH(A638&amp;"ENTRADA",Movimientos!$R$2:$R$1998,0))=0,"S/D",INDEX(Movimientos!$M$2:$M$1998,MATCH(A638&amp;"ENTRADA",Movimientos!$R$2:$R$1998,0))),"S/D")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 ht="14.25">
      <c r="A639" s="16" t="s">
        <v>2804</v>
      </c>
      <c r="B639" s="2" t="str">
        <f>IFERROR(INDEX(Movimientos!$C$2:$C$1998,MATCH(A639&amp;"ENTRADA",Movimientos!$R$2:$R$1998,0)),"-")</f>
        <v>-</v>
      </c>
      <c r="C639" s="2" t="str">
        <f>IFERROR(INDEX(Movimientos!$D$2:$D$1998,MATCH(A639&amp;"ENTRADA",Movimientos!$R$2:$R$1998,0)),"-")</f>
        <v>-</v>
      </c>
      <c r="D639" s="2" t="str">
        <f>IFERROR(INDEX(Movimientos!$E$2:$E$1998,MATCH(A639&amp;"ENTRADA",Movimientos!$R$2:$R$1998,0)),"-")</f>
        <v>-</v>
      </c>
      <c r="E639" s="2" t="str">
        <f>IFERROR(INDEX(Movimientos!$F$2:$F$1998,MATCH(A639&amp;"ENTRADA",Movimientos!$R$2:$R$1998,0)),"-")</f>
        <v>-</v>
      </c>
      <c r="F639" s="2" t="str">
        <f>IFERROR(INDEX(Movimientos!$G$2:$G$1998,MATCH(A639&amp;"ENTRADA",Movimientos!$R$2:$R$1998,0)),"-")</f>
        <v>-</v>
      </c>
      <c r="G639" s="2" t="str">
        <f>IFERROR(INDEX(Movimientos!$L$2:$L$1998,MATCH(A639&amp;"ENTRADA",Movimientos!$R$2:$R$1998,0)),"-")</f>
        <v>-</v>
      </c>
      <c r="H639" s="17" t="str">
        <f>IFERROR(IF(INDEX(Movimientos!$M$2:$M$1998,MATCH(A639&amp;"ENTRADA",Movimientos!$R$2:$R$1998,0))=0,"S/D",INDEX(Movimientos!$M$2:$M$1998,MATCH(A639&amp;"ENTRADA",Movimientos!$R$2:$R$1998,0))),"S/D")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 ht="14.25">
      <c r="A640" s="16" t="s">
        <v>2805</v>
      </c>
      <c r="B640" s="2" t="str">
        <f>IFERROR(INDEX(Movimientos!$C$2:$C$1998,MATCH(A640&amp;"ENTRADA",Movimientos!$R$2:$R$1998,0)),"-")</f>
        <v>-</v>
      </c>
      <c r="C640" s="2" t="str">
        <f>IFERROR(INDEX(Movimientos!$D$2:$D$1998,MATCH(A640&amp;"ENTRADA",Movimientos!$R$2:$R$1998,0)),"-")</f>
        <v>-</v>
      </c>
      <c r="D640" s="2" t="str">
        <f>IFERROR(INDEX(Movimientos!$E$2:$E$1998,MATCH(A640&amp;"ENTRADA",Movimientos!$R$2:$R$1998,0)),"-")</f>
        <v>-</v>
      </c>
      <c r="E640" s="2" t="str">
        <f>IFERROR(INDEX(Movimientos!$F$2:$F$1998,MATCH(A640&amp;"ENTRADA",Movimientos!$R$2:$R$1998,0)),"-")</f>
        <v>-</v>
      </c>
      <c r="F640" s="2" t="str">
        <f>IFERROR(INDEX(Movimientos!$G$2:$G$1998,MATCH(A640&amp;"ENTRADA",Movimientos!$R$2:$R$1998,0)),"-")</f>
        <v>-</v>
      </c>
      <c r="G640" s="2" t="str">
        <f>IFERROR(INDEX(Movimientos!$L$2:$L$1998,MATCH(A640&amp;"ENTRADA",Movimientos!$R$2:$R$1998,0)),"-")</f>
        <v>-</v>
      </c>
      <c r="H640" s="17" t="str">
        <f>IFERROR(IF(INDEX(Movimientos!$M$2:$M$1998,MATCH(A640&amp;"ENTRADA",Movimientos!$R$2:$R$1998,0))=0,"S/D",INDEX(Movimientos!$M$2:$M$1998,MATCH(A640&amp;"ENTRADA",Movimientos!$R$2:$R$1998,0))),"S/D")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 ht="14.25">
      <c r="A641" s="16" t="s">
        <v>2806</v>
      </c>
      <c r="B641" s="2" t="str">
        <f>IFERROR(INDEX(Movimientos!$C$2:$C$1998,MATCH(A641&amp;"ENTRADA",Movimientos!$R$2:$R$1998,0)),"-")</f>
        <v>-</v>
      </c>
      <c r="C641" s="2" t="str">
        <f>IFERROR(INDEX(Movimientos!$D$2:$D$1998,MATCH(A641&amp;"ENTRADA",Movimientos!$R$2:$R$1998,0)),"-")</f>
        <v>-</v>
      </c>
      <c r="D641" s="2" t="str">
        <f>IFERROR(INDEX(Movimientos!$E$2:$E$1998,MATCH(A641&amp;"ENTRADA",Movimientos!$R$2:$R$1998,0)),"-")</f>
        <v>-</v>
      </c>
      <c r="E641" s="2" t="str">
        <f>IFERROR(INDEX(Movimientos!$F$2:$F$1998,MATCH(A641&amp;"ENTRADA",Movimientos!$R$2:$R$1998,0)),"-")</f>
        <v>-</v>
      </c>
      <c r="F641" s="2" t="str">
        <f>IFERROR(INDEX(Movimientos!$G$2:$G$1998,MATCH(A641&amp;"ENTRADA",Movimientos!$R$2:$R$1998,0)),"-")</f>
        <v>-</v>
      </c>
      <c r="G641" s="2" t="str">
        <f>IFERROR(INDEX(Movimientos!$L$2:$L$1998,MATCH(A641&amp;"ENTRADA",Movimientos!$R$2:$R$1998,0)),"-")</f>
        <v>-</v>
      </c>
      <c r="H641" s="17" t="str">
        <f>IFERROR(IF(INDEX(Movimientos!$M$2:$M$1998,MATCH(A641&amp;"ENTRADA",Movimientos!$R$2:$R$1998,0))=0,"S/D",INDEX(Movimientos!$M$2:$M$1998,MATCH(A641&amp;"ENTRADA",Movimientos!$R$2:$R$1998,0))),"S/D")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 ht="14.25">
      <c r="A642" s="16" t="s">
        <v>2807</v>
      </c>
      <c r="B642" s="2" t="str">
        <f>IFERROR(INDEX(Movimientos!$C$2:$C$1998,MATCH(A642&amp;"ENTRADA",Movimientos!$R$2:$R$1998,0)),"-")</f>
        <v>-</v>
      </c>
      <c r="C642" s="2" t="str">
        <f>IFERROR(INDEX(Movimientos!$D$2:$D$1998,MATCH(A642&amp;"ENTRADA",Movimientos!$R$2:$R$1998,0)),"-")</f>
        <v>-</v>
      </c>
      <c r="D642" s="2" t="str">
        <f>IFERROR(INDEX(Movimientos!$E$2:$E$1998,MATCH(A642&amp;"ENTRADA",Movimientos!$R$2:$R$1998,0)),"-")</f>
        <v>-</v>
      </c>
      <c r="E642" s="2" t="str">
        <f>IFERROR(INDEX(Movimientos!$F$2:$F$1998,MATCH(A642&amp;"ENTRADA",Movimientos!$R$2:$R$1998,0)),"-")</f>
        <v>-</v>
      </c>
      <c r="F642" s="2" t="str">
        <f>IFERROR(INDEX(Movimientos!$G$2:$G$1998,MATCH(A642&amp;"ENTRADA",Movimientos!$R$2:$R$1998,0)),"-")</f>
        <v>-</v>
      </c>
      <c r="G642" s="2" t="str">
        <f>IFERROR(INDEX(Movimientos!$L$2:$L$1998,MATCH(A642&amp;"ENTRADA",Movimientos!$R$2:$R$1998,0)),"-")</f>
        <v>-</v>
      </c>
      <c r="H642" s="17" t="str">
        <f>IFERROR(IF(INDEX(Movimientos!$M$2:$M$1998,MATCH(A642&amp;"ENTRADA",Movimientos!$R$2:$R$1998,0))=0,"S/D",INDEX(Movimientos!$M$2:$M$1998,MATCH(A642&amp;"ENTRADA",Movimientos!$R$2:$R$1998,0))),"S/D")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 ht="14.25">
      <c r="A643" s="16" t="s">
        <v>2808</v>
      </c>
      <c r="B643" s="2" t="str">
        <f>IFERROR(INDEX(Movimientos!$C$2:$C$1998,MATCH(A643&amp;"ENTRADA",Movimientos!$R$2:$R$1998,0)),"-")</f>
        <v>-</v>
      </c>
      <c r="C643" s="2" t="str">
        <f>IFERROR(INDEX(Movimientos!$D$2:$D$1998,MATCH(A643&amp;"ENTRADA",Movimientos!$R$2:$R$1998,0)),"-")</f>
        <v>-</v>
      </c>
      <c r="D643" s="2" t="str">
        <f>IFERROR(INDEX(Movimientos!$E$2:$E$1998,MATCH(A643&amp;"ENTRADA",Movimientos!$R$2:$R$1998,0)),"-")</f>
        <v>-</v>
      </c>
      <c r="E643" s="2" t="str">
        <f>IFERROR(INDEX(Movimientos!$F$2:$F$1998,MATCH(A643&amp;"ENTRADA",Movimientos!$R$2:$R$1998,0)),"-")</f>
        <v>-</v>
      </c>
      <c r="F643" s="2" t="str">
        <f>IFERROR(INDEX(Movimientos!$G$2:$G$1998,MATCH(A643&amp;"ENTRADA",Movimientos!$R$2:$R$1998,0)),"-")</f>
        <v>-</v>
      </c>
      <c r="G643" s="2" t="str">
        <f>IFERROR(INDEX(Movimientos!$L$2:$L$1998,MATCH(A643&amp;"ENTRADA",Movimientos!$R$2:$R$1998,0)),"-")</f>
        <v>-</v>
      </c>
      <c r="H643" s="17" t="str">
        <f>IFERROR(IF(INDEX(Movimientos!$M$2:$M$1998,MATCH(A643&amp;"ENTRADA",Movimientos!$R$2:$R$1998,0))=0,"S/D",INDEX(Movimientos!$M$2:$M$1998,MATCH(A643&amp;"ENTRADA",Movimientos!$R$2:$R$1998,0))),"S/D")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 ht="14.25">
      <c r="A644" s="16" t="s">
        <v>2809</v>
      </c>
      <c r="B644" s="2" t="str">
        <f>IFERROR(INDEX(Movimientos!$C$2:$C$1998,MATCH(A644&amp;"ENTRADA",Movimientos!$R$2:$R$1998,0)),"-")</f>
        <v>-</v>
      </c>
      <c r="C644" s="2" t="str">
        <f>IFERROR(INDEX(Movimientos!$D$2:$D$1998,MATCH(A644&amp;"ENTRADA",Movimientos!$R$2:$R$1998,0)),"-")</f>
        <v>-</v>
      </c>
      <c r="D644" s="2" t="str">
        <f>IFERROR(INDEX(Movimientos!$E$2:$E$1998,MATCH(A644&amp;"ENTRADA",Movimientos!$R$2:$R$1998,0)),"-")</f>
        <v>-</v>
      </c>
      <c r="E644" s="2" t="str">
        <f>IFERROR(INDEX(Movimientos!$F$2:$F$1998,MATCH(A644&amp;"ENTRADA",Movimientos!$R$2:$R$1998,0)),"-")</f>
        <v>-</v>
      </c>
      <c r="F644" s="2" t="str">
        <f>IFERROR(INDEX(Movimientos!$G$2:$G$1998,MATCH(A644&amp;"ENTRADA",Movimientos!$R$2:$R$1998,0)),"-")</f>
        <v>-</v>
      </c>
      <c r="G644" s="2" t="str">
        <f>IFERROR(INDEX(Movimientos!$L$2:$L$1998,MATCH(A644&amp;"ENTRADA",Movimientos!$R$2:$R$1998,0)),"-")</f>
        <v>-</v>
      </c>
      <c r="H644" s="17" t="str">
        <f>IFERROR(IF(INDEX(Movimientos!$M$2:$M$1998,MATCH(A644&amp;"ENTRADA",Movimientos!$R$2:$R$1998,0))=0,"S/D",INDEX(Movimientos!$M$2:$M$1998,MATCH(A644&amp;"ENTRADA",Movimientos!$R$2:$R$1998,0))),"S/D")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 ht="14.25">
      <c r="A645" s="16" t="s">
        <v>2810</v>
      </c>
      <c r="B645" s="2" t="str">
        <f>IFERROR(INDEX(Movimientos!$C$2:$C$1998,MATCH(A645&amp;"ENTRADA",Movimientos!$R$2:$R$1998,0)),"-")</f>
        <v>-</v>
      </c>
      <c r="C645" s="2" t="str">
        <f>IFERROR(INDEX(Movimientos!$D$2:$D$1998,MATCH(A645&amp;"ENTRADA",Movimientos!$R$2:$R$1998,0)),"-")</f>
        <v>-</v>
      </c>
      <c r="D645" s="2" t="str">
        <f>IFERROR(INDEX(Movimientos!$E$2:$E$1998,MATCH(A645&amp;"ENTRADA",Movimientos!$R$2:$R$1998,0)),"-")</f>
        <v>-</v>
      </c>
      <c r="E645" s="2" t="str">
        <f>IFERROR(INDEX(Movimientos!$F$2:$F$1998,MATCH(A645&amp;"ENTRADA",Movimientos!$R$2:$R$1998,0)),"-")</f>
        <v>-</v>
      </c>
      <c r="F645" s="2" t="str">
        <f>IFERROR(INDEX(Movimientos!$G$2:$G$1998,MATCH(A645&amp;"ENTRADA",Movimientos!$R$2:$R$1998,0)),"-")</f>
        <v>-</v>
      </c>
      <c r="G645" s="2" t="str">
        <f>IFERROR(INDEX(Movimientos!$L$2:$L$1998,MATCH(A645&amp;"ENTRADA",Movimientos!$R$2:$R$1998,0)),"-")</f>
        <v>-</v>
      </c>
      <c r="H645" s="17" t="str">
        <f>IFERROR(IF(INDEX(Movimientos!$M$2:$M$1998,MATCH(A645&amp;"ENTRADA",Movimientos!$R$2:$R$1998,0))=0,"S/D",INDEX(Movimientos!$M$2:$M$1998,MATCH(A645&amp;"ENTRADA",Movimientos!$R$2:$R$1998,0))),"S/D")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 ht="14.25">
      <c r="A646" s="16" t="s">
        <v>2811</v>
      </c>
      <c r="B646" s="2" t="str">
        <f>IFERROR(INDEX(Movimientos!$C$2:$C$1998,MATCH(A646&amp;"ENTRADA",Movimientos!$R$2:$R$1998,0)),"-")</f>
        <v>-</v>
      </c>
      <c r="C646" s="2" t="str">
        <f>IFERROR(INDEX(Movimientos!$D$2:$D$1998,MATCH(A646&amp;"ENTRADA",Movimientos!$R$2:$R$1998,0)),"-")</f>
        <v>-</v>
      </c>
      <c r="D646" s="2" t="str">
        <f>IFERROR(INDEX(Movimientos!$E$2:$E$1998,MATCH(A646&amp;"ENTRADA",Movimientos!$R$2:$R$1998,0)),"-")</f>
        <v>-</v>
      </c>
      <c r="E646" s="2" t="str">
        <f>IFERROR(INDEX(Movimientos!$F$2:$F$1998,MATCH(A646&amp;"ENTRADA",Movimientos!$R$2:$R$1998,0)),"-")</f>
        <v>-</v>
      </c>
      <c r="F646" s="2" t="str">
        <f>IFERROR(INDEX(Movimientos!$G$2:$G$1998,MATCH(A646&amp;"ENTRADA",Movimientos!$R$2:$R$1998,0)),"-")</f>
        <v>-</v>
      </c>
      <c r="G646" s="2" t="str">
        <f>IFERROR(INDEX(Movimientos!$L$2:$L$1998,MATCH(A646&amp;"ENTRADA",Movimientos!$R$2:$R$1998,0)),"-")</f>
        <v>-</v>
      </c>
      <c r="H646" s="17" t="str">
        <f>IFERROR(IF(INDEX(Movimientos!$M$2:$M$1998,MATCH(A646&amp;"ENTRADA",Movimientos!$R$2:$R$1998,0))=0,"S/D",INDEX(Movimientos!$M$2:$M$1998,MATCH(A646&amp;"ENTRADA",Movimientos!$R$2:$R$1998,0))),"S/D")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 ht="14.25">
      <c r="A647" s="16" t="s">
        <v>2812</v>
      </c>
      <c r="B647" s="2" t="str">
        <f>IFERROR(INDEX(Movimientos!$C$2:$C$1998,MATCH(A647&amp;"ENTRADA",Movimientos!$R$2:$R$1998,0)),"-")</f>
        <v>-</v>
      </c>
      <c r="C647" s="2" t="str">
        <f>IFERROR(INDEX(Movimientos!$D$2:$D$1998,MATCH(A647&amp;"ENTRADA",Movimientos!$R$2:$R$1998,0)),"-")</f>
        <v>-</v>
      </c>
      <c r="D647" s="2" t="str">
        <f>IFERROR(INDEX(Movimientos!$E$2:$E$1998,MATCH(A647&amp;"ENTRADA",Movimientos!$R$2:$R$1998,0)),"-")</f>
        <v>-</v>
      </c>
      <c r="E647" s="2" t="str">
        <f>IFERROR(INDEX(Movimientos!$F$2:$F$1998,MATCH(A647&amp;"ENTRADA",Movimientos!$R$2:$R$1998,0)),"-")</f>
        <v>-</v>
      </c>
      <c r="F647" s="2" t="str">
        <f>IFERROR(INDEX(Movimientos!$G$2:$G$1998,MATCH(A647&amp;"ENTRADA",Movimientos!$R$2:$R$1998,0)),"-")</f>
        <v>-</v>
      </c>
      <c r="G647" s="2" t="str">
        <f>IFERROR(INDEX(Movimientos!$L$2:$L$1998,MATCH(A647&amp;"ENTRADA",Movimientos!$R$2:$R$1998,0)),"-")</f>
        <v>-</v>
      </c>
      <c r="H647" s="17" t="str">
        <f>IFERROR(IF(INDEX(Movimientos!$M$2:$M$1998,MATCH(A647&amp;"ENTRADA",Movimientos!$R$2:$R$1998,0))=0,"S/D",INDEX(Movimientos!$M$2:$M$1998,MATCH(A647&amp;"ENTRADA",Movimientos!$R$2:$R$1998,0))),"S/D")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 ht="14.25">
      <c r="A648" s="16" t="s">
        <v>2813</v>
      </c>
      <c r="B648" s="2" t="str">
        <f>IFERROR(INDEX(Movimientos!$C$2:$C$1998,MATCH(A648&amp;"ENTRADA",Movimientos!$R$2:$R$1998,0)),"-")</f>
        <v>-</v>
      </c>
      <c r="C648" s="2" t="str">
        <f>IFERROR(INDEX(Movimientos!$D$2:$D$1998,MATCH(A648&amp;"ENTRADA",Movimientos!$R$2:$R$1998,0)),"-")</f>
        <v>-</v>
      </c>
      <c r="D648" s="2" t="str">
        <f>IFERROR(INDEX(Movimientos!$E$2:$E$1998,MATCH(A648&amp;"ENTRADA",Movimientos!$R$2:$R$1998,0)),"-")</f>
        <v>-</v>
      </c>
      <c r="E648" s="2" t="str">
        <f>IFERROR(INDEX(Movimientos!$F$2:$F$1998,MATCH(A648&amp;"ENTRADA",Movimientos!$R$2:$R$1998,0)),"-")</f>
        <v>-</v>
      </c>
      <c r="F648" s="2" t="str">
        <f>IFERROR(INDEX(Movimientos!$G$2:$G$1998,MATCH(A648&amp;"ENTRADA",Movimientos!$R$2:$R$1998,0)),"-")</f>
        <v>-</v>
      </c>
      <c r="G648" s="2" t="str">
        <f>IFERROR(INDEX(Movimientos!$L$2:$L$1998,MATCH(A648&amp;"ENTRADA",Movimientos!$R$2:$R$1998,0)),"-")</f>
        <v>-</v>
      </c>
      <c r="H648" s="17" t="str">
        <f>IFERROR(IF(INDEX(Movimientos!$M$2:$M$1998,MATCH(A648&amp;"ENTRADA",Movimientos!$R$2:$R$1998,0))=0,"S/D",INDEX(Movimientos!$M$2:$M$1998,MATCH(A648&amp;"ENTRADA",Movimientos!$R$2:$R$1998,0))),"S/D")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 ht="14.25">
      <c r="A649" s="16" t="s">
        <v>2814</v>
      </c>
      <c r="B649" s="2" t="str">
        <f>IFERROR(INDEX(Movimientos!$C$2:$C$1998,MATCH(A649&amp;"ENTRADA",Movimientos!$R$2:$R$1998,0)),"-")</f>
        <v>-</v>
      </c>
      <c r="C649" s="2" t="str">
        <f>IFERROR(INDEX(Movimientos!$D$2:$D$1998,MATCH(A649&amp;"ENTRADA",Movimientos!$R$2:$R$1998,0)),"-")</f>
        <v>-</v>
      </c>
      <c r="D649" s="2" t="str">
        <f>IFERROR(INDEX(Movimientos!$E$2:$E$1998,MATCH(A649&amp;"ENTRADA",Movimientos!$R$2:$R$1998,0)),"-")</f>
        <v>-</v>
      </c>
      <c r="E649" s="2" t="str">
        <f>IFERROR(INDEX(Movimientos!$F$2:$F$1998,MATCH(A649&amp;"ENTRADA",Movimientos!$R$2:$R$1998,0)),"-")</f>
        <v>-</v>
      </c>
      <c r="F649" s="2" t="str">
        <f>IFERROR(INDEX(Movimientos!$G$2:$G$1998,MATCH(A649&amp;"ENTRADA",Movimientos!$R$2:$R$1998,0)),"-")</f>
        <v>-</v>
      </c>
      <c r="G649" s="2" t="str">
        <f>IFERROR(INDEX(Movimientos!$L$2:$L$1998,MATCH(A649&amp;"ENTRADA",Movimientos!$R$2:$R$1998,0)),"-")</f>
        <v>-</v>
      </c>
      <c r="H649" s="17" t="str">
        <f>IFERROR(IF(INDEX(Movimientos!$M$2:$M$1998,MATCH(A649&amp;"ENTRADA",Movimientos!$R$2:$R$1998,0))=0,"S/D",INDEX(Movimientos!$M$2:$M$1998,MATCH(A649&amp;"ENTRADA",Movimientos!$R$2:$R$1998,0))),"S/D")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 ht="14.25">
      <c r="A650" s="16" t="s">
        <v>2815</v>
      </c>
      <c r="B650" s="2" t="str">
        <f>IFERROR(INDEX(Movimientos!$C$2:$C$1998,MATCH(A650&amp;"ENTRADA",Movimientos!$R$2:$R$1998,0)),"-")</f>
        <v>-</v>
      </c>
      <c r="C650" s="2" t="str">
        <f>IFERROR(INDEX(Movimientos!$D$2:$D$1998,MATCH(A650&amp;"ENTRADA",Movimientos!$R$2:$R$1998,0)),"-")</f>
        <v>-</v>
      </c>
      <c r="D650" s="2" t="str">
        <f>IFERROR(INDEX(Movimientos!$E$2:$E$1998,MATCH(A650&amp;"ENTRADA",Movimientos!$R$2:$R$1998,0)),"-")</f>
        <v>-</v>
      </c>
      <c r="E650" s="2" t="str">
        <f>IFERROR(INDEX(Movimientos!$F$2:$F$1998,MATCH(A650&amp;"ENTRADA",Movimientos!$R$2:$R$1998,0)),"-")</f>
        <v>-</v>
      </c>
      <c r="F650" s="2" t="str">
        <f>IFERROR(INDEX(Movimientos!$G$2:$G$1998,MATCH(A650&amp;"ENTRADA",Movimientos!$R$2:$R$1998,0)),"-")</f>
        <v>-</v>
      </c>
      <c r="G650" s="2" t="str">
        <f>IFERROR(INDEX(Movimientos!$L$2:$L$1998,MATCH(A650&amp;"ENTRADA",Movimientos!$R$2:$R$1998,0)),"-")</f>
        <v>-</v>
      </c>
      <c r="H650" s="17" t="str">
        <f>IFERROR(IF(INDEX(Movimientos!$M$2:$M$1998,MATCH(A650&amp;"ENTRADA",Movimientos!$R$2:$R$1998,0))=0,"S/D",INDEX(Movimientos!$M$2:$M$1998,MATCH(A650&amp;"ENTRADA",Movimientos!$R$2:$R$1998,0))),"S/D")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 ht="14.25">
      <c r="A651" s="16" t="s">
        <v>2816</v>
      </c>
      <c r="B651" s="2" t="str">
        <f>IFERROR(INDEX(Movimientos!$C$2:$C$1998,MATCH(A651&amp;"ENTRADA",Movimientos!$R$2:$R$1998,0)),"-")</f>
        <v>-</v>
      </c>
      <c r="C651" s="2" t="str">
        <f>IFERROR(INDEX(Movimientos!$D$2:$D$1998,MATCH(A651&amp;"ENTRADA",Movimientos!$R$2:$R$1998,0)),"-")</f>
        <v>-</v>
      </c>
      <c r="D651" s="2" t="str">
        <f>IFERROR(INDEX(Movimientos!$E$2:$E$1998,MATCH(A651&amp;"ENTRADA",Movimientos!$R$2:$R$1998,0)),"-")</f>
        <v>-</v>
      </c>
      <c r="E651" s="2" t="str">
        <f>IFERROR(INDEX(Movimientos!$F$2:$F$1998,MATCH(A651&amp;"ENTRADA",Movimientos!$R$2:$R$1998,0)),"-")</f>
        <v>-</v>
      </c>
      <c r="F651" s="2" t="str">
        <f>IFERROR(INDEX(Movimientos!$G$2:$G$1998,MATCH(A651&amp;"ENTRADA",Movimientos!$R$2:$R$1998,0)),"-")</f>
        <v>-</v>
      </c>
      <c r="G651" s="2" t="str">
        <f>IFERROR(INDEX(Movimientos!$L$2:$L$1998,MATCH(A651&amp;"ENTRADA",Movimientos!$R$2:$R$1998,0)),"-")</f>
        <v>-</v>
      </c>
      <c r="H651" s="17" t="str">
        <f>IFERROR(IF(INDEX(Movimientos!$M$2:$M$1998,MATCH(A651&amp;"ENTRADA",Movimientos!$R$2:$R$1998,0))=0,"S/D",INDEX(Movimientos!$M$2:$M$1998,MATCH(A651&amp;"ENTRADA",Movimientos!$R$2:$R$1998,0))),"S/D")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 ht="14.25">
      <c r="A652" s="16" t="s">
        <v>2817</v>
      </c>
      <c r="B652" s="2" t="str">
        <f>IFERROR(INDEX(Movimientos!$C$2:$C$1998,MATCH(A652&amp;"ENTRADA",Movimientos!$R$2:$R$1998,0)),"-")</f>
        <v>-</v>
      </c>
      <c r="C652" s="2" t="str">
        <f>IFERROR(INDEX(Movimientos!$D$2:$D$1998,MATCH(A652&amp;"ENTRADA",Movimientos!$R$2:$R$1998,0)),"-")</f>
        <v>-</v>
      </c>
      <c r="D652" s="2" t="str">
        <f>IFERROR(INDEX(Movimientos!$E$2:$E$1998,MATCH(A652&amp;"ENTRADA",Movimientos!$R$2:$R$1998,0)),"-")</f>
        <v>-</v>
      </c>
      <c r="E652" s="2" t="str">
        <f>IFERROR(INDEX(Movimientos!$F$2:$F$1998,MATCH(A652&amp;"ENTRADA",Movimientos!$R$2:$R$1998,0)),"-")</f>
        <v>-</v>
      </c>
      <c r="F652" s="2" t="str">
        <f>IFERROR(INDEX(Movimientos!$G$2:$G$1998,MATCH(A652&amp;"ENTRADA",Movimientos!$R$2:$R$1998,0)),"-")</f>
        <v>-</v>
      </c>
      <c r="G652" s="2" t="str">
        <f>IFERROR(INDEX(Movimientos!$L$2:$L$1998,MATCH(A652&amp;"ENTRADA",Movimientos!$R$2:$R$1998,0)),"-")</f>
        <v>-</v>
      </c>
      <c r="H652" s="17" t="str">
        <f>IFERROR(IF(INDEX(Movimientos!$M$2:$M$1998,MATCH(A652&amp;"ENTRADA",Movimientos!$R$2:$R$1998,0))=0,"S/D",INDEX(Movimientos!$M$2:$M$1998,MATCH(A652&amp;"ENTRADA",Movimientos!$R$2:$R$1998,0))),"S/D")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 ht="14.25">
      <c r="A653" s="16" t="s">
        <v>2818</v>
      </c>
      <c r="B653" s="2" t="str">
        <f>IFERROR(INDEX(Movimientos!$C$2:$C$1998,MATCH(A653&amp;"ENTRADA",Movimientos!$R$2:$R$1998,0)),"-")</f>
        <v>-</v>
      </c>
      <c r="C653" s="2" t="str">
        <f>IFERROR(INDEX(Movimientos!$D$2:$D$1998,MATCH(A653&amp;"ENTRADA",Movimientos!$R$2:$R$1998,0)),"-")</f>
        <v>-</v>
      </c>
      <c r="D653" s="2" t="str">
        <f>IFERROR(INDEX(Movimientos!$E$2:$E$1998,MATCH(A653&amp;"ENTRADA",Movimientos!$R$2:$R$1998,0)),"-")</f>
        <v>-</v>
      </c>
      <c r="E653" s="2" t="str">
        <f>IFERROR(INDEX(Movimientos!$F$2:$F$1998,MATCH(A653&amp;"ENTRADA",Movimientos!$R$2:$R$1998,0)),"-")</f>
        <v>-</v>
      </c>
      <c r="F653" s="2" t="str">
        <f>IFERROR(INDEX(Movimientos!$G$2:$G$1998,MATCH(A653&amp;"ENTRADA",Movimientos!$R$2:$R$1998,0)),"-")</f>
        <v>-</v>
      </c>
      <c r="G653" s="2" t="str">
        <f>IFERROR(INDEX(Movimientos!$L$2:$L$1998,MATCH(A653&amp;"ENTRADA",Movimientos!$R$2:$R$1998,0)),"-")</f>
        <v>-</v>
      </c>
      <c r="H653" s="17" t="str">
        <f>IFERROR(IF(INDEX(Movimientos!$M$2:$M$1998,MATCH(A653&amp;"ENTRADA",Movimientos!$R$2:$R$1998,0))=0,"S/D",INDEX(Movimientos!$M$2:$M$1998,MATCH(A653&amp;"ENTRADA",Movimientos!$R$2:$R$1998,0))),"S/D")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 ht="14.25">
      <c r="A654" s="16" t="s">
        <v>2819</v>
      </c>
      <c r="B654" s="2" t="str">
        <f>IFERROR(INDEX(Movimientos!$C$2:$C$1998,MATCH(A654&amp;"ENTRADA",Movimientos!$R$2:$R$1998,0)),"-")</f>
        <v>-</v>
      </c>
      <c r="C654" s="2" t="str">
        <f>IFERROR(INDEX(Movimientos!$D$2:$D$1998,MATCH(A654&amp;"ENTRADA",Movimientos!$R$2:$R$1998,0)),"-")</f>
        <v>-</v>
      </c>
      <c r="D654" s="2" t="str">
        <f>IFERROR(INDEX(Movimientos!$E$2:$E$1998,MATCH(A654&amp;"ENTRADA",Movimientos!$R$2:$R$1998,0)),"-")</f>
        <v>-</v>
      </c>
      <c r="E654" s="2" t="str">
        <f>IFERROR(INDEX(Movimientos!$F$2:$F$1998,MATCH(A654&amp;"ENTRADA",Movimientos!$R$2:$R$1998,0)),"-")</f>
        <v>-</v>
      </c>
      <c r="F654" s="2" t="str">
        <f>IFERROR(INDEX(Movimientos!$G$2:$G$1998,MATCH(A654&amp;"ENTRADA",Movimientos!$R$2:$R$1998,0)),"-")</f>
        <v>-</v>
      </c>
      <c r="G654" s="2" t="str">
        <f>IFERROR(INDEX(Movimientos!$L$2:$L$1998,MATCH(A654&amp;"ENTRADA",Movimientos!$R$2:$R$1998,0)),"-")</f>
        <v>-</v>
      </c>
      <c r="H654" s="17" t="str">
        <f>IFERROR(IF(INDEX(Movimientos!$M$2:$M$1998,MATCH(A654&amp;"ENTRADA",Movimientos!$R$2:$R$1998,0))=0,"S/D",INDEX(Movimientos!$M$2:$M$1998,MATCH(A654&amp;"ENTRADA",Movimientos!$R$2:$R$1998,0))),"S/D")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 ht="14.25">
      <c r="A655" s="16" t="s">
        <v>2820</v>
      </c>
      <c r="B655" s="2" t="str">
        <f>IFERROR(INDEX(Movimientos!$C$2:$C$1998,MATCH(A655&amp;"ENTRADA",Movimientos!$R$2:$R$1998,0)),"-")</f>
        <v>-</v>
      </c>
      <c r="C655" s="2" t="str">
        <f>IFERROR(INDEX(Movimientos!$D$2:$D$1998,MATCH(A655&amp;"ENTRADA",Movimientos!$R$2:$R$1998,0)),"-")</f>
        <v>-</v>
      </c>
      <c r="D655" s="2" t="str">
        <f>IFERROR(INDEX(Movimientos!$E$2:$E$1998,MATCH(A655&amp;"ENTRADA",Movimientos!$R$2:$R$1998,0)),"-")</f>
        <v>-</v>
      </c>
      <c r="E655" s="2" t="str">
        <f>IFERROR(INDEX(Movimientos!$F$2:$F$1998,MATCH(A655&amp;"ENTRADA",Movimientos!$R$2:$R$1998,0)),"-")</f>
        <v>-</v>
      </c>
      <c r="F655" s="2" t="str">
        <f>IFERROR(INDEX(Movimientos!$G$2:$G$1998,MATCH(A655&amp;"ENTRADA",Movimientos!$R$2:$R$1998,0)),"-")</f>
        <v>-</v>
      </c>
      <c r="G655" s="2" t="str">
        <f>IFERROR(INDEX(Movimientos!$L$2:$L$1998,MATCH(A655&amp;"ENTRADA",Movimientos!$R$2:$R$1998,0)),"-")</f>
        <v>-</v>
      </c>
      <c r="H655" s="17" t="str">
        <f>IFERROR(IF(INDEX(Movimientos!$M$2:$M$1998,MATCH(A655&amp;"ENTRADA",Movimientos!$R$2:$R$1998,0))=0,"S/D",INDEX(Movimientos!$M$2:$M$1998,MATCH(A655&amp;"ENTRADA",Movimientos!$R$2:$R$1998,0))),"S/D")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 ht="14.25">
      <c r="A656" s="16" t="s">
        <v>2821</v>
      </c>
      <c r="B656" s="2" t="str">
        <f>IFERROR(INDEX(Movimientos!$C$2:$C$1998,MATCH(A656&amp;"ENTRADA",Movimientos!$R$2:$R$1998,0)),"-")</f>
        <v>-</v>
      </c>
      <c r="C656" s="2" t="str">
        <f>IFERROR(INDEX(Movimientos!$D$2:$D$1998,MATCH(A656&amp;"ENTRADA",Movimientos!$R$2:$R$1998,0)),"-")</f>
        <v>-</v>
      </c>
      <c r="D656" s="2" t="str">
        <f>IFERROR(INDEX(Movimientos!$E$2:$E$1998,MATCH(A656&amp;"ENTRADA",Movimientos!$R$2:$R$1998,0)),"-")</f>
        <v>-</v>
      </c>
      <c r="E656" s="2" t="str">
        <f>IFERROR(INDEX(Movimientos!$F$2:$F$1998,MATCH(A656&amp;"ENTRADA",Movimientos!$R$2:$R$1998,0)),"-")</f>
        <v>-</v>
      </c>
      <c r="F656" s="2" t="str">
        <f>IFERROR(INDEX(Movimientos!$G$2:$G$1998,MATCH(A656&amp;"ENTRADA",Movimientos!$R$2:$R$1998,0)),"-")</f>
        <v>-</v>
      </c>
      <c r="G656" s="2" t="str">
        <f>IFERROR(INDEX(Movimientos!$L$2:$L$1998,MATCH(A656&amp;"ENTRADA",Movimientos!$R$2:$R$1998,0)),"-")</f>
        <v>-</v>
      </c>
      <c r="H656" s="17" t="str">
        <f>IFERROR(IF(INDEX(Movimientos!$M$2:$M$1998,MATCH(A656&amp;"ENTRADA",Movimientos!$R$2:$R$1998,0))=0,"S/D",INDEX(Movimientos!$M$2:$M$1998,MATCH(A656&amp;"ENTRADA",Movimientos!$R$2:$R$1998,0))),"S/D")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 ht="14.25">
      <c r="A657" s="16" t="s">
        <v>2822</v>
      </c>
      <c r="B657" s="2" t="str">
        <f>IFERROR(INDEX(Movimientos!$C$2:$C$1998,MATCH(A657&amp;"ENTRADA",Movimientos!$R$2:$R$1998,0)),"-")</f>
        <v>-</v>
      </c>
      <c r="C657" s="2" t="str">
        <f>IFERROR(INDEX(Movimientos!$D$2:$D$1998,MATCH(A657&amp;"ENTRADA",Movimientos!$R$2:$R$1998,0)),"-")</f>
        <v>-</v>
      </c>
      <c r="D657" s="2" t="str">
        <f>IFERROR(INDEX(Movimientos!$E$2:$E$1998,MATCH(A657&amp;"ENTRADA",Movimientos!$R$2:$R$1998,0)),"-")</f>
        <v>-</v>
      </c>
      <c r="E657" s="2" t="str">
        <f>IFERROR(INDEX(Movimientos!$F$2:$F$1998,MATCH(A657&amp;"ENTRADA",Movimientos!$R$2:$R$1998,0)),"-")</f>
        <v>-</v>
      </c>
      <c r="F657" s="2" t="str">
        <f>IFERROR(INDEX(Movimientos!$G$2:$G$1998,MATCH(A657&amp;"ENTRADA",Movimientos!$R$2:$R$1998,0)),"-")</f>
        <v>-</v>
      </c>
      <c r="G657" s="2" t="str">
        <f>IFERROR(INDEX(Movimientos!$L$2:$L$1998,MATCH(A657&amp;"ENTRADA",Movimientos!$R$2:$R$1998,0)),"-")</f>
        <v>-</v>
      </c>
      <c r="H657" s="17" t="str">
        <f>IFERROR(IF(INDEX(Movimientos!$M$2:$M$1998,MATCH(A657&amp;"ENTRADA",Movimientos!$R$2:$R$1998,0))=0,"S/D",INDEX(Movimientos!$M$2:$M$1998,MATCH(A657&amp;"ENTRADA",Movimientos!$R$2:$R$1998,0))),"S/D")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 ht="14.25">
      <c r="A658" s="16" t="s">
        <v>2823</v>
      </c>
      <c r="B658" s="2" t="str">
        <f>IFERROR(INDEX(Movimientos!$C$2:$C$1998,MATCH(A658&amp;"ENTRADA",Movimientos!$R$2:$R$1998,0)),"-")</f>
        <v>-</v>
      </c>
      <c r="C658" s="2" t="str">
        <f>IFERROR(INDEX(Movimientos!$D$2:$D$1998,MATCH(A658&amp;"ENTRADA",Movimientos!$R$2:$R$1998,0)),"-")</f>
        <v>-</v>
      </c>
      <c r="D658" s="2" t="str">
        <f>IFERROR(INDEX(Movimientos!$E$2:$E$1998,MATCH(A658&amp;"ENTRADA",Movimientos!$R$2:$R$1998,0)),"-")</f>
        <v>-</v>
      </c>
      <c r="E658" s="2" t="str">
        <f>IFERROR(INDEX(Movimientos!$F$2:$F$1998,MATCH(A658&amp;"ENTRADA",Movimientos!$R$2:$R$1998,0)),"-")</f>
        <v>-</v>
      </c>
      <c r="F658" s="2" t="str">
        <f>IFERROR(INDEX(Movimientos!$G$2:$G$1998,MATCH(A658&amp;"ENTRADA",Movimientos!$R$2:$R$1998,0)),"-")</f>
        <v>-</v>
      </c>
      <c r="G658" s="2" t="str">
        <f>IFERROR(INDEX(Movimientos!$L$2:$L$1998,MATCH(A658&amp;"ENTRADA",Movimientos!$R$2:$R$1998,0)),"-")</f>
        <v>-</v>
      </c>
      <c r="H658" s="17" t="str">
        <f>IFERROR(IF(INDEX(Movimientos!$M$2:$M$1998,MATCH(A658&amp;"ENTRADA",Movimientos!$R$2:$R$1998,0))=0,"S/D",INDEX(Movimientos!$M$2:$M$1998,MATCH(A658&amp;"ENTRADA",Movimientos!$R$2:$R$1998,0))),"S/D")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 ht="14.25">
      <c r="A659" s="16" t="s">
        <v>2824</v>
      </c>
      <c r="B659" s="2" t="str">
        <f>IFERROR(INDEX(Movimientos!$C$2:$C$1998,MATCH(A659&amp;"ENTRADA",Movimientos!$R$2:$R$1998,0)),"-")</f>
        <v>-</v>
      </c>
      <c r="C659" s="2" t="str">
        <f>IFERROR(INDEX(Movimientos!$D$2:$D$1998,MATCH(A659&amp;"ENTRADA",Movimientos!$R$2:$R$1998,0)),"-")</f>
        <v>-</v>
      </c>
      <c r="D659" s="2" t="str">
        <f>IFERROR(INDEX(Movimientos!$E$2:$E$1998,MATCH(A659&amp;"ENTRADA",Movimientos!$R$2:$R$1998,0)),"-")</f>
        <v>-</v>
      </c>
      <c r="E659" s="2" t="str">
        <f>IFERROR(INDEX(Movimientos!$F$2:$F$1998,MATCH(A659&amp;"ENTRADA",Movimientos!$R$2:$R$1998,0)),"-")</f>
        <v>-</v>
      </c>
      <c r="F659" s="2" t="str">
        <f>IFERROR(INDEX(Movimientos!$G$2:$G$1998,MATCH(A659&amp;"ENTRADA",Movimientos!$R$2:$R$1998,0)),"-")</f>
        <v>-</v>
      </c>
      <c r="G659" s="2" t="str">
        <f>IFERROR(INDEX(Movimientos!$L$2:$L$1998,MATCH(A659&amp;"ENTRADA",Movimientos!$R$2:$R$1998,0)),"-")</f>
        <v>-</v>
      </c>
      <c r="H659" s="17" t="str">
        <f>IFERROR(IF(INDEX(Movimientos!$M$2:$M$1998,MATCH(A659&amp;"ENTRADA",Movimientos!$R$2:$R$1998,0))=0,"S/D",INDEX(Movimientos!$M$2:$M$1998,MATCH(A659&amp;"ENTRADA",Movimientos!$R$2:$R$1998,0))),"S/D")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 ht="14.25">
      <c r="A660" s="16" t="s">
        <v>2825</v>
      </c>
      <c r="B660" s="2" t="str">
        <f>IFERROR(INDEX(Movimientos!$C$2:$C$1998,MATCH(A660&amp;"ENTRADA",Movimientos!$R$2:$R$1998,0)),"-")</f>
        <v>-</v>
      </c>
      <c r="C660" s="2" t="str">
        <f>IFERROR(INDEX(Movimientos!$D$2:$D$1998,MATCH(A660&amp;"ENTRADA",Movimientos!$R$2:$R$1998,0)),"-")</f>
        <v>-</v>
      </c>
      <c r="D660" s="2" t="str">
        <f>IFERROR(INDEX(Movimientos!$E$2:$E$1998,MATCH(A660&amp;"ENTRADA",Movimientos!$R$2:$R$1998,0)),"-")</f>
        <v>-</v>
      </c>
      <c r="E660" s="2" t="str">
        <f>IFERROR(INDEX(Movimientos!$F$2:$F$1998,MATCH(A660&amp;"ENTRADA",Movimientos!$R$2:$R$1998,0)),"-")</f>
        <v>-</v>
      </c>
      <c r="F660" s="2" t="str">
        <f>IFERROR(INDEX(Movimientos!$G$2:$G$1998,MATCH(A660&amp;"ENTRADA",Movimientos!$R$2:$R$1998,0)),"-")</f>
        <v>-</v>
      </c>
      <c r="G660" s="2" t="str">
        <f>IFERROR(INDEX(Movimientos!$L$2:$L$1998,MATCH(A660&amp;"ENTRADA",Movimientos!$R$2:$R$1998,0)),"-")</f>
        <v>-</v>
      </c>
      <c r="H660" s="17" t="str">
        <f>IFERROR(IF(INDEX(Movimientos!$M$2:$M$1998,MATCH(A660&amp;"ENTRADA",Movimientos!$R$2:$R$1998,0))=0,"S/D",INDEX(Movimientos!$M$2:$M$1998,MATCH(A660&amp;"ENTRADA",Movimientos!$R$2:$R$1998,0))),"S/D")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 ht="14.25">
      <c r="A661" s="16" t="s">
        <v>2826</v>
      </c>
      <c r="B661" s="2" t="str">
        <f>IFERROR(INDEX(Movimientos!$C$2:$C$1998,MATCH(A661&amp;"ENTRADA",Movimientos!$R$2:$R$1998,0)),"-")</f>
        <v>-</v>
      </c>
      <c r="C661" s="2" t="str">
        <f>IFERROR(INDEX(Movimientos!$D$2:$D$1998,MATCH(A661&amp;"ENTRADA",Movimientos!$R$2:$R$1998,0)),"-")</f>
        <v>-</v>
      </c>
      <c r="D661" s="2" t="str">
        <f>IFERROR(INDEX(Movimientos!$E$2:$E$1998,MATCH(A661&amp;"ENTRADA",Movimientos!$R$2:$R$1998,0)),"-")</f>
        <v>-</v>
      </c>
      <c r="E661" s="2" t="str">
        <f>IFERROR(INDEX(Movimientos!$F$2:$F$1998,MATCH(A661&amp;"ENTRADA",Movimientos!$R$2:$R$1998,0)),"-")</f>
        <v>-</v>
      </c>
      <c r="F661" s="2" t="str">
        <f>IFERROR(INDEX(Movimientos!$G$2:$G$1998,MATCH(A661&amp;"ENTRADA",Movimientos!$R$2:$R$1998,0)),"-")</f>
        <v>-</v>
      </c>
      <c r="G661" s="2" t="str">
        <f>IFERROR(INDEX(Movimientos!$L$2:$L$1998,MATCH(A661&amp;"ENTRADA",Movimientos!$R$2:$R$1998,0)),"-")</f>
        <v>-</v>
      </c>
      <c r="H661" s="17" t="str">
        <f>IFERROR(IF(INDEX(Movimientos!$M$2:$M$1998,MATCH(A661&amp;"ENTRADA",Movimientos!$R$2:$R$1998,0))=0,"S/D",INDEX(Movimientos!$M$2:$M$1998,MATCH(A661&amp;"ENTRADA",Movimientos!$R$2:$R$1998,0))),"S/D")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 ht="14.25">
      <c r="A662" s="16" t="s">
        <v>2827</v>
      </c>
      <c r="B662" s="2" t="str">
        <f>IFERROR(INDEX(Movimientos!$C$2:$C$1998,MATCH(A662&amp;"ENTRADA",Movimientos!$R$2:$R$1998,0)),"-")</f>
        <v>-</v>
      </c>
      <c r="C662" s="2" t="str">
        <f>IFERROR(INDEX(Movimientos!$D$2:$D$1998,MATCH(A662&amp;"ENTRADA",Movimientos!$R$2:$R$1998,0)),"-")</f>
        <v>-</v>
      </c>
      <c r="D662" s="2" t="str">
        <f>IFERROR(INDEX(Movimientos!$E$2:$E$1998,MATCH(A662&amp;"ENTRADA",Movimientos!$R$2:$R$1998,0)),"-")</f>
        <v>-</v>
      </c>
      <c r="E662" s="2" t="str">
        <f>IFERROR(INDEX(Movimientos!$F$2:$F$1998,MATCH(A662&amp;"ENTRADA",Movimientos!$R$2:$R$1998,0)),"-")</f>
        <v>-</v>
      </c>
      <c r="F662" s="2" t="str">
        <f>IFERROR(INDEX(Movimientos!$G$2:$G$1998,MATCH(A662&amp;"ENTRADA",Movimientos!$R$2:$R$1998,0)),"-")</f>
        <v>-</v>
      </c>
      <c r="G662" s="2" t="str">
        <f>IFERROR(INDEX(Movimientos!$L$2:$L$1998,MATCH(A662&amp;"ENTRADA",Movimientos!$R$2:$R$1998,0)),"-")</f>
        <v>-</v>
      </c>
      <c r="H662" s="17" t="str">
        <f>IFERROR(IF(INDEX(Movimientos!$M$2:$M$1998,MATCH(A662&amp;"ENTRADA",Movimientos!$R$2:$R$1998,0))=0,"S/D",INDEX(Movimientos!$M$2:$M$1998,MATCH(A662&amp;"ENTRADA",Movimientos!$R$2:$R$1998,0))),"S/D")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 ht="14.25">
      <c r="A663" s="16" t="s">
        <v>2828</v>
      </c>
      <c r="B663" s="2" t="str">
        <f>IFERROR(INDEX(Movimientos!$C$2:$C$1998,MATCH(A663&amp;"ENTRADA",Movimientos!$R$2:$R$1998,0)),"-")</f>
        <v>-</v>
      </c>
      <c r="C663" s="2" t="str">
        <f>IFERROR(INDEX(Movimientos!$D$2:$D$1998,MATCH(A663&amp;"ENTRADA",Movimientos!$R$2:$R$1998,0)),"-")</f>
        <v>-</v>
      </c>
      <c r="D663" s="2" t="str">
        <f>IFERROR(INDEX(Movimientos!$E$2:$E$1998,MATCH(A663&amp;"ENTRADA",Movimientos!$R$2:$R$1998,0)),"-")</f>
        <v>-</v>
      </c>
      <c r="E663" s="2" t="str">
        <f>IFERROR(INDEX(Movimientos!$F$2:$F$1998,MATCH(A663&amp;"ENTRADA",Movimientos!$R$2:$R$1998,0)),"-")</f>
        <v>-</v>
      </c>
      <c r="F663" s="2" t="str">
        <f>IFERROR(INDEX(Movimientos!$G$2:$G$1998,MATCH(A663&amp;"ENTRADA",Movimientos!$R$2:$R$1998,0)),"-")</f>
        <v>-</v>
      </c>
      <c r="G663" s="2" t="str">
        <f>IFERROR(INDEX(Movimientos!$L$2:$L$1998,MATCH(A663&amp;"ENTRADA",Movimientos!$R$2:$R$1998,0)),"-")</f>
        <v>-</v>
      </c>
      <c r="H663" s="17" t="str">
        <f>IFERROR(IF(INDEX(Movimientos!$M$2:$M$1998,MATCH(A663&amp;"ENTRADA",Movimientos!$R$2:$R$1998,0))=0,"S/D",INDEX(Movimientos!$M$2:$M$1998,MATCH(A663&amp;"ENTRADA",Movimientos!$R$2:$R$1998,0))),"S/D")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 ht="14.25">
      <c r="A664" s="16" t="s">
        <v>2829</v>
      </c>
      <c r="B664" s="2" t="str">
        <f>IFERROR(INDEX(Movimientos!$C$2:$C$1998,MATCH(A664&amp;"ENTRADA",Movimientos!$R$2:$R$1998,0)),"-")</f>
        <v>-</v>
      </c>
      <c r="C664" s="2" t="str">
        <f>IFERROR(INDEX(Movimientos!$D$2:$D$1998,MATCH(A664&amp;"ENTRADA",Movimientos!$R$2:$R$1998,0)),"-")</f>
        <v>-</v>
      </c>
      <c r="D664" s="2" t="str">
        <f>IFERROR(INDEX(Movimientos!$E$2:$E$1998,MATCH(A664&amp;"ENTRADA",Movimientos!$R$2:$R$1998,0)),"-")</f>
        <v>-</v>
      </c>
      <c r="E664" s="2" t="str">
        <f>IFERROR(INDEX(Movimientos!$F$2:$F$1998,MATCH(A664&amp;"ENTRADA",Movimientos!$R$2:$R$1998,0)),"-")</f>
        <v>-</v>
      </c>
      <c r="F664" s="2" t="str">
        <f>IFERROR(INDEX(Movimientos!$G$2:$G$1998,MATCH(A664&amp;"ENTRADA",Movimientos!$R$2:$R$1998,0)),"-")</f>
        <v>-</v>
      </c>
      <c r="G664" s="2" t="str">
        <f>IFERROR(INDEX(Movimientos!$L$2:$L$1998,MATCH(A664&amp;"ENTRADA",Movimientos!$R$2:$R$1998,0)),"-")</f>
        <v>-</v>
      </c>
      <c r="H664" s="17" t="str">
        <f>IFERROR(IF(INDEX(Movimientos!$M$2:$M$1998,MATCH(A664&amp;"ENTRADA",Movimientos!$R$2:$R$1998,0))=0,"S/D",INDEX(Movimientos!$M$2:$M$1998,MATCH(A664&amp;"ENTRADA",Movimientos!$R$2:$R$1998,0))),"S/D")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 ht="14.25">
      <c r="A665" s="16" t="s">
        <v>2830</v>
      </c>
      <c r="B665" s="2" t="str">
        <f>IFERROR(INDEX(Movimientos!$C$2:$C$1998,MATCH(A665&amp;"ENTRADA",Movimientos!$R$2:$R$1998,0)),"-")</f>
        <v>-</v>
      </c>
      <c r="C665" s="2" t="str">
        <f>IFERROR(INDEX(Movimientos!$D$2:$D$1998,MATCH(A665&amp;"ENTRADA",Movimientos!$R$2:$R$1998,0)),"-")</f>
        <v>-</v>
      </c>
      <c r="D665" s="2" t="str">
        <f>IFERROR(INDEX(Movimientos!$E$2:$E$1998,MATCH(A665&amp;"ENTRADA",Movimientos!$R$2:$R$1998,0)),"-")</f>
        <v>-</v>
      </c>
      <c r="E665" s="2" t="str">
        <f>IFERROR(INDEX(Movimientos!$F$2:$F$1998,MATCH(A665&amp;"ENTRADA",Movimientos!$R$2:$R$1998,0)),"-")</f>
        <v>-</v>
      </c>
      <c r="F665" s="2" t="str">
        <f>IFERROR(INDEX(Movimientos!$G$2:$G$1998,MATCH(A665&amp;"ENTRADA",Movimientos!$R$2:$R$1998,0)),"-")</f>
        <v>-</v>
      </c>
      <c r="G665" s="2" t="str">
        <f>IFERROR(INDEX(Movimientos!$L$2:$L$1998,MATCH(A665&amp;"ENTRADA",Movimientos!$R$2:$R$1998,0)),"-")</f>
        <v>-</v>
      </c>
      <c r="H665" s="17" t="str">
        <f>IFERROR(IF(INDEX(Movimientos!$M$2:$M$1998,MATCH(A665&amp;"ENTRADA",Movimientos!$R$2:$R$1998,0))=0,"S/D",INDEX(Movimientos!$M$2:$M$1998,MATCH(A665&amp;"ENTRADA",Movimientos!$R$2:$R$1998,0))),"S/D")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 ht="14.25">
      <c r="A666" s="16" t="s">
        <v>2831</v>
      </c>
      <c r="B666" s="2" t="str">
        <f>IFERROR(INDEX(Movimientos!$C$2:$C$1998,MATCH(A666&amp;"ENTRADA",Movimientos!$R$2:$R$1998,0)),"-")</f>
        <v>-</v>
      </c>
      <c r="C666" s="2" t="str">
        <f>IFERROR(INDEX(Movimientos!$D$2:$D$1998,MATCH(A666&amp;"ENTRADA",Movimientos!$R$2:$R$1998,0)),"-")</f>
        <v>-</v>
      </c>
      <c r="D666" s="2" t="str">
        <f>IFERROR(INDEX(Movimientos!$E$2:$E$1998,MATCH(A666&amp;"ENTRADA",Movimientos!$R$2:$R$1998,0)),"-")</f>
        <v>-</v>
      </c>
      <c r="E666" s="2" t="str">
        <f>IFERROR(INDEX(Movimientos!$F$2:$F$1998,MATCH(A666&amp;"ENTRADA",Movimientos!$R$2:$R$1998,0)),"-")</f>
        <v>-</v>
      </c>
      <c r="F666" s="2" t="str">
        <f>IFERROR(INDEX(Movimientos!$G$2:$G$1998,MATCH(A666&amp;"ENTRADA",Movimientos!$R$2:$R$1998,0)),"-")</f>
        <v>-</v>
      </c>
      <c r="G666" s="2" t="str">
        <f>IFERROR(INDEX(Movimientos!$L$2:$L$1998,MATCH(A666&amp;"ENTRADA",Movimientos!$R$2:$R$1998,0)),"-")</f>
        <v>-</v>
      </c>
      <c r="H666" s="17" t="str">
        <f>IFERROR(IF(INDEX(Movimientos!$M$2:$M$1998,MATCH(A666&amp;"ENTRADA",Movimientos!$R$2:$R$1998,0))=0,"S/D",INDEX(Movimientos!$M$2:$M$1998,MATCH(A666&amp;"ENTRADA",Movimientos!$R$2:$R$1998,0))),"S/D")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 ht="14.25">
      <c r="A667" s="16" t="s">
        <v>2832</v>
      </c>
      <c r="B667" s="2" t="str">
        <f>IFERROR(INDEX(Movimientos!$C$2:$C$1998,MATCH(A667&amp;"ENTRADA",Movimientos!$R$2:$R$1998,0)),"-")</f>
        <v>-</v>
      </c>
      <c r="C667" s="2" t="str">
        <f>IFERROR(INDEX(Movimientos!$D$2:$D$1998,MATCH(A667&amp;"ENTRADA",Movimientos!$R$2:$R$1998,0)),"-")</f>
        <v>-</v>
      </c>
      <c r="D667" s="2" t="str">
        <f>IFERROR(INDEX(Movimientos!$E$2:$E$1998,MATCH(A667&amp;"ENTRADA",Movimientos!$R$2:$R$1998,0)),"-")</f>
        <v>-</v>
      </c>
      <c r="E667" s="2" t="str">
        <f>IFERROR(INDEX(Movimientos!$F$2:$F$1998,MATCH(A667&amp;"ENTRADA",Movimientos!$R$2:$R$1998,0)),"-")</f>
        <v>-</v>
      </c>
      <c r="F667" s="2" t="str">
        <f>IFERROR(INDEX(Movimientos!$G$2:$G$1998,MATCH(A667&amp;"ENTRADA",Movimientos!$R$2:$R$1998,0)),"-")</f>
        <v>-</v>
      </c>
      <c r="G667" s="2" t="str">
        <f>IFERROR(INDEX(Movimientos!$L$2:$L$1998,MATCH(A667&amp;"ENTRADA",Movimientos!$R$2:$R$1998,0)),"-")</f>
        <v>-</v>
      </c>
      <c r="H667" s="17" t="str">
        <f>IFERROR(IF(INDEX(Movimientos!$M$2:$M$1998,MATCH(A667&amp;"ENTRADA",Movimientos!$R$2:$R$1998,0))=0,"S/D",INDEX(Movimientos!$M$2:$M$1998,MATCH(A667&amp;"ENTRADA",Movimientos!$R$2:$R$1998,0))),"S/D")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 ht="14.25">
      <c r="A668" s="16" t="s">
        <v>2833</v>
      </c>
      <c r="B668" s="2" t="str">
        <f>IFERROR(INDEX(Movimientos!$C$2:$C$1998,MATCH(A668&amp;"ENTRADA",Movimientos!$R$2:$R$1998,0)),"-")</f>
        <v>-</v>
      </c>
      <c r="C668" s="2" t="str">
        <f>IFERROR(INDEX(Movimientos!$D$2:$D$1998,MATCH(A668&amp;"ENTRADA",Movimientos!$R$2:$R$1998,0)),"-")</f>
        <v>-</v>
      </c>
      <c r="D668" s="2" t="str">
        <f>IFERROR(INDEX(Movimientos!$E$2:$E$1998,MATCH(A668&amp;"ENTRADA",Movimientos!$R$2:$R$1998,0)),"-")</f>
        <v>-</v>
      </c>
      <c r="E668" s="2" t="str">
        <f>IFERROR(INDEX(Movimientos!$F$2:$F$1998,MATCH(A668&amp;"ENTRADA",Movimientos!$R$2:$R$1998,0)),"-")</f>
        <v>-</v>
      </c>
      <c r="F668" s="2" t="str">
        <f>IFERROR(INDEX(Movimientos!$G$2:$G$1998,MATCH(A668&amp;"ENTRADA",Movimientos!$R$2:$R$1998,0)),"-")</f>
        <v>-</v>
      </c>
      <c r="G668" s="2" t="str">
        <f>IFERROR(INDEX(Movimientos!$L$2:$L$1998,MATCH(A668&amp;"ENTRADA",Movimientos!$R$2:$R$1998,0)),"-")</f>
        <v>-</v>
      </c>
      <c r="H668" s="17" t="str">
        <f>IFERROR(IF(INDEX(Movimientos!$M$2:$M$1998,MATCH(A668&amp;"ENTRADA",Movimientos!$R$2:$R$1998,0))=0,"S/D",INDEX(Movimientos!$M$2:$M$1998,MATCH(A668&amp;"ENTRADA",Movimientos!$R$2:$R$1998,0))),"S/D")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 ht="14.25">
      <c r="A669" s="16" t="s">
        <v>2834</v>
      </c>
      <c r="B669" s="2" t="str">
        <f>IFERROR(INDEX(Movimientos!$C$2:$C$1998,MATCH(A669&amp;"ENTRADA",Movimientos!$R$2:$R$1998,0)),"-")</f>
        <v>-</v>
      </c>
      <c r="C669" s="2" t="str">
        <f>IFERROR(INDEX(Movimientos!$D$2:$D$1998,MATCH(A669&amp;"ENTRADA",Movimientos!$R$2:$R$1998,0)),"-")</f>
        <v>-</v>
      </c>
      <c r="D669" s="2" t="str">
        <f>IFERROR(INDEX(Movimientos!$E$2:$E$1998,MATCH(A669&amp;"ENTRADA",Movimientos!$R$2:$R$1998,0)),"-")</f>
        <v>-</v>
      </c>
      <c r="E669" s="2" t="str">
        <f>IFERROR(INDEX(Movimientos!$F$2:$F$1998,MATCH(A669&amp;"ENTRADA",Movimientos!$R$2:$R$1998,0)),"-")</f>
        <v>-</v>
      </c>
      <c r="F669" s="2" t="str">
        <f>IFERROR(INDEX(Movimientos!$G$2:$G$1998,MATCH(A669&amp;"ENTRADA",Movimientos!$R$2:$R$1998,0)),"-")</f>
        <v>-</v>
      </c>
      <c r="G669" s="2" t="str">
        <f>IFERROR(INDEX(Movimientos!$L$2:$L$1998,MATCH(A669&amp;"ENTRADA",Movimientos!$R$2:$R$1998,0)),"-")</f>
        <v>-</v>
      </c>
      <c r="H669" s="17" t="str">
        <f>IFERROR(IF(INDEX(Movimientos!$M$2:$M$1998,MATCH(A669&amp;"ENTRADA",Movimientos!$R$2:$R$1998,0))=0,"S/D",INDEX(Movimientos!$M$2:$M$1998,MATCH(A669&amp;"ENTRADA",Movimientos!$R$2:$R$1998,0))),"S/D")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 ht="14.25">
      <c r="A670" s="16" t="s">
        <v>2835</v>
      </c>
      <c r="B670" s="2" t="str">
        <f>IFERROR(INDEX(Movimientos!$C$2:$C$1998,MATCH(A670&amp;"ENTRADA",Movimientos!$R$2:$R$1998,0)),"-")</f>
        <v>-</v>
      </c>
      <c r="C670" s="2" t="str">
        <f>IFERROR(INDEX(Movimientos!$D$2:$D$1998,MATCH(A670&amp;"ENTRADA",Movimientos!$R$2:$R$1998,0)),"-")</f>
        <v>-</v>
      </c>
      <c r="D670" s="2" t="str">
        <f>IFERROR(INDEX(Movimientos!$E$2:$E$1998,MATCH(A670&amp;"ENTRADA",Movimientos!$R$2:$R$1998,0)),"-")</f>
        <v>-</v>
      </c>
      <c r="E670" s="2" t="str">
        <f>IFERROR(INDEX(Movimientos!$F$2:$F$1998,MATCH(A670&amp;"ENTRADA",Movimientos!$R$2:$R$1998,0)),"-")</f>
        <v>-</v>
      </c>
      <c r="F670" s="2" t="str">
        <f>IFERROR(INDEX(Movimientos!$G$2:$G$1998,MATCH(A670&amp;"ENTRADA",Movimientos!$R$2:$R$1998,0)),"-")</f>
        <v>-</v>
      </c>
      <c r="G670" s="2" t="str">
        <f>IFERROR(INDEX(Movimientos!$L$2:$L$1998,MATCH(A670&amp;"ENTRADA",Movimientos!$R$2:$R$1998,0)),"-")</f>
        <v>-</v>
      </c>
      <c r="H670" s="17" t="str">
        <f>IFERROR(IF(INDEX(Movimientos!$M$2:$M$1998,MATCH(A670&amp;"ENTRADA",Movimientos!$R$2:$R$1998,0))=0,"S/D",INDEX(Movimientos!$M$2:$M$1998,MATCH(A670&amp;"ENTRADA",Movimientos!$R$2:$R$1998,0))),"S/D")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 ht="14.25">
      <c r="A671" s="16" t="s">
        <v>2836</v>
      </c>
      <c r="B671" s="2" t="str">
        <f>IFERROR(INDEX(Movimientos!$C$2:$C$1998,MATCH(A671&amp;"ENTRADA",Movimientos!$R$2:$R$1998,0)),"-")</f>
        <v>-</v>
      </c>
      <c r="C671" s="2" t="str">
        <f>IFERROR(INDEX(Movimientos!$D$2:$D$1998,MATCH(A671&amp;"ENTRADA",Movimientos!$R$2:$R$1998,0)),"-")</f>
        <v>-</v>
      </c>
      <c r="D671" s="2" t="str">
        <f>IFERROR(INDEX(Movimientos!$E$2:$E$1998,MATCH(A671&amp;"ENTRADA",Movimientos!$R$2:$R$1998,0)),"-")</f>
        <v>-</v>
      </c>
      <c r="E671" s="2" t="str">
        <f>IFERROR(INDEX(Movimientos!$F$2:$F$1998,MATCH(A671&amp;"ENTRADA",Movimientos!$R$2:$R$1998,0)),"-")</f>
        <v>-</v>
      </c>
      <c r="F671" s="2" t="str">
        <f>IFERROR(INDEX(Movimientos!$G$2:$G$1998,MATCH(A671&amp;"ENTRADA",Movimientos!$R$2:$R$1998,0)),"-")</f>
        <v>-</v>
      </c>
      <c r="G671" s="2" t="str">
        <f>IFERROR(INDEX(Movimientos!$L$2:$L$1998,MATCH(A671&amp;"ENTRADA",Movimientos!$R$2:$R$1998,0)),"-")</f>
        <v>-</v>
      </c>
      <c r="H671" s="17" t="str">
        <f>IFERROR(IF(INDEX(Movimientos!$M$2:$M$1998,MATCH(A671&amp;"ENTRADA",Movimientos!$R$2:$R$1998,0))=0,"S/D",INDEX(Movimientos!$M$2:$M$1998,MATCH(A671&amp;"ENTRADA",Movimientos!$R$2:$R$1998,0))),"S/D")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 ht="14.25">
      <c r="A672" s="16" t="s">
        <v>2837</v>
      </c>
      <c r="B672" s="2" t="str">
        <f>IFERROR(INDEX(Movimientos!$C$2:$C$1998,MATCH(A672&amp;"ENTRADA",Movimientos!$R$2:$R$1998,0)),"-")</f>
        <v>-</v>
      </c>
      <c r="C672" s="2" t="str">
        <f>IFERROR(INDEX(Movimientos!$D$2:$D$1998,MATCH(A672&amp;"ENTRADA",Movimientos!$R$2:$R$1998,0)),"-")</f>
        <v>-</v>
      </c>
      <c r="D672" s="2" t="str">
        <f>IFERROR(INDEX(Movimientos!$E$2:$E$1998,MATCH(A672&amp;"ENTRADA",Movimientos!$R$2:$R$1998,0)),"-")</f>
        <v>-</v>
      </c>
      <c r="E672" s="2" t="str">
        <f>IFERROR(INDEX(Movimientos!$F$2:$F$1998,MATCH(A672&amp;"ENTRADA",Movimientos!$R$2:$R$1998,0)),"-")</f>
        <v>-</v>
      </c>
      <c r="F672" s="2" t="str">
        <f>IFERROR(INDEX(Movimientos!$G$2:$G$1998,MATCH(A672&amp;"ENTRADA",Movimientos!$R$2:$R$1998,0)),"-")</f>
        <v>-</v>
      </c>
      <c r="G672" s="2" t="str">
        <f>IFERROR(INDEX(Movimientos!$L$2:$L$1998,MATCH(A672&amp;"ENTRADA",Movimientos!$R$2:$R$1998,0)),"-")</f>
        <v>-</v>
      </c>
      <c r="H672" s="17" t="str">
        <f>IFERROR(IF(INDEX(Movimientos!$M$2:$M$1998,MATCH(A672&amp;"ENTRADA",Movimientos!$R$2:$R$1998,0))=0,"S/D",INDEX(Movimientos!$M$2:$M$1998,MATCH(A672&amp;"ENTRADA",Movimientos!$R$2:$R$1998,0))),"S/D")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 ht="14.25">
      <c r="A673" s="16" t="s">
        <v>2838</v>
      </c>
      <c r="B673" s="2" t="str">
        <f>IFERROR(INDEX(Movimientos!$C$2:$C$1998,MATCH(A673&amp;"ENTRADA",Movimientos!$R$2:$R$1998,0)),"-")</f>
        <v>-</v>
      </c>
      <c r="C673" s="2" t="str">
        <f>IFERROR(INDEX(Movimientos!$D$2:$D$1998,MATCH(A673&amp;"ENTRADA",Movimientos!$R$2:$R$1998,0)),"-")</f>
        <v>-</v>
      </c>
      <c r="D673" s="2" t="str">
        <f>IFERROR(INDEX(Movimientos!$E$2:$E$1998,MATCH(A673&amp;"ENTRADA",Movimientos!$R$2:$R$1998,0)),"-")</f>
        <v>-</v>
      </c>
      <c r="E673" s="2" t="str">
        <f>IFERROR(INDEX(Movimientos!$F$2:$F$1998,MATCH(A673&amp;"ENTRADA",Movimientos!$R$2:$R$1998,0)),"-")</f>
        <v>-</v>
      </c>
      <c r="F673" s="2" t="str">
        <f>IFERROR(INDEX(Movimientos!$G$2:$G$1998,MATCH(A673&amp;"ENTRADA",Movimientos!$R$2:$R$1998,0)),"-")</f>
        <v>-</v>
      </c>
      <c r="G673" s="2" t="str">
        <f>IFERROR(INDEX(Movimientos!$L$2:$L$1998,MATCH(A673&amp;"ENTRADA",Movimientos!$R$2:$R$1998,0)),"-")</f>
        <v>-</v>
      </c>
      <c r="H673" s="17" t="str">
        <f>IFERROR(IF(INDEX(Movimientos!$M$2:$M$1998,MATCH(A673&amp;"ENTRADA",Movimientos!$R$2:$R$1998,0))=0,"S/D",INDEX(Movimientos!$M$2:$M$1998,MATCH(A673&amp;"ENTRADA",Movimientos!$R$2:$R$1998,0))),"S/D")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 ht="14.25">
      <c r="A674" s="16" t="s">
        <v>2839</v>
      </c>
      <c r="B674" s="2" t="str">
        <f>IFERROR(INDEX(Movimientos!$C$2:$C$1998,MATCH(A674&amp;"ENTRADA",Movimientos!$R$2:$R$1998,0)),"-")</f>
        <v>-</v>
      </c>
      <c r="C674" s="2" t="str">
        <f>IFERROR(INDEX(Movimientos!$D$2:$D$1998,MATCH(A674&amp;"ENTRADA",Movimientos!$R$2:$R$1998,0)),"-")</f>
        <v>-</v>
      </c>
      <c r="D674" s="2" t="str">
        <f>IFERROR(INDEX(Movimientos!$E$2:$E$1998,MATCH(A674&amp;"ENTRADA",Movimientos!$R$2:$R$1998,0)),"-")</f>
        <v>-</v>
      </c>
      <c r="E674" s="2" t="str">
        <f>IFERROR(INDEX(Movimientos!$F$2:$F$1998,MATCH(A674&amp;"ENTRADA",Movimientos!$R$2:$R$1998,0)),"-")</f>
        <v>-</v>
      </c>
      <c r="F674" s="2" t="str">
        <f>IFERROR(INDEX(Movimientos!$G$2:$G$1998,MATCH(A674&amp;"ENTRADA",Movimientos!$R$2:$R$1998,0)),"-")</f>
        <v>-</v>
      </c>
      <c r="G674" s="2" t="str">
        <f>IFERROR(INDEX(Movimientos!$L$2:$L$1998,MATCH(A674&amp;"ENTRADA",Movimientos!$R$2:$R$1998,0)),"-")</f>
        <v>-</v>
      </c>
      <c r="H674" s="17" t="str">
        <f>IFERROR(IF(INDEX(Movimientos!$M$2:$M$1998,MATCH(A674&amp;"ENTRADA",Movimientos!$R$2:$R$1998,0))=0,"S/D",INDEX(Movimientos!$M$2:$M$1998,MATCH(A674&amp;"ENTRADA",Movimientos!$R$2:$R$1998,0))),"S/D")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 ht="14.25">
      <c r="A675" s="16" t="s">
        <v>2840</v>
      </c>
      <c r="B675" s="2" t="str">
        <f>IFERROR(INDEX(Movimientos!$C$2:$C$1998,MATCH(A675&amp;"ENTRADA",Movimientos!$R$2:$R$1998,0)),"-")</f>
        <v>-</v>
      </c>
      <c r="C675" s="2" t="str">
        <f>IFERROR(INDEX(Movimientos!$D$2:$D$1998,MATCH(A675&amp;"ENTRADA",Movimientos!$R$2:$R$1998,0)),"-")</f>
        <v>-</v>
      </c>
      <c r="D675" s="2" t="str">
        <f>IFERROR(INDEX(Movimientos!$E$2:$E$1998,MATCH(A675&amp;"ENTRADA",Movimientos!$R$2:$R$1998,0)),"-")</f>
        <v>-</v>
      </c>
      <c r="E675" s="2" t="str">
        <f>IFERROR(INDEX(Movimientos!$F$2:$F$1998,MATCH(A675&amp;"ENTRADA",Movimientos!$R$2:$R$1998,0)),"-")</f>
        <v>-</v>
      </c>
      <c r="F675" s="2" t="str">
        <f>IFERROR(INDEX(Movimientos!$G$2:$G$1998,MATCH(A675&amp;"ENTRADA",Movimientos!$R$2:$R$1998,0)),"-")</f>
        <v>-</v>
      </c>
      <c r="G675" s="2" t="str">
        <f>IFERROR(INDEX(Movimientos!$L$2:$L$1998,MATCH(A675&amp;"ENTRADA",Movimientos!$R$2:$R$1998,0)),"-")</f>
        <v>-</v>
      </c>
      <c r="H675" s="17" t="str">
        <f>IFERROR(IF(INDEX(Movimientos!$M$2:$M$1998,MATCH(A675&amp;"ENTRADA",Movimientos!$R$2:$R$1998,0))=0,"S/D",INDEX(Movimientos!$M$2:$M$1998,MATCH(A675&amp;"ENTRADA",Movimientos!$R$2:$R$1998,0))),"S/D")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 ht="14.25">
      <c r="A676" s="16" t="s">
        <v>2841</v>
      </c>
      <c r="B676" s="2" t="str">
        <f>IFERROR(INDEX(Movimientos!$C$2:$C$1998,MATCH(A676&amp;"ENTRADA",Movimientos!$R$2:$R$1998,0)),"-")</f>
        <v>-</v>
      </c>
      <c r="C676" s="2" t="str">
        <f>IFERROR(INDEX(Movimientos!$D$2:$D$1998,MATCH(A676&amp;"ENTRADA",Movimientos!$R$2:$R$1998,0)),"-")</f>
        <v>-</v>
      </c>
      <c r="D676" s="2" t="str">
        <f>IFERROR(INDEX(Movimientos!$E$2:$E$1998,MATCH(A676&amp;"ENTRADA",Movimientos!$R$2:$R$1998,0)),"-")</f>
        <v>-</v>
      </c>
      <c r="E676" s="2" t="str">
        <f>IFERROR(INDEX(Movimientos!$F$2:$F$1998,MATCH(A676&amp;"ENTRADA",Movimientos!$R$2:$R$1998,0)),"-")</f>
        <v>-</v>
      </c>
      <c r="F676" s="2" t="str">
        <f>IFERROR(INDEX(Movimientos!$G$2:$G$1998,MATCH(A676&amp;"ENTRADA",Movimientos!$R$2:$R$1998,0)),"-")</f>
        <v>-</v>
      </c>
      <c r="G676" s="2" t="str">
        <f>IFERROR(INDEX(Movimientos!$L$2:$L$1998,MATCH(A676&amp;"ENTRADA",Movimientos!$R$2:$R$1998,0)),"-")</f>
        <v>-</v>
      </c>
      <c r="H676" s="17" t="str">
        <f>IFERROR(IF(INDEX(Movimientos!$M$2:$M$1998,MATCH(A676&amp;"ENTRADA",Movimientos!$R$2:$R$1998,0))=0,"S/D",INDEX(Movimientos!$M$2:$M$1998,MATCH(A676&amp;"ENTRADA",Movimientos!$R$2:$R$1998,0))),"S/D")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 ht="14.25">
      <c r="A677" s="16" t="s">
        <v>2842</v>
      </c>
      <c r="B677" s="2" t="str">
        <f>IFERROR(INDEX(Movimientos!$C$2:$C$1998,MATCH(A677&amp;"ENTRADA",Movimientos!$R$2:$R$1998,0)),"-")</f>
        <v>-</v>
      </c>
      <c r="C677" s="2" t="str">
        <f>IFERROR(INDEX(Movimientos!$D$2:$D$1998,MATCH(A677&amp;"ENTRADA",Movimientos!$R$2:$R$1998,0)),"-")</f>
        <v>-</v>
      </c>
      <c r="D677" s="2" t="str">
        <f>IFERROR(INDEX(Movimientos!$E$2:$E$1998,MATCH(A677&amp;"ENTRADA",Movimientos!$R$2:$R$1998,0)),"-")</f>
        <v>-</v>
      </c>
      <c r="E677" s="2" t="str">
        <f>IFERROR(INDEX(Movimientos!$F$2:$F$1998,MATCH(A677&amp;"ENTRADA",Movimientos!$R$2:$R$1998,0)),"-")</f>
        <v>-</v>
      </c>
      <c r="F677" s="2" t="str">
        <f>IFERROR(INDEX(Movimientos!$G$2:$G$1998,MATCH(A677&amp;"ENTRADA",Movimientos!$R$2:$R$1998,0)),"-")</f>
        <v>-</v>
      </c>
      <c r="G677" s="2" t="str">
        <f>IFERROR(INDEX(Movimientos!$L$2:$L$1998,MATCH(A677&amp;"ENTRADA",Movimientos!$R$2:$R$1998,0)),"-")</f>
        <v>-</v>
      </c>
      <c r="H677" s="17" t="str">
        <f>IFERROR(IF(INDEX(Movimientos!$M$2:$M$1998,MATCH(A677&amp;"ENTRADA",Movimientos!$R$2:$R$1998,0))=0,"S/D",INDEX(Movimientos!$M$2:$M$1998,MATCH(A677&amp;"ENTRADA",Movimientos!$R$2:$R$1998,0))),"S/D")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 ht="14.25">
      <c r="A678" s="16" t="s">
        <v>2843</v>
      </c>
      <c r="B678" s="2" t="str">
        <f>IFERROR(INDEX(Movimientos!$C$2:$C$1998,MATCH(A678&amp;"ENTRADA",Movimientos!$R$2:$R$1998,0)),"-")</f>
        <v>-</v>
      </c>
      <c r="C678" s="2" t="str">
        <f>IFERROR(INDEX(Movimientos!$D$2:$D$1998,MATCH(A678&amp;"ENTRADA",Movimientos!$R$2:$R$1998,0)),"-")</f>
        <v>-</v>
      </c>
      <c r="D678" s="2" t="str">
        <f>IFERROR(INDEX(Movimientos!$E$2:$E$1998,MATCH(A678&amp;"ENTRADA",Movimientos!$R$2:$R$1998,0)),"-")</f>
        <v>-</v>
      </c>
      <c r="E678" s="2" t="str">
        <f>IFERROR(INDEX(Movimientos!$F$2:$F$1998,MATCH(A678&amp;"ENTRADA",Movimientos!$R$2:$R$1998,0)),"-")</f>
        <v>-</v>
      </c>
      <c r="F678" s="2" t="str">
        <f>IFERROR(INDEX(Movimientos!$G$2:$G$1998,MATCH(A678&amp;"ENTRADA",Movimientos!$R$2:$R$1998,0)),"-")</f>
        <v>-</v>
      </c>
      <c r="G678" s="2" t="str">
        <f>IFERROR(INDEX(Movimientos!$L$2:$L$1998,MATCH(A678&amp;"ENTRADA",Movimientos!$R$2:$R$1998,0)),"-")</f>
        <v>-</v>
      </c>
      <c r="H678" s="17" t="str">
        <f>IFERROR(IF(INDEX(Movimientos!$M$2:$M$1998,MATCH(A678&amp;"ENTRADA",Movimientos!$R$2:$R$1998,0))=0,"S/D",INDEX(Movimientos!$M$2:$M$1998,MATCH(A678&amp;"ENTRADA",Movimientos!$R$2:$R$1998,0))),"S/D")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 ht="14.25">
      <c r="A679" s="16" t="s">
        <v>2844</v>
      </c>
      <c r="B679" s="2" t="str">
        <f>IFERROR(INDEX(Movimientos!$C$2:$C$1998,MATCH(A679&amp;"ENTRADA",Movimientos!$R$2:$R$1998,0)),"-")</f>
        <v>-</v>
      </c>
      <c r="C679" s="2" t="str">
        <f>IFERROR(INDEX(Movimientos!$D$2:$D$1998,MATCH(A679&amp;"ENTRADA",Movimientos!$R$2:$R$1998,0)),"-")</f>
        <v>-</v>
      </c>
      <c r="D679" s="2" t="str">
        <f>IFERROR(INDEX(Movimientos!$E$2:$E$1998,MATCH(A679&amp;"ENTRADA",Movimientos!$R$2:$R$1998,0)),"-")</f>
        <v>-</v>
      </c>
      <c r="E679" s="2" t="str">
        <f>IFERROR(INDEX(Movimientos!$F$2:$F$1998,MATCH(A679&amp;"ENTRADA",Movimientos!$R$2:$R$1998,0)),"-")</f>
        <v>-</v>
      </c>
      <c r="F679" s="2" t="str">
        <f>IFERROR(INDEX(Movimientos!$G$2:$G$1998,MATCH(A679&amp;"ENTRADA",Movimientos!$R$2:$R$1998,0)),"-")</f>
        <v>-</v>
      </c>
      <c r="G679" s="2" t="str">
        <f>IFERROR(INDEX(Movimientos!$L$2:$L$1998,MATCH(A679&amp;"ENTRADA",Movimientos!$R$2:$R$1998,0)),"-")</f>
        <v>-</v>
      </c>
      <c r="H679" s="17" t="str">
        <f>IFERROR(IF(INDEX(Movimientos!$M$2:$M$1998,MATCH(A679&amp;"ENTRADA",Movimientos!$R$2:$R$1998,0))=0,"S/D",INDEX(Movimientos!$M$2:$M$1998,MATCH(A679&amp;"ENTRADA",Movimientos!$R$2:$R$1998,0))),"S/D")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 ht="14.25">
      <c r="A680" s="16" t="s">
        <v>2845</v>
      </c>
      <c r="B680" s="2" t="str">
        <f>IFERROR(INDEX(Movimientos!$C$2:$C$1998,MATCH(A680&amp;"ENTRADA",Movimientos!$R$2:$R$1998,0)),"-")</f>
        <v>-</v>
      </c>
      <c r="C680" s="2" t="str">
        <f>IFERROR(INDEX(Movimientos!$D$2:$D$1998,MATCH(A680&amp;"ENTRADA",Movimientos!$R$2:$R$1998,0)),"-")</f>
        <v>-</v>
      </c>
      <c r="D680" s="2" t="str">
        <f>IFERROR(INDEX(Movimientos!$E$2:$E$1998,MATCH(A680&amp;"ENTRADA",Movimientos!$R$2:$R$1998,0)),"-")</f>
        <v>-</v>
      </c>
      <c r="E680" s="2" t="str">
        <f>IFERROR(INDEX(Movimientos!$F$2:$F$1998,MATCH(A680&amp;"ENTRADA",Movimientos!$R$2:$R$1998,0)),"-")</f>
        <v>-</v>
      </c>
      <c r="F680" s="2" t="str">
        <f>IFERROR(INDEX(Movimientos!$G$2:$G$1998,MATCH(A680&amp;"ENTRADA",Movimientos!$R$2:$R$1998,0)),"-")</f>
        <v>-</v>
      </c>
      <c r="G680" s="2" t="str">
        <f>IFERROR(INDEX(Movimientos!$L$2:$L$1998,MATCH(A680&amp;"ENTRADA",Movimientos!$R$2:$R$1998,0)),"-")</f>
        <v>-</v>
      </c>
      <c r="H680" s="17" t="str">
        <f>IFERROR(IF(INDEX(Movimientos!$M$2:$M$1998,MATCH(A680&amp;"ENTRADA",Movimientos!$R$2:$R$1998,0))=0,"S/D",INDEX(Movimientos!$M$2:$M$1998,MATCH(A680&amp;"ENTRADA",Movimientos!$R$2:$R$1998,0))),"S/D")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 ht="14.25">
      <c r="A681" s="16" t="s">
        <v>2846</v>
      </c>
      <c r="B681" s="2" t="str">
        <f>IFERROR(INDEX(Movimientos!$C$2:$C$1998,MATCH(A681&amp;"ENTRADA",Movimientos!$R$2:$R$1998,0)),"-")</f>
        <v>-</v>
      </c>
      <c r="C681" s="2" t="str">
        <f>IFERROR(INDEX(Movimientos!$D$2:$D$1998,MATCH(A681&amp;"ENTRADA",Movimientos!$R$2:$R$1998,0)),"-")</f>
        <v>-</v>
      </c>
      <c r="D681" s="2" t="str">
        <f>IFERROR(INDEX(Movimientos!$E$2:$E$1998,MATCH(A681&amp;"ENTRADA",Movimientos!$R$2:$R$1998,0)),"-")</f>
        <v>-</v>
      </c>
      <c r="E681" s="2" t="str">
        <f>IFERROR(INDEX(Movimientos!$F$2:$F$1998,MATCH(A681&amp;"ENTRADA",Movimientos!$R$2:$R$1998,0)),"-")</f>
        <v>-</v>
      </c>
      <c r="F681" s="2" t="str">
        <f>IFERROR(INDEX(Movimientos!$G$2:$G$1998,MATCH(A681&amp;"ENTRADA",Movimientos!$R$2:$R$1998,0)),"-")</f>
        <v>-</v>
      </c>
      <c r="G681" s="2" t="str">
        <f>IFERROR(INDEX(Movimientos!$L$2:$L$1998,MATCH(A681&amp;"ENTRADA",Movimientos!$R$2:$R$1998,0)),"-")</f>
        <v>-</v>
      </c>
      <c r="H681" s="17" t="str">
        <f>IFERROR(IF(INDEX(Movimientos!$M$2:$M$1998,MATCH(A681&amp;"ENTRADA",Movimientos!$R$2:$R$1998,0))=0,"S/D",INDEX(Movimientos!$M$2:$M$1998,MATCH(A681&amp;"ENTRADA",Movimientos!$R$2:$R$1998,0))),"S/D")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 ht="14.25">
      <c r="A682" s="16" t="s">
        <v>2847</v>
      </c>
      <c r="B682" s="2" t="str">
        <f>IFERROR(INDEX(Movimientos!$C$2:$C$1998,MATCH(A682&amp;"ENTRADA",Movimientos!$R$2:$R$1998,0)),"-")</f>
        <v>-</v>
      </c>
      <c r="C682" s="2" t="str">
        <f>IFERROR(INDEX(Movimientos!$D$2:$D$1998,MATCH(A682&amp;"ENTRADA",Movimientos!$R$2:$R$1998,0)),"-")</f>
        <v>-</v>
      </c>
      <c r="D682" s="2" t="str">
        <f>IFERROR(INDEX(Movimientos!$E$2:$E$1998,MATCH(A682&amp;"ENTRADA",Movimientos!$R$2:$R$1998,0)),"-")</f>
        <v>-</v>
      </c>
      <c r="E682" s="2" t="str">
        <f>IFERROR(INDEX(Movimientos!$F$2:$F$1998,MATCH(A682&amp;"ENTRADA",Movimientos!$R$2:$R$1998,0)),"-")</f>
        <v>-</v>
      </c>
      <c r="F682" s="2" t="str">
        <f>IFERROR(INDEX(Movimientos!$G$2:$G$1998,MATCH(A682&amp;"ENTRADA",Movimientos!$R$2:$R$1998,0)),"-")</f>
        <v>-</v>
      </c>
      <c r="G682" s="2" t="str">
        <f>IFERROR(INDEX(Movimientos!$L$2:$L$1998,MATCH(A682&amp;"ENTRADA",Movimientos!$R$2:$R$1998,0)),"-")</f>
        <v>-</v>
      </c>
      <c r="H682" s="17" t="str">
        <f>IFERROR(IF(INDEX(Movimientos!$M$2:$M$1998,MATCH(A682&amp;"ENTRADA",Movimientos!$R$2:$R$1998,0))=0,"S/D",INDEX(Movimientos!$M$2:$M$1998,MATCH(A682&amp;"ENTRADA",Movimientos!$R$2:$R$1998,0))),"S/D")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 ht="14.25">
      <c r="A683" s="16" t="s">
        <v>2848</v>
      </c>
      <c r="B683" s="2" t="str">
        <f>IFERROR(INDEX(Movimientos!$C$2:$C$1998,MATCH(A683&amp;"ENTRADA",Movimientos!$R$2:$R$1998,0)),"-")</f>
        <v>-</v>
      </c>
      <c r="C683" s="2" t="str">
        <f>IFERROR(INDEX(Movimientos!$D$2:$D$1998,MATCH(A683&amp;"ENTRADA",Movimientos!$R$2:$R$1998,0)),"-")</f>
        <v>-</v>
      </c>
      <c r="D683" s="2" t="str">
        <f>IFERROR(INDEX(Movimientos!$E$2:$E$1998,MATCH(A683&amp;"ENTRADA",Movimientos!$R$2:$R$1998,0)),"-")</f>
        <v>-</v>
      </c>
      <c r="E683" s="2" t="str">
        <f>IFERROR(INDEX(Movimientos!$F$2:$F$1998,MATCH(A683&amp;"ENTRADA",Movimientos!$R$2:$R$1998,0)),"-")</f>
        <v>-</v>
      </c>
      <c r="F683" s="2" t="str">
        <f>IFERROR(INDEX(Movimientos!$G$2:$G$1998,MATCH(A683&amp;"ENTRADA",Movimientos!$R$2:$R$1998,0)),"-")</f>
        <v>-</v>
      </c>
      <c r="G683" s="2" t="str">
        <f>IFERROR(INDEX(Movimientos!$L$2:$L$1998,MATCH(A683&amp;"ENTRADA",Movimientos!$R$2:$R$1998,0)),"-")</f>
        <v>-</v>
      </c>
      <c r="H683" s="17" t="str">
        <f>IFERROR(IF(INDEX(Movimientos!$M$2:$M$1998,MATCH(A683&amp;"ENTRADA",Movimientos!$R$2:$R$1998,0))=0,"S/D",INDEX(Movimientos!$M$2:$M$1998,MATCH(A683&amp;"ENTRADA",Movimientos!$R$2:$R$1998,0))),"S/D")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 ht="14.25">
      <c r="A684" s="16" t="s">
        <v>2849</v>
      </c>
      <c r="B684" s="2" t="str">
        <f>IFERROR(INDEX(Movimientos!$C$2:$C$1998,MATCH(A684&amp;"ENTRADA",Movimientos!$R$2:$R$1998,0)),"-")</f>
        <v>-</v>
      </c>
      <c r="C684" s="2" t="str">
        <f>IFERROR(INDEX(Movimientos!$D$2:$D$1998,MATCH(A684&amp;"ENTRADA",Movimientos!$R$2:$R$1998,0)),"-")</f>
        <v>-</v>
      </c>
      <c r="D684" s="2" t="str">
        <f>IFERROR(INDEX(Movimientos!$E$2:$E$1998,MATCH(A684&amp;"ENTRADA",Movimientos!$R$2:$R$1998,0)),"-")</f>
        <v>-</v>
      </c>
      <c r="E684" s="2" t="str">
        <f>IFERROR(INDEX(Movimientos!$F$2:$F$1998,MATCH(A684&amp;"ENTRADA",Movimientos!$R$2:$R$1998,0)),"-")</f>
        <v>-</v>
      </c>
      <c r="F684" s="2" t="str">
        <f>IFERROR(INDEX(Movimientos!$G$2:$G$1998,MATCH(A684&amp;"ENTRADA",Movimientos!$R$2:$R$1998,0)),"-")</f>
        <v>-</v>
      </c>
      <c r="G684" s="2" t="str">
        <f>IFERROR(INDEX(Movimientos!$L$2:$L$1998,MATCH(A684&amp;"ENTRADA",Movimientos!$R$2:$R$1998,0)),"-")</f>
        <v>-</v>
      </c>
      <c r="H684" s="17" t="str">
        <f>IFERROR(IF(INDEX(Movimientos!$M$2:$M$1998,MATCH(A684&amp;"ENTRADA",Movimientos!$R$2:$R$1998,0))=0,"S/D",INDEX(Movimientos!$M$2:$M$1998,MATCH(A684&amp;"ENTRADA",Movimientos!$R$2:$R$1998,0))),"S/D")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 ht="14.25">
      <c r="A685" s="16" t="s">
        <v>2850</v>
      </c>
      <c r="B685" s="2" t="str">
        <f>IFERROR(INDEX(Movimientos!$C$2:$C$1998,MATCH(A685&amp;"ENTRADA",Movimientos!$R$2:$R$1998,0)),"-")</f>
        <v>-</v>
      </c>
      <c r="C685" s="2" t="str">
        <f>IFERROR(INDEX(Movimientos!$D$2:$D$1998,MATCH(A685&amp;"ENTRADA",Movimientos!$R$2:$R$1998,0)),"-")</f>
        <v>-</v>
      </c>
      <c r="D685" s="2" t="str">
        <f>IFERROR(INDEX(Movimientos!$E$2:$E$1998,MATCH(A685&amp;"ENTRADA",Movimientos!$R$2:$R$1998,0)),"-")</f>
        <v>-</v>
      </c>
      <c r="E685" s="2" t="str">
        <f>IFERROR(INDEX(Movimientos!$F$2:$F$1998,MATCH(A685&amp;"ENTRADA",Movimientos!$R$2:$R$1998,0)),"-")</f>
        <v>-</v>
      </c>
      <c r="F685" s="2" t="str">
        <f>IFERROR(INDEX(Movimientos!$G$2:$G$1998,MATCH(A685&amp;"ENTRADA",Movimientos!$R$2:$R$1998,0)),"-")</f>
        <v>-</v>
      </c>
      <c r="G685" s="2" t="str">
        <f>IFERROR(INDEX(Movimientos!$L$2:$L$1998,MATCH(A685&amp;"ENTRADA",Movimientos!$R$2:$R$1998,0)),"-")</f>
        <v>-</v>
      </c>
      <c r="H685" s="17" t="str">
        <f>IFERROR(IF(INDEX(Movimientos!$M$2:$M$1998,MATCH(A685&amp;"ENTRADA",Movimientos!$R$2:$R$1998,0))=0,"S/D",INDEX(Movimientos!$M$2:$M$1998,MATCH(A685&amp;"ENTRADA",Movimientos!$R$2:$R$1998,0))),"S/D")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 ht="14.25">
      <c r="A686" s="16" t="s">
        <v>2851</v>
      </c>
      <c r="B686" s="2" t="str">
        <f>IFERROR(INDEX(Movimientos!$C$2:$C$1998,MATCH(A686&amp;"ENTRADA",Movimientos!$R$2:$R$1998,0)),"-")</f>
        <v>-</v>
      </c>
      <c r="C686" s="2" t="str">
        <f>IFERROR(INDEX(Movimientos!$D$2:$D$1998,MATCH(A686&amp;"ENTRADA",Movimientos!$R$2:$R$1998,0)),"-")</f>
        <v>-</v>
      </c>
      <c r="D686" s="2" t="str">
        <f>IFERROR(INDEX(Movimientos!$E$2:$E$1998,MATCH(A686&amp;"ENTRADA",Movimientos!$R$2:$R$1998,0)),"-")</f>
        <v>-</v>
      </c>
      <c r="E686" s="2" t="str">
        <f>IFERROR(INDEX(Movimientos!$F$2:$F$1998,MATCH(A686&amp;"ENTRADA",Movimientos!$R$2:$R$1998,0)),"-")</f>
        <v>-</v>
      </c>
      <c r="F686" s="2" t="str">
        <f>IFERROR(INDEX(Movimientos!$G$2:$G$1998,MATCH(A686&amp;"ENTRADA",Movimientos!$R$2:$R$1998,0)),"-")</f>
        <v>-</v>
      </c>
      <c r="G686" s="2" t="str">
        <f>IFERROR(INDEX(Movimientos!$L$2:$L$1998,MATCH(A686&amp;"ENTRADA",Movimientos!$R$2:$R$1998,0)),"-")</f>
        <v>-</v>
      </c>
      <c r="H686" s="17" t="str">
        <f>IFERROR(IF(INDEX(Movimientos!$M$2:$M$1998,MATCH(A686&amp;"ENTRADA",Movimientos!$R$2:$R$1998,0))=0,"S/D",INDEX(Movimientos!$M$2:$M$1998,MATCH(A686&amp;"ENTRADA",Movimientos!$R$2:$R$1998,0))),"S/D")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 ht="14.25">
      <c r="A687" s="16" t="s">
        <v>2852</v>
      </c>
      <c r="B687" s="2" t="str">
        <f>IFERROR(INDEX(Movimientos!$C$2:$C$1998,MATCH(A687&amp;"ENTRADA",Movimientos!$R$2:$R$1998,0)),"-")</f>
        <v>-</v>
      </c>
      <c r="C687" s="2" t="str">
        <f>IFERROR(INDEX(Movimientos!$D$2:$D$1998,MATCH(A687&amp;"ENTRADA",Movimientos!$R$2:$R$1998,0)),"-")</f>
        <v>-</v>
      </c>
      <c r="D687" s="2" t="str">
        <f>IFERROR(INDEX(Movimientos!$E$2:$E$1998,MATCH(A687&amp;"ENTRADA",Movimientos!$R$2:$R$1998,0)),"-")</f>
        <v>-</v>
      </c>
      <c r="E687" s="2" t="str">
        <f>IFERROR(INDEX(Movimientos!$F$2:$F$1998,MATCH(A687&amp;"ENTRADA",Movimientos!$R$2:$R$1998,0)),"-")</f>
        <v>-</v>
      </c>
      <c r="F687" s="2" t="str">
        <f>IFERROR(INDEX(Movimientos!$G$2:$G$1998,MATCH(A687&amp;"ENTRADA",Movimientos!$R$2:$R$1998,0)),"-")</f>
        <v>-</v>
      </c>
      <c r="G687" s="2" t="str">
        <f>IFERROR(INDEX(Movimientos!$L$2:$L$1998,MATCH(A687&amp;"ENTRADA",Movimientos!$R$2:$R$1998,0)),"-")</f>
        <v>-</v>
      </c>
      <c r="H687" s="17" t="str">
        <f>IFERROR(IF(INDEX(Movimientos!$M$2:$M$1998,MATCH(A687&amp;"ENTRADA",Movimientos!$R$2:$R$1998,0))=0,"S/D",INDEX(Movimientos!$M$2:$M$1998,MATCH(A687&amp;"ENTRADA",Movimientos!$R$2:$R$1998,0))),"S/D")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 ht="14.25">
      <c r="A688" s="16" t="s">
        <v>2853</v>
      </c>
      <c r="B688" s="2" t="str">
        <f>IFERROR(INDEX(Movimientos!$C$2:$C$1998,MATCH(A688&amp;"ENTRADA",Movimientos!$R$2:$R$1998,0)),"-")</f>
        <v>-</v>
      </c>
      <c r="C688" s="2" t="str">
        <f>IFERROR(INDEX(Movimientos!$D$2:$D$1998,MATCH(A688&amp;"ENTRADA",Movimientos!$R$2:$R$1998,0)),"-")</f>
        <v>-</v>
      </c>
      <c r="D688" s="2" t="str">
        <f>IFERROR(INDEX(Movimientos!$E$2:$E$1998,MATCH(A688&amp;"ENTRADA",Movimientos!$R$2:$R$1998,0)),"-")</f>
        <v>-</v>
      </c>
      <c r="E688" s="2" t="str">
        <f>IFERROR(INDEX(Movimientos!$F$2:$F$1998,MATCH(A688&amp;"ENTRADA",Movimientos!$R$2:$R$1998,0)),"-")</f>
        <v>-</v>
      </c>
      <c r="F688" s="2" t="str">
        <f>IFERROR(INDEX(Movimientos!$G$2:$G$1998,MATCH(A688&amp;"ENTRADA",Movimientos!$R$2:$R$1998,0)),"-")</f>
        <v>-</v>
      </c>
      <c r="G688" s="2" t="str">
        <f>IFERROR(INDEX(Movimientos!$L$2:$L$1998,MATCH(A688&amp;"ENTRADA",Movimientos!$R$2:$R$1998,0)),"-")</f>
        <v>-</v>
      </c>
      <c r="H688" s="17" t="str">
        <f>IFERROR(IF(INDEX(Movimientos!$M$2:$M$1998,MATCH(A688&amp;"ENTRADA",Movimientos!$R$2:$R$1998,0))=0,"S/D",INDEX(Movimientos!$M$2:$M$1998,MATCH(A688&amp;"ENTRADA",Movimientos!$R$2:$R$1998,0))),"S/D")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 ht="14.25">
      <c r="A689" s="16" t="s">
        <v>2854</v>
      </c>
      <c r="B689" s="2" t="str">
        <f>IFERROR(INDEX(Movimientos!$C$2:$C$1998,MATCH(A689&amp;"ENTRADA",Movimientos!$R$2:$R$1998,0)),"-")</f>
        <v>-</v>
      </c>
      <c r="C689" s="2" t="str">
        <f>IFERROR(INDEX(Movimientos!$D$2:$D$1998,MATCH(A689&amp;"ENTRADA",Movimientos!$R$2:$R$1998,0)),"-")</f>
        <v>-</v>
      </c>
      <c r="D689" s="2" t="str">
        <f>IFERROR(INDEX(Movimientos!$E$2:$E$1998,MATCH(A689&amp;"ENTRADA",Movimientos!$R$2:$R$1998,0)),"-")</f>
        <v>-</v>
      </c>
      <c r="E689" s="2" t="str">
        <f>IFERROR(INDEX(Movimientos!$F$2:$F$1998,MATCH(A689&amp;"ENTRADA",Movimientos!$R$2:$R$1998,0)),"-")</f>
        <v>-</v>
      </c>
      <c r="F689" s="2" t="str">
        <f>IFERROR(INDEX(Movimientos!$G$2:$G$1998,MATCH(A689&amp;"ENTRADA",Movimientos!$R$2:$R$1998,0)),"-")</f>
        <v>-</v>
      </c>
      <c r="G689" s="2" t="str">
        <f>IFERROR(INDEX(Movimientos!$L$2:$L$1998,MATCH(A689&amp;"ENTRADA",Movimientos!$R$2:$R$1998,0)),"-")</f>
        <v>-</v>
      </c>
      <c r="H689" s="17" t="str">
        <f>IFERROR(IF(INDEX(Movimientos!$M$2:$M$1998,MATCH(A689&amp;"ENTRADA",Movimientos!$R$2:$R$1998,0))=0,"S/D",INDEX(Movimientos!$M$2:$M$1998,MATCH(A689&amp;"ENTRADA",Movimientos!$R$2:$R$1998,0))),"S/D")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 ht="14.25">
      <c r="A690" s="16" t="s">
        <v>2855</v>
      </c>
      <c r="B690" s="2" t="str">
        <f>IFERROR(INDEX(Movimientos!$C$2:$C$1998,MATCH(A690&amp;"ENTRADA",Movimientos!$R$2:$R$1998,0)),"-")</f>
        <v>-</v>
      </c>
      <c r="C690" s="2" t="str">
        <f>IFERROR(INDEX(Movimientos!$D$2:$D$1998,MATCH(A690&amp;"ENTRADA",Movimientos!$R$2:$R$1998,0)),"-")</f>
        <v>-</v>
      </c>
      <c r="D690" s="2" t="str">
        <f>IFERROR(INDEX(Movimientos!$E$2:$E$1998,MATCH(A690&amp;"ENTRADA",Movimientos!$R$2:$R$1998,0)),"-")</f>
        <v>-</v>
      </c>
      <c r="E690" s="2" t="str">
        <f>IFERROR(INDEX(Movimientos!$F$2:$F$1998,MATCH(A690&amp;"ENTRADA",Movimientos!$R$2:$R$1998,0)),"-")</f>
        <v>-</v>
      </c>
      <c r="F690" s="2" t="str">
        <f>IFERROR(INDEX(Movimientos!$G$2:$G$1998,MATCH(A690&amp;"ENTRADA",Movimientos!$R$2:$R$1998,0)),"-")</f>
        <v>-</v>
      </c>
      <c r="G690" s="2" t="str">
        <f>IFERROR(INDEX(Movimientos!$L$2:$L$1998,MATCH(A690&amp;"ENTRADA",Movimientos!$R$2:$R$1998,0)),"-")</f>
        <v>-</v>
      </c>
      <c r="H690" s="17" t="str">
        <f>IFERROR(IF(INDEX(Movimientos!$M$2:$M$1998,MATCH(A690&amp;"ENTRADA",Movimientos!$R$2:$R$1998,0))=0,"S/D",INDEX(Movimientos!$M$2:$M$1998,MATCH(A690&amp;"ENTRADA",Movimientos!$R$2:$R$1998,0))),"S/D")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 ht="14.25">
      <c r="A691" s="16" t="s">
        <v>2856</v>
      </c>
      <c r="B691" s="2" t="str">
        <f>IFERROR(INDEX(Movimientos!$C$2:$C$1998,MATCH(A691&amp;"ENTRADA",Movimientos!$R$2:$R$1998,0)),"-")</f>
        <v>-</v>
      </c>
      <c r="C691" s="2" t="str">
        <f>IFERROR(INDEX(Movimientos!$D$2:$D$1998,MATCH(A691&amp;"ENTRADA",Movimientos!$R$2:$R$1998,0)),"-")</f>
        <v>-</v>
      </c>
      <c r="D691" s="2" t="str">
        <f>IFERROR(INDEX(Movimientos!$E$2:$E$1998,MATCH(A691&amp;"ENTRADA",Movimientos!$R$2:$R$1998,0)),"-")</f>
        <v>-</v>
      </c>
      <c r="E691" s="2" t="str">
        <f>IFERROR(INDEX(Movimientos!$F$2:$F$1998,MATCH(A691&amp;"ENTRADA",Movimientos!$R$2:$R$1998,0)),"-")</f>
        <v>-</v>
      </c>
      <c r="F691" s="2" t="str">
        <f>IFERROR(INDEX(Movimientos!$G$2:$G$1998,MATCH(A691&amp;"ENTRADA",Movimientos!$R$2:$R$1998,0)),"-")</f>
        <v>-</v>
      </c>
      <c r="G691" s="2" t="str">
        <f>IFERROR(INDEX(Movimientos!$L$2:$L$1998,MATCH(A691&amp;"ENTRADA",Movimientos!$R$2:$R$1998,0)),"-")</f>
        <v>-</v>
      </c>
      <c r="H691" s="17" t="str">
        <f>IFERROR(IF(INDEX(Movimientos!$M$2:$M$1998,MATCH(A691&amp;"ENTRADA",Movimientos!$R$2:$R$1998,0))=0,"S/D",INDEX(Movimientos!$M$2:$M$1998,MATCH(A691&amp;"ENTRADA",Movimientos!$R$2:$R$1998,0))),"S/D")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 ht="14.25">
      <c r="A692" s="16" t="s">
        <v>2857</v>
      </c>
      <c r="B692" s="2" t="str">
        <f>IFERROR(INDEX(Movimientos!$C$2:$C$1998,MATCH(A692&amp;"ENTRADA",Movimientos!$R$2:$R$1998,0)),"-")</f>
        <v>-</v>
      </c>
      <c r="C692" s="2" t="str">
        <f>IFERROR(INDEX(Movimientos!$D$2:$D$1998,MATCH(A692&amp;"ENTRADA",Movimientos!$R$2:$R$1998,0)),"-")</f>
        <v>-</v>
      </c>
      <c r="D692" s="2" t="str">
        <f>IFERROR(INDEX(Movimientos!$E$2:$E$1998,MATCH(A692&amp;"ENTRADA",Movimientos!$R$2:$R$1998,0)),"-")</f>
        <v>-</v>
      </c>
      <c r="E692" s="2" t="str">
        <f>IFERROR(INDEX(Movimientos!$F$2:$F$1998,MATCH(A692&amp;"ENTRADA",Movimientos!$R$2:$R$1998,0)),"-")</f>
        <v>-</v>
      </c>
      <c r="F692" s="2" t="str">
        <f>IFERROR(INDEX(Movimientos!$G$2:$G$1998,MATCH(A692&amp;"ENTRADA",Movimientos!$R$2:$R$1998,0)),"-")</f>
        <v>-</v>
      </c>
      <c r="G692" s="2" t="str">
        <f>IFERROR(INDEX(Movimientos!$L$2:$L$1998,MATCH(A692&amp;"ENTRADA",Movimientos!$R$2:$R$1998,0)),"-")</f>
        <v>-</v>
      </c>
      <c r="H692" s="17" t="str">
        <f>IFERROR(IF(INDEX(Movimientos!$M$2:$M$1998,MATCH(A692&amp;"ENTRADA",Movimientos!$R$2:$R$1998,0))=0,"S/D",INDEX(Movimientos!$M$2:$M$1998,MATCH(A692&amp;"ENTRADA",Movimientos!$R$2:$R$1998,0))),"S/D")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 ht="14.25">
      <c r="A693" s="16" t="s">
        <v>2858</v>
      </c>
      <c r="B693" s="2" t="str">
        <f>IFERROR(INDEX(Movimientos!$C$2:$C$1998,MATCH(A693&amp;"ENTRADA",Movimientos!$R$2:$R$1998,0)),"-")</f>
        <v>-</v>
      </c>
      <c r="C693" s="2" t="str">
        <f>IFERROR(INDEX(Movimientos!$D$2:$D$1998,MATCH(A693&amp;"ENTRADA",Movimientos!$R$2:$R$1998,0)),"-")</f>
        <v>-</v>
      </c>
      <c r="D693" s="2" t="str">
        <f>IFERROR(INDEX(Movimientos!$E$2:$E$1998,MATCH(A693&amp;"ENTRADA",Movimientos!$R$2:$R$1998,0)),"-")</f>
        <v>-</v>
      </c>
      <c r="E693" s="2" t="str">
        <f>IFERROR(INDEX(Movimientos!$F$2:$F$1998,MATCH(A693&amp;"ENTRADA",Movimientos!$R$2:$R$1998,0)),"-")</f>
        <v>-</v>
      </c>
      <c r="F693" s="2" t="str">
        <f>IFERROR(INDEX(Movimientos!$G$2:$G$1998,MATCH(A693&amp;"ENTRADA",Movimientos!$R$2:$R$1998,0)),"-")</f>
        <v>-</v>
      </c>
      <c r="G693" s="2" t="str">
        <f>IFERROR(INDEX(Movimientos!$L$2:$L$1998,MATCH(A693&amp;"ENTRADA",Movimientos!$R$2:$R$1998,0)),"-")</f>
        <v>-</v>
      </c>
      <c r="H693" s="17" t="str">
        <f>IFERROR(IF(INDEX(Movimientos!$M$2:$M$1998,MATCH(A693&amp;"ENTRADA",Movimientos!$R$2:$R$1998,0))=0,"S/D",INDEX(Movimientos!$M$2:$M$1998,MATCH(A693&amp;"ENTRADA",Movimientos!$R$2:$R$1998,0))),"S/D")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 ht="14.25">
      <c r="A694" s="16" t="s">
        <v>2859</v>
      </c>
      <c r="B694" s="2" t="str">
        <f>IFERROR(INDEX(Movimientos!$C$2:$C$1998,MATCH(A694&amp;"ENTRADA",Movimientos!$R$2:$R$1998,0)),"-")</f>
        <v>-</v>
      </c>
      <c r="C694" s="2" t="str">
        <f>IFERROR(INDEX(Movimientos!$D$2:$D$1998,MATCH(A694&amp;"ENTRADA",Movimientos!$R$2:$R$1998,0)),"-")</f>
        <v>-</v>
      </c>
      <c r="D694" s="2" t="str">
        <f>IFERROR(INDEX(Movimientos!$E$2:$E$1998,MATCH(A694&amp;"ENTRADA",Movimientos!$R$2:$R$1998,0)),"-")</f>
        <v>-</v>
      </c>
      <c r="E694" s="2" t="str">
        <f>IFERROR(INDEX(Movimientos!$F$2:$F$1998,MATCH(A694&amp;"ENTRADA",Movimientos!$R$2:$R$1998,0)),"-")</f>
        <v>-</v>
      </c>
      <c r="F694" s="2" t="str">
        <f>IFERROR(INDEX(Movimientos!$G$2:$G$1998,MATCH(A694&amp;"ENTRADA",Movimientos!$R$2:$R$1998,0)),"-")</f>
        <v>-</v>
      </c>
      <c r="G694" s="2" t="str">
        <f>IFERROR(INDEX(Movimientos!$L$2:$L$1998,MATCH(A694&amp;"ENTRADA",Movimientos!$R$2:$R$1998,0)),"-")</f>
        <v>-</v>
      </c>
      <c r="H694" s="17" t="str">
        <f>IFERROR(IF(INDEX(Movimientos!$M$2:$M$1998,MATCH(A694&amp;"ENTRADA",Movimientos!$R$2:$R$1998,0))=0,"S/D",INDEX(Movimientos!$M$2:$M$1998,MATCH(A694&amp;"ENTRADA",Movimientos!$R$2:$R$1998,0))),"S/D")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 ht="14.25">
      <c r="A695" s="16" t="s">
        <v>2860</v>
      </c>
      <c r="B695" s="2" t="str">
        <f>IFERROR(INDEX(Movimientos!$C$2:$C$1998,MATCH(A695&amp;"ENTRADA",Movimientos!$R$2:$R$1998,0)),"-")</f>
        <v>-</v>
      </c>
      <c r="C695" s="2" t="str">
        <f>IFERROR(INDEX(Movimientos!$D$2:$D$1998,MATCH(A695&amp;"ENTRADA",Movimientos!$R$2:$R$1998,0)),"-")</f>
        <v>-</v>
      </c>
      <c r="D695" s="2" t="str">
        <f>IFERROR(INDEX(Movimientos!$E$2:$E$1998,MATCH(A695&amp;"ENTRADA",Movimientos!$R$2:$R$1998,0)),"-")</f>
        <v>-</v>
      </c>
      <c r="E695" s="2" t="str">
        <f>IFERROR(INDEX(Movimientos!$F$2:$F$1998,MATCH(A695&amp;"ENTRADA",Movimientos!$R$2:$R$1998,0)),"-")</f>
        <v>-</v>
      </c>
      <c r="F695" s="2" t="str">
        <f>IFERROR(INDEX(Movimientos!$G$2:$G$1998,MATCH(A695&amp;"ENTRADA",Movimientos!$R$2:$R$1998,0)),"-")</f>
        <v>-</v>
      </c>
      <c r="G695" s="2" t="str">
        <f>IFERROR(INDEX(Movimientos!$L$2:$L$1998,MATCH(A695&amp;"ENTRADA",Movimientos!$R$2:$R$1998,0)),"-")</f>
        <v>-</v>
      </c>
      <c r="H695" s="17" t="str">
        <f>IFERROR(IF(INDEX(Movimientos!$M$2:$M$1998,MATCH(A695&amp;"ENTRADA",Movimientos!$R$2:$R$1998,0))=0,"S/D",INDEX(Movimientos!$M$2:$M$1998,MATCH(A695&amp;"ENTRADA",Movimientos!$R$2:$R$1998,0))),"S/D")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 ht="14.25">
      <c r="A696" s="16" t="s">
        <v>2861</v>
      </c>
      <c r="B696" s="2" t="str">
        <f>IFERROR(INDEX(Movimientos!$C$2:$C$1998,MATCH(A696&amp;"ENTRADA",Movimientos!$R$2:$R$1998,0)),"-")</f>
        <v>-</v>
      </c>
      <c r="C696" s="2" t="str">
        <f>IFERROR(INDEX(Movimientos!$D$2:$D$1998,MATCH(A696&amp;"ENTRADA",Movimientos!$R$2:$R$1998,0)),"-")</f>
        <v>-</v>
      </c>
      <c r="D696" s="2" t="str">
        <f>IFERROR(INDEX(Movimientos!$E$2:$E$1998,MATCH(A696&amp;"ENTRADA",Movimientos!$R$2:$R$1998,0)),"-")</f>
        <v>-</v>
      </c>
      <c r="E696" s="2" t="str">
        <f>IFERROR(INDEX(Movimientos!$F$2:$F$1998,MATCH(A696&amp;"ENTRADA",Movimientos!$R$2:$R$1998,0)),"-")</f>
        <v>-</v>
      </c>
      <c r="F696" s="2" t="str">
        <f>IFERROR(INDEX(Movimientos!$G$2:$G$1998,MATCH(A696&amp;"ENTRADA",Movimientos!$R$2:$R$1998,0)),"-")</f>
        <v>-</v>
      </c>
      <c r="G696" s="2" t="str">
        <f>IFERROR(INDEX(Movimientos!$L$2:$L$1998,MATCH(A696&amp;"ENTRADA",Movimientos!$R$2:$R$1998,0)),"-")</f>
        <v>-</v>
      </c>
      <c r="H696" s="17" t="str">
        <f>IFERROR(IF(INDEX(Movimientos!$M$2:$M$1998,MATCH(A696&amp;"ENTRADA",Movimientos!$R$2:$R$1998,0))=0,"S/D",INDEX(Movimientos!$M$2:$M$1998,MATCH(A696&amp;"ENTRADA",Movimientos!$R$2:$R$1998,0))),"S/D")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 ht="14.25">
      <c r="A697" s="16" t="s">
        <v>2862</v>
      </c>
      <c r="B697" s="2" t="str">
        <f>IFERROR(INDEX(Movimientos!$C$2:$C$1998,MATCH(A697&amp;"ENTRADA",Movimientos!$R$2:$R$1998,0)),"-")</f>
        <v>-</v>
      </c>
      <c r="C697" s="2" t="str">
        <f>IFERROR(INDEX(Movimientos!$D$2:$D$1998,MATCH(A697&amp;"ENTRADA",Movimientos!$R$2:$R$1998,0)),"-")</f>
        <v>-</v>
      </c>
      <c r="D697" s="2" t="str">
        <f>IFERROR(INDEX(Movimientos!$E$2:$E$1998,MATCH(A697&amp;"ENTRADA",Movimientos!$R$2:$R$1998,0)),"-")</f>
        <v>-</v>
      </c>
      <c r="E697" s="2" t="str">
        <f>IFERROR(INDEX(Movimientos!$F$2:$F$1998,MATCH(A697&amp;"ENTRADA",Movimientos!$R$2:$R$1998,0)),"-")</f>
        <v>-</v>
      </c>
      <c r="F697" s="2" t="str">
        <f>IFERROR(INDEX(Movimientos!$G$2:$G$1998,MATCH(A697&amp;"ENTRADA",Movimientos!$R$2:$R$1998,0)),"-")</f>
        <v>-</v>
      </c>
      <c r="G697" s="2" t="str">
        <f>IFERROR(INDEX(Movimientos!$L$2:$L$1998,MATCH(A697&amp;"ENTRADA",Movimientos!$R$2:$R$1998,0)),"-")</f>
        <v>-</v>
      </c>
      <c r="H697" s="17" t="str">
        <f>IFERROR(IF(INDEX(Movimientos!$M$2:$M$1998,MATCH(A697&amp;"ENTRADA",Movimientos!$R$2:$R$1998,0))=0,"S/D",INDEX(Movimientos!$M$2:$M$1998,MATCH(A697&amp;"ENTRADA",Movimientos!$R$2:$R$1998,0))),"S/D")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 ht="14.25">
      <c r="A698" s="16" t="s">
        <v>2863</v>
      </c>
      <c r="B698" s="2" t="str">
        <f>IFERROR(INDEX(Movimientos!$C$2:$C$1998,MATCH(A698&amp;"ENTRADA",Movimientos!$R$2:$R$1998,0)),"-")</f>
        <v>-</v>
      </c>
      <c r="C698" s="2" t="str">
        <f>IFERROR(INDEX(Movimientos!$D$2:$D$1998,MATCH(A698&amp;"ENTRADA",Movimientos!$R$2:$R$1998,0)),"-")</f>
        <v>-</v>
      </c>
      <c r="D698" s="2" t="str">
        <f>IFERROR(INDEX(Movimientos!$E$2:$E$1998,MATCH(A698&amp;"ENTRADA",Movimientos!$R$2:$R$1998,0)),"-")</f>
        <v>-</v>
      </c>
      <c r="E698" s="2" t="str">
        <f>IFERROR(INDEX(Movimientos!$F$2:$F$1998,MATCH(A698&amp;"ENTRADA",Movimientos!$R$2:$R$1998,0)),"-")</f>
        <v>-</v>
      </c>
      <c r="F698" s="2" t="str">
        <f>IFERROR(INDEX(Movimientos!$G$2:$G$1998,MATCH(A698&amp;"ENTRADA",Movimientos!$R$2:$R$1998,0)),"-")</f>
        <v>-</v>
      </c>
      <c r="G698" s="2" t="str">
        <f>IFERROR(INDEX(Movimientos!$L$2:$L$1998,MATCH(A698&amp;"ENTRADA",Movimientos!$R$2:$R$1998,0)),"-")</f>
        <v>-</v>
      </c>
      <c r="H698" s="17" t="str">
        <f>IFERROR(IF(INDEX(Movimientos!$M$2:$M$1998,MATCH(A698&amp;"ENTRADA",Movimientos!$R$2:$R$1998,0))=0,"S/D",INDEX(Movimientos!$M$2:$M$1998,MATCH(A698&amp;"ENTRADA",Movimientos!$R$2:$R$1998,0))),"S/D")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 ht="14.25">
      <c r="A699" s="16" t="s">
        <v>2864</v>
      </c>
      <c r="B699" s="2" t="str">
        <f>IFERROR(INDEX(Movimientos!$C$2:$C$1998,MATCH(A699&amp;"ENTRADA",Movimientos!$R$2:$R$1998,0)),"-")</f>
        <v>-</v>
      </c>
      <c r="C699" s="2" t="str">
        <f>IFERROR(INDEX(Movimientos!$D$2:$D$1998,MATCH(A699&amp;"ENTRADA",Movimientos!$R$2:$R$1998,0)),"-")</f>
        <v>-</v>
      </c>
      <c r="D699" s="2" t="str">
        <f>IFERROR(INDEX(Movimientos!$E$2:$E$1998,MATCH(A699&amp;"ENTRADA",Movimientos!$R$2:$R$1998,0)),"-")</f>
        <v>-</v>
      </c>
      <c r="E699" s="2" t="str">
        <f>IFERROR(INDEX(Movimientos!$F$2:$F$1998,MATCH(A699&amp;"ENTRADA",Movimientos!$R$2:$R$1998,0)),"-")</f>
        <v>-</v>
      </c>
      <c r="F699" s="2" t="str">
        <f>IFERROR(INDEX(Movimientos!$G$2:$G$1998,MATCH(A699&amp;"ENTRADA",Movimientos!$R$2:$R$1998,0)),"-")</f>
        <v>-</v>
      </c>
      <c r="G699" s="2" t="str">
        <f>IFERROR(INDEX(Movimientos!$L$2:$L$1998,MATCH(A699&amp;"ENTRADA",Movimientos!$R$2:$R$1998,0)),"-")</f>
        <v>-</v>
      </c>
      <c r="H699" s="17" t="str">
        <f>IFERROR(IF(INDEX(Movimientos!$M$2:$M$1998,MATCH(A699&amp;"ENTRADA",Movimientos!$R$2:$R$1998,0))=0,"S/D",INDEX(Movimientos!$M$2:$M$1998,MATCH(A699&amp;"ENTRADA",Movimientos!$R$2:$R$1998,0))),"S/D")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 ht="14.25">
      <c r="A700" s="16" t="s">
        <v>2865</v>
      </c>
      <c r="B700" s="2" t="str">
        <f>IFERROR(INDEX(Movimientos!$C$2:$C$1998,MATCH(A700&amp;"ENTRADA",Movimientos!$R$2:$R$1998,0)),"-")</f>
        <v>-</v>
      </c>
      <c r="C700" s="2" t="str">
        <f>IFERROR(INDEX(Movimientos!$D$2:$D$1998,MATCH(A700&amp;"ENTRADA",Movimientos!$R$2:$R$1998,0)),"-")</f>
        <v>-</v>
      </c>
      <c r="D700" s="2" t="str">
        <f>IFERROR(INDEX(Movimientos!$E$2:$E$1998,MATCH(A700&amp;"ENTRADA",Movimientos!$R$2:$R$1998,0)),"-")</f>
        <v>-</v>
      </c>
      <c r="E700" s="2" t="str">
        <f>IFERROR(INDEX(Movimientos!$F$2:$F$1998,MATCH(A700&amp;"ENTRADA",Movimientos!$R$2:$R$1998,0)),"-")</f>
        <v>-</v>
      </c>
      <c r="F700" s="2" t="str">
        <f>IFERROR(INDEX(Movimientos!$G$2:$G$1998,MATCH(A700&amp;"ENTRADA",Movimientos!$R$2:$R$1998,0)),"-")</f>
        <v>-</v>
      </c>
      <c r="G700" s="2" t="str">
        <f>IFERROR(INDEX(Movimientos!$L$2:$L$1998,MATCH(A700&amp;"ENTRADA",Movimientos!$R$2:$R$1998,0)),"-")</f>
        <v>-</v>
      </c>
      <c r="H700" s="17" t="str">
        <f>IFERROR(IF(INDEX(Movimientos!$M$2:$M$1998,MATCH(A700&amp;"ENTRADA",Movimientos!$R$2:$R$1998,0))=0,"S/D",INDEX(Movimientos!$M$2:$M$1998,MATCH(A700&amp;"ENTRADA",Movimientos!$R$2:$R$1998,0))),"S/D")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 ht="14.25">
      <c r="A701" s="16" t="s">
        <v>2866</v>
      </c>
      <c r="B701" s="2" t="str">
        <f>IFERROR(INDEX(Movimientos!$C$2:$C$1998,MATCH(A701&amp;"ENTRADA",Movimientos!$R$2:$R$1998,0)),"-")</f>
        <v>-</v>
      </c>
      <c r="C701" s="2" t="str">
        <f>IFERROR(INDEX(Movimientos!$D$2:$D$1998,MATCH(A701&amp;"ENTRADA",Movimientos!$R$2:$R$1998,0)),"-")</f>
        <v>-</v>
      </c>
      <c r="D701" s="2" t="str">
        <f>IFERROR(INDEX(Movimientos!$E$2:$E$1998,MATCH(A701&amp;"ENTRADA",Movimientos!$R$2:$R$1998,0)),"-")</f>
        <v>-</v>
      </c>
      <c r="E701" s="2" t="str">
        <f>IFERROR(INDEX(Movimientos!$F$2:$F$1998,MATCH(A701&amp;"ENTRADA",Movimientos!$R$2:$R$1998,0)),"-")</f>
        <v>-</v>
      </c>
      <c r="F701" s="2" t="str">
        <f>IFERROR(INDEX(Movimientos!$G$2:$G$1998,MATCH(A701&amp;"ENTRADA",Movimientos!$R$2:$R$1998,0)),"-")</f>
        <v>-</v>
      </c>
      <c r="G701" s="2" t="str">
        <f>IFERROR(INDEX(Movimientos!$L$2:$L$1998,MATCH(A701&amp;"ENTRADA",Movimientos!$R$2:$R$1998,0)),"-")</f>
        <v>-</v>
      </c>
      <c r="H701" s="17" t="str">
        <f>IFERROR(IF(INDEX(Movimientos!$M$2:$M$1998,MATCH(A701&amp;"ENTRADA",Movimientos!$R$2:$R$1998,0))=0,"S/D",INDEX(Movimientos!$M$2:$M$1998,MATCH(A701&amp;"ENTRADA",Movimientos!$R$2:$R$1998,0))),"S/D")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 ht="14.25">
      <c r="A702" s="16" t="s">
        <v>2867</v>
      </c>
      <c r="B702" s="2" t="str">
        <f>IFERROR(INDEX(Movimientos!$C$2:$C$1998,MATCH(A702&amp;"ENTRADA",Movimientos!$R$2:$R$1998,0)),"-")</f>
        <v>-</v>
      </c>
      <c r="C702" s="2" t="str">
        <f>IFERROR(INDEX(Movimientos!$D$2:$D$1998,MATCH(A702&amp;"ENTRADA",Movimientos!$R$2:$R$1998,0)),"-")</f>
        <v>-</v>
      </c>
      <c r="D702" s="2" t="str">
        <f>IFERROR(INDEX(Movimientos!$E$2:$E$1998,MATCH(A702&amp;"ENTRADA",Movimientos!$R$2:$R$1998,0)),"-")</f>
        <v>-</v>
      </c>
      <c r="E702" s="2" t="str">
        <f>IFERROR(INDEX(Movimientos!$F$2:$F$1998,MATCH(A702&amp;"ENTRADA",Movimientos!$R$2:$R$1998,0)),"-")</f>
        <v>-</v>
      </c>
      <c r="F702" s="2" t="str">
        <f>IFERROR(INDEX(Movimientos!$G$2:$G$1998,MATCH(A702&amp;"ENTRADA",Movimientos!$R$2:$R$1998,0)),"-")</f>
        <v>-</v>
      </c>
      <c r="G702" s="2" t="str">
        <f>IFERROR(INDEX(Movimientos!$L$2:$L$1998,MATCH(A702&amp;"ENTRADA",Movimientos!$R$2:$R$1998,0)),"-")</f>
        <v>-</v>
      </c>
      <c r="H702" s="17" t="str">
        <f>IFERROR(IF(INDEX(Movimientos!$M$2:$M$1998,MATCH(A702&amp;"ENTRADA",Movimientos!$R$2:$R$1998,0))=0,"S/D",INDEX(Movimientos!$M$2:$M$1998,MATCH(A702&amp;"ENTRADA",Movimientos!$R$2:$R$1998,0))),"S/D")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 ht="14.25">
      <c r="A703" s="16" t="s">
        <v>2868</v>
      </c>
      <c r="B703" s="2" t="str">
        <f>IFERROR(INDEX(Movimientos!$C$2:$C$1998,MATCH(A703&amp;"ENTRADA",Movimientos!$R$2:$R$1998,0)),"-")</f>
        <v>-</v>
      </c>
      <c r="C703" s="2" t="str">
        <f>IFERROR(INDEX(Movimientos!$D$2:$D$1998,MATCH(A703&amp;"ENTRADA",Movimientos!$R$2:$R$1998,0)),"-")</f>
        <v>-</v>
      </c>
      <c r="D703" s="2" t="str">
        <f>IFERROR(INDEX(Movimientos!$E$2:$E$1998,MATCH(A703&amp;"ENTRADA",Movimientos!$R$2:$R$1998,0)),"-")</f>
        <v>-</v>
      </c>
      <c r="E703" s="2" t="str">
        <f>IFERROR(INDEX(Movimientos!$F$2:$F$1998,MATCH(A703&amp;"ENTRADA",Movimientos!$R$2:$R$1998,0)),"-")</f>
        <v>-</v>
      </c>
      <c r="F703" s="2" t="str">
        <f>IFERROR(INDEX(Movimientos!$G$2:$G$1998,MATCH(A703&amp;"ENTRADA",Movimientos!$R$2:$R$1998,0)),"-")</f>
        <v>-</v>
      </c>
      <c r="G703" s="2" t="str">
        <f>IFERROR(INDEX(Movimientos!$L$2:$L$1998,MATCH(A703&amp;"ENTRADA",Movimientos!$R$2:$R$1998,0)),"-")</f>
        <v>-</v>
      </c>
      <c r="H703" s="17" t="str">
        <f>IFERROR(IF(INDEX(Movimientos!$M$2:$M$1998,MATCH(A703&amp;"ENTRADA",Movimientos!$R$2:$R$1998,0))=0,"S/D",INDEX(Movimientos!$M$2:$M$1998,MATCH(A703&amp;"ENTRADA",Movimientos!$R$2:$R$1998,0))),"S/D")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 ht="14.25">
      <c r="A704" s="16" t="s">
        <v>2869</v>
      </c>
      <c r="B704" s="2" t="str">
        <f>IFERROR(INDEX(Movimientos!$C$2:$C$1998,MATCH(A704&amp;"ENTRADA",Movimientos!$R$2:$R$1998,0)),"-")</f>
        <v>-</v>
      </c>
      <c r="C704" s="2" t="str">
        <f>IFERROR(INDEX(Movimientos!$D$2:$D$1998,MATCH(A704&amp;"ENTRADA",Movimientos!$R$2:$R$1998,0)),"-")</f>
        <v>-</v>
      </c>
      <c r="D704" s="2" t="str">
        <f>IFERROR(INDEX(Movimientos!$E$2:$E$1998,MATCH(A704&amp;"ENTRADA",Movimientos!$R$2:$R$1998,0)),"-")</f>
        <v>-</v>
      </c>
      <c r="E704" s="2" t="str">
        <f>IFERROR(INDEX(Movimientos!$F$2:$F$1998,MATCH(A704&amp;"ENTRADA",Movimientos!$R$2:$R$1998,0)),"-")</f>
        <v>-</v>
      </c>
      <c r="F704" s="2" t="str">
        <f>IFERROR(INDEX(Movimientos!$G$2:$G$1998,MATCH(A704&amp;"ENTRADA",Movimientos!$R$2:$R$1998,0)),"-")</f>
        <v>-</v>
      </c>
      <c r="G704" s="2" t="str">
        <f>IFERROR(INDEX(Movimientos!$L$2:$L$1998,MATCH(A704&amp;"ENTRADA",Movimientos!$R$2:$R$1998,0)),"-")</f>
        <v>-</v>
      </c>
      <c r="H704" s="17" t="str">
        <f>IFERROR(IF(INDEX(Movimientos!$M$2:$M$1998,MATCH(A704&amp;"ENTRADA",Movimientos!$R$2:$R$1998,0))=0,"S/D",INDEX(Movimientos!$M$2:$M$1998,MATCH(A704&amp;"ENTRADA",Movimientos!$R$2:$R$1998,0))),"S/D")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 ht="14.25">
      <c r="A705" s="16" t="s">
        <v>2870</v>
      </c>
      <c r="B705" s="2" t="str">
        <f>IFERROR(INDEX(Movimientos!$C$2:$C$1998,MATCH(A705&amp;"ENTRADA",Movimientos!$R$2:$R$1998,0)),"-")</f>
        <v>-</v>
      </c>
      <c r="C705" s="2" t="str">
        <f>IFERROR(INDEX(Movimientos!$D$2:$D$1998,MATCH(A705&amp;"ENTRADA",Movimientos!$R$2:$R$1998,0)),"-")</f>
        <v>-</v>
      </c>
      <c r="D705" s="2" t="str">
        <f>IFERROR(INDEX(Movimientos!$E$2:$E$1998,MATCH(A705&amp;"ENTRADA",Movimientos!$R$2:$R$1998,0)),"-")</f>
        <v>-</v>
      </c>
      <c r="E705" s="2" t="str">
        <f>IFERROR(INDEX(Movimientos!$F$2:$F$1998,MATCH(A705&amp;"ENTRADA",Movimientos!$R$2:$R$1998,0)),"-")</f>
        <v>-</v>
      </c>
      <c r="F705" s="2" t="str">
        <f>IFERROR(INDEX(Movimientos!$G$2:$G$1998,MATCH(A705&amp;"ENTRADA",Movimientos!$R$2:$R$1998,0)),"-")</f>
        <v>-</v>
      </c>
      <c r="G705" s="2" t="str">
        <f>IFERROR(INDEX(Movimientos!$L$2:$L$1998,MATCH(A705&amp;"ENTRADA",Movimientos!$R$2:$R$1998,0)),"-")</f>
        <v>-</v>
      </c>
      <c r="H705" s="17" t="str">
        <f>IFERROR(IF(INDEX(Movimientos!$M$2:$M$1998,MATCH(A705&amp;"ENTRADA",Movimientos!$R$2:$R$1998,0))=0,"S/D",INDEX(Movimientos!$M$2:$M$1998,MATCH(A705&amp;"ENTRADA",Movimientos!$R$2:$R$1998,0))),"S/D")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 ht="14.25">
      <c r="A706" s="16" t="s">
        <v>2871</v>
      </c>
      <c r="B706" s="2" t="str">
        <f>IFERROR(INDEX(Movimientos!$C$2:$C$1998,MATCH(A706&amp;"ENTRADA",Movimientos!$R$2:$R$1998,0)),"-")</f>
        <v>-</v>
      </c>
      <c r="C706" s="2" t="str">
        <f>IFERROR(INDEX(Movimientos!$D$2:$D$1998,MATCH(A706&amp;"ENTRADA",Movimientos!$R$2:$R$1998,0)),"-")</f>
        <v>-</v>
      </c>
      <c r="D706" s="2" t="str">
        <f>IFERROR(INDEX(Movimientos!$E$2:$E$1998,MATCH(A706&amp;"ENTRADA",Movimientos!$R$2:$R$1998,0)),"-")</f>
        <v>-</v>
      </c>
      <c r="E706" s="2" t="str">
        <f>IFERROR(INDEX(Movimientos!$F$2:$F$1998,MATCH(A706&amp;"ENTRADA",Movimientos!$R$2:$R$1998,0)),"-")</f>
        <v>-</v>
      </c>
      <c r="F706" s="2" t="str">
        <f>IFERROR(INDEX(Movimientos!$G$2:$G$1998,MATCH(A706&amp;"ENTRADA",Movimientos!$R$2:$R$1998,0)),"-")</f>
        <v>-</v>
      </c>
      <c r="G706" s="2" t="str">
        <f>IFERROR(INDEX(Movimientos!$L$2:$L$1998,MATCH(A706&amp;"ENTRADA",Movimientos!$R$2:$R$1998,0)),"-")</f>
        <v>-</v>
      </c>
      <c r="H706" s="17" t="str">
        <f>IFERROR(IF(INDEX(Movimientos!$M$2:$M$1998,MATCH(A706&amp;"ENTRADA",Movimientos!$R$2:$R$1998,0))=0,"S/D",INDEX(Movimientos!$M$2:$M$1998,MATCH(A706&amp;"ENTRADA",Movimientos!$R$2:$R$1998,0))),"S/D")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 ht="14.25">
      <c r="A707" s="16" t="s">
        <v>2872</v>
      </c>
      <c r="B707" s="2" t="str">
        <f>IFERROR(INDEX(Movimientos!$C$2:$C$1998,MATCH(A707&amp;"ENTRADA",Movimientos!$R$2:$R$1998,0)),"-")</f>
        <v>-</v>
      </c>
      <c r="C707" s="2" t="str">
        <f>IFERROR(INDEX(Movimientos!$D$2:$D$1998,MATCH(A707&amp;"ENTRADA",Movimientos!$R$2:$R$1998,0)),"-")</f>
        <v>-</v>
      </c>
      <c r="D707" s="2" t="str">
        <f>IFERROR(INDEX(Movimientos!$E$2:$E$1998,MATCH(A707&amp;"ENTRADA",Movimientos!$R$2:$R$1998,0)),"-")</f>
        <v>-</v>
      </c>
      <c r="E707" s="2" t="str">
        <f>IFERROR(INDEX(Movimientos!$F$2:$F$1998,MATCH(A707&amp;"ENTRADA",Movimientos!$R$2:$R$1998,0)),"-")</f>
        <v>-</v>
      </c>
      <c r="F707" s="2" t="str">
        <f>IFERROR(INDEX(Movimientos!$G$2:$G$1998,MATCH(A707&amp;"ENTRADA",Movimientos!$R$2:$R$1998,0)),"-")</f>
        <v>-</v>
      </c>
      <c r="G707" s="2" t="str">
        <f>IFERROR(INDEX(Movimientos!$L$2:$L$1998,MATCH(A707&amp;"ENTRADA",Movimientos!$R$2:$R$1998,0)),"-")</f>
        <v>-</v>
      </c>
      <c r="H707" s="17" t="str">
        <f>IFERROR(IF(INDEX(Movimientos!$M$2:$M$1998,MATCH(A707&amp;"ENTRADA",Movimientos!$R$2:$R$1998,0))=0,"S/D",INDEX(Movimientos!$M$2:$M$1998,MATCH(A707&amp;"ENTRADA",Movimientos!$R$2:$R$1998,0))),"S/D")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 ht="14.25">
      <c r="A708" s="16" t="s">
        <v>2873</v>
      </c>
      <c r="B708" s="2" t="str">
        <f>IFERROR(INDEX(Movimientos!$C$2:$C$1998,MATCH(A708&amp;"ENTRADA",Movimientos!$R$2:$R$1998,0)),"-")</f>
        <v>-</v>
      </c>
      <c r="C708" s="2" t="str">
        <f>IFERROR(INDEX(Movimientos!$D$2:$D$1998,MATCH(A708&amp;"ENTRADA",Movimientos!$R$2:$R$1998,0)),"-")</f>
        <v>-</v>
      </c>
      <c r="D708" s="2" t="str">
        <f>IFERROR(INDEX(Movimientos!$E$2:$E$1998,MATCH(A708&amp;"ENTRADA",Movimientos!$R$2:$R$1998,0)),"-")</f>
        <v>-</v>
      </c>
      <c r="E708" s="2" t="str">
        <f>IFERROR(INDEX(Movimientos!$F$2:$F$1998,MATCH(A708&amp;"ENTRADA",Movimientos!$R$2:$R$1998,0)),"-")</f>
        <v>-</v>
      </c>
      <c r="F708" s="2" t="str">
        <f>IFERROR(INDEX(Movimientos!$G$2:$G$1998,MATCH(A708&amp;"ENTRADA",Movimientos!$R$2:$R$1998,0)),"-")</f>
        <v>-</v>
      </c>
      <c r="G708" s="2" t="str">
        <f>IFERROR(INDEX(Movimientos!$L$2:$L$1998,MATCH(A708&amp;"ENTRADA",Movimientos!$R$2:$R$1998,0)),"-")</f>
        <v>-</v>
      </c>
      <c r="H708" s="17" t="str">
        <f>IFERROR(IF(INDEX(Movimientos!$M$2:$M$1998,MATCH(A708&amp;"ENTRADA",Movimientos!$R$2:$R$1998,0))=0,"S/D",INDEX(Movimientos!$M$2:$M$1998,MATCH(A708&amp;"ENTRADA",Movimientos!$R$2:$R$1998,0))),"S/D")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 ht="14.25">
      <c r="A709" s="16" t="s">
        <v>2874</v>
      </c>
      <c r="B709" s="2" t="str">
        <f>IFERROR(INDEX(Movimientos!$C$2:$C$1998,MATCH(A709&amp;"ENTRADA",Movimientos!$R$2:$R$1998,0)),"-")</f>
        <v>-</v>
      </c>
      <c r="C709" s="2" t="str">
        <f>IFERROR(INDEX(Movimientos!$D$2:$D$1998,MATCH(A709&amp;"ENTRADA",Movimientos!$R$2:$R$1998,0)),"-")</f>
        <v>-</v>
      </c>
      <c r="D709" s="2" t="str">
        <f>IFERROR(INDEX(Movimientos!$E$2:$E$1998,MATCH(A709&amp;"ENTRADA",Movimientos!$R$2:$R$1998,0)),"-")</f>
        <v>-</v>
      </c>
      <c r="E709" s="2" t="str">
        <f>IFERROR(INDEX(Movimientos!$F$2:$F$1998,MATCH(A709&amp;"ENTRADA",Movimientos!$R$2:$R$1998,0)),"-")</f>
        <v>-</v>
      </c>
      <c r="F709" s="2" t="str">
        <f>IFERROR(INDEX(Movimientos!$G$2:$G$1998,MATCH(A709&amp;"ENTRADA",Movimientos!$R$2:$R$1998,0)),"-")</f>
        <v>-</v>
      </c>
      <c r="G709" s="2" t="str">
        <f>IFERROR(INDEX(Movimientos!$L$2:$L$1998,MATCH(A709&amp;"ENTRADA",Movimientos!$R$2:$R$1998,0)),"-")</f>
        <v>-</v>
      </c>
      <c r="H709" s="17" t="str">
        <f>IFERROR(IF(INDEX(Movimientos!$M$2:$M$1998,MATCH(A709&amp;"ENTRADA",Movimientos!$R$2:$R$1998,0))=0,"S/D",INDEX(Movimientos!$M$2:$M$1998,MATCH(A709&amp;"ENTRADA",Movimientos!$R$2:$R$1998,0))),"S/D")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 ht="14.25">
      <c r="A710" s="16" t="s">
        <v>2875</v>
      </c>
      <c r="B710" s="2" t="str">
        <f>IFERROR(INDEX(Movimientos!$C$2:$C$1998,MATCH(A710&amp;"ENTRADA",Movimientos!$R$2:$R$1998,0)),"-")</f>
        <v>-</v>
      </c>
      <c r="C710" s="2" t="str">
        <f>IFERROR(INDEX(Movimientos!$D$2:$D$1998,MATCH(A710&amp;"ENTRADA",Movimientos!$R$2:$R$1998,0)),"-")</f>
        <v>-</v>
      </c>
      <c r="D710" s="2" t="str">
        <f>IFERROR(INDEX(Movimientos!$E$2:$E$1998,MATCH(A710&amp;"ENTRADA",Movimientos!$R$2:$R$1998,0)),"-")</f>
        <v>-</v>
      </c>
      <c r="E710" s="2" t="str">
        <f>IFERROR(INDEX(Movimientos!$F$2:$F$1998,MATCH(A710&amp;"ENTRADA",Movimientos!$R$2:$R$1998,0)),"-")</f>
        <v>-</v>
      </c>
      <c r="F710" s="2" t="str">
        <f>IFERROR(INDEX(Movimientos!$G$2:$G$1998,MATCH(A710&amp;"ENTRADA",Movimientos!$R$2:$R$1998,0)),"-")</f>
        <v>-</v>
      </c>
      <c r="G710" s="2" t="str">
        <f>IFERROR(INDEX(Movimientos!$L$2:$L$1998,MATCH(A710&amp;"ENTRADA",Movimientos!$R$2:$R$1998,0)),"-")</f>
        <v>-</v>
      </c>
      <c r="H710" s="17" t="str">
        <f>IFERROR(IF(INDEX(Movimientos!$M$2:$M$1998,MATCH(A710&amp;"ENTRADA",Movimientos!$R$2:$R$1998,0))=0,"S/D",INDEX(Movimientos!$M$2:$M$1998,MATCH(A710&amp;"ENTRADA",Movimientos!$R$2:$R$1998,0))),"S/D")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 ht="14.25">
      <c r="A711" s="16" t="s">
        <v>2876</v>
      </c>
      <c r="B711" s="2" t="str">
        <f>IFERROR(INDEX(Movimientos!$C$2:$C$1998,MATCH(A711&amp;"ENTRADA",Movimientos!$R$2:$R$1998,0)),"-")</f>
        <v>-</v>
      </c>
      <c r="C711" s="2" t="str">
        <f>IFERROR(INDEX(Movimientos!$D$2:$D$1998,MATCH(A711&amp;"ENTRADA",Movimientos!$R$2:$R$1998,0)),"-")</f>
        <v>-</v>
      </c>
      <c r="D711" s="2" t="str">
        <f>IFERROR(INDEX(Movimientos!$E$2:$E$1998,MATCH(A711&amp;"ENTRADA",Movimientos!$R$2:$R$1998,0)),"-")</f>
        <v>-</v>
      </c>
      <c r="E711" s="2" t="str">
        <f>IFERROR(INDEX(Movimientos!$F$2:$F$1998,MATCH(A711&amp;"ENTRADA",Movimientos!$R$2:$R$1998,0)),"-")</f>
        <v>-</v>
      </c>
      <c r="F711" s="2" t="str">
        <f>IFERROR(INDEX(Movimientos!$G$2:$G$1998,MATCH(A711&amp;"ENTRADA",Movimientos!$R$2:$R$1998,0)),"-")</f>
        <v>-</v>
      </c>
      <c r="G711" s="2" t="str">
        <f>IFERROR(INDEX(Movimientos!$L$2:$L$1998,MATCH(A711&amp;"ENTRADA",Movimientos!$R$2:$R$1998,0)),"-")</f>
        <v>-</v>
      </c>
      <c r="H711" s="17" t="str">
        <f>IFERROR(IF(INDEX(Movimientos!$M$2:$M$1998,MATCH(A711&amp;"ENTRADA",Movimientos!$R$2:$R$1998,0))=0,"S/D",INDEX(Movimientos!$M$2:$M$1998,MATCH(A711&amp;"ENTRADA",Movimientos!$R$2:$R$1998,0))),"S/D")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 ht="14.25">
      <c r="A712" s="16" t="s">
        <v>2877</v>
      </c>
      <c r="B712" s="2" t="str">
        <f>IFERROR(INDEX(Movimientos!$C$2:$C$1998,MATCH(A712&amp;"ENTRADA",Movimientos!$R$2:$R$1998,0)),"-")</f>
        <v>-</v>
      </c>
      <c r="C712" s="2" t="str">
        <f>IFERROR(INDEX(Movimientos!$D$2:$D$1998,MATCH(A712&amp;"ENTRADA",Movimientos!$R$2:$R$1998,0)),"-")</f>
        <v>-</v>
      </c>
      <c r="D712" s="2" t="str">
        <f>IFERROR(INDEX(Movimientos!$E$2:$E$1998,MATCH(A712&amp;"ENTRADA",Movimientos!$R$2:$R$1998,0)),"-")</f>
        <v>-</v>
      </c>
      <c r="E712" s="2" t="str">
        <f>IFERROR(INDEX(Movimientos!$F$2:$F$1998,MATCH(A712&amp;"ENTRADA",Movimientos!$R$2:$R$1998,0)),"-")</f>
        <v>-</v>
      </c>
      <c r="F712" s="2" t="str">
        <f>IFERROR(INDEX(Movimientos!$G$2:$G$1998,MATCH(A712&amp;"ENTRADA",Movimientos!$R$2:$R$1998,0)),"-")</f>
        <v>-</v>
      </c>
      <c r="G712" s="2" t="str">
        <f>IFERROR(INDEX(Movimientos!$L$2:$L$1998,MATCH(A712&amp;"ENTRADA",Movimientos!$R$2:$R$1998,0)),"-")</f>
        <v>-</v>
      </c>
      <c r="H712" s="17" t="str">
        <f>IFERROR(IF(INDEX(Movimientos!$M$2:$M$1998,MATCH(A712&amp;"ENTRADA",Movimientos!$R$2:$R$1998,0))=0,"S/D",INDEX(Movimientos!$M$2:$M$1998,MATCH(A712&amp;"ENTRADA",Movimientos!$R$2:$R$1998,0))),"S/D")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 ht="14.25">
      <c r="A713" s="16" t="s">
        <v>2878</v>
      </c>
      <c r="B713" s="2" t="str">
        <f>IFERROR(INDEX(Movimientos!$C$2:$C$1998,MATCH(A713&amp;"ENTRADA",Movimientos!$R$2:$R$1998,0)),"-")</f>
        <v>-</v>
      </c>
      <c r="C713" s="2" t="str">
        <f>IFERROR(INDEX(Movimientos!$D$2:$D$1998,MATCH(A713&amp;"ENTRADA",Movimientos!$R$2:$R$1998,0)),"-")</f>
        <v>-</v>
      </c>
      <c r="D713" s="2" t="str">
        <f>IFERROR(INDEX(Movimientos!$E$2:$E$1998,MATCH(A713&amp;"ENTRADA",Movimientos!$R$2:$R$1998,0)),"-")</f>
        <v>-</v>
      </c>
      <c r="E713" s="2" t="str">
        <f>IFERROR(INDEX(Movimientos!$F$2:$F$1998,MATCH(A713&amp;"ENTRADA",Movimientos!$R$2:$R$1998,0)),"-")</f>
        <v>-</v>
      </c>
      <c r="F713" s="2" t="str">
        <f>IFERROR(INDEX(Movimientos!$G$2:$G$1998,MATCH(A713&amp;"ENTRADA",Movimientos!$R$2:$R$1998,0)),"-")</f>
        <v>-</v>
      </c>
      <c r="G713" s="2" t="str">
        <f>IFERROR(INDEX(Movimientos!$L$2:$L$1998,MATCH(A713&amp;"ENTRADA",Movimientos!$R$2:$R$1998,0)),"-")</f>
        <v>-</v>
      </c>
      <c r="H713" s="17" t="str">
        <f>IFERROR(IF(INDEX(Movimientos!$M$2:$M$1998,MATCH(A713&amp;"ENTRADA",Movimientos!$R$2:$R$1998,0))=0,"S/D",INDEX(Movimientos!$M$2:$M$1998,MATCH(A713&amp;"ENTRADA",Movimientos!$R$2:$R$1998,0))),"S/D")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 ht="14.25">
      <c r="A714" s="16" t="s">
        <v>2879</v>
      </c>
      <c r="B714" s="2" t="str">
        <f>IFERROR(INDEX(Movimientos!$C$2:$C$1998,MATCH(A714&amp;"ENTRADA",Movimientos!$R$2:$R$1998,0)),"-")</f>
        <v>-</v>
      </c>
      <c r="C714" s="2" t="str">
        <f>IFERROR(INDEX(Movimientos!$D$2:$D$1998,MATCH(A714&amp;"ENTRADA",Movimientos!$R$2:$R$1998,0)),"-")</f>
        <v>-</v>
      </c>
      <c r="D714" s="2" t="str">
        <f>IFERROR(INDEX(Movimientos!$E$2:$E$1998,MATCH(A714&amp;"ENTRADA",Movimientos!$R$2:$R$1998,0)),"-")</f>
        <v>-</v>
      </c>
      <c r="E714" s="2" t="str">
        <f>IFERROR(INDEX(Movimientos!$F$2:$F$1998,MATCH(A714&amp;"ENTRADA",Movimientos!$R$2:$R$1998,0)),"-")</f>
        <v>-</v>
      </c>
      <c r="F714" s="2" t="str">
        <f>IFERROR(INDEX(Movimientos!$G$2:$G$1998,MATCH(A714&amp;"ENTRADA",Movimientos!$R$2:$R$1998,0)),"-")</f>
        <v>-</v>
      </c>
      <c r="G714" s="2" t="str">
        <f>IFERROR(INDEX(Movimientos!$L$2:$L$1998,MATCH(A714&amp;"ENTRADA",Movimientos!$R$2:$R$1998,0)),"-")</f>
        <v>-</v>
      </c>
      <c r="H714" s="17" t="str">
        <f>IFERROR(IF(INDEX(Movimientos!$M$2:$M$1998,MATCH(A714&amp;"ENTRADA",Movimientos!$R$2:$R$1998,0))=0,"S/D",INDEX(Movimientos!$M$2:$M$1998,MATCH(A714&amp;"ENTRADA",Movimientos!$R$2:$R$1998,0))),"S/D")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 ht="14.25">
      <c r="A715" s="16" t="s">
        <v>2880</v>
      </c>
      <c r="B715" s="2" t="str">
        <f>IFERROR(INDEX(Movimientos!$C$2:$C$1998,MATCH(A715&amp;"ENTRADA",Movimientos!$R$2:$R$1998,0)),"-")</f>
        <v>-</v>
      </c>
      <c r="C715" s="2" t="str">
        <f>IFERROR(INDEX(Movimientos!$D$2:$D$1998,MATCH(A715&amp;"ENTRADA",Movimientos!$R$2:$R$1998,0)),"-")</f>
        <v>-</v>
      </c>
      <c r="D715" s="2" t="str">
        <f>IFERROR(INDEX(Movimientos!$E$2:$E$1998,MATCH(A715&amp;"ENTRADA",Movimientos!$R$2:$R$1998,0)),"-")</f>
        <v>-</v>
      </c>
      <c r="E715" s="2" t="str">
        <f>IFERROR(INDEX(Movimientos!$F$2:$F$1998,MATCH(A715&amp;"ENTRADA",Movimientos!$R$2:$R$1998,0)),"-")</f>
        <v>-</v>
      </c>
      <c r="F715" s="2" t="str">
        <f>IFERROR(INDEX(Movimientos!$G$2:$G$1998,MATCH(A715&amp;"ENTRADA",Movimientos!$R$2:$R$1998,0)),"-")</f>
        <v>-</v>
      </c>
      <c r="G715" s="2" t="str">
        <f>IFERROR(INDEX(Movimientos!$L$2:$L$1998,MATCH(A715&amp;"ENTRADA",Movimientos!$R$2:$R$1998,0)),"-")</f>
        <v>-</v>
      </c>
      <c r="H715" s="17" t="str">
        <f>IFERROR(IF(INDEX(Movimientos!$M$2:$M$1998,MATCH(A715&amp;"ENTRADA",Movimientos!$R$2:$R$1998,0))=0,"S/D",INDEX(Movimientos!$M$2:$M$1998,MATCH(A715&amp;"ENTRADA",Movimientos!$R$2:$R$1998,0))),"S/D")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 ht="14.25">
      <c r="A716" s="16" t="s">
        <v>2881</v>
      </c>
      <c r="B716" s="2" t="str">
        <f>IFERROR(INDEX(Movimientos!$C$2:$C$1998,MATCH(A716&amp;"ENTRADA",Movimientos!$R$2:$R$1998,0)),"-")</f>
        <v>-</v>
      </c>
      <c r="C716" s="2" t="str">
        <f>IFERROR(INDEX(Movimientos!$D$2:$D$1998,MATCH(A716&amp;"ENTRADA",Movimientos!$R$2:$R$1998,0)),"-")</f>
        <v>-</v>
      </c>
      <c r="D716" s="2" t="str">
        <f>IFERROR(INDEX(Movimientos!$E$2:$E$1998,MATCH(A716&amp;"ENTRADA",Movimientos!$R$2:$R$1998,0)),"-")</f>
        <v>-</v>
      </c>
      <c r="E716" s="2" t="str">
        <f>IFERROR(INDEX(Movimientos!$F$2:$F$1998,MATCH(A716&amp;"ENTRADA",Movimientos!$R$2:$R$1998,0)),"-")</f>
        <v>-</v>
      </c>
      <c r="F716" s="2" t="str">
        <f>IFERROR(INDEX(Movimientos!$G$2:$G$1998,MATCH(A716&amp;"ENTRADA",Movimientos!$R$2:$R$1998,0)),"-")</f>
        <v>-</v>
      </c>
      <c r="G716" s="2" t="str">
        <f>IFERROR(INDEX(Movimientos!$L$2:$L$1998,MATCH(A716&amp;"ENTRADA",Movimientos!$R$2:$R$1998,0)),"-")</f>
        <v>-</v>
      </c>
      <c r="H716" s="17" t="str">
        <f>IFERROR(IF(INDEX(Movimientos!$M$2:$M$1998,MATCH(A716&amp;"ENTRADA",Movimientos!$R$2:$R$1998,0))=0,"S/D",INDEX(Movimientos!$M$2:$M$1998,MATCH(A716&amp;"ENTRADA",Movimientos!$R$2:$R$1998,0))),"S/D")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 ht="14.25">
      <c r="A717" s="16" t="s">
        <v>2882</v>
      </c>
      <c r="B717" s="2" t="str">
        <f>IFERROR(INDEX(Movimientos!$C$2:$C$1998,MATCH(A717&amp;"ENTRADA",Movimientos!$R$2:$R$1998,0)),"-")</f>
        <v>-</v>
      </c>
      <c r="C717" s="2" t="str">
        <f>IFERROR(INDEX(Movimientos!$D$2:$D$1998,MATCH(A717&amp;"ENTRADA",Movimientos!$R$2:$R$1998,0)),"-")</f>
        <v>-</v>
      </c>
      <c r="D717" s="2" t="str">
        <f>IFERROR(INDEX(Movimientos!$E$2:$E$1998,MATCH(A717&amp;"ENTRADA",Movimientos!$R$2:$R$1998,0)),"-")</f>
        <v>-</v>
      </c>
      <c r="E717" s="2" t="str">
        <f>IFERROR(INDEX(Movimientos!$F$2:$F$1998,MATCH(A717&amp;"ENTRADA",Movimientos!$R$2:$R$1998,0)),"-")</f>
        <v>-</v>
      </c>
      <c r="F717" s="2" t="str">
        <f>IFERROR(INDEX(Movimientos!$G$2:$G$1998,MATCH(A717&amp;"ENTRADA",Movimientos!$R$2:$R$1998,0)),"-")</f>
        <v>-</v>
      </c>
      <c r="G717" s="2" t="str">
        <f>IFERROR(INDEX(Movimientos!$L$2:$L$1998,MATCH(A717&amp;"ENTRADA",Movimientos!$R$2:$R$1998,0)),"-")</f>
        <v>-</v>
      </c>
      <c r="H717" s="17" t="str">
        <f>IFERROR(IF(INDEX(Movimientos!$M$2:$M$1998,MATCH(A717&amp;"ENTRADA",Movimientos!$R$2:$R$1998,0))=0,"S/D",INDEX(Movimientos!$M$2:$M$1998,MATCH(A717&amp;"ENTRADA",Movimientos!$R$2:$R$1998,0))),"S/D")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 ht="14.25">
      <c r="A718" s="16" t="s">
        <v>2883</v>
      </c>
      <c r="B718" s="2" t="str">
        <f>IFERROR(INDEX(Movimientos!$C$2:$C$1998,MATCH(A718&amp;"ENTRADA",Movimientos!$R$2:$R$1998,0)),"-")</f>
        <v>-</v>
      </c>
      <c r="C718" s="2" t="str">
        <f>IFERROR(INDEX(Movimientos!$D$2:$D$1998,MATCH(A718&amp;"ENTRADA",Movimientos!$R$2:$R$1998,0)),"-")</f>
        <v>-</v>
      </c>
      <c r="D718" s="2" t="str">
        <f>IFERROR(INDEX(Movimientos!$E$2:$E$1998,MATCH(A718&amp;"ENTRADA",Movimientos!$R$2:$R$1998,0)),"-")</f>
        <v>-</v>
      </c>
      <c r="E718" s="2" t="str">
        <f>IFERROR(INDEX(Movimientos!$F$2:$F$1998,MATCH(A718&amp;"ENTRADA",Movimientos!$R$2:$R$1998,0)),"-")</f>
        <v>-</v>
      </c>
      <c r="F718" s="2" t="str">
        <f>IFERROR(INDEX(Movimientos!$G$2:$G$1998,MATCH(A718&amp;"ENTRADA",Movimientos!$R$2:$R$1998,0)),"-")</f>
        <v>-</v>
      </c>
      <c r="G718" s="2" t="str">
        <f>IFERROR(INDEX(Movimientos!$L$2:$L$1998,MATCH(A718&amp;"ENTRADA",Movimientos!$R$2:$R$1998,0)),"-")</f>
        <v>-</v>
      </c>
      <c r="H718" s="17" t="str">
        <f>IFERROR(IF(INDEX(Movimientos!$M$2:$M$1998,MATCH(A718&amp;"ENTRADA",Movimientos!$R$2:$R$1998,0))=0,"S/D",INDEX(Movimientos!$M$2:$M$1998,MATCH(A718&amp;"ENTRADA",Movimientos!$R$2:$R$1998,0))),"S/D")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 ht="14.25">
      <c r="A719" s="16" t="s">
        <v>2884</v>
      </c>
      <c r="B719" s="2" t="str">
        <f>IFERROR(INDEX(Movimientos!$C$2:$C$1998,MATCH(A719&amp;"ENTRADA",Movimientos!$R$2:$R$1998,0)),"-")</f>
        <v>-</v>
      </c>
      <c r="C719" s="2" t="str">
        <f>IFERROR(INDEX(Movimientos!$D$2:$D$1998,MATCH(A719&amp;"ENTRADA",Movimientos!$R$2:$R$1998,0)),"-")</f>
        <v>-</v>
      </c>
      <c r="D719" s="2" t="str">
        <f>IFERROR(INDEX(Movimientos!$E$2:$E$1998,MATCH(A719&amp;"ENTRADA",Movimientos!$R$2:$R$1998,0)),"-")</f>
        <v>-</v>
      </c>
      <c r="E719" s="2" t="str">
        <f>IFERROR(INDEX(Movimientos!$F$2:$F$1998,MATCH(A719&amp;"ENTRADA",Movimientos!$R$2:$R$1998,0)),"-")</f>
        <v>-</v>
      </c>
      <c r="F719" s="2" t="str">
        <f>IFERROR(INDEX(Movimientos!$G$2:$G$1998,MATCH(A719&amp;"ENTRADA",Movimientos!$R$2:$R$1998,0)),"-")</f>
        <v>-</v>
      </c>
      <c r="G719" s="2" t="str">
        <f>IFERROR(INDEX(Movimientos!$L$2:$L$1998,MATCH(A719&amp;"ENTRADA",Movimientos!$R$2:$R$1998,0)),"-")</f>
        <v>-</v>
      </c>
      <c r="H719" s="17" t="str">
        <f>IFERROR(IF(INDEX(Movimientos!$M$2:$M$1998,MATCH(A719&amp;"ENTRADA",Movimientos!$R$2:$R$1998,0))=0,"S/D",INDEX(Movimientos!$M$2:$M$1998,MATCH(A719&amp;"ENTRADA",Movimientos!$R$2:$R$1998,0))),"S/D")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 ht="14.25">
      <c r="A720" s="16" t="s">
        <v>2885</v>
      </c>
      <c r="B720" s="2" t="str">
        <f>IFERROR(INDEX(Movimientos!$C$2:$C$1998,MATCH(A720&amp;"ENTRADA",Movimientos!$R$2:$R$1998,0)),"-")</f>
        <v>-</v>
      </c>
      <c r="C720" s="2" t="str">
        <f>IFERROR(INDEX(Movimientos!$D$2:$D$1998,MATCH(A720&amp;"ENTRADA",Movimientos!$R$2:$R$1998,0)),"-")</f>
        <v>-</v>
      </c>
      <c r="D720" s="2" t="str">
        <f>IFERROR(INDEX(Movimientos!$E$2:$E$1998,MATCH(A720&amp;"ENTRADA",Movimientos!$R$2:$R$1998,0)),"-")</f>
        <v>-</v>
      </c>
      <c r="E720" s="2" t="str">
        <f>IFERROR(INDEX(Movimientos!$F$2:$F$1998,MATCH(A720&amp;"ENTRADA",Movimientos!$R$2:$R$1998,0)),"-")</f>
        <v>-</v>
      </c>
      <c r="F720" s="2" t="str">
        <f>IFERROR(INDEX(Movimientos!$G$2:$G$1998,MATCH(A720&amp;"ENTRADA",Movimientos!$R$2:$R$1998,0)),"-")</f>
        <v>-</v>
      </c>
      <c r="G720" s="2" t="str">
        <f>IFERROR(INDEX(Movimientos!$L$2:$L$1998,MATCH(A720&amp;"ENTRADA",Movimientos!$R$2:$R$1998,0)),"-")</f>
        <v>-</v>
      </c>
      <c r="H720" s="17" t="str">
        <f>IFERROR(IF(INDEX(Movimientos!$M$2:$M$1998,MATCH(A720&amp;"ENTRADA",Movimientos!$R$2:$R$1998,0))=0,"S/D",INDEX(Movimientos!$M$2:$M$1998,MATCH(A720&amp;"ENTRADA",Movimientos!$R$2:$R$1998,0))),"S/D")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 ht="14.25">
      <c r="A721" s="16" t="s">
        <v>2886</v>
      </c>
      <c r="B721" s="2" t="str">
        <f>IFERROR(INDEX(Movimientos!$C$2:$C$1998,MATCH(A721&amp;"ENTRADA",Movimientos!$R$2:$R$1998,0)),"-")</f>
        <v>-</v>
      </c>
      <c r="C721" s="2" t="str">
        <f>IFERROR(INDEX(Movimientos!$D$2:$D$1998,MATCH(A721&amp;"ENTRADA",Movimientos!$R$2:$R$1998,0)),"-")</f>
        <v>-</v>
      </c>
      <c r="D721" s="2" t="str">
        <f>IFERROR(INDEX(Movimientos!$E$2:$E$1998,MATCH(A721&amp;"ENTRADA",Movimientos!$R$2:$R$1998,0)),"-")</f>
        <v>-</v>
      </c>
      <c r="E721" s="2" t="str">
        <f>IFERROR(INDEX(Movimientos!$F$2:$F$1998,MATCH(A721&amp;"ENTRADA",Movimientos!$R$2:$R$1998,0)),"-")</f>
        <v>-</v>
      </c>
      <c r="F721" s="2" t="str">
        <f>IFERROR(INDEX(Movimientos!$G$2:$G$1998,MATCH(A721&amp;"ENTRADA",Movimientos!$R$2:$R$1998,0)),"-")</f>
        <v>-</v>
      </c>
      <c r="G721" s="2" t="str">
        <f>IFERROR(INDEX(Movimientos!$L$2:$L$1998,MATCH(A721&amp;"ENTRADA",Movimientos!$R$2:$R$1998,0)),"-")</f>
        <v>-</v>
      </c>
      <c r="H721" s="17" t="str">
        <f>IFERROR(IF(INDEX(Movimientos!$M$2:$M$1998,MATCH(A721&amp;"ENTRADA",Movimientos!$R$2:$R$1998,0))=0,"S/D",INDEX(Movimientos!$M$2:$M$1998,MATCH(A721&amp;"ENTRADA",Movimientos!$R$2:$R$1998,0))),"S/D")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 ht="14.25">
      <c r="A722" s="16" t="s">
        <v>2887</v>
      </c>
      <c r="B722" s="2" t="str">
        <f>IFERROR(INDEX(Movimientos!$C$2:$C$1998,MATCH(A722&amp;"ENTRADA",Movimientos!$R$2:$R$1998,0)),"-")</f>
        <v>-</v>
      </c>
      <c r="C722" s="2" t="str">
        <f>IFERROR(INDEX(Movimientos!$D$2:$D$1998,MATCH(A722&amp;"ENTRADA",Movimientos!$R$2:$R$1998,0)),"-")</f>
        <v>-</v>
      </c>
      <c r="D722" s="2" t="str">
        <f>IFERROR(INDEX(Movimientos!$E$2:$E$1998,MATCH(A722&amp;"ENTRADA",Movimientos!$R$2:$R$1998,0)),"-")</f>
        <v>-</v>
      </c>
      <c r="E722" s="2" t="str">
        <f>IFERROR(INDEX(Movimientos!$F$2:$F$1998,MATCH(A722&amp;"ENTRADA",Movimientos!$R$2:$R$1998,0)),"-")</f>
        <v>-</v>
      </c>
      <c r="F722" s="2" t="str">
        <f>IFERROR(INDEX(Movimientos!$G$2:$G$1998,MATCH(A722&amp;"ENTRADA",Movimientos!$R$2:$R$1998,0)),"-")</f>
        <v>-</v>
      </c>
      <c r="G722" s="2" t="str">
        <f>IFERROR(INDEX(Movimientos!$L$2:$L$1998,MATCH(A722&amp;"ENTRADA",Movimientos!$R$2:$R$1998,0)),"-")</f>
        <v>-</v>
      </c>
      <c r="H722" s="17" t="str">
        <f>IFERROR(IF(INDEX(Movimientos!$M$2:$M$1998,MATCH(A722&amp;"ENTRADA",Movimientos!$R$2:$R$1998,0))=0,"S/D",INDEX(Movimientos!$M$2:$M$1998,MATCH(A722&amp;"ENTRADA",Movimientos!$R$2:$R$1998,0))),"S/D")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 ht="14.25">
      <c r="A723" s="16" t="s">
        <v>2888</v>
      </c>
      <c r="B723" s="2" t="str">
        <f>IFERROR(INDEX(Movimientos!$C$2:$C$1998,MATCH(A723&amp;"ENTRADA",Movimientos!$R$2:$R$1998,0)),"-")</f>
        <v>-</v>
      </c>
      <c r="C723" s="2" t="str">
        <f>IFERROR(INDEX(Movimientos!$D$2:$D$1998,MATCH(A723&amp;"ENTRADA",Movimientos!$R$2:$R$1998,0)),"-")</f>
        <v>-</v>
      </c>
      <c r="D723" s="2" t="str">
        <f>IFERROR(INDEX(Movimientos!$E$2:$E$1998,MATCH(A723&amp;"ENTRADA",Movimientos!$R$2:$R$1998,0)),"-")</f>
        <v>-</v>
      </c>
      <c r="E723" s="2" t="str">
        <f>IFERROR(INDEX(Movimientos!$F$2:$F$1998,MATCH(A723&amp;"ENTRADA",Movimientos!$R$2:$R$1998,0)),"-")</f>
        <v>-</v>
      </c>
      <c r="F723" s="2" t="str">
        <f>IFERROR(INDEX(Movimientos!$G$2:$G$1998,MATCH(A723&amp;"ENTRADA",Movimientos!$R$2:$R$1998,0)),"-")</f>
        <v>-</v>
      </c>
      <c r="G723" s="2" t="str">
        <f>IFERROR(INDEX(Movimientos!$L$2:$L$1998,MATCH(A723&amp;"ENTRADA",Movimientos!$R$2:$R$1998,0)),"-")</f>
        <v>-</v>
      </c>
      <c r="H723" s="17" t="str">
        <f>IFERROR(IF(INDEX(Movimientos!$M$2:$M$1998,MATCH(A723&amp;"ENTRADA",Movimientos!$R$2:$R$1998,0))=0,"S/D",INDEX(Movimientos!$M$2:$M$1998,MATCH(A723&amp;"ENTRADA",Movimientos!$R$2:$R$1998,0))),"S/D")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 ht="14.25">
      <c r="A724" s="16" t="s">
        <v>2889</v>
      </c>
      <c r="B724" s="2" t="str">
        <f>IFERROR(INDEX(Movimientos!$C$2:$C$1998,MATCH(A724&amp;"ENTRADA",Movimientos!$R$2:$R$1998,0)),"-")</f>
        <v>-</v>
      </c>
      <c r="C724" s="2" t="str">
        <f>IFERROR(INDEX(Movimientos!$D$2:$D$1998,MATCH(A724&amp;"ENTRADA",Movimientos!$R$2:$R$1998,0)),"-")</f>
        <v>-</v>
      </c>
      <c r="D724" s="2" t="str">
        <f>IFERROR(INDEX(Movimientos!$E$2:$E$1998,MATCH(A724&amp;"ENTRADA",Movimientos!$R$2:$R$1998,0)),"-")</f>
        <v>-</v>
      </c>
      <c r="E724" s="2" t="str">
        <f>IFERROR(INDEX(Movimientos!$F$2:$F$1998,MATCH(A724&amp;"ENTRADA",Movimientos!$R$2:$R$1998,0)),"-")</f>
        <v>-</v>
      </c>
      <c r="F724" s="2" t="str">
        <f>IFERROR(INDEX(Movimientos!$G$2:$G$1998,MATCH(A724&amp;"ENTRADA",Movimientos!$R$2:$R$1998,0)),"-")</f>
        <v>-</v>
      </c>
      <c r="G724" s="2" t="str">
        <f>IFERROR(INDEX(Movimientos!$L$2:$L$1998,MATCH(A724&amp;"ENTRADA",Movimientos!$R$2:$R$1998,0)),"-")</f>
        <v>-</v>
      </c>
      <c r="H724" s="17" t="str">
        <f>IFERROR(IF(INDEX(Movimientos!$M$2:$M$1998,MATCH(A724&amp;"ENTRADA",Movimientos!$R$2:$R$1998,0))=0,"S/D",INDEX(Movimientos!$M$2:$M$1998,MATCH(A724&amp;"ENTRADA",Movimientos!$R$2:$R$1998,0))),"S/D")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 ht="14.25">
      <c r="A725" s="16" t="s">
        <v>2890</v>
      </c>
      <c r="B725" s="2" t="str">
        <f>IFERROR(INDEX(Movimientos!$C$2:$C$1998,MATCH(A725&amp;"ENTRADA",Movimientos!$R$2:$R$1998,0)),"-")</f>
        <v>-</v>
      </c>
      <c r="C725" s="2" t="str">
        <f>IFERROR(INDEX(Movimientos!$D$2:$D$1998,MATCH(A725&amp;"ENTRADA",Movimientos!$R$2:$R$1998,0)),"-")</f>
        <v>-</v>
      </c>
      <c r="D725" s="2" t="str">
        <f>IFERROR(INDEX(Movimientos!$E$2:$E$1998,MATCH(A725&amp;"ENTRADA",Movimientos!$R$2:$R$1998,0)),"-")</f>
        <v>-</v>
      </c>
      <c r="E725" s="2" t="str">
        <f>IFERROR(INDEX(Movimientos!$F$2:$F$1998,MATCH(A725&amp;"ENTRADA",Movimientos!$R$2:$R$1998,0)),"-")</f>
        <v>-</v>
      </c>
      <c r="F725" s="2" t="str">
        <f>IFERROR(INDEX(Movimientos!$G$2:$G$1998,MATCH(A725&amp;"ENTRADA",Movimientos!$R$2:$R$1998,0)),"-")</f>
        <v>-</v>
      </c>
      <c r="G725" s="2" t="str">
        <f>IFERROR(INDEX(Movimientos!$L$2:$L$1998,MATCH(A725&amp;"ENTRADA",Movimientos!$R$2:$R$1998,0)),"-")</f>
        <v>-</v>
      </c>
      <c r="H725" s="17" t="str">
        <f>IFERROR(IF(INDEX(Movimientos!$M$2:$M$1998,MATCH(A725&amp;"ENTRADA",Movimientos!$R$2:$R$1998,0))=0,"S/D",INDEX(Movimientos!$M$2:$M$1998,MATCH(A725&amp;"ENTRADA",Movimientos!$R$2:$R$1998,0))),"S/D")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 ht="14.25">
      <c r="A726" s="16" t="s">
        <v>2891</v>
      </c>
      <c r="B726" s="2" t="str">
        <f>IFERROR(INDEX(Movimientos!$C$2:$C$1998,MATCH(A726&amp;"ENTRADA",Movimientos!$R$2:$R$1998,0)),"-")</f>
        <v>-</v>
      </c>
      <c r="C726" s="2" t="str">
        <f>IFERROR(INDEX(Movimientos!$D$2:$D$1998,MATCH(A726&amp;"ENTRADA",Movimientos!$R$2:$R$1998,0)),"-")</f>
        <v>-</v>
      </c>
      <c r="D726" s="2" t="str">
        <f>IFERROR(INDEX(Movimientos!$E$2:$E$1998,MATCH(A726&amp;"ENTRADA",Movimientos!$R$2:$R$1998,0)),"-")</f>
        <v>-</v>
      </c>
      <c r="E726" s="2" t="str">
        <f>IFERROR(INDEX(Movimientos!$F$2:$F$1998,MATCH(A726&amp;"ENTRADA",Movimientos!$R$2:$R$1998,0)),"-")</f>
        <v>-</v>
      </c>
      <c r="F726" s="2" t="str">
        <f>IFERROR(INDEX(Movimientos!$G$2:$G$1998,MATCH(A726&amp;"ENTRADA",Movimientos!$R$2:$R$1998,0)),"-")</f>
        <v>-</v>
      </c>
      <c r="G726" s="2" t="str">
        <f>IFERROR(INDEX(Movimientos!$L$2:$L$1998,MATCH(A726&amp;"ENTRADA",Movimientos!$R$2:$R$1998,0)),"-")</f>
        <v>-</v>
      </c>
      <c r="H726" s="17" t="str">
        <f>IFERROR(IF(INDEX(Movimientos!$M$2:$M$1998,MATCH(A726&amp;"ENTRADA",Movimientos!$R$2:$R$1998,0))=0,"S/D",INDEX(Movimientos!$M$2:$M$1998,MATCH(A726&amp;"ENTRADA",Movimientos!$R$2:$R$1998,0))),"S/D")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 ht="14.25">
      <c r="A727" s="16" t="s">
        <v>2892</v>
      </c>
      <c r="B727" s="2" t="str">
        <f>IFERROR(INDEX(Movimientos!$C$2:$C$1998,MATCH(A727&amp;"ENTRADA",Movimientos!$R$2:$R$1998,0)),"-")</f>
        <v>-</v>
      </c>
      <c r="C727" s="2" t="str">
        <f>IFERROR(INDEX(Movimientos!$D$2:$D$1998,MATCH(A727&amp;"ENTRADA",Movimientos!$R$2:$R$1998,0)),"-")</f>
        <v>-</v>
      </c>
      <c r="D727" s="2" t="str">
        <f>IFERROR(INDEX(Movimientos!$E$2:$E$1998,MATCH(A727&amp;"ENTRADA",Movimientos!$R$2:$R$1998,0)),"-")</f>
        <v>-</v>
      </c>
      <c r="E727" s="2" t="str">
        <f>IFERROR(INDEX(Movimientos!$F$2:$F$1998,MATCH(A727&amp;"ENTRADA",Movimientos!$R$2:$R$1998,0)),"-")</f>
        <v>-</v>
      </c>
      <c r="F727" s="2" t="str">
        <f>IFERROR(INDEX(Movimientos!$G$2:$G$1998,MATCH(A727&amp;"ENTRADA",Movimientos!$R$2:$R$1998,0)),"-")</f>
        <v>-</v>
      </c>
      <c r="G727" s="2" t="str">
        <f>IFERROR(INDEX(Movimientos!$L$2:$L$1998,MATCH(A727&amp;"ENTRADA",Movimientos!$R$2:$R$1998,0)),"-")</f>
        <v>-</v>
      </c>
      <c r="H727" s="17" t="str">
        <f>IFERROR(IF(INDEX(Movimientos!$M$2:$M$1998,MATCH(A727&amp;"ENTRADA",Movimientos!$R$2:$R$1998,0))=0,"S/D",INDEX(Movimientos!$M$2:$M$1998,MATCH(A727&amp;"ENTRADA",Movimientos!$R$2:$R$1998,0))),"S/D")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 ht="14.25">
      <c r="A728" s="16" t="s">
        <v>2893</v>
      </c>
      <c r="B728" s="2" t="str">
        <f>IFERROR(INDEX(Movimientos!$C$2:$C$1998,MATCH(A728&amp;"ENTRADA",Movimientos!$R$2:$R$1998,0)),"-")</f>
        <v>-</v>
      </c>
      <c r="C728" s="2" t="str">
        <f>IFERROR(INDEX(Movimientos!$D$2:$D$1998,MATCH(A728&amp;"ENTRADA",Movimientos!$R$2:$R$1998,0)),"-")</f>
        <v>-</v>
      </c>
      <c r="D728" s="2" t="str">
        <f>IFERROR(INDEX(Movimientos!$E$2:$E$1998,MATCH(A728&amp;"ENTRADA",Movimientos!$R$2:$R$1998,0)),"-")</f>
        <v>-</v>
      </c>
      <c r="E728" s="2" t="str">
        <f>IFERROR(INDEX(Movimientos!$F$2:$F$1998,MATCH(A728&amp;"ENTRADA",Movimientos!$R$2:$R$1998,0)),"-")</f>
        <v>-</v>
      </c>
      <c r="F728" s="2" t="str">
        <f>IFERROR(INDEX(Movimientos!$G$2:$G$1998,MATCH(A728&amp;"ENTRADA",Movimientos!$R$2:$R$1998,0)),"-")</f>
        <v>-</v>
      </c>
      <c r="G728" s="2" t="str">
        <f>IFERROR(INDEX(Movimientos!$L$2:$L$1998,MATCH(A728&amp;"ENTRADA",Movimientos!$R$2:$R$1998,0)),"-")</f>
        <v>-</v>
      </c>
      <c r="H728" s="17" t="str">
        <f>IFERROR(IF(INDEX(Movimientos!$M$2:$M$1998,MATCH(A728&amp;"ENTRADA",Movimientos!$R$2:$R$1998,0))=0,"S/D",INDEX(Movimientos!$M$2:$M$1998,MATCH(A728&amp;"ENTRADA",Movimientos!$R$2:$R$1998,0))),"S/D")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 ht="14.25">
      <c r="A729" s="16" t="s">
        <v>2894</v>
      </c>
      <c r="B729" s="2" t="str">
        <f>IFERROR(INDEX(Movimientos!$C$2:$C$1998,MATCH(A729&amp;"ENTRADA",Movimientos!$R$2:$R$1998,0)),"-")</f>
        <v>-</v>
      </c>
      <c r="C729" s="2" t="str">
        <f>IFERROR(INDEX(Movimientos!$D$2:$D$1998,MATCH(A729&amp;"ENTRADA",Movimientos!$R$2:$R$1998,0)),"-")</f>
        <v>-</v>
      </c>
      <c r="D729" s="2" t="str">
        <f>IFERROR(INDEX(Movimientos!$E$2:$E$1998,MATCH(A729&amp;"ENTRADA",Movimientos!$R$2:$R$1998,0)),"-")</f>
        <v>-</v>
      </c>
      <c r="E729" s="2" t="str">
        <f>IFERROR(INDEX(Movimientos!$F$2:$F$1998,MATCH(A729&amp;"ENTRADA",Movimientos!$R$2:$R$1998,0)),"-")</f>
        <v>-</v>
      </c>
      <c r="F729" s="2" t="str">
        <f>IFERROR(INDEX(Movimientos!$G$2:$G$1998,MATCH(A729&amp;"ENTRADA",Movimientos!$R$2:$R$1998,0)),"-")</f>
        <v>-</v>
      </c>
      <c r="G729" s="2" t="str">
        <f>IFERROR(INDEX(Movimientos!$L$2:$L$1998,MATCH(A729&amp;"ENTRADA",Movimientos!$R$2:$R$1998,0)),"-")</f>
        <v>-</v>
      </c>
      <c r="H729" s="17" t="str">
        <f>IFERROR(IF(INDEX(Movimientos!$M$2:$M$1998,MATCH(A729&amp;"ENTRADA",Movimientos!$R$2:$R$1998,0))=0,"S/D",INDEX(Movimientos!$M$2:$M$1998,MATCH(A729&amp;"ENTRADA",Movimientos!$R$2:$R$1998,0))),"S/D")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 ht="14.25">
      <c r="A730" s="16" t="s">
        <v>2895</v>
      </c>
      <c r="B730" s="2" t="str">
        <f>IFERROR(INDEX(Movimientos!$C$2:$C$1998,MATCH(A730&amp;"ENTRADA",Movimientos!$R$2:$R$1998,0)),"-")</f>
        <v>-</v>
      </c>
      <c r="C730" s="2" t="str">
        <f>IFERROR(INDEX(Movimientos!$D$2:$D$1998,MATCH(A730&amp;"ENTRADA",Movimientos!$R$2:$R$1998,0)),"-")</f>
        <v>-</v>
      </c>
      <c r="D730" s="2" t="str">
        <f>IFERROR(INDEX(Movimientos!$E$2:$E$1998,MATCH(A730&amp;"ENTRADA",Movimientos!$R$2:$R$1998,0)),"-")</f>
        <v>-</v>
      </c>
      <c r="E730" s="2" t="str">
        <f>IFERROR(INDEX(Movimientos!$F$2:$F$1998,MATCH(A730&amp;"ENTRADA",Movimientos!$R$2:$R$1998,0)),"-")</f>
        <v>-</v>
      </c>
      <c r="F730" s="2" t="str">
        <f>IFERROR(INDEX(Movimientos!$G$2:$G$1998,MATCH(A730&amp;"ENTRADA",Movimientos!$R$2:$R$1998,0)),"-")</f>
        <v>-</v>
      </c>
      <c r="G730" s="2" t="str">
        <f>IFERROR(INDEX(Movimientos!$L$2:$L$1998,MATCH(A730&amp;"ENTRADA",Movimientos!$R$2:$R$1998,0)),"-")</f>
        <v>-</v>
      </c>
      <c r="H730" s="17" t="str">
        <f>IFERROR(IF(INDEX(Movimientos!$M$2:$M$1998,MATCH(A730&amp;"ENTRADA",Movimientos!$R$2:$R$1998,0))=0,"S/D",INDEX(Movimientos!$M$2:$M$1998,MATCH(A730&amp;"ENTRADA",Movimientos!$R$2:$R$1998,0))),"S/D")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 ht="14.25">
      <c r="A731" s="16" t="s">
        <v>2896</v>
      </c>
      <c r="B731" s="2" t="str">
        <f>IFERROR(INDEX(Movimientos!$C$2:$C$1998,MATCH(A731&amp;"ENTRADA",Movimientos!$R$2:$R$1998,0)),"-")</f>
        <v>-</v>
      </c>
      <c r="C731" s="2" t="str">
        <f>IFERROR(INDEX(Movimientos!$D$2:$D$1998,MATCH(A731&amp;"ENTRADA",Movimientos!$R$2:$R$1998,0)),"-")</f>
        <v>-</v>
      </c>
      <c r="D731" s="2" t="str">
        <f>IFERROR(INDEX(Movimientos!$E$2:$E$1998,MATCH(A731&amp;"ENTRADA",Movimientos!$R$2:$R$1998,0)),"-")</f>
        <v>-</v>
      </c>
      <c r="E731" s="2" t="str">
        <f>IFERROR(INDEX(Movimientos!$F$2:$F$1998,MATCH(A731&amp;"ENTRADA",Movimientos!$R$2:$R$1998,0)),"-")</f>
        <v>-</v>
      </c>
      <c r="F731" s="2" t="str">
        <f>IFERROR(INDEX(Movimientos!$G$2:$G$1998,MATCH(A731&amp;"ENTRADA",Movimientos!$R$2:$R$1998,0)),"-")</f>
        <v>-</v>
      </c>
      <c r="G731" s="2" t="str">
        <f>IFERROR(INDEX(Movimientos!$L$2:$L$1998,MATCH(A731&amp;"ENTRADA",Movimientos!$R$2:$R$1998,0)),"-")</f>
        <v>-</v>
      </c>
      <c r="H731" s="17" t="str">
        <f>IFERROR(IF(INDEX(Movimientos!$M$2:$M$1998,MATCH(A731&amp;"ENTRADA",Movimientos!$R$2:$R$1998,0))=0,"S/D",INDEX(Movimientos!$M$2:$M$1998,MATCH(A731&amp;"ENTRADA",Movimientos!$R$2:$R$1998,0))),"S/D")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 ht="14.25">
      <c r="A732" s="16" t="s">
        <v>2897</v>
      </c>
      <c r="B732" s="2" t="str">
        <f>IFERROR(INDEX(Movimientos!$C$2:$C$1998,MATCH(A732&amp;"ENTRADA",Movimientos!$R$2:$R$1998,0)),"-")</f>
        <v>-</v>
      </c>
      <c r="C732" s="2" t="str">
        <f>IFERROR(INDEX(Movimientos!$D$2:$D$1998,MATCH(A732&amp;"ENTRADA",Movimientos!$R$2:$R$1998,0)),"-")</f>
        <v>-</v>
      </c>
      <c r="D732" s="2" t="str">
        <f>IFERROR(INDEX(Movimientos!$E$2:$E$1998,MATCH(A732&amp;"ENTRADA",Movimientos!$R$2:$R$1998,0)),"-")</f>
        <v>-</v>
      </c>
      <c r="E732" s="2" t="str">
        <f>IFERROR(INDEX(Movimientos!$F$2:$F$1998,MATCH(A732&amp;"ENTRADA",Movimientos!$R$2:$R$1998,0)),"-")</f>
        <v>-</v>
      </c>
      <c r="F732" s="2" t="str">
        <f>IFERROR(INDEX(Movimientos!$G$2:$G$1998,MATCH(A732&amp;"ENTRADA",Movimientos!$R$2:$R$1998,0)),"-")</f>
        <v>-</v>
      </c>
      <c r="G732" s="2" t="str">
        <f>IFERROR(INDEX(Movimientos!$L$2:$L$1998,MATCH(A732&amp;"ENTRADA",Movimientos!$R$2:$R$1998,0)),"-")</f>
        <v>-</v>
      </c>
      <c r="H732" s="17" t="str">
        <f>IFERROR(IF(INDEX(Movimientos!$M$2:$M$1998,MATCH(A732&amp;"ENTRADA",Movimientos!$R$2:$R$1998,0))=0,"S/D",INDEX(Movimientos!$M$2:$M$1998,MATCH(A732&amp;"ENTRADA",Movimientos!$R$2:$R$1998,0))),"S/D")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 ht="14.25">
      <c r="A733" s="16" t="s">
        <v>2898</v>
      </c>
      <c r="B733" s="2" t="str">
        <f>IFERROR(INDEX(Movimientos!$C$2:$C$1998,MATCH(A733&amp;"ENTRADA",Movimientos!$R$2:$R$1998,0)),"-")</f>
        <v>-</v>
      </c>
      <c r="C733" s="2" t="str">
        <f>IFERROR(INDEX(Movimientos!$D$2:$D$1998,MATCH(A733&amp;"ENTRADA",Movimientos!$R$2:$R$1998,0)),"-")</f>
        <v>-</v>
      </c>
      <c r="D733" s="2" t="str">
        <f>IFERROR(INDEX(Movimientos!$E$2:$E$1998,MATCH(A733&amp;"ENTRADA",Movimientos!$R$2:$R$1998,0)),"-")</f>
        <v>-</v>
      </c>
      <c r="E733" s="2" t="str">
        <f>IFERROR(INDEX(Movimientos!$F$2:$F$1998,MATCH(A733&amp;"ENTRADA",Movimientos!$R$2:$R$1998,0)),"-")</f>
        <v>-</v>
      </c>
      <c r="F733" s="2" t="str">
        <f>IFERROR(INDEX(Movimientos!$G$2:$G$1998,MATCH(A733&amp;"ENTRADA",Movimientos!$R$2:$R$1998,0)),"-")</f>
        <v>-</v>
      </c>
      <c r="G733" s="2" t="str">
        <f>IFERROR(INDEX(Movimientos!$L$2:$L$1998,MATCH(A733&amp;"ENTRADA",Movimientos!$R$2:$R$1998,0)),"-")</f>
        <v>-</v>
      </c>
      <c r="H733" s="17" t="str">
        <f>IFERROR(IF(INDEX(Movimientos!$M$2:$M$1998,MATCH(A733&amp;"ENTRADA",Movimientos!$R$2:$R$1998,0))=0,"S/D",INDEX(Movimientos!$M$2:$M$1998,MATCH(A733&amp;"ENTRADA",Movimientos!$R$2:$R$1998,0))),"S/D")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 ht="14.25">
      <c r="A734" s="16" t="s">
        <v>2899</v>
      </c>
      <c r="B734" s="2" t="str">
        <f>IFERROR(INDEX(Movimientos!$C$2:$C$1998,MATCH(A734&amp;"ENTRADA",Movimientos!$R$2:$R$1998,0)),"-")</f>
        <v>-</v>
      </c>
      <c r="C734" s="2" t="str">
        <f>IFERROR(INDEX(Movimientos!$D$2:$D$1998,MATCH(A734&amp;"ENTRADA",Movimientos!$R$2:$R$1998,0)),"-")</f>
        <v>-</v>
      </c>
      <c r="D734" s="2" t="str">
        <f>IFERROR(INDEX(Movimientos!$E$2:$E$1998,MATCH(A734&amp;"ENTRADA",Movimientos!$R$2:$R$1998,0)),"-")</f>
        <v>-</v>
      </c>
      <c r="E734" s="2" t="str">
        <f>IFERROR(INDEX(Movimientos!$F$2:$F$1998,MATCH(A734&amp;"ENTRADA",Movimientos!$R$2:$R$1998,0)),"-")</f>
        <v>-</v>
      </c>
      <c r="F734" s="2" t="str">
        <f>IFERROR(INDEX(Movimientos!$G$2:$G$1998,MATCH(A734&amp;"ENTRADA",Movimientos!$R$2:$R$1998,0)),"-")</f>
        <v>-</v>
      </c>
      <c r="G734" s="2" t="str">
        <f>IFERROR(INDEX(Movimientos!$L$2:$L$1998,MATCH(A734&amp;"ENTRADA",Movimientos!$R$2:$R$1998,0)),"-")</f>
        <v>-</v>
      </c>
      <c r="H734" s="17" t="str">
        <f>IFERROR(IF(INDEX(Movimientos!$M$2:$M$1998,MATCH(A734&amp;"ENTRADA",Movimientos!$R$2:$R$1998,0))=0,"S/D",INDEX(Movimientos!$M$2:$M$1998,MATCH(A734&amp;"ENTRADA",Movimientos!$R$2:$R$1998,0))),"S/D")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 ht="14.25">
      <c r="A735" s="16" t="s">
        <v>2900</v>
      </c>
      <c r="B735" s="2" t="str">
        <f>IFERROR(INDEX(Movimientos!$C$2:$C$1998,MATCH(A735&amp;"ENTRADA",Movimientos!$R$2:$R$1998,0)),"-")</f>
        <v>-</v>
      </c>
      <c r="C735" s="2" t="str">
        <f>IFERROR(INDEX(Movimientos!$D$2:$D$1998,MATCH(A735&amp;"ENTRADA",Movimientos!$R$2:$R$1998,0)),"-")</f>
        <v>-</v>
      </c>
      <c r="D735" s="2" t="str">
        <f>IFERROR(INDEX(Movimientos!$E$2:$E$1998,MATCH(A735&amp;"ENTRADA",Movimientos!$R$2:$R$1998,0)),"-")</f>
        <v>-</v>
      </c>
      <c r="E735" s="2" t="str">
        <f>IFERROR(INDEX(Movimientos!$F$2:$F$1998,MATCH(A735&amp;"ENTRADA",Movimientos!$R$2:$R$1998,0)),"-")</f>
        <v>-</v>
      </c>
      <c r="F735" s="2" t="str">
        <f>IFERROR(INDEX(Movimientos!$G$2:$G$1998,MATCH(A735&amp;"ENTRADA",Movimientos!$R$2:$R$1998,0)),"-")</f>
        <v>-</v>
      </c>
      <c r="G735" s="2" t="str">
        <f>IFERROR(INDEX(Movimientos!$L$2:$L$1998,MATCH(A735&amp;"ENTRADA",Movimientos!$R$2:$R$1998,0)),"-")</f>
        <v>-</v>
      </c>
      <c r="H735" s="17" t="str">
        <f>IFERROR(IF(INDEX(Movimientos!$M$2:$M$1998,MATCH(A735&amp;"ENTRADA",Movimientos!$R$2:$R$1998,0))=0,"S/D",INDEX(Movimientos!$M$2:$M$1998,MATCH(A735&amp;"ENTRADA",Movimientos!$R$2:$R$1998,0))),"S/D")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 ht="14.25">
      <c r="A736" s="16" t="s">
        <v>2901</v>
      </c>
      <c r="B736" s="2" t="str">
        <f>IFERROR(INDEX(Movimientos!$C$2:$C$1998,MATCH(A736&amp;"ENTRADA",Movimientos!$R$2:$R$1998,0)),"-")</f>
        <v>-</v>
      </c>
      <c r="C736" s="2" t="str">
        <f>IFERROR(INDEX(Movimientos!$D$2:$D$1998,MATCH(A736&amp;"ENTRADA",Movimientos!$R$2:$R$1998,0)),"-")</f>
        <v>-</v>
      </c>
      <c r="D736" s="2" t="str">
        <f>IFERROR(INDEX(Movimientos!$E$2:$E$1998,MATCH(A736&amp;"ENTRADA",Movimientos!$R$2:$R$1998,0)),"-")</f>
        <v>-</v>
      </c>
      <c r="E736" s="2" t="str">
        <f>IFERROR(INDEX(Movimientos!$F$2:$F$1998,MATCH(A736&amp;"ENTRADA",Movimientos!$R$2:$R$1998,0)),"-")</f>
        <v>-</v>
      </c>
      <c r="F736" s="2" t="str">
        <f>IFERROR(INDEX(Movimientos!$G$2:$G$1998,MATCH(A736&amp;"ENTRADA",Movimientos!$R$2:$R$1998,0)),"-")</f>
        <v>-</v>
      </c>
      <c r="G736" s="2" t="str">
        <f>IFERROR(INDEX(Movimientos!$L$2:$L$1998,MATCH(A736&amp;"ENTRADA",Movimientos!$R$2:$R$1998,0)),"-")</f>
        <v>-</v>
      </c>
      <c r="H736" s="17" t="str">
        <f>IFERROR(IF(INDEX(Movimientos!$M$2:$M$1998,MATCH(A736&amp;"ENTRADA",Movimientos!$R$2:$R$1998,0))=0,"S/D",INDEX(Movimientos!$M$2:$M$1998,MATCH(A736&amp;"ENTRADA",Movimientos!$R$2:$R$1998,0))),"S/D")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 ht="14.25">
      <c r="A737" s="16" t="s">
        <v>2902</v>
      </c>
      <c r="B737" s="2" t="str">
        <f>IFERROR(INDEX(Movimientos!$C$2:$C$1998,MATCH(A737&amp;"ENTRADA",Movimientos!$R$2:$R$1998,0)),"-")</f>
        <v>-</v>
      </c>
      <c r="C737" s="2" t="str">
        <f>IFERROR(INDEX(Movimientos!$D$2:$D$1998,MATCH(A737&amp;"ENTRADA",Movimientos!$R$2:$R$1998,0)),"-")</f>
        <v>-</v>
      </c>
      <c r="D737" s="2" t="str">
        <f>IFERROR(INDEX(Movimientos!$E$2:$E$1998,MATCH(A737&amp;"ENTRADA",Movimientos!$R$2:$R$1998,0)),"-")</f>
        <v>-</v>
      </c>
      <c r="E737" s="2" t="str">
        <f>IFERROR(INDEX(Movimientos!$F$2:$F$1998,MATCH(A737&amp;"ENTRADA",Movimientos!$R$2:$R$1998,0)),"-")</f>
        <v>-</v>
      </c>
      <c r="F737" s="2" t="str">
        <f>IFERROR(INDEX(Movimientos!$G$2:$G$1998,MATCH(A737&amp;"ENTRADA",Movimientos!$R$2:$R$1998,0)),"-")</f>
        <v>-</v>
      </c>
      <c r="G737" s="2" t="str">
        <f>IFERROR(INDEX(Movimientos!$L$2:$L$1998,MATCH(A737&amp;"ENTRADA",Movimientos!$R$2:$R$1998,0)),"-")</f>
        <v>-</v>
      </c>
      <c r="H737" s="17" t="str">
        <f>IFERROR(IF(INDEX(Movimientos!$M$2:$M$1998,MATCH(A737&amp;"ENTRADA",Movimientos!$R$2:$R$1998,0))=0,"S/D",INDEX(Movimientos!$M$2:$M$1998,MATCH(A737&amp;"ENTRADA",Movimientos!$R$2:$R$1998,0))),"S/D")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 ht="14.25">
      <c r="A738" s="16" t="s">
        <v>2903</v>
      </c>
      <c r="B738" s="2" t="str">
        <f>IFERROR(INDEX(Movimientos!$C$2:$C$1998,MATCH(A738&amp;"ENTRADA",Movimientos!$R$2:$R$1998,0)),"-")</f>
        <v>-</v>
      </c>
      <c r="C738" s="2" t="str">
        <f>IFERROR(INDEX(Movimientos!$D$2:$D$1998,MATCH(A738&amp;"ENTRADA",Movimientos!$R$2:$R$1998,0)),"-")</f>
        <v>-</v>
      </c>
      <c r="D738" s="2" t="str">
        <f>IFERROR(INDEX(Movimientos!$E$2:$E$1998,MATCH(A738&amp;"ENTRADA",Movimientos!$R$2:$R$1998,0)),"-")</f>
        <v>-</v>
      </c>
      <c r="E738" s="2" t="str">
        <f>IFERROR(INDEX(Movimientos!$F$2:$F$1998,MATCH(A738&amp;"ENTRADA",Movimientos!$R$2:$R$1998,0)),"-")</f>
        <v>-</v>
      </c>
      <c r="F738" s="2" t="str">
        <f>IFERROR(INDEX(Movimientos!$G$2:$G$1998,MATCH(A738&amp;"ENTRADA",Movimientos!$R$2:$R$1998,0)),"-")</f>
        <v>-</v>
      </c>
      <c r="G738" s="2" t="str">
        <f>IFERROR(INDEX(Movimientos!$L$2:$L$1998,MATCH(A738&amp;"ENTRADA",Movimientos!$R$2:$R$1998,0)),"-")</f>
        <v>-</v>
      </c>
      <c r="H738" s="17" t="str">
        <f>IFERROR(IF(INDEX(Movimientos!$M$2:$M$1998,MATCH(A738&amp;"ENTRADA",Movimientos!$R$2:$R$1998,0))=0,"S/D",INDEX(Movimientos!$M$2:$M$1998,MATCH(A738&amp;"ENTRADA",Movimientos!$R$2:$R$1998,0))),"S/D")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 ht="14.25">
      <c r="A739" s="16" t="s">
        <v>2904</v>
      </c>
      <c r="B739" s="2" t="str">
        <f>IFERROR(INDEX(Movimientos!$C$2:$C$1998,MATCH(A739&amp;"ENTRADA",Movimientos!$R$2:$R$1998,0)),"-")</f>
        <v>-</v>
      </c>
      <c r="C739" s="2" t="str">
        <f>IFERROR(INDEX(Movimientos!$D$2:$D$1998,MATCH(A739&amp;"ENTRADA",Movimientos!$R$2:$R$1998,0)),"-")</f>
        <v>-</v>
      </c>
      <c r="D739" s="2" t="str">
        <f>IFERROR(INDEX(Movimientos!$E$2:$E$1998,MATCH(A739&amp;"ENTRADA",Movimientos!$R$2:$R$1998,0)),"-")</f>
        <v>-</v>
      </c>
      <c r="E739" s="2" t="str">
        <f>IFERROR(INDEX(Movimientos!$F$2:$F$1998,MATCH(A739&amp;"ENTRADA",Movimientos!$R$2:$R$1998,0)),"-")</f>
        <v>-</v>
      </c>
      <c r="F739" s="2" t="str">
        <f>IFERROR(INDEX(Movimientos!$G$2:$G$1998,MATCH(A739&amp;"ENTRADA",Movimientos!$R$2:$R$1998,0)),"-")</f>
        <v>-</v>
      </c>
      <c r="G739" s="2" t="str">
        <f>IFERROR(INDEX(Movimientos!$L$2:$L$1998,MATCH(A739&amp;"ENTRADA",Movimientos!$R$2:$R$1998,0)),"-")</f>
        <v>-</v>
      </c>
      <c r="H739" s="17" t="str">
        <f>IFERROR(IF(INDEX(Movimientos!$M$2:$M$1998,MATCH(A739&amp;"ENTRADA",Movimientos!$R$2:$R$1998,0))=0,"S/D",INDEX(Movimientos!$M$2:$M$1998,MATCH(A739&amp;"ENTRADA",Movimientos!$R$2:$R$1998,0))),"S/D")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 ht="14.25">
      <c r="A740" s="16" t="s">
        <v>2905</v>
      </c>
      <c r="B740" s="2" t="str">
        <f>IFERROR(INDEX(Movimientos!$C$2:$C$1998,MATCH(A740&amp;"ENTRADA",Movimientos!$R$2:$R$1998,0)),"-")</f>
        <v>-</v>
      </c>
      <c r="C740" s="2" t="str">
        <f>IFERROR(INDEX(Movimientos!$D$2:$D$1998,MATCH(A740&amp;"ENTRADA",Movimientos!$R$2:$R$1998,0)),"-")</f>
        <v>-</v>
      </c>
      <c r="D740" s="2" t="str">
        <f>IFERROR(INDEX(Movimientos!$E$2:$E$1998,MATCH(A740&amp;"ENTRADA",Movimientos!$R$2:$R$1998,0)),"-")</f>
        <v>-</v>
      </c>
      <c r="E740" s="2" t="str">
        <f>IFERROR(INDEX(Movimientos!$F$2:$F$1998,MATCH(A740&amp;"ENTRADA",Movimientos!$R$2:$R$1998,0)),"-")</f>
        <v>-</v>
      </c>
      <c r="F740" s="2" t="str">
        <f>IFERROR(INDEX(Movimientos!$G$2:$G$1998,MATCH(A740&amp;"ENTRADA",Movimientos!$R$2:$R$1998,0)),"-")</f>
        <v>-</v>
      </c>
      <c r="G740" s="2" t="str">
        <f>IFERROR(INDEX(Movimientos!$L$2:$L$1998,MATCH(A740&amp;"ENTRADA",Movimientos!$R$2:$R$1998,0)),"-")</f>
        <v>-</v>
      </c>
      <c r="H740" s="17" t="str">
        <f>IFERROR(IF(INDEX(Movimientos!$M$2:$M$1998,MATCH(A740&amp;"ENTRADA",Movimientos!$R$2:$R$1998,0))=0,"S/D",INDEX(Movimientos!$M$2:$M$1998,MATCH(A740&amp;"ENTRADA",Movimientos!$R$2:$R$1998,0))),"S/D")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 ht="14.25">
      <c r="A741" s="16" t="s">
        <v>2906</v>
      </c>
      <c r="B741" s="2" t="str">
        <f>IFERROR(INDEX(Movimientos!$C$2:$C$1998,MATCH(A741&amp;"ENTRADA",Movimientos!$R$2:$R$1998,0)),"-")</f>
        <v>-</v>
      </c>
      <c r="C741" s="2" t="str">
        <f>IFERROR(INDEX(Movimientos!$D$2:$D$1998,MATCH(A741&amp;"ENTRADA",Movimientos!$R$2:$R$1998,0)),"-")</f>
        <v>-</v>
      </c>
      <c r="D741" s="2" t="str">
        <f>IFERROR(INDEX(Movimientos!$E$2:$E$1998,MATCH(A741&amp;"ENTRADA",Movimientos!$R$2:$R$1998,0)),"-")</f>
        <v>-</v>
      </c>
      <c r="E741" s="2" t="str">
        <f>IFERROR(INDEX(Movimientos!$F$2:$F$1998,MATCH(A741&amp;"ENTRADA",Movimientos!$R$2:$R$1998,0)),"-")</f>
        <v>-</v>
      </c>
      <c r="F741" s="2" t="str">
        <f>IFERROR(INDEX(Movimientos!$G$2:$G$1998,MATCH(A741&amp;"ENTRADA",Movimientos!$R$2:$R$1998,0)),"-")</f>
        <v>-</v>
      </c>
      <c r="G741" s="2" t="str">
        <f>IFERROR(INDEX(Movimientos!$L$2:$L$1998,MATCH(A741&amp;"ENTRADA",Movimientos!$R$2:$R$1998,0)),"-")</f>
        <v>-</v>
      </c>
      <c r="H741" s="17" t="str">
        <f>IFERROR(IF(INDEX(Movimientos!$M$2:$M$1998,MATCH(A741&amp;"ENTRADA",Movimientos!$R$2:$R$1998,0))=0,"S/D",INDEX(Movimientos!$M$2:$M$1998,MATCH(A741&amp;"ENTRADA",Movimientos!$R$2:$R$1998,0))),"S/D")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 ht="14.25">
      <c r="A742" s="16" t="s">
        <v>2907</v>
      </c>
      <c r="B742" s="2" t="str">
        <f>IFERROR(INDEX(Movimientos!$C$2:$C$1998,MATCH(A742&amp;"ENTRADA",Movimientos!$R$2:$R$1998,0)),"-")</f>
        <v>-</v>
      </c>
      <c r="C742" s="2" t="str">
        <f>IFERROR(INDEX(Movimientos!$D$2:$D$1998,MATCH(A742&amp;"ENTRADA",Movimientos!$R$2:$R$1998,0)),"-")</f>
        <v>-</v>
      </c>
      <c r="D742" s="2" t="str">
        <f>IFERROR(INDEX(Movimientos!$E$2:$E$1998,MATCH(A742&amp;"ENTRADA",Movimientos!$R$2:$R$1998,0)),"-")</f>
        <v>-</v>
      </c>
      <c r="E742" s="2" t="str">
        <f>IFERROR(INDEX(Movimientos!$F$2:$F$1998,MATCH(A742&amp;"ENTRADA",Movimientos!$R$2:$R$1998,0)),"-")</f>
        <v>-</v>
      </c>
      <c r="F742" s="2" t="str">
        <f>IFERROR(INDEX(Movimientos!$G$2:$G$1998,MATCH(A742&amp;"ENTRADA",Movimientos!$R$2:$R$1998,0)),"-")</f>
        <v>-</v>
      </c>
      <c r="G742" s="2" t="str">
        <f>IFERROR(INDEX(Movimientos!$L$2:$L$1998,MATCH(A742&amp;"ENTRADA",Movimientos!$R$2:$R$1998,0)),"-")</f>
        <v>-</v>
      </c>
      <c r="H742" s="17" t="str">
        <f>IFERROR(IF(INDEX(Movimientos!$M$2:$M$1998,MATCH(A742&amp;"ENTRADA",Movimientos!$R$2:$R$1998,0))=0,"S/D",INDEX(Movimientos!$M$2:$M$1998,MATCH(A742&amp;"ENTRADA",Movimientos!$R$2:$R$1998,0))),"S/D")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 ht="14.25">
      <c r="A743" s="16" t="s">
        <v>2908</v>
      </c>
      <c r="B743" s="2" t="str">
        <f>IFERROR(INDEX(Movimientos!$C$2:$C$1998,MATCH(A743&amp;"ENTRADA",Movimientos!$R$2:$R$1998,0)),"-")</f>
        <v>-</v>
      </c>
      <c r="C743" s="2" t="str">
        <f>IFERROR(INDEX(Movimientos!$D$2:$D$1998,MATCH(A743&amp;"ENTRADA",Movimientos!$R$2:$R$1998,0)),"-")</f>
        <v>-</v>
      </c>
      <c r="D743" s="2" t="str">
        <f>IFERROR(INDEX(Movimientos!$E$2:$E$1998,MATCH(A743&amp;"ENTRADA",Movimientos!$R$2:$R$1998,0)),"-")</f>
        <v>-</v>
      </c>
      <c r="E743" s="2" t="str">
        <f>IFERROR(INDEX(Movimientos!$F$2:$F$1998,MATCH(A743&amp;"ENTRADA",Movimientos!$R$2:$R$1998,0)),"-")</f>
        <v>-</v>
      </c>
      <c r="F743" s="2" t="str">
        <f>IFERROR(INDEX(Movimientos!$G$2:$G$1998,MATCH(A743&amp;"ENTRADA",Movimientos!$R$2:$R$1998,0)),"-")</f>
        <v>-</v>
      </c>
      <c r="G743" s="2" t="str">
        <f>IFERROR(INDEX(Movimientos!$L$2:$L$1998,MATCH(A743&amp;"ENTRADA",Movimientos!$R$2:$R$1998,0)),"-")</f>
        <v>-</v>
      </c>
      <c r="H743" s="17" t="str">
        <f>IFERROR(IF(INDEX(Movimientos!$M$2:$M$1998,MATCH(A743&amp;"ENTRADA",Movimientos!$R$2:$R$1998,0))=0,"S/D",INDEX(Movimientos!$M$2:$M$1998,MATCH(A743&amp;"ENTRADA",Movimientos!$R$2:$R$1998,0))),"S/D")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 ht="14.25">
      <c r="A744" s="16" t="s">
        <v>2909</v>
      </c>
      <c r="B744" s="2" t="str">
        <f>IFERROR(INDEX(Movimientos!$C$2:$C$1998,MATCH(A744&amp;"ENTRADA",Movimientos!$R$2:$R$1998,0)),"-")</f>
        <v>-</v>
      </c>
      <c r="C744" s="2" t="str">
        <f>IFERROR(INDEX(Movimientos!$D$2:$D$1998,MATCH(A744&amp;"ENTRADA",Movimientos!$R$2:$R$1998,0)),"-")</f>
        <v>-</v>
      </c>
      <c r="D744" s="2" t="str">
        <f>IFERROR(INDEX(Movimientos!$E$2:$E$1998,MATCH(A744&amp;"ENTRADA",Movimientos!$R$2:$R$1998,0)),"-")</f>
        <v>-</v>
      </c>
      <c r="E744" s="2" t="str">
        <f>IFERROR(INDEX(Movimientos!$F$2:$F$1998,MATCH(A744&amp;"ENTRADA",Movimientos!$R$2:$R$1998,0)),"-")</f>
        <v>-</v>
      </c>
      <c r="F744" s="2" t="str">
        <f>IFERROR(INDEX(Movimientos!$G$2:$G$1998,MATCH(A744&amp;"ENTRADA",Movimientos!$R$2:$R$1998,0)),"-")</f>
        <v>-</v>
      </c>
      <c r="G744" s="2" t="str">
        <f>IFERROR(INDEX(Movimientos!$L$2:$L$1998,MATCH(A744&amp;"ENTRADA",Movimientos!$R$2:$R$1998,0)),"-")</f>
        <v>-</v>
      </c>
      <c r="H744" s="17" t="str">
        <f>IFERROR(IF(INDEX(Movimientos!$M$2:$M$1998,MATCH(A744&amp;"ENTRADA",Movimientos!$R$2:$R$1998,0))=0,"S/D",INDEX(Movimientos!$M$2:$M$1998,MATCH(A744&amp;"ENTRADA",Movimientos!$R$2:$R$1998,0))),"S/D")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 ht="14.25">
      <c r="A745" s="16" t="s">
        <v>2910</v>
      </c>
      <c r="B745" s="2" t="str">
        <f>IFERROR(INDEX(Movimientos!$C$2:$C$1998,MATCH(A745&amp;"ENTRADA",Movimientos!$R$2:$R$1998,0)),"-")</f>
        <v>-</v>
      </c>
      <c r="C745" s="2" t="str">
        <f>IFERROR(INDEX(Movimientos!$D$2:$D$1998,MATCH(A745&amp;"ENTRADA",Movimientos!$R$2:$R$1998,0)),"-")</f>
        <v>-</v>
      </c>
      <c r="D745" s="2" t="str">
        <f>IFERROR(INDEX(Movimientos!$E$2:$E$1998,MATCH(A745&amp;"ENTRADA",Movimientos!$R$2:$R$1998,0)),"-")</f>
        <v>-</v>
      </c>
      <c r="E745" s="2" t="str">
        <f>IFERROR(INDEX(Movimientos!$F$2:$F$1998,MATCH(A745&amp;"ENTRADA",Movimientos!$R$2:$R$1998,0)),"-")</f>
        <v>-</v>
      </c>
      <c r="F745" s="2" t="str">
        <f>IFERROR(INDEX(Movimientos!$G$2:$G$1998,MATCH(A745&amp;"ENTRADA",Movimientos!$R$2:$R$1998,0)),"-")</f>
        <v>-</v>
      </c>
      <c r="G745" s="2" t="str">
        <f>IFERROR(INDEX(Movimientos!$L$2:$L$1998,MATCH(A745&amp;"ENTRADA",Movimientos!$R$2:$R$1998,0)),"-")</f>
        <v>-</v>
      </c>
      <c r="H745" s="17" t="str">
        <f>IFERROR(IF(INDEX(Movimientos!$M$2:$M$1998,MATCH(A745&amp;"ENTRADA",Movimientos!$R$2:$R$1998,0))=0,"S/D",INDEX(Movimientos!$M$2:$M$1998,MATCH(A745&amp;"ENTRADA",Movimientos!$R$2:$R$1998,0))),"S/D")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 ht="14.25">
      <c r="A746" s="16" t="s">
        <v>2911</v>
      </c>
      <c r="B746" s="2" t="str">
        <f>IFERROR(INDEX(Movimientos!$C$2:$C$1998,MATCH(A746&amp;"ENTRADA",Movimientos!$R$2:$R$1998,0)),"-")</f>
        <v>-</v>
      </c>
      <c r="C746" s="2" t="str">
        <f>IFERROR(INDEX(Movimientos!$D$2:$D$1998,MATCH(A746&amp;"ENTRADA",Movimientos!$R$2:$R$1998,0)),"-")</f>
        <v>-</v>
      </c>
      <c r="D746" s="2" t="str">
        <f>IFERROR(INDEX(Movimientos!$E$2:$E$1998,MATCH(A746&amp;"ENTRADA",Movimientos!$R$2:$R$1998,0)),"-")</f>
        <v>-</v>
      </c>
      <c r="E746" s="2" t="str">
        <f>IFERROR(INDEX(Movimientos!$F$2:$F$1998,MATCH(A746&amp;"ENTRADA",Movimientos!$R$2:$R$1998,0)),"-")</f>
        <v>-</v>
      </c>
      <c r="F746" s="2" t="str">
        <f>IFERROR(INDEX(Movimientos!$G$2:$G$1998,MATCH(A746&amp;"ENTRADA",Movimientos!$R$2:$R$1998,0)),"-")</f>
        <v>-</v>
      </c>
      <c r="G746" s="2" t="str">
        <f>IFERROR(INDEX(Movimientos!$L$2:$L$1998,MATCH(A746&amp;"ENTRADA",Movimientos!$R$2:$R$1998,0)),"-")</f>
        <v>-</v>
      </c>
      <c r="H746" s="17" t="str">
        <f>IFERROR(IF(INDEX(Movimientos!$M$2:$M$1998,MATCH(A746&amp;"ENTRADA",Movimientos!$R$2:$R$1998,0))=0,"S/D",INDEX(Movimientos!$M$2:$M$1998,MATCH(A746&amp;"ENTRADA",Movimientos!$R$2:$R$1998,0))),"S/D")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 ht="14.25">
      <c r="A747" s="16" t="s">
        <v>2912</v>
      </c>
      <c r="B747" s="2" t="str">
        <f>IFERROR(INDEX(Movimientos!$C$2:$C$1998,MATCH(A747&amp;"ENTRADA",Movimientos!$R$2:$R$1998,0)),"-")</f>
        <v>-</v>
      </c>
      <c r="C747" s="2" t="str">
        <f>IFERROR(INDEX(Movimientos!$D$2:$D$1998,MATCH(A747&amp;"ENTRADA",Movimientos!$R$2:$R$1998,0)),"-")</f>
        <v>-</v>
      </c>
      <c r="D747" s="2" t="str">
        <f>IFERROR(INDEX(Movimientos!$E$2:$E$1998,MATCH(A747&amp;"ENTRADA",Movimientos!$R$2:$R$1998,0)),"-")</f>
        <v>-</v>
      </c>
      <c r="E747" s="2" t="str">
        <f>IFERROR(INDEX(Movimientos!$F$2:$F$1998,MATCH(A747&amp;"ENTRADA",Movimientos!$R$2:$R$1998,0)),"-")</f>
        <v>-</v>
      </c>
      <c r="F747" s="2" t="str">
        <f>IFERROR(INDEX(Movimientos!$G$2:$G$1998,MATCH(A747&amp;"ENTRADA",Movimientos!$R$2:$R$1998,0)),"-")</f>
        <v>-</v>
      </c>
      <c r="G747" s="2" t="str">
        <f>IFERROR(INDEX(Movimientos!$L$2:$L$1998,MATCH(A747&amp;"ENTRADA",Movimientos!$R$2:$R$1998,0)),"-")</f>
        <v>-</v>
      </c>
      <c r="H747" s="17" t="str">
        <f>IFERROR(IF(INDEX(Movimientos!$M$2:$M$1998,MATCH(A747&amp;"ENTRADA",Movimientos!$R$2:$R$1998,0))=0,"S/D",INDEX(Movimientos!$M$2:$M$1998,MATCH(A747&amp;"ENTRADA",Movimientos!$R$2:$R$1998,0))),"S/D")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 ht="14.25">
      <c r="A748" s="16" t="s">
        <v>2913</v>
      </c>
      <c r="B748" s="2" t="str">
        <f>IFERROR(INDEX(Movimientos!$C$2:$C$1998,MATCH(A748&amp;"ENTRADA",Movimientos!$R$2:$R$1998,0)),"-")</f>
        <v>-</v>
      </c>
      <c r="C748" s="2" t="str">
        <f>IFERROR(INDEX(Movimientos!$D$2:$D$1998,MATCH(A748&amp;"ENTRADA",Movimientos!$R$2:$R$1998,0)),"-")</f>
        <v>-</v>
      </c>
      <c r="D748" s="2" t="str">
        <f>IFERROR(INDEX(Movimientos!$E$2:$E$1998,MATCH(A748&amp;"ENTRADA",Movimientos!$R$2:$R$1998,0)),"-")</f>
        <v>-</v>
      </c>
      <c r="E748" s="2" t="str">
        <f>IFERROR(INDEX(Movimientos!$F$2:$F$1998,MATCH(A748&amp;"ENTRADA",Movimientos!$R$2:$R$1998,0)),"-")</f>
        <v>-</v>
      </c>
      <c r="F748" s="2" t="str">
        <f>IFERROR(INDEX(Movimientos!$G$2:$G$1998,MATCH(A748&amp;"ENTRADA",Movimientos!$R$2:$R$1998,0)),"-")</f>
        <v>-</v>
      </c>
      <c r="G748" s="2" t="str">
        <f>IFERROR(INDEX(Movimientos!$L$2:$L$1998,MATCH(A748&amp;"ENTRADA",Movimientos!$R$2:$R$1998,0)),"-")</f>
        <v>-</v>
      </c>
      <c r="H748" s="17" t="str">
        <f>IFERROR(IF(INDEX(Movimientos!$M$2:$M$1998,MATCH(A748&amp;"ENTRADA",Movimientos!$R$2:$R$1998,0))=0,"S/D",INDEX(Movimientos!$M$2:$M$1998,MATCH(A748&amp;"ENTRADA",Movimientos!$R$2:$R$1998,0))),"S/D")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 ht="14.25">
      <c r="A749" s="16" t="s">
        <v>2914</v>
      </c>
      <c r="B749" s="2" t="str">
        <f>IFERROR(INDEX(Movimientos!$C$2:$C$1998,MATCH(A749&amp;"ENTRADA",Movimientos!$R$2:$R$1998,0)),"-")</f>
        <v>-</v>
      </c>
      <c r="C749" s="2" t="str">
        <f>IFERROR(INDEX(Movimientos!$D$2:$D$1998,MATCH(A749&amp;"ENTRADA",Movimientos!$R$2:$R$1998,0)),"-")</f>
        <v>-</v>
      </c>
      <c r="D749" s="2" t="str">
        <f>IFERROR(INDEX(Movimientos!$E$2:$E$1998,MATCH(A749&amp;"ENTRADA",Movimientos!$R$2:$R$1998,0)),"-")</f>
        <v>-</v>
      </c>
      <c r="E749" s="2" t="str">
        <f>IFERROR(INDEX(Movimientos!$F$2:$F$1998,MATCH(A749&amp;"ENTRADA",Movimientos!$R$2:$R$1998,0)),"-")</f>
        <v>-</v>
      </c>
      <c r="F749" s="2" t="str">
        <f>IFERROR(INDEX(Movimientos!$G$2:$G$1998,MATCH(A749&amp;"ENTRADA",Movimientos!$R$2:$R$1998,0)),"-")</f>
        <v>-</v>
      </c>
      <c r="G749" s="2" t="str">
        <f>IFERROR(INDEX(Movimientos!$L$2:$L$1998,MATCH(A749&amp;"ENTRADA",Movimientos!$R$2:$R$1998,0)),"-")</f>
        <v>-</v>
      </c>
      <c r="H749" s="17" t="str">
        <f>IFERROR(IF(INDEX(Movimientos!$M$2:$M$1998,MATCH(A749&amp;"ENTRADA",Movimientos!$R$2:$R$1998,0))=0,"S/D",INDEX(Movimientos!$M$2:$M$1998,MATCH(A749&amp;"ENTRADA",Movimientos!$R$2:$R$1998,0))),"S/D")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 ht="14.25">
      <c r="A750" s="16" t="s">
        <v>2915</v>
      </c>
      <c r="B750" s="2" t="str">
        <f>IFERROR(INDEX(Movimientos!$C$2:$C$1998,MATCH(A750&amp;"ENTRADA",Movimientos!$R$2:$R$1998,0)),"-")</f>
        <v>-</v>
      </c>
      <c r="C750" s="2" t="str">
        <f>IFERROR(INDEX(Movimientos!$D$2:$D$1998,MATCH(A750&amp;"ENTRADA",Movimientos!$R$2:$R$1998,0)),"-")</f>
        <v>-</v>
      </c>
      <c r="D750" s="2" t="str">
        <f>IFERROR(INDEX(Movimientos!$E$2:$E$1998,MATCH(A750&amp;"ENTRADA",Movimientos!$R$2:$R$1998,0)),"-")</f>
        <v>-</v>
      </c>
      <c r="E750" s="2" t="str">
        <f>IFERROR(INDEX(Movimientos!$F$2:$F$1998,MATCH(A750&amp;"ENTRADA",Movimientos!$R$2:$R$1998,0)),"-")</f>
        <v>-</v>
      </c>
      <c r="F750" s="2" t="str">
        <f>IFERROR(INDEX(Movimientos!$G$2:$G$1998,MATCH(A750&amp;"ENTRADA",Movimientos!$R$2:$R$1998,0)),"-")</f>
        <v>-</v>
      </c>
      <c r="G750" s="2" t="str">
        <f>IFERROR(INDEX(Movimientos!$L$2:$L$1998,MATCH(A750&amp;"ENTRADA",Movimientos!$R$2:$R$1998,0)),"-")</f>
        <v>-</v>
      </c>
      <c r="H750" s="17" t="str">
        <f>IFERROR(IF(INDEX(Movimientos!$M$2:$M$1998,MATCH(A750&amp;"ENTRADA",Movimientos!$R$2:$R$1998,0))=0,"S/D",INDEX(Movimientos!$M$2:$M$1998,MATCH(A750&amp;"ENTRADA",Movimientos!$R$2:$R$1998,0))),"S/D")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 ht="14.25">
      <c r="A751" s="16" t="s">
        <v>2916</v>
      </c>
      <c r="B751" s="2" t="str">
        <f>IFERROR(INDEX(Movimientos!$C$2:$C$1998,MATCH(A751&amp;"ENTRADA",Movimientos!$R$2:$R$1998,0)),"-")</f>
        <v>-</v>
      </c>
      <c r="C751" s="2" t="str">
        <f>IFERROR(INDEX(Movimientos!$D$2:$D$1998,MATCH(A751&amp;"ENTRADA",Movimientos!$R$2:$R$1998,0)),"-")</f>
        <v>-</v>
      </c>
      <c r="D751" s="2" t="str">
        <f>IFERROR(INDEX(Movimientos!$E$2:$E$1998,MATCH(A751&amp;"ENTRADA",Movimientos!$R$2:$R$1998,0)),"-")</f>
        <v>-</v>
      </c>
      <c r="E751" s="2" t="str">
        <f>IFERROR(INDEX(Movimientos!$F$2:$F$1998,MATCH(A751&amp;"ENTRADA",Movimientos!$R$2:$R$1998,0)),"-")</f>
        <v>-</v>
      </c>
      <c r="F751" s="2" t="str">
        <f>IFERROR(INDEX(Movimientos!$G$2:$G$1998,MATCH(A751&amp;"ENTRADA",Movimientos!$R$2:$R$1998,0)),"-")</f>
        <v>-</v>
      </c>
      <c r="G751" s="2" t="str">
        <f>IFERROR(INDEX(Movimientos!$L$2:$L$1998,MATCH(A751&amp;"ENTRADA",Movimientos!$R$2:$R$1998,0)),"-")</f>
        <v>-</v>
      </c>
      <c r="H751" s="17" t="str">
        <f>IFERROR(IF(INDEX(Movimientos!$M$2:$M$1998,MATCH(A751&amp;"ENTRADA",Movimientos!$R$2:$R$1998,0))=0,"S/D",INDEX(Movimientos!$M$2:$M$1998,MATCH(A751&amp;"ENTRADA",Movimientos!$R$2:$R$1998,0))),"S/D")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 ht="14.25">
      <c r="A752" s="16" t="s">
        <v>2917</v>
      </c>
      <c r="B752" s="2" t="str">
        <f>IFERROR(INDEX(Movimientos!$C$2:$C$1998,MATCH(A752&amp;"ENTRADA",Movimientos!$R$2:$R$1998,0)),"-")</f>
        <v>-</v>
      </c>
      <c r="C752" s="2" t="str">
        <f>IFERROR(INDEX(Movimientos!$D$2:$D$1998,MATCH(A752&amp;"ENTRADA",Movimientos!$R$2:$R$1998,0)),"-")</f>
        <v>-</v>
      </c>
      <c r="D752" s="2" t="str">
        <f>IFERROR(INDEX(Movimientos!$E$2:$E$1998,MATCH(A752&amp;"ENTRADA",Movimientos!$R$2:$R$1998,0)),"-")</f>
        <v>-</v>
      </c>
      <c r="E752" s="2" t="str">
        <f>IFERROR(INDEX(Movimientos!$F$2:$F$1998,MATCH(A752&amp;"ENTRADA",Movimientos!$R$2:$R$1998,0)),"-")</f>
        <v>-</v>
      </c>
      <c r="F752" s="2" t="str">
        <f>IFERROR(INDEX(Movimientos!$G$2:$G$1998,MATCH(A752&amp;"ENTRADA",Movimientos!$R$2:$R$1998,0)),"-")</f>
        <v>-</v>
      </c>
      <c r="G752" s="2" t="str">
        <f>IFERROR(INDEX(Movimientos!$L$2:$L$1998,MATCH(A752&amp;"ENTRADA",Movimientos!$R$2:$R$1998,0)),"-")</f>
        <v>-</v>
      </c>
      <c r="H752" s="17" t="str">
        <f>IFERROR(IF(INDEX(Movimientos!$M$2:$M$1998,MATCH(A752&amp;"ENTRADA",Movimientos!$R$2:$R$1998,0))=0,"S/D",INDEX(Movimientos!$M$2:$M$1998,MATCH(A752&amp;"ENTRADA",Movimientos!$R$2:$R$1998,0))),"S/D")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 ht="14.25">
      <c r="A753" s="16" t="s">
        <v>2918</v>
      </c>
      <c r="B753" s="2" t="str">
        <f>IFERROR(INDEX(Movimientos!$C$2:$C$1998,MATCH(A753&amp;"ENTRADA",Movimientos!$R$2:$R$1998,0)),"-")</f>
        <v>-</v>
      </c>
      <c r="C753" s="2" t="str">
        <f>IFERROR(INDEX(Movimientos!$D$2:$D$1998,MATCH(A753&amp;"ENTRADA",Movimientos!$R$2:$R$1998,0)),"-")</f>
        <v>-</v>
      </c>
      <c r="D753" s="2" t="str">
        <f>IFERROR(INDEX(Movimientos!$E$2:$E$1998,MATCH(A753&amp;"ENTRADA",Movimientos!$R$2:$R$1998,0)),"-")</f>
        <v>-</v>
      </c>
      <c r="E753" s="2" t="str">
        <f>IFERROR(INDEX(Movimientos!$F$2:$F$1998,MATCH(A753&amp;"ENTRADA",Movimientos!$R$2:$R$1998,0)),"-")</f>
        <v>-</v>
      </c>
      <c r="F753" s="2" t="str">
        <f>IFERROR(INDEX(Movimientos!$G$2:$G$1998,MATCH(A753&amp;"ENTRADA",Movimientos!$R$2:$R$1998,0)),"-")</f>
        <v>-</v>
      </c>
      <c r="G753" s="2" t="str">
        <f>IFERROR(INDEX(Movimientos!$L$2:$L$1998,MATCH(A753&amp;"ENTRADA",Movimientos!$R$2:$R$1998,0)),"-")</f>
        <v>-</v>
      </c>
      <c r="H753" s="17" t="str">
        <f>IFERROR(IF(INDEX(Movimientos!$M$2:$M$1998,MATCH(A753&amp;"ENTRADA",Movimientos!$R$2:$R$1998,0))=0,"S/D",INDEX(Movimientos!$M$2:$M$1998,MATCH(A753&amp;"ENTRADA",Movimientos!$R$2:$R$1998,0))),"S/D")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 ht="14.25">
      <c r="A754" s="16" t="s">
        <v>2919</v>
      </c>
      <c r="B754" s="2" t="str">
        <f>IFERROR(INDEX(Movimientos!$C$2:$C$1998,MATCH(A754&amp;"ENTRADA",Movimientos!$R$2:$R$1998,0)),"-")</f>
        <v>-</v>
      </c>
      <c r="C754" s="2" t="str">
        <f>IFERROR(INDEX(Movimientos!$D$2:$D$1998,MATCH(A754&amp;"ENTRADA",Movimientos!$R$2:$R$1998,0)),"-")</f>
        <v>-</v>
      </c>
      <c r="D754" s="2" t="str">
        <f>IFERROR(INDEX(Movimientos!$E$2:$E$1998,MATCH(A754&amp;"ENTRADA",Movimientos!$R$2:$R$1998,0)),"-")</f>
        <v>-</v>
      </c>
      <c r="E754" s="2" t="str">
        <f>IFERROR(INDEX(Movimientos!$F$2:$F$1998,MATCH(A754&amp;"ENTRADA",Movimientos!$R$2:$R$1998,0)),"-")</f>
        <v>-</v>
      </c>
      <c r="F754" s="2" t="str">
        <f>IFERROR(INDEX(Movimientos!$G$2:$G$1998,MATCH(A754&amp;"ENTRADA",Movimientos!$R$2:$R$1998,0)),"-")</f>
        <v>-</v>
      </c>
      <c r="G754" s="2" t="str">
        <f>IFERROR(INDEX(Movimientos!$L$2:$L$1998,MATCH(A754&amp;"ENTRADA",Movimientos!$R$2:$R$1998,0)),"-")</f>
        <v>-</v>
      </c>
      <c r="H754" s="17" t="str">
        <f>IFERROR(IF(INDEX(Movimientos!$M$2:$M$1998,MATCH(A754&amp;"ENTRADA",Movimientos!$R$2:$R$1998,0))=0,"S/D",INDEX(Movimientos!$M$2:$M$1998,MATCH(A754&amp;"ENTRADA",Movimientos!$R$2:$R$1998,0))),"S/D")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 ht="14.25">
      <c r="A755" s="16" t="s">
        <v>2920</v>
      </c>
      <c r="B755" s="2" t="str">
        <f>IFERROR(INDEX(Movimientos!$C$2:$C$1998,MATCH(A755&amp;"ENTRADA",Movimientos!$R$2:$R$1998,0)),"-")</f>
        <v>-</v>
      </c>
      <c r="C755" s="2" t="str">
        <f>IFERROR(INDEX(Movimientos!$D$2:$D$1998,MATCH(A755&amp;"ENTRADA",Movimientos!$R$2:$R$1998,0)),"-")</f>
        <v>-</v>
      </c>
      <c r="D755" s="2" t="str">
        <f>IFERROR(INDEX(Movimientos!$E$2:$E$1998,MATCH(A755&amp;"ENTRADA",Movimientos!$R$2:$R$1998,0)),"-")</f>
        <v>-</v>
      </c>
      <c r="E755" s="2" t="str">
        <f>IFERROR(INDEX(Movimientos!$F$2:$F$1998,MATCH(A755&amp;"ENTRADA",Movimientos!$R$2:$R$1998,0)),"-")</f>
        <v>-</v>
      </c>
      <c r="F755" s="2" t="str">
        <f>IFERROR(INDEX(Movimientos!$G$2:$G$1998,MATCH(A755&amp;"ENTRADA",Movimientos!$R$2:$R$1998,0)),"-")</f>
        <v>-</v>
      </c>
      <c r="G755" s="2" t="str">
        <f>IFERROR(INDEX(Movimientos!$L$2:$L$1998,MATCH(A755&amp;"ENTRADA",Movimientos!$R$2:$R$1998,0)),"-")</f>
        <v>-</v>
      </c>
      <c r="H755" s="17" t="str">
        <f>IFERROR(IF(INDEX(Movimientos!$M$2:$M$1998,MATCH(A755&amp;"ENTRADA",Movimientos!$R$2:$R$1998,0))=0,"S/D",INDEX(Movimientos!$M$2:$M$1998,MATCH(A755&amp;"ENTRADA",Movimientos!$R$2:$R$1998,0))),"S/D")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 ht="14.25">
      <c r="A756" s="16" t="s">
        <v>2921</v>
      </c>
      <c r="B756" s="2" t="str">
        <f>IFERROR(INDEX(Movimientos!$C$2:$C$1998,MATCH(A756&amp;"ENTRADA",Movimientos!$R$2:$R$1998,0)),"-")</f>
        <v>-</v>
      </c>
      <c r="C756" s="2" t="str">
        <f>IFERROR(INDEX(Movimientos!$D$2:$D$1998,MATCH(A756&amp;"ENTRADA",Movimientos!$R$2:$R$1998,0)),"-")</f>
        <v>-</v>
      </c>
      <c r="D756" s="2" t="str">
        <f>IFERROR(INDEX(Movimientos!$E$2:$E$1998,MATCH(A756&amp;"ENTRADA",Movimientos!$R$2:$R$1998,0)),"-")</f>
        <v>-</v>
      </c>
      <c r="E756" s="2" t="str">
        <f>IFERROR(INDEX(Movimientos!$F$2:$F$1998,MATCH(A756&amp;"ENTRADA",Movimientos!$R$2:$R$1998,0)),"-")</f>
        <v>-</v>
      </c>
      <c r="F756" s="2" t="str">
        <f>IFERROR(INDEX(Movimientos!$G$2:$G$1998,MATCH(A756&amp;"ENTRADA",Movimientos!$R$2:$R$1998,0)),"-")</f>
        <v>-</v>
      </c>
      <c r="G756" s="2" t="str">
        <f>IFERROR(INDEX(Movimientos!$L$2:$L$1998,MATCH(A756&amp;"ENTRADA",Movimientos!$R$2:$R$1998,0)),"-")</f>
        <v>-</v>
      </c>
      <c r="H756" s="17" t="str">
        <f>IFERROR(IF(INDEX(Movimientos!$M$2:$M$1998,MATCH(A756&amp;"ENTRADA",Movimientos!$R$2:$R$1998,0))=0,"S/D",INDEX(Movimientos!$M$2:$M$1998,MATCH(A756&amp;"ENTRADA",Movimientos!$R$2:$R$1998,0))),"S/D")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 ht="14.25">
      <c r="A757" s="16" t="s">
        <v>2922</v>
      </c>
      <c r="B757" s="2" t="str">
        <f>IFERROR(INDEX(Movimientos!$C$2:$C$1998,MATCH(A757&amp;"ENTRADA",Movimientos!$R$2:$R$1998,0)),"-")</f>
        <v>-</v>
      </c>
      <c r="C757" s="2" t="str">
        <f>IFERROR(INDEX(Movimientos!$D$2:$D$1998,MATCH(A757&amp;"ENTRADA",Movimientos!$R$2:$R$1998,0)),"-")</f>
        <v>-</v>
      </c>
      <c r="D757" s="2" t="str">
        <f>IFERROR(INDEX(Movimientos!$E$2:$E$1998,MATCH(A757&amp;"ENTRADA",Movimientos!$R$2:$R$1998,0)),"-")</f>
        <v>-</v>
      </c>
      <c r="E757" s="2" t="str">
        <f>IFERROR(INDEX(Movimientos!$F$2:$F$1998,MATCH(A757&amp;"ENTRADA",Movimientos!$R$2:$R$1998,0)),"-")</f>
        <v>-</v>
      </c>
      <c r="F757" s="2" t="str">
        <f>IFERROR(INDEX(Movimientos!$G$2:$G$1998,MATCH(A757&amp;"ENTRADA",Movimientos!$R$2:$R$1998,0)),"-")</f>
        <v>-</v>
      </c>
      <c r="G757" s="2" t="str">
        <f>IFERROR(INDEX(Movimientos!$L$2:$L$1998,MATCH(A757&amp;"ENTRADA",Movimientos!$R$2:$R$1998,0)),"-")</f>
        <v>-</v>
      </c>
      <c r="H757" s="17" t="str">
        <f>IFERROR(IF(INDEX(Movimientos!$M$2:$M$1998,MATCH(A757&amp;"ENTRADA",Movimientos!$R$2:$R$1998,0))=0,"S/D",INDEX(Movimientos!$M$2:$M$1998,MATCH(A757&amp;"ENTRADA",Movimientos!$R$2:$R$1998,0))),"S/D")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 ht="14.25">
      <c r="A758" s="16" t="s">
        <v>2923</v>
      </c>
      <c r="B758" s="2" t="str">
        <f>IFERROR(INDEX(Movimientos!$C$2:$C$1998,MATCH(A758&amp;"ENTRADA",Movimientos!$R$2:$R$1998,0)),"-")</f>
        <v>-</v>
      </c>
      <c r="C758" s="2" t="str">
        <f>IFERROR(INDEX(Movimientos!$D$2:$D$1998,MATCH(A758&amp;"ENTRADA",Movimientos!$R$2:$R$1998,0)),"-")</f>
        <v>-</v>
      </c>
      <c r="D758" s="2" t="str">
        <f>IFERROR(INDEX(Movimientos!$E$2:$E$1998,MATCH(A758&amp;"ENTRADA",Movimientos!$R$2:$R$1998,0)),"-")</f>
        <v>-</v>
      </c>
      <c r="E758" s="2" t="str">
        <f>IFERROR(INDEX(Movimientos!$F$2:$F$1998,MATCH(A758&amp;"ENTRADA",Movimientos!$R$2:$R$1998,0)),"-")</f>
        <v>-</v>
      </c>
      <c r="F758" s="2" t="str">
        <f>IFERROR(INDEX(Movimientos!$G$2:$G$1998,MATCH(A758&amp;"ENTRADA",Movimientos!$R$2:$R$1998,0)),"-")</f>
        <v>-</v>
      </c>
      <c r="G758" s="2" t="str">
        <f>IFERROR(INDEX(Movimientos!$L$2:$L$1998,MATCH(A758&amp;"ENTRADA",Movimientos!$R$2:$R$1998,0)),"-")</f>
        <v>-</v>
      </c>
      <c r="H758" s="17" t="str">
        <f>IFERROR(IF(INDEX(Movimientos!$M$2:$M$1998,MATCH(A758&amp;"ENTRADA",Movimientos!$R$2:$R$1998,0))=0,"S/D",INDEX(Movimientos!$M$2:$M$1998,MATCH(A758&amp;"ENTRADA",Movimientos!$R$2:$R$1998,0))),"S/D")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 ht="14.25">
      <c r="A759" s="16" t="s">
        <v>2924</v>
      </c>
      <c r="B759" s="2" t="str">
        <f>IFERROR(INDEX(Movimientos!$C$2:$C$1998,MATCH(A759&amp;"ENTRADA",Movimientos!$R$2:$R$1998,0)),"-")</f>
        <v>-</v>
      </c>
      <c r="C759" s="2" t="str">
        <f>IFERROR(INDEX(Movimientos!$D$2:$D$1998,MATCH(A759&amp;"ENTRADA",Movimientos!$R$2:$R$1998,0)),"-")</f>
        <v>-</v>
      </c>
      <c r="D759" s="2" t="str">
        <f>IFERROR(INDEX(Movimientos!$E$2:$E$1998,MATCH(A759&amp;"ENTRADA",Movimientos!$R$2:$R$1998,0)),"-")</f>
        <v>-</v>
      </c>
      <c r="E759" s="2" t="str">
        <f>IFERROR(INDEX(Movimientos!$F$2:$F$1998,MATCH(A759&amp;"ENTRADA",Movimientos!$R$2:$R$1998,0)),"-")</f>
        <v>-</v>
      </c>
      <c r="F759" s="2" t="str">
        <f>IFERROR(INDEX(Movimientos!$G$2:$G$1998,MATCH(A759&amp;"ENTRADA",Movimientos!$R$2:$R$1998,0)),"-")</f>
        <v>-</v>
      </c>
      <c r="G759" s="2" t="str">
        <f>IFERROR(INDEX(Movimientos!$L$2:$L$1998,MATCH(A759&amp;"ENTRADA",Movimientos!$R$2:$R$1998,0)),"-")</f>
        <v>-</v>
      </c>
      <c r="H759" s="17" t="str">
        <f>IFERROR(IF(INDEX(Movimientos!$M$2:$M$1998,MATCH(A759&amp;"ENTRADA",Movimientos!$R$2:$R$1998,0))=0,"S/D",INDEX(Movimientos!$M$2:$M$1998,MATCH(A759&amp;"ENTRADA",Movimientos!$R$2:$R$1998,0))),"S/D")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 ht="14.25">
      <c r="A760" s="16" t="s">
        <v>2925</v>
      </c>
      <c r="B760" s="2" t="str">
        <f>IFERROR(INDEX(Movimientos!$C$2:$C$1998,MATCH(A760&amp;"ENTRADA",Movimientos!$R$2:$R$1998,0)),"-")</f>
        <v>-</v>
      </c>
      <c r="C760" s="2" t="str">
        <f>IFERROR(INDEX(Movimientos!$D$2:$D$1998,MATCH(A760&amp;"ENTRADA",Movimientos!$R$2:$R$1998,0)),"-")</f>
        <v>-</v>
      </c>
      <c r="D760" s="2" t="str">
        <f>IFERROR(INDEX(Movimientos!$E$2:$E$1998,MATCH(A760&amp;"ENTRADA",Movimientos!$R$2:$R$1998,0)),"-")</f>
        <v>-</v>
      </c>
      <c r="E760" s="2" t="str">
        <f>IFERROR(INDEX(Movimientos!$F$2:$F$1998,MATCH(A760&amp;"ENTRADA",Movimientos!$R$2:$R$1998,0)),"-")</f>
        <v>-</v>
      </c>
      <c r="F760" s="2" t="str">
        <f>IFERROR(INDEX(Movimientos!$G$2:$G$1998,MATCH(A760&amp;"ENTRADA",Movimientos!$R$2:$R$1998,0)),"-")</f>
        <v>-</v>
      </c>
      <c r="G760" s="2" t="str">
        <f>IFERROR(INDEX(Movimientos!$L$2:$L$1998,MATCH(A760&amp;"ENTRADA",Movimientos!$R$2:$R$1998,0)),"-")</f>
        <v>-</v>
      </c>
      <c r="H760" s="17" t="str">
        <f>IFERROR(IF(INDEX(Movimientos!$M$2:$M$1998,MATCH(A760&amp;"ENTRADA",Movimientos!$R$2:$R$1998,0))=0,"S/D",INDEX(Movimientos!$M$2:$M$1998,MATCH(A760&amp;"ENTRADA",Movimientos!$R$2:$R$1998,0))),"S/D")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 ht="14.25">
      <c r="A761" s="16" t="s">
        <v>2926</v>
      </c>
      <c r="B761" s="2" t="str">
        <f>IFERROR(INDEX(Movimientos!$C$2:$C$1998,MATCH(A761&amp;"ENTRADA",Movimientos!$R$2:$R$1998,0)),"-")</f>
        <v>-</v>
      </c>
      <c r="C761" s="2" t="str">
        <f>IFERROR(INDEX(Movimientos!$D$2:$D$1998,MATCH(A761&amp;"ENTRADA",Movimientos!$R$2:$R$1998,0)),"-")</f>
        <v>-</v>
      </c>
      <c r="D761" s="2" t="str">
        <f>IFERROR(INDEX(Movimientos!$E$2:$E$1998,MATCH(A761&amp;"ENTRADA",Movimientos!$R$2:$R$1998,0)),"-")</f>
        <v>-</v>
      </c>
      <c r="E761" s="2" t="str">
        <f>IFERROR(INDEX(Movimientos!$F$2:$F$1998,MATCH(A761&amp;"ENTRADA",Movimientos!$R$2:$R$1998,0)),"-")</f>
        <v>-</v>
      </c>
      <c r="F761" s="2" t="str">
        <f>IFERROR(INDEX(Movimientos!$G$2:$G$1998,MATCH(A761&amp;"ENTRADA",Movimientos!$R$2:$R$1998,0)),"-")</f>
        <v>-</v>
      </c>
      <c r="G761" s="2" t="str">
        <f>IFERROR(INDEX(Movimientos!$L$2:$L$1998,MATCH(A761&amp;"ENTRADA",Movimientos!$R$2:$R$1998,0)),"-")</f>
        <v>-</v>
      </c>
      <c r="H761" s="17" t="str">
        <f>IFERROR(IF(INDEX(Movimientos!$M$2:$M$1998,MATCH(A761&amp;"ENTRADA",Movimientos!$R$2:$R$1998,0))=0,"S/D",INDEX(Movimientos!$M$2:$M$1998,MATCH(A761&amp;"ENTRADA",Movimientos!$R$2:$R$1998,0))),"S/D")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 ht="14.25">
      <c r="A762" s="16" t="s">
        <v>2927</v>
      </c>
      <c r="B762" s="2" t="str">
        <f>IFERROR(INDEX(Movimientos!$C$2:$C$1998,MATCH(A762&amp;"ENTRADA",Movimientos!$R$2:$R$1998,0)),"-")</f>
        <v>-</v>
      </c>
      <c r="C762" s="2" t="str">
        <f>IFERROR(INDEX(Movimientos!$D$2:$D$1998,MATCH(A762&amp;"ENTRADA",Movimientos!$R$2:$R$1998,0)),"-")</f>
        <v>-</v>
      </c>
      <c r="D762" s="2" t="str">
        <f>IFERROR(INDEX(Movimientos!$E$2:$E$1998,MATCH(A762&amp;"ENTRADA",Movimientos!$R$2:$R$1998,0)),"-")</f>
        <v>-</v>
      </c>
      <c r="E762" s="2" t="str">
        <f>IFERROR(INDEX(Movimientos!$F$2:$F$1998,MATCH(A762&amp;"ENTRADA",Movimientos!$R$2:$R$1998,0)),"-")</f>
        <v>-</v>
      </c>
      <c r="F762" s="2" t="str">
        <f>IFERROR(INDEX(Movimientos!$G$2:$G$1998,MATCH(A762&amp;"ENTRADA",Movimientos!$R$2:$R$1998,0)),"-")</f>
        <v>-</v>
      </c>
      <c r="G762" s="2" t="str">
        <f>IFERROR(INDEX(Movimientos!$L$2:$L$1998,MATCH(A762&amp;"ENTRADA",Movimientos!$R$2:$R$1998,0)),"-")</f>
        <v>-</v>
      </c>
      <c r="H762" s="17" t="str">
        <f>IFERROR(IF(INDEX(Movimientos!$M$2:$M$1998,MATCH(A762&amp;"ENTRADA",Movimientos!$R$2:$R$1998,0))=0,"S/D",INDEX(Movimientos!$M$2:$M$1998,MATCH(A762&amp;"ENTRADA",Movimientos!$R$2:$R$1998,0))),"S/D")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 ht="14.25">
      <c r="A763" s="16" t="s">
        <v>2928</v>
      </c>
      <c r="B763" s="2" t="str">
        <f>IFERROR(INDEX(Movimientos!$C$2:$C$1998,MATCH(A763&amp;"ENTRADA",Movimientos!$R$2:$R$1998,0)),"-")</f>
        <v>-</v>
      </c>
      <c r="C763" s="2" t="str">
        <f>IFERROR(INDEX(Movimientos!$D$2:$D$1998,MATCH(A763&amp;"ENTRADA",Movimientos!$R$2:$R$1998,0)),"-")</f>
        <v>-</v>
      </c>
      <c r="D763" s="2" t="str">
        <f>IFERROR(INDEX(Movimientos!$E$2:$E$1998,MATCH(A763&amp;"ENTRADA",Movimientos!$R$2:$R$1998,0)),"-")</f>
        <v>-</v>
      </c>
      <c r="E763" s="2" t="str">
        <f>IFERROR(INDEX(Movimientos!$F$2:$F$1998,MATCH(A763&amp;"ENTRADA",Movimientos!$R$2:$R$1998,0)),"-")</f>
        <v>-</v>
      </c>
      <c r="F763" s="2" t="str">
        <f>IFERROR(INDEX(Movimientos!$G$2:$G$1998,MATCH(A763&amp;"ENTRADA",Movimientos!$R$2:$R$1998,0)),"-")</f>
        <v>-</v>
      </c>
      <c r="G763" s="2" t="str">
        <f>IFERROR(INDEX(Movimientos!$L$2:$L$1998,MATCH(A763&amp;"ENTRADA",Movimientos!$R$2:$R$1998,0)),"-")</f>
        <v>-</v>
      </c>
      <c r="H763" s="17" t="str">
        <f>IFERROR(IF(INDEX(Movimientos!$M$2:$M$1998,MATCH(A763&amp;"ENTRADA",Movimientos!$R$2:$R$1998,0))=0,"S/D",INDEX(Movimientos!$M$2:$M$1998,MATCH(A763&amp;"ENTRADA",Movimientos!$R$2:$R$1998,0))),"S/D")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 ht="14.25">
      <c r="A764" s="16" t="s">
        <v>2929</v>
      </c>
      <c r="B764" s="2" t="str">
        <f>IFERROR(INDEX(Movimientos!$C$2:$C$1998,MATCH(A764&amp;"ENTRADA",Movimientos!$R$2:$R$1998,0)),"-")</f>
        <v>-</v>
      </c>
      <c r="C764" s="2" t="str">
        <f>IFERROR(INDEX(Movimientos!$D$2:$D$1998,MATCH(A764&amp;"ENTRADA",Movimientos!$R$2:$R$1998,0)),"-")</f>
        <v>-</v>
      </c>
      <c r="D764" s="2" t="str">
        <f>IFERROR(INDEX(Movimientos!$E$2:$E$1998,MATCH(A764&amp;"ENTRADA",Movimientos!$R$2:$R$1998,0)),"-")</f>
        <v>-</v>
      </c>
      <c r="E764" s="2" t="str">
        <f>IFERROR(INDEX(Movimientos!$F$2:$F$1998,MATCH(A764&amp;"ENTRADA",Movimientos!$R$2:$R$1998,0)),"-")</f>
        <v>-</v>
      </c>
      <c r="F764" s="2" t="str">
        <f>IFERROR(INDEX(Movimientos!$G$2:$G$1998,MATCH(A764&amp;"ENTRADA",Movimientos!$R$2:$R$1998,0)),"-")</f>
        <v>-</v>
      </c>
      <c r="G764" s="2" t="str">
        <f>IFERROR(INDEX(Movimientos!$L$2:$L$1998,MATCH(A764&amp;"ENTRADA",Movimientos!$R$2:$R$1998,0)),"-")</f>
        <v>-</v>
      </c>
      <c r="H764" s="17" t="str">
        <f>IFERROR(IF(INDEX(Movimientos!$M$2:$M$1998,MATCH(A764&amp;"ENTRADA",Movimientos!$R$2:$R$1998,0))=0,"S/D",INDEX(Movimientos!$M$2:$M$1998,MATCH(A764&amp;"ENTRADA",Movimientos!$R$2:$R$1998,0))),"S/D")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 ht="14.25">
      <c r="A765" s="16" t="s">
        <v>2930</v>
      </c>
      <c r="B765" s="2" t="str">
        <f>IFERROR(INDEX(Movimientos!$C$2:$C$1998,MATCH(A765&amp;"ENTRADA",Movimientos!$R$2:$R$1998,0)),"-")</f>
        <v>-</v>
      </c>
      <c r="C765" s="2" t="str">
        <f>IFERROR(INDEX(Movimientos!$D$2:$D$1998,MATCH(A765&amp;"ENTRADA",Movimientos!$R$2:$R$1998,0)),"-")</f>
        <v>-</v>
      </c>
      <c r="D765" s="2" t="str">
        <f>IFERROR(INDEX(Movimientos!$E$2:$E$1998,MATCH(A765&amp;"ENTRADA",Movimientos!$R$2:$R$1998,0)),"-")</f>
        <v>-</v>
      </c>
      <c r="E765" s="2" t="str">
        <f>IFERROR(INDEX(Movimientos!$F$2:$F$1998,MATCH(A765&amp;"ENTRADA",Movimientos!$R$2:$R$1998,0)),"-")</f>
        <v>-</v>
      </c>
      <c r="F765" s="2" t="str">
        <f>IFERROR(INDEX(Movimientos!$G$2:$G$1998,MATCH(A765&amp;"ENTRADA",Movimientos!$R$2:$R$1998,0)),"-")</f>
        <v>-</v>
      </c>
      <c r="G765" s="2" t="str">
        <f>IFERROR(INDEX(Movimientos!$L$2:$L$1998,MATCH(A765&amp;"ENTRADA",Movimientos!$R$2:$R$1998,0)),"-")</f>
        <v>-</v>
      </c>
      <c r="H765" s="17" t="str">
        <f>IFERROR(IF(INDEX(Movimientos!$M$2:$M$1998,MATCH(A765&amp;"ENTRADA",Movimientos!$R$2:$R$1998,0))=0,"S/D",INDEX(Movimientos!$M$2:$M$1998,MATCH(A765&amp;"ENTRADA",Movimientos!$R$2:$R$1998,0))),"S/D")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 ht="14.25">
      <c r="A766" s="16" t="s">
        <v>2931</v>
      </c>
      <c r="B766" s="2" t="str">
        <f>IFERROR(INDEX(Movimientos!$C$2:$C$1998,MATCH(A766&amp;"ENTRADA",Movimientos!$R$2:$R$1998,0)),"-")</f>
        <v>-</v>
      </c>
      <c r="C766" s="2" t="str">
        <f>IFERROR(INDEX(Movimientos!$D$2:$D$1998,MATCH(A766&amp;"ENTRADA",Movimientos!$R$2:$R$1998,0)),"-")</f>
        <v>-</v>
      </c>
      <c r="D766" s="2" t="str">
        <f>IFERROR(INDEX(Movimientos!$E$2:$E$1998,MATCH(A766&amp;"ENTRADA",Movimientos!$R$2:$R$1998,0)),"-")</f>
        <v>-</v>
      </c>
      <c r="E766" s="2" t="str">
        <f>IFERROR(INDEX(Movimientos!$F$2:$F$1998,MATCH(A766&amp;"ENTRADA",Movimientos!$R$2:$R$1998,0)),"-")</f>
        <v>-</v>
      </c>
      <c r="F766" s="2" t="str">
        <f>IFERROR(INDEX(Movimientos!$G$2:$G$1998,MATCH(A766&amp;"ENTRADA",Movimientos!$R$2:$R$1998,0)),"-")</f>
        <v>-</v>
      </c>
      <c r="G766" s="2" t="str">
        <f>IFERROR(INDEX(Movimientos!$L$2:$L$1998,MATCH(A766&amp;"ENTRADA",Movimientos!$R$2:$R$1998,0)),"-")</f>
        <v>-</v>
      </c>
      <c r="H766" s="17" t="str">
        <f>IFERROR(IF(INDEX(Movimientos!$M$2:$M$1998,MATCH(A766&amp;"ENTRADA",Movimientos!$R$2:$R$1998,0))=0,"S/D",INDEX(Movimientos!$M$2:$M$1998,MATCH(A766&amp;"ENTRADA",Movimientos!$R$2:$R$1998,0))),"S/D")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 ht="14.25">
      <c r="A767" s="16" t="s">
        <v>2932</v>
      </c>
      <c r="B767" s="2" t="str">
        <f>IFERROR(INDEX(Movimientos!$C$2:$C$1998,MATCH(A767&amp;"ENTRADA",Movimientos!$R$2:$R$1998,0)),"-")</f>
        <v>-</v>
      </c>
      <c r="C767" s="2" t="str">
        <f>IFERROR(INDEX(Movimientos!$D$2:$D$1998,MATCH(A767&amp;"ENTRADA",Movimientos!$R$2:$R$1998,0)),"-")</f>
        <v>-</v>
      </c>
      <c r="D767" s="2" t="str">
        <f>IFERROR(INDEX(Movimientos!$E$2:$E$1998,MATCH(A767&amp;"ENTRADA",Movimientos!$R$2:$R$1998,0)),"-")</f>
        <v>-</v>
      </c>
      <c r="E767" s="2" t="str">
        <f>IFERROR(INDEX(Movimientos!$F$2:$F$1998,MATCH(A767&amp;"ENTRADA",Movimientos!$R$2:$R$1998,0)),"-")</f>
        <v>-</v>
      </c>
      <c r="F767" s="2" t="str">
        <f>IFERROR(INDEX(Movimientos!$G$2:$G$1998,MATCH(A767&amp;"ENTRADA",Movimientos!$R$2:$R$1998,0)),"-")</f>
        <v>-</v>
      </c>
      <c r="G767" s="2" t="str">
        <f>IFERROR(INDEX(Movimientos!$L$2:$L$1998,MATCH(A767&amp;"ENTRADA",Movimientos!$R$2:$R$1998,0)),"-")</f>
        <v>-</v>
      </c>
      <c r="H767" s="17" t="str">
        <f>IFERROR(IF(INDEX(Movimientos!$M$2:$M$1998,MATCH(A767&amp;"ENTRADA",Movimientos!$R$2:$R$1998,0))=0,"S/D",INDEX(Movimientos!$M$2:$M$1998,MATCH(A767&amp;"ENTRADA",Movimientos!$R$2:$R$1998,0))),"S/D")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 ht="14.25">
      <c r="A768" s="16" t="s">
        <v>2933</v>
      </c>
      <c r="B768" s="2" t="str">
        <f>IFERROR(INDEX(Movimientos!$C$2:$C$1998,MATCH(A768&amp;"ENTRADA",Movimientos!$R$2:$R$1998,0)),"-")</f>
        <v>-</v>
      </c>
      <c r="C768" s="2" t="str">
        <f>IFERROR(INDEX(Movimientos!$D$2:$D$1998,MATCH(A768&amp;"ENTRADA",Movimientos!$R$2:$R$1998,0)),"-")</f>
        <v>-</v>
      </c>
      <c r="D768" s="2" t="str">
        <f>IFERROR(INDEX(Movimientos!$E$2:$E$1998,MATCH(A768&amp;"ENTRADA",Movimientos!$R$2:$R$1998,0)),"-")</f>
        <v>-</v>
      </c>
      <c r="E768" s="2" t="str">
        <f>IFERROR(INDEX(Movimientos!$F$2:$F$1998,MATCH(A768&amp;"ENTRADA",Movimientos!$R$2:$R$1998,0)),"-")</f>
        <v>-</v>
      </c>
      <c r="F768" s="2" t="str">
        <f>IFERROR(INDEX(Movimientos!$G$2:$G$1998,MATCH(A768&amp;"ENTRADA",Movimientos!$R$2:$R$1998,0)),"-")</f>
        <v>-</v>
      </c>
      <c r="G768" s="2" t="str">
        <f>IFERROR(INDEX(Movimientos!$L$2:$L$1998,MATCH(A768&amp;"ENTRADA",Movimientos!$R$2:$R$1998,0)),"-")</f>
        <v>-</v>
      </c>
      <c r="H768" s="17" t="str">
        <f>IFERROR(IF(INDEX(Movimientos!$M$2:$M$1998,MATCH(A768&amp;"ENTRADA",Movimientos!$R$2:$R$1998,0))=0,"S/D",INDEX(Movimientos!$M$2:$M$1998,MATCH(A768&amp;"ENTRADA",Movimientos!$R$2:$R$1998,0))),"S/D")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 ht="14.25">
      <c r="A769" s="16" t="s">
        <v>2934</v>
      </c>
      <c r="B769" s="2" t="str">
        <f>IFERROR(INDEX(Movimientos!$C$2:$C$1998,MATCH(A769&amp;"ENTRADA",Movimientos!$R$2:$R$1998,0)),"-")</f>
        <v>-</v>
      </c>
      <c r="C769" s="2" t="str">
        <f>IFERROR(INDEX(Movimientos!$D$2:$D$1998,MATCH(A769&amp;"ENTRADA",Movimientos!$R$2:$R$1998,0)),"-")</f>
        <v>-</v>
      </c>
      <c r="D769" s="2" t="str">
        <f>IFERROR(INDEX(Movimientos!$E$2:$E$1998,MATCH(A769&amp;"ENTRADA",Movimientos!$R$2:$R$1998,0)),"-")</f>
        <v>-</v>
      </c>
      <c r="E769" s="2" t="str">
        <f>IFERROR(INDEX(Movimientos!$F$2:$F$1998,MATCH(A769&amp;"ENTRADA",Movimientos!$R$2:$R$1998,0)),"-")</f>
        <v>-</v>
      </c>
      <c r="F769" s="2" t="str">
        <f>IFERROR(INDEX(Movimientos!$G$2:$G$1998,MATCH(A769&amp;"ENTRADA",Movimientos!$R$2:$R$1998,0)),"-")</f>
        <v>-</v>
      </c>
      <c r="G769" s="2" t="str">
        <f>IFERROR(INDEX(Movimientos!$L$2:$L$1998,MATCH(A769&amp;"ENTRADA",Movimientos!$R$2:$R$1998,0)),"-")</f>
        <v>-</v>
      </c>
      <c r="H769" s="17" t="str">
        <f>IFERROR(IF(INDEX(Movimientos!$M$2:$M$1998,MATCH(A769&amp;"ENTRADA",Movimientos!$R$2:$R$1998,0))=0,"S/D",INDEX(Movimientos!$M$2:$M$1998,MATCH(A769&amp;"ENTRADA",Movimientos!$R$2:$R$1998,0))),"S/D")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 ht="14.25">
      <c r="A770" s="16" t="s">
        <v>2935</v>
      </c>
      <c r="B770" s="2" t="str">
        <f>IFERROR(INDEX(Movimientos!$C$2:$C$1998,MATCH(A770&amp;"ENTRADA",Movimientos!$R$2:$R$1998,0)),"-")</f>
        <v>-</v>
      </c>
      <c r="C770" s="2" t="str">
        <f>IFERROR(INDEX(Movimientos!$D$2:$D$1998,MATCH(A770&amp;"ENTRADA",Movimientos!$R$2:$R$1998,0)),"-")</f>
        <v>-</v>
      </c>
      <c r="D770" s="2" t="str">
        <f>IFERROR(INDEX(Movimientos!$E$2:$E$1998,MATCH(A770&amp;"ENTRADA",Movimientos!$R$2:$R$1998,0)),"-")</f>
        <v>-</v>
      </c>
      <c r="E770" s="2" t="str">
        <f>IFERROR(INDEX(Movimientos!$F$2:$F$1998,MATCH(A770&amp;"ENTRADA",Movimientos!$R$2:$R$1998,0)),"-")</f>
        <v>-</v>
      </c>
      <c r="F770" s="2" t="str">
        <f>IFERROR(INDEX(Movimientos!$G$2:$G$1998,MATCH(A770&amp;"ENTRADA",Movimientos!$R$2:$R$1998,0)),"-")</f>
        <v>-</v>
      </c>
      <c r="G770" s="2" t="str">
        <f>IFERROR(INDEX(Movimientos!$L$2:$L$1998,MATCH(A770&amp;"ENTRADA",Movimientos!$R$2:$R$1998,0)),"-")</f>
        <v>-</v>
      </c>
      <c r="H770" s="17" t="str">
        <f>IFERROR(IF(INDEX(Movimientos!$M$2:$M$1998,MATCH(A770&amp;"ENTRADA",Movimientos!$R$2:$R$1998,0))=0,"S/D",INDEX(Movimientos!$M$2:$M$1998,MATCH(A770&amp;"ENTRADA",Movimientos!$R$2:$R$1998,0))),"S/D")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 ht="14.25">
      <c r="A771" s="16" t="s">
        <v>2936</v>
      </c>
      <c r="B771" s="2" t="str">
        <f>IFERROR(INDEX(Movimientos!$C$2:$C$1998,MATCH(A771&amp;"ENTRADA",Movimientos!$R$2:$R$1998,0)),"-")</f>
        <v>-</v>
      </c>
      <c r="C771" s="2" t="str">
        <f>IFERROR(INDEX(Movimientos!$D$2:$D$1998,MATCH(A771&amp;"ENTRADA",Movimientos!$R$2:$R$1998,0)),"-")</f>
        <v>-</v>
      </c>
      <c r="D771" s="2" t="str">
        <f>IFERROR(INDEX(Movimientos!$E$2:$E$1998,MATCH(A771&amp;"ENTRADA",Movimientos!$R$2:$R$1998,0)),"-")</f>
        <v>-</v>
      </c>
      <c r="E771" s="2" t="str">
        <f>IFERROR(INDEX(Movimientos!$F$2:$F$1998,MATCH(A771&amp;"ENTRADA",Movimientos!$R$2:$R$1998,0)),"-")</f>
        <v>-</v>
      </c>
      <c r="F771" s="2" t="str">
        <f>IFERROR(INDEX(Movimientos!$G$2:$G$1998,MATCH(A771&amp;"ENTRADA",Movimientos!$R$2:$R$1998,0)),"-")</f>
        <v>-</v>
      </c>
      <c r="G771" s="2" t="str">
        <f>IFERROR(INDEX(Movimientos!$L$2:$L$1998,MATCH(A771&amp;"ENTRADA",Movimientos!$R$2:$R$1998,0)),"-")</f>
        <v>-</v>
      </c>
      <c r="H771" s="17" t="str">
        <f>IFERROR(IF(INDEX(Movimientos!$M$2:$M$1998,MATCH(A771&amp;"ENTRADA",Movimientos!$R$2:$R$1998,0))=0,"S/D",INDEX(Movimientos!$M$2:$M$1998,MATCH(A771&amp;"ENTRADA",Movimientos!$R$2:$R$1998,0))),"S/D")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 ht="14.25">
      <c r="A772" s="16" t="s">
        <v>2937</v>
      </c>
      <c r="B772" s="2" t="str">
        <f>IFERROR(INDEX(Movimientos!$C$2:$C$1998,MATCH(A772&amp;"ENTRADA",Movimientos!$R$2:$R$1998,0)),"-")</f>
        <v>-</v>
      </c>
      <c r="C772" s="2" t="str">
        <f>IFERROR(INDEX(Movimientos!$D$2:$D$1998,MATCH(A772&amp;"ENTRADA",Movimientos!$R$2:$R$1998,0)),"-")</f>
        <v>-</v>
      </c>
      <c r="D772" s="2" t="str">
        <f>IFERROR(INDEX(Movimientos!$E$2:$E$1998,MATCH(A772&amp;"ENTRADA",Movimientos!$R$2:$R$1998,0)),"-")</f>
        <v>-</v>
      </c>
      <c r="E772" s="2" t="str">
        <f>IFERROR(INDEX(Movimientos!$F$2:$F$1998,MATCH(A772&amp;"ENTRADA",Movimientos!$R$2:$R$1998,0)),"-")</f>
        <v>-</v>
      </c>
      <c r="F772" s="2" t="str">
        <f>IFERROR(INDEX(Movimientos!$G$2:$G$1998,MATCH(A772&amp;"ENTRADA",Movimientos!$R$2:$R$1998,0)),"-")</f>
        <v>-</v>
      </c>
      <c r="G772" s="2" t="str">
        <f>IFERROR(INDEX(Movimientos!$L$2:$L$1998,MATCH(A772&amp;"ENTRADA",Movimientos!$R$2:$R$1998,0)),"-")</f>
        <v>-</v>
      </c>
      <c r="H772" s="17" t="str">
        <f>IFERROR(IF(INDEX(Movimientos!$M$2:$M$1998,MATCH(A772&amp;"ENTRADA",Movimientos!$R$2:$R$1998,0))=0,"S/D",INDEX(Movimientos!$M$2:$M$1998,MATCH(A772&amp;"ENTRADA",Movimientos!$R$2:$R$1998,0))),"S/D")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 ht="14.25">
      <c r="A773" s="16" t="s">
        <v>2938</v>
      </c>
      <c r="B773" s="2" t="str">
        <f>IFERROR(INDEX(Movimientos!$C$2:$C$1998,MATCH(A773&amp;"ENTRADA",Movimientos!$R$2:$R$1998,0)),"-")</f>
        <v>-</v>
      </c>
      <c r="C773" s="2" t="str">
        <f>IFERROR(INDEX(Movimientos!$D$2:$D$1998,MATCH(A773&amp;"ENTRADA",Movimientos!$R$2:$R$1998,0)),"-")</f>
        <v>-</v>
      </c>
      <c r="D773" s="2" t="str">
        <f>IFERROR(INDEX(Movimientos!$E$2:$E$1998,MATCH(A773&amp;"ENTRADA",Movimientos!$R$2:$R$1998,0)),"-")</f>
        <v>-</v>
      </c>
      <c r="E773" s="2" t="str">
        <f>IFERROR(INDEX(Movimientos!$F$2:$F$1998,MATCH(A773&amp;"ENTRADA",Movimientos!$R$2:$R$1998,0)),"-")</f>
        <v>-</v>
      </c>
      <c r="F773" s="2" t="str">
        <f>IFERROR(INDEX(Movimientos!$G$2:$G$1998,MATCH(A773&amp;"ENTRADA",Movimientos!$R$2:$R$1998,0)),"-")</f>
        <v>-</v>
      </c>
      <c r="G773" s="2" t="str">
        <f>IFERROR(INDEX(Movimientos!$L$2:$L$1998,MATCH(A773&amp;"ENTRADA",Movimientos!$R$2:$R$1998,0)),"-")</f>
        <v>-</v>
      </c>
      <c r="H773" s="17" t="str">
        <f>IFERROR(IF(INDEX(Movimientos!$M$2:$M$1998,MATCH(A773&amp;"ENTRADA",Movimientos!$R$2:$R$1998,0))=0,"S/D",INDEX(Movimientos!$M$2:$M$1998,MATCH(A773&amp;"ENTRADA",Movimientos!$R$2:$R$1998,0))),"S/D")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 ht="14.25">
      <c r="A774" s="16" t="s">
        <v>2939</v>
      </c>
      <c r="B774" s="2" t="str">
        <f>IFERROR(INDEX(Movimientos!$C$2:$C$1998,MATCH(A774&amp;"ENTRADA",Movimientos!$R$2:$R$1998,0)),"-")</f>
        <v>-</v>
      </c>
      <c r="C774" s="2" t="str">
        <f>IFERROR(INDEX(Movimientos!$D$2:$D$1998,MATCH(A774&amp;"ENTRADA",Movimientos!$R$2:$R$1998,0)),"-")</f>
        <v>-</v>
      </c>
      <c r="D774" s="2" t="str">
        <f>IFERROR(INDEX(Movimientos!$E$2:$E$1998,MATCH(A774&amp;"ENTRADA",Movimientos!$R$2:$R$1998,0)),"-")</f>
        <v>-</v>
      </c>
      <c r="E774" s="2" t="str">
        <f>IFERROR(INDEX(Movimientos!$F$2:$F$1998,MATCH(A774&amp;"ENTRADA",Movimientos!$R$2:$R$1998,0)),"-")</f>
        <v>-</v>
      </c>
      <c r="F774" s="2" t="str">
        <f>IFERROR(INDEX(Movimientos!$G$2:$G$1998,MATCH(A774&amp;"ENTRADA",Movimientos!$R$2:$R$1998,0)),"-")</f>
        <v>-</v>
      </c>
      <c r="G774" s="2" t="str">
        <f>IFERROR(INDEX(Movimientos!$L$2:$L$1998,MATCH(A774&amp;"ENTRADA",Movimientos!$R$2:$R$1998,0)),"-")</f>
        <v>-</v>
      </c>
      <c r="H774" s="17" t="str">
        <f>IFERROR(IF(INDEX(Movimientos!$M$2:$M$1998,MATCH(A774&amp;"ENTRADA",Movimientos!$R$2:$R$1998,0))=0,"S/D",INDEX(Movimientos!$M$2:$M$1998,MATCH(A774&amp;"ENTRADA",Movimientos!$R$2:$R$1998,0))),"S/D")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 ht="14.25">
      <c r="A775" s="16" t="s">
        <v>2940</v>
      </c>
      <c r="B775" s="2" t="str">
        <f>IFERROR(INDEX(Movimientos!$C$2:$C$1998,MATCH(A775&amp;"ENTRADA",Movimientos!$R$2:$R$1998,0)),"-")</f>
        <v>-</v>
      </c>
      <c r="C775" s="2" t="str">
        <f>IFERROR(INDEX(Movimientos!$D$2:$D$1998,MATCH(A775&amp;"ENTRADA",Movimientos!$R$2:$R$1998,0)),"-")</f>
        <v>-</v>
      </c>
      <c r="D775" s="2" t="str">
        <f>IFERROR(INDEX(Movimientos!$E$2:$E$1998,MATCH(A775&amp;"ENTRADA",Movimientos!$R$2:$R$1998,0)),"-")</f>
        <v>-</v>
      </c>
      <c r="E775" s="2" t="str">
        <f>IFERROR(INDEX(Movimientos!$F$2:$F$1998,MATCH(A775&amp;"ENTRADA",Movimientos!$R$2:$R$1998,0)),"-")</f>
        <v>-</v>
      </c>
      <c r="F775" s="2" t="str">
        <f>IFERROR(INDEX(Movimientos!$G$2:$G$1998,MATCH(A775&amp;"ENTRADA",Movimientos!$R$2:$R$1998,0)),"-")</f>
        <v>-</v>
      </c>
      <c r="G775" s="2" t="str">
        <f>IFERROR(INDEX(Movimientos!$L$2:$L$1998,MATCH(A775&amp;"ENTRADA",Movimientos!$R$2:$R$1998,0)),"-")</f>
        <v>-</v>
      </c>
      <c r="H775" s="17" t="str">
        <f>IFERROR(IF(INDEX(Movimientos!$M$2:$M$1998,MATCH(A775&amp;"ENTRADA",Movimientos!$R$2:$R$1998,0))=0,"S/D",INDEX(Movimientos!$M$2:$M$1998,MATCH(A775&amp;"ENTRADA",Movimientos!$R$2:$R$1998,0))),"S/D")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 ht="14.25">
      <c r="A776" s="16" t="s">
        <v>2941</v>
      </c>
      <c r="B776" s="2" t="str">
        <f>IFERROR(INDEX(Movimientos!$C$2:$C$1998,MATCH(A776&amp;"ENTRADA",Movimientos!$R$2:$R$1998,0)),"-")</f>
        <v>-</v>
      </c>
      <c r="C776" s="2" t="str">
        <f>IFERROR(INDEX(Movimientos!$D$2:$D$1998,MATCH(A776&amp;"ENTRADA",Movimientos!$R$2:$R$1998,0)),"-")</f>
        <v>-</v>
      </c>
      <c r="D776" s="2" t="str">
        <f>IFERROR(INDEX(Movimientos!$E$2:$E$1998,MATCH(A776&amp;"ENTRADA",Movimientos!$R$2:$R$1998,0)),"-")</f>
        <v>-</v>
      </c>
      <c r="E776" s="2" t="str">
        <f>IFERROR(INDEX(Movimientos!$F$2:$F$1998,MATCH(A776&amp;"ENTRADA",Movimientos!$R$2:$R$1998,0)),"-")</f>
        <v>-</v>
      </c>
      <c r="F776" s="2" t="str">
        <f>IFERROR(INDEX(Movimientos!$G$2:$G$1998,MATCH(A776&amp;"ENTRADA",Movimientos!$R$2:$R$1998,0)),"-")</f>
        <v>-</v>
      </c>
      <c r="G776" s="2" t="str">
        <f>IFERROR(INDEX(Movimientos!$L$2:$L$1998,MATCH(A776&amp;"ENTRADA",Movimientos!$R$2:$R$1998,0)),"-")</f>
        <v>-</v>
      </c>
      <c r="H776" s="17" t="str">
        <f>IFERROR(IF(INDEX(Movimientos!$M$2:$M$1998,MATCH(A776&amp;"ENTRADA",Movimientos!$R$2:$R$1998,0))=0,"S/D",INDEX(Movimientos!$M$2:$M$1998,MATCH(A776&amp;"ENTRADA",Movimientos!$R$2:$R$1998,0))),"S/D")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 ht="14.25">
      <c r="A777" s="16" t="s">
        <v>2942</v>
      </c>
      <c r="B777" s="2" t="str">
        <f>IFERROR(INDEX(Movimientos!$C$2:$C$1998,MATCH(A777&amp;"ENTRADA",Movimientos!$R$2:$R$1998,0)),"-")</f>
        <v>-</v>
      </c>
      <c r="C777" s="2" t="str">
        <f>IFERROR(INDEX(Movimientos!$D$2:$D$1998,MATCH(A777&amp;"ENTRADA",Movimientos!$R$2:$R$1998,0)),"-")</f>
        <v>-</v>
      </c>
      <c r="D777" s="2" t="str">
        <f>IFERROR(INDEX(Movimientos!$E$2:$E$1998,MATCH(A777&amp;"ENTRADA",Movimientos!$R$2:$R$1998,0)),"-")</f>
        <v>-</v>
      </c>
      <c r="E777" s="2" t="str">
        <f>IFERROR(INDEX(Movimientos!$F$2:$F$1998,MATCH(A777&amp;"ENTRADA",Movimientos!$R$2:$R$1998,0)),"-")</f>
        <v>-</v>
      </c>
      <c r="F777" s="2" t="str">
        <f>IFERROR(INDEX(Movimientos!$G$2:$G$1998,MATCH(A777&amp;"ENTRADA",Movimientos!$R$2:$R$1998,0)),"-")</f>
        <v>-</v>
      </c>
      <c r="G777" s="2" t="str">
        <f>IFERROR(INDEX(Movimientos!$L$2:$L$1998,MATCH(A777&amp;"ENTRADA",Movimientos!$R$2:$R$1998,0)),"-")</f>
        <v>-</v>
      </c>
      <c r="H777" s="17" t="str">
        <f>IFERROR(IF(INDEX(Movimientos!$M$2:$M$1998,MATCH(A777&amp;"ENTRADA",Movimientos!$R$2:$R$1998,0))=0,"S/D",INDEX(Movimientos!$M$2:$M$1998,MATCH(A777&amp;"ENTRADA",Movimientos!$R$2:$R$1998,0))),"S/D")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 ht="14.25">
      <c r="A778" s="16" t="s">
        <v>2943</v>
      </c>
      <c r="B778" s="2" t="str">
        <f>IFERROR(INDEX(Movimientos!$C$2:$C$1998,MATCH(A778&amp;"ENTRADA",Movimientos!$R$2:$R$1998,0)),"-")</f>
        <v>-</v>
      </c>
      <c r="C778" s="2" t="str">
        <f>IFERROR(INDEX(Movimientos!$D$2:$D$1998,MATCH(A778&amp;"ENTRADA",Movimientos!$R$2:$R$1998,0)),"-")</f>
        <v>-</v>
      </c>
      <c r="D778" s="2" t="str">
        <f>IFERROR(INDEX(Movimientos!$E$2:$E$1998,MATCH(A778&amp;"ENTRADA",Movimientos!$R$2:$R$1998,0)),"-")</f>
        <v>-</v>
      </c>
      <c r="E778" s="2" t="str">
        <f>IFERROR(INDEX(Movimientos!$F$2:$F$1998,MATCH(A778&amp;"ENTRADA",Movimientos!$R$2:$R$1998,0)),"-")</f>
        <v>-</v>
      </c>
      <c r="F778" s="2" t="str">
        <f>IFERROR(INDEX(Movimientos!$G$2:$G$1998,MATCH(A778&amp;"ENTRADA",Movimientos!$R$2:$R$1998,0)),"-")</f>
        <v>-</v>
      </c>
      <c r="G778" s="2" t="str">
        <f>IFERROR(INDEX(Movimientos!$L$2:$L$1998,MATCH(A778&amp;"ENTRADA",Movimientos!$R$2:$R$1998,0)),"-")</f>
        <v>-</v>
      </c>
      <c r="H778" s="17" t="str">
        <f>IFERROR(IF(INDEX(Movimientos!$M$2:$M$1998,MATCH(A778&amp;"ENTRADA",Movimientos!$R$2:$R$1998,0))=0,"S/D",INDEX(Movimientos!$M$2:$M$1998,MATCH(A778&amp;"ENTRADA",Movimientos!$R$2:$R$1998,0))),"S/D")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 ht="14.25">
      <c r="A779" s="16" t="s">
        <v>2944</v>
      </c>
      <c r="B779" s="2" t="str">
        <f>IFERROR(INDEX(Movimientos!$C$2:$C$1998,MATCH(A779&amp;"ENTRADA",Movimientos!$R$2:$R$1998,0)),"-")</f>
        <v>-</v>
      </c>
      <c r="C779" s="2" t="str">
        <f>IFERROR(INDEX(Movimientos!$D$2:$D$1998,MATCH(A779&amp;"ENTRADA",Movimientos!$R$2:$R$1998,0)),"-")</f>
        <v>-</v>
      </c>
      <c r="D779" s="2" t="str">
        <f>IFERROR(INDEX(Movimientos!$E$2:$E$1998,MATCH(A779&amp;"ENTRADA",Movimientos!$R$2:$R$1998,0)),"-")</f>
        <v>-</v>
      </c>
      <c r="E779" s="2" t="str">
        <f>IFERROR(INDEX(Movimientos!$F$2:$F$1998,MATCH(A779&amp;"ENTRADA",Movimientos!$R$2:$R$1998,0)),"-")</f>
        <v>-</v>
      </c>
      <c r="F779" s="2" t="str">
        <f>IFERROR(INDEX(Movimientos!$G$2:$G$1998,MATCH(A779&amp;"ENTRADA",Movimientos!$R$2:$R$1998,0)),"-")</f>
        <v>-</v>
      </c>
      <c r="G779" s="2" t="str">
        <f>IFERROR(INDEX(Movimientos!$L$2:$L$1998,MATCH(A779&amp;"ENTRADA",Movimientos!$R$2:$R$1998,0)),"-")</f>
        <v>-</v>
      </c>
      <c r="H779" s="17" t="str">
        <f>IFERROR(IF(INDEX(Movimientos!$M$2:$M$1998,MATCH(A779&amp;"ENTRADA",Movimientos!$R$2:$R$1998,0))=0,"S/D",INDEX(Movimientos!$M$2:$M$1998,MATCH(A779&amp;"ENTRADA",Movimientos!$R$2:$R$1998,0))),"S/D")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 ht="14.25">
      <c r="A780" s="16" t="s">
        <v>2945</v>
      </c>
      <c r="B780" s="2" t="str">
        <f>IFERROR(INDEX(Movimientos!$C$2:$C$1998,MATCH(A780&amp;"ENTRADA",Movimientos!$R$2:$R$1998,0)),"-")</f>
        <v>-</v>
      </c>
      <c r="C780" s="2" t="str">
        <f>IFERROR(INDEX(Movimientos!$D$2:$D$1998,MATCH(A780&amp;"ENTRADA",Movimientos!$R$2:$R$1998,0)),"-")</f>
        <v>-</v>
      </c>
      <c r="D780" s="2" t="str">
        <f>IFERROR(INDEX(Movimientos!$E$2:$E$1998,MATCH(A780&amp;"ENTRADA",Movimientos!$R$2:$R$1998,0)),"-")</f>
        <v>-</v>
      </c>
      <c r="E780" s="2" t="str">
        <f>IFERROR(INDEX(Movimientos!$F$2:$F$1998,MATCH(A780&amp;"ENTRADA",Movimientos!$R$2:$R$1998,0)),"-")</f>
        <v>-</v>
      </c>
      <c r="F780" s="2" t="str">
        <f>IFERROR(INDEX(Movimientos!$G$2:$G$1998,MATCH(A780&amp;"ENTRADA",Movimientos!$R$2:$R$1998,0)),"-")</f>
        <v>-</v>
      </c>
      <c r="G780" s="2" t="str">
        <f>IFERROR(INDEX(Movimientos!$L$2:$L$1998,MATCH(A780&amp;"ENTRADA",Movimientos!$R$2:$R$1998,0)),"-")</f>
        <v>-</v>
      </c>
      <c r="H780" s="17" t="str">
        <f>IFERROR(IF(INDEX(Movimientos!$M$2:$M$1998,MATCH(A780&amp;"ENTRADA",Movimientos!$R$2:$R$1998,0))=0,"S/D",INDEX(Movimientos!$M$2:$M$1998,MATCH(A780&amp;"ENTRADA",Movimientos!$R$2:$R$1998,0))),"S/D")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 ht="14.25">
      <c r="A781" s="16" t="s">
        <v>2946</v>
      </c>
      <c r="B781" s="2" t="str">
        <f>IFERROR(INDEX(Movimientos!$C$2:$C$1998,MATCH(A781&amp;"ENTRADA",Movimientos!$R$2:$R$1998,0)),"-")</f>
        <v>-</v>
      </c>
      <c r="C781" s="2" t="str">
        <f>IFERROR(INDEX(Movimientos!$D$2:$D$1998,MATCH(A781&amp;"ENTRADA",Movimientos!$R$2:$R$1998,0)),"-")</f>
        <v>-</v>
      </c>
      <c r="D781" s="2" t="str">
        <f>IFERROR(INDEX(Movimientos!$E$2:$E$1998,MATCH(A781&amp;"ENTRADA",Movimientos!$R$2:$R$1998,0)),"-")</f>
        <v>-</v>
      </c>
      <c r="E781" s="2" t="str">
        <f>IFERROR(INDEX(Movimientos!$F$2:$F$1998,MATCH(A781&amp;"ENTRADA",Movimientos!$R$2:$R$1998,0)),"-")</f>
        <v>-</v>
      </c>
      <c r="F781" s="2" t="str">
        <f>IFERROR(INDEX(Movimientos!$G$2:$G$1998,MATCH(A781&amp;"ENTRADA",Movimientos!$R$2:$R$1998,0)),"-")</f>
        <v>-</v>
      </c>
      <c r="G781" s="2" t="str">
        <f>IFERROR(INDEX(Movimientos!$L$2:$L$1998,MATCH(A781&amp;"ENTRADA",Movimientos!$R$2:$R$1998,0)),"-")</f>
        <v>-</v>
      </c>
      <c r="H781" s="17" t="str">
        <f>IFERROR(IF(INDEX(Movimientos!$M$2:$M$1998,MATCH(A781&amp;"ENTRADA",Movimientos!$R$2:$R$1998,0))=0,"S/D",INDEX(Movimientos!$M$2:$M$1998,MATCH(A781&amp;"ENTRADA",Movimientos!$R$2:$R$1998,0))),"S/D")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 ht="14.25">
      <c r="A782" s="16" t="s">
        <v>2947</v>
      </c>
      <c r="B782" s="2" t="str">
        <f>IFERROR(INDEX(Movimientos!$C$2:$C$1998,MATCH(A782&amp;"ENTRADA",Movimientos!$R$2:$R$1998,0)),"-")</f>
        <v>-</v>
      </c>
      <c r="C782" s="2" t="str">
        <f>IFERROR(INDEX(Movimientos!$D$2:$D$1998,MATCH(A782&amp;"ENTRADA",Movimientos!$R$2:$R$1998,0)),"-")</f>
        <v>-</v>
      </c>
      <c r="D782" s="2" t="str">
        <f>IFERROR(INDEX(Movimientos!$E$2:$E$1998,MATCH(A782&amp;"ENTRADA",Movimientos!$R$2:$R$1998,0)),"-")</f>
        <v>-</v>
      </c>
      <c r="E782" s="2" t="str">
        <f>IFERROR(INDEX(Movimientos!$F$2:$F$1998,MATCH(A782&amp;"ENTRADA",Movimientos!$R$2:$R$1998,0)),"-")</f>
        <v>-</v>
      </c>
      <c r="F782" s="2" t="str">
        <f>IFERROR(INDEX(Movimientos!$G$2:$G$1998,MATCH(A782&amp;"ENTRADA",Movimientos!$R$2:$R$1998,0)),"-")</f>
        <v>-</v>
      </c>
      <c r="G782" s="2" t="str">
        <f>IFERROR(INDEX(Movimientos!$L$2:$L$1998,MATCH(A782&amp;"ENTRADA",Movimientos!$R$2:$R$1998,0)),"-")</f>
        <v>-</v>
      </c>
      <c r="H782" s="17" t="str">
        <f>IFERROR(IF(INDEX(Movimientos!$M$2:$M$1998,MATCH(A782&amp;"ENTRADA",Movimientos!$R$2:$R$1998,0))=0,"S/D",INDEX(Movimientos!$M$2:$M$1998,MATCH(A782&amp;"ENTRADA",Movimientos!$R$2:$R$1998,0))),"S/D")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 ht="14.25">
      <c r="A783" s="16" t="s">
        <v>2948</v>
      </c>
      <c r="B783" s="2" t="str">
        <f>IFERROR(INDEX(Movimientos!$C$2:$C$1998,MATCH(A783&amp;"ENTRADA",Movimientos!$R$2:$R$1998,0)),"-")</f>
        <v>-</v>
      </c>
      <c r="C783" s="2" t="str">
        <f>IFERROR(INDEX(Movimientos!$D$2:$D$1998,MATCH(A783&amp;"ENTRADA",Movimientos!$R$2:$R$1998,0)),"-")</f>
        <v>-</v>
      </c>
      <c r="D783" s="2" t="str">
        <f>IFERROR(INDEX(Movimientos!$E$2:$E$1998,MATCH(A783&amp;"ENTRADA",Movimientos!$R$2:$R$1998,0)),"-")</f>
        <v>-</v>
      </c>
      <c r="E783" s="2" t="str">
        <f>IFERROR(INDEX(Movimientos!$F$2:$F$1998,MATCH(A783&amp;"ENTRADA",Movimientos!$R$2:$R$1998,0)),"-")</f>
        <v>-</v>
      </c>
      <c r="F783" s="2" t="str">
        <f>IFERROR(INDEX(Movimientos!$G$2:$G$1998,MATCH(A783&amp;"ENTRADA",Movimientos!$R$2:$R$1998,0)),"-")</f>
        <v>-</v>
      </c>
      <c r="G783" s="2" t="str">
        <f>IFERROR(INDEX(Movimientos!$L$2:$L$1998,MATCH(A783&amp;"ENTRADA",Movimientos!$R$2:$R$1998,0)),"-")</f>
        <v>-</v>
      </c>
      <c r="H783" s="17" t="str">
        <f>IFERROR(IF(INDEX(Movimientos!$M$2:$M$1998,MATCH(A783&amp;"ENTRADA",Movimientos!$R$2:$R$1998,0))=0,"S/D",INDEX(Movimientos!$M$2:$M$1998,MATCH(A783&amp;"ENTRADA",Movimientos!$R$2:$R$1998,0))),"S/D")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 ht="14.25">
      <c r="A784" s="16" t="s">
        <v>2949</v>
      </c>
      <c r="B784" s="2" t="str">
        <f>IFERROR(INDEX(Movimientos!$C$2:$C$1998,MATCH(A784&amp;"ENTRADA",Movimientos!$R$2:$R$1998,0)),"-")</f>
        <v>-</v>
      </c>
      <c r="C784" s="2" t="str">
        <f>IFERROR(INDEX(Movimientos!$D$2:$D$1998,MATCH(A784&amp;"ENTRADA",Movimientos!$R$2:$R$1998,0)),"-")</f>
        <v>-</v>
      </c>
      <c r="D784" s="2" t="str">
        <f>IFERROR(INDEX(Movimientos!$E$2:$E$1998,MATCH(A784&amp;"ENTRADA",Movimientos!$R$2:$R$1998,0)),"-")</f>
        <v>-</v>
      </c>
      <c r="E784" s="2" t="str">
        <f>IFERROR(INDEX(Movimientos!$F$2:$F$1998,MATCH(A784&amp;"ENTRADA",Movimientos!$R$2:$R$1998,0)),"-")</f>
        <v>-</v>
      </c>
      <c r="F784" s="2" t="str">
        <f>IFERROR(INDEX(Movimientos!$G$2:$G$1998,MATCH(A784&amp;"ENTRADA",Movimientos!$R$2:$R$1998,0)),"-")</f>
        <v>-</v>
      </c>
      <c r="G784" s="2" t="str">
        <f>IFERROR(INDEX(Movimientos!$L$2:$L$1998,MATCH(A784&amp;"ENTRADA",Movimientos!$R$2:$R$1998,0)),"-")</f>
        <v>-</v>
      </c>
      <c r="H784" s="17" t="str">
        <f>IFERROR(IF(INDEX(Movimientos!$M$2:$M$1998,MATCH(A784&amp;"ENTRADA",Movimientos!$R$2:$R$1998,0))=0,"S/D",INDEX(Movimientos!$M$2:$M$1998,MATCH(A784&amp;"ENTRADA",Movimientos!$R$2:$R$1998,0))),"S/D")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 ht="14.25">
      <c r="A785" s="16" t="s">
        <v>2950</v>
      </c>
      <c r="B785" s="2" t="str">
        <f>IFERROR(INDEX(Movimientos!$C$2:$C$1998,MATCH(A785&amp;"ENTRADA",Movimientos!$R$2:$R$1998,0)),"-")</f>
        <v>-</v>
      </c>
      <c r="C785" s="2" t="str">
        <f>IFERROR(INDEX(Movimientos!$D$2:$D$1998,MATCH(A785&amp;"ENTRADA",Movimientos!$R$2:$R$1998,0)),"-")</f>
        <v>-</v>
      </c>
      <c r="D785" s="2" t="str">
        <f>IFERROR(INDEX(Movimientos!$E$2:$E$1998,MATCH(A785&amp;"ENTRADA",Movimientos!$R$2:$R$1998,0)),"-")</f>
        <v>-</v>
      </c>
      <c r="E785" s="2" t="str">
        <f>IFERROR(INDEX(Movimientos!$F$2:$F$1998,MATCH(A785&amp;"ENTRADA",Movimientos!$R$2:$R$1998,0)),"-")</f>
        <v>-</v>
      </c>
      <c r="F785" s="2" t="str">
        <f>IFERROR(INDEX(Movimientos!$G$2:$G$1998,MATCH(A785&amp;"ENTRADA",Movimientos!$R$2:$R$1998,0)),"-")</f>
        <v>-</v>
      </c>
      <c r="G785" s="2" t="str">
        <f>IFERROR(INDEX(Movimientos!$L$2:$L$1998,MATCH(A785&amp;"ENTRADA",Movimientos!$R$2:$R$1998,0)),"-")</f>
        <v>-</v>
      </c>
      <c r="H785" s="17" t="str">
        <f>IFERROR(IF(INDEX(Movimientos!$M$2:$M$1998,MATCH(A785&amp;"ENTRADA",Movimientos!$R$2:$R$1998,0))=0,"S/D",INDEX(Movimientos!$M$2:$M$1998,MATCH(A785&amp;"ENTRADA",Movimientos!$R$2:$R$1998,0))),"S/D")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 ht="14.25">
      <c r="A786" s="16" t="s">
        <v>2951</v>
      </c>
      <c r="B786" s="2" t="str">
        <f>IFERROR(INDEX(Movimientos!$C$2:$C$1998,MATCH(A786&amp;"ENTRADA",Movimientos!$R$2:$R$1998,0)),"-")</f>
        <v>-</v>
      </c>
      <c r="C786" s="2" t="str">
        <f>IFERROR(INDEX(Movimientos!$D$2:$D$1998,MATCH(A786&amp;"ENTRADA",Movimientos!$R$2:$R$1998,0)),"-")</f>
        <v>-</v>
      </c>
      <c r="D786" s="2" t="str">
        <f>IFERROR(INDEX(Movimientos!$E$2:$E$1998,MATCH(A786&amp;"ENTRADA",Movimientos!$R$2:$R$1998,0)),"-")</f>
        <v>-</v>
      </c>
      <c r="E786" s="2" t="str">
        <f>IFERROR(INDEX(Movimientos!$F$2:$F$1998,MATCH(A786&amp;"ENTRADA",Movimientos!$R$2:$R$1998,0)),"-")</f>
        <v>-</v>
      </c>
      <c r="F786" s="2" t="str">
        <f>IFERROR(INDEX(Movimientos!$G$2:$G$1998,MATCH(A786&amp;"ENTRADA",Movimientos!$R$2:$R$1998,0)),"-")</f>
        <v>-</v>
      </c>
      <c r="G786" s="2" t="str">
        <f>IFERROR(INDEX(Movimientos!$L$2:$L$1998,MATCH(A786&amp;"ENTRADA",Movimientos!$R$2:$R$1998,0)),"-")</f>
        <v>-</v>
      </c>
      <c r="H786" s="17" t="str">
        <f>IFERROR(IF(INDEX(Movimientos!$M$2:$M$1998,MATCH(A786&amp;"ENTRADA",Movimientos!$R$2:$R$1998,0))=0,"S/D",INDEX(Movimientos!$M$2:$M$1998,MATCH(A786&amp;"ENTRADA",Movimientos!$R$2:$R$1998,0))),"S/D")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 ht="14.25">
      <c r="A787" s="16" t="s">
        <v>2952</v>
      </c>
      <c r="B787" s="2" t="str">
        <f>IFERROR(INDEX(Movimientos!$C$2:$C$1998,MATCH(A787&amp;"ENTRADA",Movimientos!$R$2:$R$1998,0)),"-")</f>
        <v>-</v>
      </c>
      <c r="C787" s="2" t="str">
        <f>IFERROR(INDEX(Movimientos!$D$2:$D$1998,MATCH(A787&amp;"ENTRADA",Movimientos!$R$2:$R$1998,0)),"-")</f>
        <v>-</v>
      </c>
      <c r="D787" s="2" t="str">
        <f>IFERROR(INDEX(Movimientos!$E$2:$E$1998,MATCH(A787&amp;"ENTRADA",Movimientos!$R$2:$R$1998,0)),"-")</f>
        <v>-</v>
      </c>
      <c r="E787" s="2" t="str">
        <f>IFERROR(INDEX(Movimientos!$F$2:$F$1998,MATCH(A787&amp;"ENTRADA",Movimientos!$R$2:$R$1998,0)),"-")</f>
        <v>-</v>
      </c>
      <c r="F787" s="2" t="str">
        <f>IFERROR(INDEX(Movimientos!$G$2:$G$1998,MATCH(A787&amp;"ENTRADA",Movimientos!$R$2:$R$1998,0)),"-")</f>
        <v>-</v>
      </c>
      <c r="G787" s="2" t="str">
        <f>IFERROR(INDEX(Movimientos!$L$2:$L$1998,MATCH(A787&amp;"ENTRADA",Movimientos!$R$2:$R$1998,0)),"-")</f>
        <v>-</v>
      </c>
      <c r="H787" s="17" t="str">
        <f>IFERROR(IF(INDEX(Movimientos!$M$2:$M$1998,MATCH(A787&amp;"ENTRADA",Movimientos!$R$2:$R$1998,0))=0,"S/D",INDEX(Movimientos!$M$2:$M$1998,MATCH(A787&amp;"ENTRADA",Movimientos!$R$2:$R$1998,0))),"S/D")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 ht="14.25">
      <c r="A788" s="16" t="s">
        <v>2953</v>
      </c>
      <c r="B788" s="2" t="str">
        <f>IFERROR(INDEX(Movimientos!$C$2:$C$1998,MATCH(A788&amp;"ENTRADA",Movimientos!$R$2:$R$1998,0)),"-")</f>
        <v>-</v>
      </c>
      <c r="C788" s="2" t="str">
        <f>IFERROR(INDEX(Movimientos!$D$2:$D$1998,MATCH(A788&amp;"ENTRADA",Movimientos!$R$2:$R$1998,0)),"-")</f>
        <v>-</v>
      </c>
      <c r="D788" s="2" t="str">
        <f>IFERROR(INDEX(Movimientos!$E$2:$E$1998,MATCH(A788&amp;"ENTRADA",Movimientos!$R$2:$R$1998,0)),"-")</f>
        <v>-</v>
      </c>
      <c r="E788" s="2" t="str">
        <f>IFERROR(INDEX(Movimientos!$F$2:$F$1998,MATCH(A788&amp;"ENTRADA",Movimientos!$R$2:$R$1998,0)),"-")</f>
        <v>-</v>
      </c>
      <c r="F788" s="2" t="str">
        <f>IFERROR(INDEX(Movimientos!$G$2:$G$1998,MATCH(A788&amp;"ENTRADA",Movimientos!$R$2:$R$1998,0)),"-")</f>
        <v>-</v>
      </c>
      <c r="G788" s="2" t="str">
        <f>IFERROR(INDEX(Movimientos!$L$2:$L$1998,MATCH(A788&amp;"ENTRADA",Movimientos!$R$2:$R$1998,0)),"-")</f>
        <v>-</v>
      </c>
      <c r="H788" s="17" t="str">
        <f>IFERROR(IF(INDEX(Movimientos!$M$2:$M$1998,MATCH(A788&amp;"ENTRADA",Movimientos!$R$2:$R$1998,0))=0,"S/D",INDEX(Movimientos!$M$2:$M$1998,MATCH(A788&amp;"ENTRADA",Movimientos!$R$2:$R$1998,0))),"S/D")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 ht="14.25">
      <c r="A789" s="16" t="s">
        <v>2954</v>
      </c>
      <c r="B789" s="2" t="str">
        <f>IFERROR(INDEX(Movimientos!$C$2:$C$1998,MATCH(A789&amp;"ENTRADA",Movimientos!$R$2:$R$1998,0)),"-")</f>
        <v>-</v>
      </c>
      <c r="C789" s="2" t="str">
        <f>IFERROR(INDEX(Movimientos!$D$2:$D$1998,MATCH(A789&amp;"ENTRADA",Movimientos!$R$2:$R$1998,0)),"-")</f>
        <v>-</v>
      </c>
      <c r="D789" s="2" t="str">
        <f>IFERROR(INDEX(Movimientos!$E$2:$E$1998,MATCH(A789&amp;"ENTRADA",Movimientos!$R$2:$R$1998,0)),"-")</f>
        <v>-</v>
      </c>
      <c r="E789" s="2" t="str">
        <f>IFERROR(INDEX(Movimientos!$F$2:$F$1998,MATCH(A789&amp;"ENTRADA",Movimientos!$R$2:$R$1998,0)),"-")</f>
        <v>-</v>
      </c>
      <c r="F789" s="2" t="str">
        <f>IFERROR(INDEX(Movimientos!$G$2:$G$1998,MATCH(A789&amp;"ENTRADA",Movimientos!$R$2:$R$1998,0)),"-")</f>
        <v>-</v>
      </c>
      <c r="G789" s="2" t="str">
        <f>IFERROR(INDEX(Movimientos!$L$2:$L$1998,MATCH(A789&amp;"ENTRADA",Movimientos!$R$2:$R$1998,0)),"-")</f>
        <v>-</v>
      </c>
      <c r="H789" s="17" t="str">
        <f>IFERROR(IF(INDEX(Movimientos!$M$2:$M$1998,MATCH(A789&amp;"ENTRADA",Movimientos!$R$2:$R$1998,0))=0,"S/D",INDEX(Movimientos!$M$2:$M$1998,MATCH(A789&amp;"ENTRADA",Movimientos!$R$2:$R$1998,0))),"S/D")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 ht="14.25">
      <c r="A790" s="16" t="s">
        <v>2955</v>
      </c>
      <c r="B790" s="2" t="str">
        <f>IFERROR(INDEX(Movimientos!$C$2:$C$1998,MATCH(A790&amp;"ENTRADA",Movimientos!$R$2:$R$1998,0)),"-")</f>
        <v>-</v>
      </c>
      <c r="C790" s="2" t="str">
        <f>IFERROR(INDEX(Movimientos!$D$2:$D$1998,MATCH(A790&amp;"ENTRADA",Movimientos!$R$2:$R$1998,0)),"-")</f>
        <v>-</v>
      </c>
      <c r="D790" s="2" t="str">
        <f>IFERROR(INDEX(Movimientos!$E$2:$E$1998,MATCH(A790&amp;"ENTRADA",Movimientos!$R$2:$R$1998,0)),"-")</f>
        <v>-</v>
      </c>
      <c r="E790" s="2" t="str">
        <f>IFERROR(INDEX(Movimientos!$F$2:$F$1998,MATCH(A790&amp;"ENTRADA",Movimientos!$R$2:$R$1998,0)),"-")</f>
        <v>-</v>
      </c>
      <c r="F790" s="2" t="str">
        <f>IFERROR(INDEX(Movimientos!$G$2:$G$1998,MATCH(A790&amp;"ENTRADA",Movimientos!$R$2:$R$1998,0)),"-")</f>
        <v>-</v>
      </c>
      <c r="G790" s="2" t="str">
        <f>IFERROR(INDEX(Movimientos!$L$2:$L$1998,MATCH(A790&amp;"ENTRADA",Movimientos!$R$2:$R$1998,0)),"-")</f>
        <v>-</v>
      </c>
      <c r="H790" s="17" t="str">
        <f>IFERROR(IF(INDEX(Movimientos!$M$2:$M$1998,MATCH(A790&amp;"ENTRADA",Movimientos!$R$2:$R$1998,0))=0,"S/D",INDEX(Movimientos!$M$2:$M$1998,MATCH(A790&amp;"ENTRADA",Movimientos!$R$2:$R$1998,0))),"S/D")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 ht="14.25">
      <c r="A791" s="16" t="s">
        <v>2956</v>
      </c>
      <c r="B791" s="2" t="str">
        <f>IFERROR(INDEX(Movimientos!$C$2:$C$1998,MATCH(A791&amp;"ENTRADA",Movimientos!$R$2:$R$1998,0)),"-")</f>
        <v>-</v>
      </c>
      <c r="C791" s="2" t="str">
        <f>IFERROR(INDEX(Movimientos!$D$2:$D$1998,MATCH(A791&amp;"ENTRADA",Movimientos!$R$2:$R$1998,0)),"-")</f>
        <v>-</v>
      </c>
      <c r="D791" s="2" t="str">
        <f>IFERROR(INDEX(Movimientos!$E$2:$E$1998,MATCH(A791&amp;"ENTRADA",Movimientos!$R$2:$R$1998,0)),"-")</f>
        <v>-</v>
      </c>
      <c r="E791" s="2" t="str">
        <f>IFERROR(INDEX(Movimientos!$F$2:$F$1998,MATCH(A791&amp;"ENTRADA",Movimientos!$R$2:$R$1998,0)),"-")</f>
        <v>-</v>
      </c>
      <c r="F791" s="2" t="str">
        <f>IFERROR(INDEX(Movimientos!$G$2:$G$1998,MATCH(A791&amp;"ENTRADA",Movimientos!$R$2:$R$1998,0)),"-")</f>
        <v>-</v>
      </c>
      <c r="G791" s="2" t="str">
        <f>IFERROR(INDEX(Movimientos!$L$2:$L$1998,MATCH(A791&amp;"ENTRADA",Movimientos!$R$2:$R$1998,0)),"-")</f>
        <v>-</v>
      </c>
      <c r="H791" s="17" t="str">
        <f>IFERROR(IF(INDEX(Movimientos!$M$2:$M$1998,MATCH(A791&amp;"ENTRADA",Movimientos!$R$2:$R$1998,0))=0,"S/D",INDEX(Movimientos!$M$2:$M$1998,MATCH(A791&amp;"ENTRADA",Movimientos!$R$2:$R$1998,0))),"S/D")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 ht="14.25">
      <c r="A792" s="16" t="s">
        <v>2957</v>
      </c>
      <c r="B792" s="2" t="str">
        <f>IFERROR(INDEX(Movimientos!$C$2:$C$1998,MATCH(A792&amp;"ENTRADA",Movimientos!$R$2:$R$1998,0)),"-")</f>
        <v>-</v>
      </c>
      <c r="C792" s="2" t="str">
        <f>IFERROR(INDEX(Movimientos!$D$2:$D$1998,MATCH(A792&amp;"ENTRADA",Movimientos!$R$2:$R$1998,0)),"-")</f>
        <v>-</v>
      </c>
      <c r="D792" s="2" t="str">
        <f>IFERROR(INDEX(Movimientos!$E$2:$E$1998,MATCH(A792&amp;"ENTRADA",Movimientos!$R$2:$R$1998,0)),"-")</f>
        <v>-</v>
      </c>
      <c r="E792" s="2" t="str">
        <f>IFERROR(INDEX(Movimientos!$F$2:$F$1998,MATCH(A792&amp;"ENTRADA",Movimientos!$R$2:$R$1998,0)),"-")</f>
        <v>-</v>
      </c>
      <c r="F792" s="2" t="str">
        <f>IFERROR(INDEX(Movimientos!$G$2:$G$1998,MATCH(A792&amp;"ENTRADA",Movimientos!$R$2:$R$1998,0)),"-")</f>
        <v>-</v>
      </c>
      <c r="G792" s="2" t="str">
        <f>IFERROR(INDEX(Movimientos!$L$2:$L$1998,MATCH(A792&amp;"ENTRADA",Movimientos!$R$2:$R$1998,0)),"-")</f>
        <v>-</v>
      </c>
      <c r="H792" s="17" t="str">
        <f>IFERROR(IF(INDEX(Movimientos!$M$2:$M$1998,MATCH(A792&amp;"ENTRADA",Movimientos!$R$2:$R$1998,0))=0,"S/D",INDEX(Movimientos!$M$2:$M$1998,MATCH(A792&amp;"ENTRADA",Movimientos!$R$2:$R$1998,0))),"S/D")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 ht="14.25">
      <c r="A793" s="16" t="s">
        <v>2958</v>
      </c>
      <c r="B793" s="2" t="str">
        <f>IFERROR(INDEX(Movimientos!$C$2:$C$1998,MATCH(A793&amp;"ENTRADA",Movimientos!$R$2:$R$1998,0)),"-")</f>
        <v>-</v>
      </c>
      <c r="C793" s="2" t="str">
        <f>IFERROR(INDEX(Movimientos!$D$2:$D$1998,MATCH(A793&amp;"ENTRADA",Movimientos!$R$2:$R$1998,0)),"-")</f>
        <v>-</v>
      </c>
      <c r="D793" s="2" t="str">
        <f>IFERROR(INDEX(Movimientos!$E$2:$E$1998,MATCH(A793&amp;"ENTRADA",Movimientos!$R$2:$R$1998,0)),"-")</f>
        <v>-</v>
      </c>
      <c r="E793" s="2" t="str">
        <f>IFERROR(INDEX(Movimientos!$F$2:$F$1998,MATCH(A793&amp;"ENTRADA",Movimientos!$R$2:$R$1998,0)),"-")</f>
        <v>-</v>
      </c>
      <c r="F793" s="2" t="str">
        <f>IFERROR(INDEX(Movimientos!$G$2:$G$1998,MATCH(A793&amp;"ENTRADA",Movimientos!$R$2:$R$1998,0)),"-")</f>
        <v>-</v>
      </c>
      <c r="G793" s="2" t="str">
        <f>IFERROR(INDEX(Movimientos!$L$2:$L$1998,MATCH(A793&amp;"ENTRADA",Movimientos!$R$2:$R$1998,0)),"-")</f>
        <v>-</v>
      </c>
      <c r="H793" s="17" t="str">
        <f>IFERROR(IF(INDEX(Movimientos!$M$2:$M$1998,MATCH(A793&amp;"ENTRADA",Movimientos!$R$2:$R$1998,0))=0,"S/D",INDEX(Movimientos!$M$2:$M$1998,MATCH(A793&amp;"ENTRADA",Movimientos!$R$2:$R$1998,0))),"S/D")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 ht="14.25">
      <c r="A794" s="16" t="s">
        <v>2959</v>
      </c>
      <c r="B794" s="2" t="str">
        <f>IFERROR(INDEX(Movimientos!$C$2:$C$1998,MATCH(A794&amp;"ENTRADA",Movimientos!$R$2:$R$1998,0)),"-")</f>
        <v>-</v>
      </c>
      <c r="C794" s="2" t="str">
        <f>IFERROR(INDEX(Movimientos!$D$2:$D$1998,MATCH(A794&amp;"ENTRADA",Movimientos!$R$2:$R$1998,0)),"-")</f>
        <v>-</v>
      </c>
      <c r="D794" s="2" t="str">
        <f>IFERROR(INDEX(Movimientos!$E$2:$E$1998,MATCH(A794&amp;"ENTRADA",Movimientos!$R$2:$R$1998,0)),"-")</f>
        <v>-</v>
      </c>
      <c r="E794" s="2" t="str">
        <f>IFERROR(INDEX(Movimientos!$F$2:$F$1998,MATCH(A794&amp;"ENTRADA",Movimientos!$R$2:$R$1998,0)),"-")</f>
        <v>-</v>
      </c>
      <c r="F794" s="2" t="str">
        <f>IFERROR(INDEX(Movimientos!$G$2:$G$1998,MATCH(A794&amp;"ENTRADA",Movimientos!$R$2:$R$1998,0)),"-")</f>
        <v>-</v>
      </c>
      <c r="G794" s="2" t="str">
        <f>IFERROR(INDEX(Movimientos!$L$2:$L$1998,MATCH(A794&amp;"ENTRADA",Movimientos!$R$2:$R$1998,0)),"-")</f>
        <v>-</v>
      </c>
      <c r="H794" s="17" t="str">
        <f>IFERROR(IF(INDEX(Movimientos!$M$2:$M$1998,MATCH(A794&amp;"ENTRADA",Movimientos!$R$2:$R$1998,0))=0,"S/D",INDEX(Movimientos!$M$2:$M$1998,MATCH(A794&amp;"ENTRADA",Movimientos!$R$2:$R$1998,0))),"S/D")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 ht="14.25">
      <c r="A795" s="16" t="s">
        <v>2960</v>
      </c>
      <c r="B795" s="2" t="str">
        <f>IFERROR(INDEX(Movimientos!$C$2:$C$1998,MATCH(A795&amp;"ENTRADA",Movimientos!$R$2:$R$1998,0)),"-")</f>
        <v>-</v>
      </c>
      <c r="C795" s="2" t="str">
        <f>IFERROR(INDEX(Movimientos!$D$2:$D$1998,MATCH(A795&amp;"ENTRADA",Movimientos!$R$2:$R$1998,0)),"-")</f>
        <v>-</v>
      </c>
      <c r="D795" s="2" t="str">
        <f>IFERROR(INDEX(Movimientos!$E$2:$E$1998,MATCH(A795&amp;"ENTRADA",Movimientos!$R$2:$R$1998,0)),"-")</f>
        <v>-</v>
      </c>
      <c r="E795" s="2" t="str">
        <f>IFERROR(INDEX(Movimientos!$F$2:$F$1998,MATCH(A795&amp;"ENTRADA",Movimientos!$R$2:$R$1998,0)),"-")</f>
        <v>-</v>
      </c>
      <c r="F795" s="2" t="str">
        <f>IFERROR(INDEX(Movimientos!$G$2:$G$1998,MATCH(A795&amp;"ENTRADA",Movimientos!$R$2:$R$1998,0)),"-")</f>
        <v>-</v>
      </c>
      <c r="G795" s="2" t="str">
        <f>IFERROR(INDEX(Movimientos!$L$2:$L$1998,MATCH(A795&amp;"ENTRADA",Movimientos!$R$2:$R$1998,0)),"-")</f>
        <v>-</v>
      </c>
      <c r="H795" s="17" t="str">
        <f>IFERROR(IF(INDEX(Movimientos!$M$2:$M$1998,MATCH(A795&amp;"ENTRADA",Movimientos!$R$2:$R$1998,0))=0,"S/D",INDEX(Movimientos!$M$2:$M$1998,MATCH(A795&amp;"ENTRADA",Movimientos!$R$2:$R$1998,0))),"S/D")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 ht="14.25">
      <c r="A796" s="16" t="s">
        <v>2961</v>
      </c>
      <c r="B796" s="2" t="str">
        <f>IFERROR(INDEX(Movimientos!$C$2:$C$1998,MATCH(A796&amp;"ENTRADA",Movimientos!$R$2:$R$1998,0)),"-")</f>
        <v>-</v>
      </c>
      <c r="C796" s="2" t="str">
        <f>IFERROR(INDEX(Movimientos!$D$2:$D$1998,MATCH(A796&amp;"ENTRADA",Movimientos!$R$2:$R$1998,0)),"-")</f>
        <v>-</v>
      </c>
      <c r="D796" s="2" t="str">
        <f>IFERROR(INDEX(Movimientos!$E$2:$E$1998,MATCH(A796&amp;"ENTRADA",Movimientos!$R$2:$R$1998,0)),"-")</f>
        <v>-</v>
      </c>
      <c r="E796" s="2" t="str">
        <f>IFERROR(INDEX(Movimientos!$F$2:$F$1998,MATCH(A796&amp;"ENTRADA",Movimientos!$R$2:$R$1998,0)),"-")</f>
        <v>-</v>
      </c>
      <c r="F796" s="2" t="str">
        <f>IFERROR(INDEX(Movimientos!$G$2:$G$1998,MATCH(A796&amp;"ENTRADA",Movimientos!$R$2:$R$1998,0)),"-")</f>
        <v>-</v>
      </c>
      <c r="G796" s="2" t="str">
        <f>IFERROR(INDEX(Movimientos!$L$2:$L$1998,MATCH(A796&amp;"ENTRADA",Movimientos!$R$2:$R$1998,0)),"-")</f>
        <v>-</v>
      </c>
      <c r="H796" s="17" t="str">
        <f>IFERROR(IF(INDEX(Movimientos!$M$2:$M$1998,MATCH(A796&amp;"ENTRADA",Movimientos!$R$2:$R$1998,0))=0,"S/D",INDEX(Movimientos!$M$2:$M$1998,MATCH(A796&amp;"ENTRADA",Movimientos!$R$2:$R$1998,0))),"S/D")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 ht="14.25">
      <c r="A797" s="16" t="s">
        <v>2962</v>
      </c>
      <c r="B797" s="2" t="str">
        <f>IFERROR(INDEX(Movimientos!$C$2:$C$1998,MATCH(A797&amp;"ENTRADA",Movimientos!$R$2:$R$1998,0)),"-")</f>
        <v>-</v>
      </c>
      <c r="C797" s="2" t="str">
        <f>IFERROR(INDEX(Movimientos!$D$2:$D$1998,MATCH(A797&amp;"ENTRADA",Movimientos!$R$2:$R$1998,0)),"-")</f>
        <v>-</v>
      </c>
      <c r="D797" s="2" t="str">
        <f>IFERROR(INDEX(Movimientos!$E$2:$E$1998,MATCH(A797&amp;"ENTRADA",Movimientos!$R$2:$R$1998,0)),"-")</f>
        <v>-</v>
      </c>
      <c r="E797" s="2" t="str">
        <f>IFERROR(INDEX(Movimientos!$F$2:$F$1998,MATCH(A797&amp;"ENTRADA",Movimientos!$R$2:$R$1998,0)),"-")</f>
        <v>-</v>
      </c>
      <c r="F797" s="2" t="str">
        <f>IFERROR(INDEX(Movimientos!$G$2:$G$1998,MATCH(A797&amp;"ENTRADA",Movimientos!$R$2:$R$1998,0)),"-")</f>
        <v>-</v>
      </c>
      <c r="G797" s="2" t="str">
        <f>IFERROR(INDEX(Movimientos!$L$2:$L$1998,MATCH(A797&amp;"ENTRADA",Movimientos!$R$2:$R$1998,0)),"-")</f>
        <v>-</v>
      </c>
      <c r="H797" s="17" t="str">
        <f>IFERROR(IF(INDEX(Movimientos!$M$2:$M$1998,MATCH(A797&amp;"ENTRADA",Movimientos!$R$2:$R$1998,0))=0,"S/D",INDEX(Movimientos!$M$2:$M$1998,MATCH(A797&amp;"ENTRADA",Movimientos!$R$2:$R$1998,0))),"S/D")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 ht="14.25">
      <c r="A798" s="16" t="s">
        <v>2963</v>
      </c>
      <c r="B798" s="2" t="str">
        <f>IFERROR(INDEX(Movimientos!$C$2:$C$1998,MATCH(A798&amp;"ENTRADA",Movimientos!$R$2:$R$1998,0)),"-")</f>
        <v>-</v>
      </c>
      <c r="C798" s="2" t="str">
        <f>IFERROR(INDEX(Movimientos!$D$2:$D$1998,MATCH(A798&amp;"ENTRADA",Movimientos!$R$2:$R$1998,0)),"-")</f>
        <v>-</v>
      </c>
      <c r="D798" s="2" t="str">
        <f>IFERROR(INDEX(Movimientos!$E$2:$E$1998,MATCH(A798&amp;"ENTRADA",Movimientos!$R$2:$R$1998,0)),"-")</f>
        <v>-</v>
      </c>
      <c r="E798" s="2" t="str">
        <f>IFERROR(INDEX(Movimientos!$F$2:$F$1998,MATCH(A798&amp;"ENTRADA",Movimientos!$R$2:$R$1998,0)),"-")</f>
        <v>-</v>
      </c>
      <c r="F798" s="2" t="str">
        <f>IFERROR(INDEX(Movimientos!$G$2:$G$1998,MATCH(A798&amp;"ENTRADA",Movimientos!$R$2:$R$1998,0)),"-")</f>
        <v>-</v>
      </c>
      <c r="G798" s="2" t="str">
        <f>IFERROR(INDEX(Movimientos!$L$2:$L$1998,MATCH(A798&amp;"ENTRADA",Movimientos!$R$2:$R$1998,0)),"-")</f>
        <v>-</v>
      </c>
      <c r="H798" s="17" t="str">
        <f>IFERROR(IF(INDEX(Movimientos!$M$2:$M$1998,MATCH(A798&amp;"ENTRADA",Movimientos!$R$2:$R$1998,0))=0,"S/D",INDEX(Movimientos!$M$2:$M$1998,MATCH(A798&amp;"ENTRADA",Movimientos!$R$2:$R$1998,0))),"S/D")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 ht="14.25">
      <c r="A799" s="16" t="s">
        <v>2964</v>
      </c>
      <c r="B799" s="2" t="str">
        <f>IFERROR(INDEX(Movimientos!$C$2:$C$1998,MATCH(A799&amp;"ENTRADA",Movimientos!$R$2:$R$1998,0)),"-")</f>
        <v>-</v>
      </c>
      <c r="C799" s="2" t="str">
        <f>IFERROR(INDEX(Movimientos!$D$2:$D$1998,MATCH(A799&amp;"ENTRADA",Movimientos!$R$2:$R$1998,0)),"-")</f>
        <v>-</v>
      </c>
      <c r="D799" s="2" t="str">
        <f>IFERROR(INDEX(Movimientos!$E$2:$E$1998,MATCH(A799&amp;"ENTRADA",Movimientos!$R$2:$R$1998,0)),"-")</f>
        <v>-</v>
      </c>
      <c r="E799" s="2" t="str">
        <f>IFERROR(INDEX(Movimientos!$F$2:$F$1998,MATCH(A799&amp;"ENTRADA",Movimientos!$R$2:$R$1998,0)),"-")</f>
        <v>-</v>
      </c>
      <c r="F799" s="2" t="str">
        <f>IFERROR(INDEX(Movimientos!$G$2:$G$1998,MATCH(A799&amp;"ENTRADA",Movimientos!$R$2:$R$1998,0)),"-")</f>
        <v>-</v>
      </c>
      <c r="G799" s="2" t="str">
        <f>IFERROR(INDEX(Movimientos!$L$2:$L$1998,MATCH(A799&amp;"ENTRADA",Movimientos!$R$2:$R$1998,0)),"-")</f>
        <v>-</v>
      </c>
      <c r="H799" s="17" t="str">
        <f>IFERROR(IF(INDEX(Movimientos!$M$2:$M$1998,MATCH(A799&amp;"ENTRADA",Movimientos!$R$2:$R$1998,0))=0,"S/D",INDEX(Movimientos!$M$2:$M$1998,MATCH(A799&amp;"ENTRADA",Movimientos!$R$2:$R$1998,0))),"S/D")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 ht="14.25">
      <c r="A800" s="16" t="s">
        <v>2965</v>
      </c>
      <c r="B800" s="2" t="str">
        <f>IFERROR(INDEX(Movimientos!$C$2:$C$1998,MATCH(A800&amp;"ENTRADA",Movimientos!$R$2:$R$1998,0)),"-")</f>
        <v>-</v>
      </c>
      <c r="C800" s="2" t="str">
        <f>IFERROR(INDEX(Movimientos!$D$2:$D$1998,MATCH(A800&amp;"ENTRADA",Movimientos!$R$2:$R$1998,0)),"-")</f>
        <v>-</v>
      </c>
      <c r="D800" s="2" t="str">
        <f>IFERROR(INDEX(Movimientos!$E$2:$E$1998,MATCH(A800&amp;"ENTRADA",Movimientos!$R$2:$R$1998,0)),"-")</f>
        <v>-</v>
      </c>
      <c r="E800" s="2" t="str">
        <f>IFERROR(INDEX(Movimientos!$F$2:$F$1998,MATCH(A800&amp;"ENTRADA",Movimientos!$R$2:$R$1998,0)),"-")</f>
        <v>-</v>
      </c>
      <c r="F800" s="2" t="str">
        <f>IFERROR(INDEX(Movimientos!$G$2:$G$1998,MATCH(A800&amp;"ENTRADA",Movimientos!$R$2:$R$1998,0)),"-")</f>
        <v>-</v>
      </c>
      <c r="G800" s="2" t="str">
        <f>IFERROR(INDEX(Movimientos!$L$2:$L$1998,MATCH(A800&amp;"ENTRADA",Movimientos!$R$2:$R$1998,0)),"-")</f>
        <v>-</v>
      </c>
      <c r="H800" s="17" t="str">
        <f>IFERROR(IF(INDEX(Movimientos!$M$2:$M$1998,MATCH(A800&amp;"ENTRADA",Movimientos!$R$2:$R$1998,0))=0,"S/D",INDEX(Movimientos!$M$2:$M$1998,MATCH(A800&amp;"ENTRADA",Movimientos!$R$2:$R$1998,0))),"S/D")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 ht="14.25">
      <c r="A801" s="16" t="s">
        <v>2966</v>
      </c>
      <c r="B801" s="2" t="str">
        <f>IFERROR(INDEX(Movimientos!$C$2:$C$1998,MATCH(A801&amp;"ENTRADA",Movimientos!$R$2:$R$1998,0)),"-")</f>
        <v>-</v>
      </c>
      <c r="C801" s="2" t="str">
        <f>IFERROR(INDEX(Movimientos!$D$2:$D$1998,MATCH(A801&amp;"ENTRADA",Movimientos!$R$2:$R$1998,0)),"-")</f>
        <v>-</v>
      </c>
      <c r="D801" s="2" t="str">
        <f>IFERROR(INDEX(Movimientos!$E$2:$E$1998,MATCH(A801&amp;"ENTRADA",Movimientos!$R$2:$R$1998,0)),"-")</f>
        <v>-</v>
      </c>
      <c r="E801" s="2" t="str">
        <f>IFERROR(INDEX(Movimientos!$F$2:$F$1998,MATCH(A801&amp;"ENTRADA",Movimientos!$R$2:$R$1998,0)),"-")</f>
        <v>-</v>
      </c>
      <c r="F801" s="2" t="str">
        <f>IFERROR(INDEX(Movimientos!$G$2:$G$1998,MATCH(A801&amp;"ENTRADA",Movimientos!$R$2:$R$1998,0)),"-")</f>
        <v>-</v>
      </c>
      <c r="G801" s="2" t="str">
        <f>IFERROR(INDEX(Movimientos!$L$2:$L$1998,MATCH(A801&amp;"ENTRADA",Movimientos!$R$2:$R$1998,0)),"-")</f>
        <v>-</v>
      </c>
      <c r="H801" s="17" t="str">
        <f>IFERROR(IF(INDEX(Movimientos!$M$2:$M$1998,MATCH(A801&amp;"ENTRADA",Movimientos!$R$2:$R$1998,0))=0,"S/D",INDEX(Movimientos!$M$2:$M$1998,MATCH(A801&amp;"ENTRADA",Movimientos!$R$2:$R$1998,0))),"S/D")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 ht="14.25">
      <c r="A802" s="16" t="s">
        <v>2967</v>
      </c>
      <c r="B802" s="2" t="str">
        <f>IFERROR(INDEX(Movimientos!$C$2:$C$1998,MATCH(A802&amp;"ENTRADA",Movimientos!$R$2:$R$1998,0)),"-")</f>
        <v>-</v>
      </c>
      <c r="C802" s="2" t="str">
        <f>IFERROR(INDEX(Movimientos!$D$2:$D$1998,MATCH(A802&amp;"ENTRADA",Movimientos!$R$2:$R$1998,0)),"-")</f>
        <v>-</v>
      </c>
      <c r="D802" s="2" t="str">
        <f>IFERROR(INDEX(Movimientos!$E$2:$E$1998,MATCH(A802&amp;"ENTRADA",Movimientos!$R$2:$R$1998,0)),"-")</f>
        <v>-</v>
      </c>
      <c r="E802" s="2" t="str">
        <f>IFERROR(INDEX(Movimientos!$F$2:$F$1998,MATCH(A802&amp;"ENTRADA",Movimientos!$R$2:$R$1998,0)),"-")</f>
        <v>-</v>
      </c>
      <c r="F802" s="2" t="str">
        <f>IFERROR(INDEX(Movimientos!$G$2:$G$1998,MATCH(A802&amp;"ENTRADA",Movimientos!$R$2:$R$1998,0)),"-")</f>
        <v>-</v>
      </c>
      <c r="G802" s="2" t="str">
        <f>IFERROR(INDEX(Movimientos!$L$2:$L$1998,MATCH(A802&amp;"ENTRADA",Movimientos!$R$2:$R$1998,0)),"-")</f>
        <v>-</v>
      </c>
      <c r="H802" s="17" t="str">
        <f>IFERROR(IF(INDEX(Movimientos!$M$2:$M$1998,MATCH(A802&amp;"ENTRADA",Movimientos!$R$2:$R$1998,0))=0,"S/D",INDEX(Movimientos!$M$2:$M$1998,MATCH(A802&amp;"ENTRADA",Movimientos!$R$2:$R$1998,0))),"S/D")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 ht="14.25">
      <c r="A803" s="16" t="s">
        <v>2968</v>
      </c>
      <c r="B803" s="2" t="str">
        <f>IFERROR(INDEX(Movimientos!$C$2:$C$1998,MATCH(A803&amp;"ENTRADA",Movimientos!$R$2:$R$1998,0)),"-")</f>
        <v>-</v>
      </c>
      <c r="C803" s="2" t="str">
        <f>IFERROR(INDEX(Movimientos!$D$2:$D$1998,MATCH(A803&amp;"ENTRADA",Movimientos!$R$2:$R$1998,0)),"-")</f>
        <v>-</v>
      </c>
      <c r="D803" s="2" t="str">
        <f>IFERROR(INDEX(Movimientos!$E$2:$E$1998,MATCH(A803&amp;"ENTRADA",Movimientos!$R$2:$R$1998,0)),"-")</f>
        <v>-</v>
      </c>
      <c r="E803" s="2" t="str">
        <f>IFERROR(INDEX(Movimientos!$F$2:$F$1998,MATCH(A803&amp;"ENTRADA",Movimientos!$R$2:$R$1998,0)),"-")</f>
        <v>-</v>
      </c>
      <c r="F803" s="2" t="str">
        <f>IFERROR(INDEX(Movimientos!$G$2:$G$1998,MATCH(A803&amp;"ENTRADA",Movimientos!$R$2:$R$1998,0)),"-")</f>
        <v>-</v>
      </c>
      <c r="G803" s="2" t="str">
        <f>IFERROR(INDEX(Movimientos!$L$2:$L$1998,MATCH(A803&amp;"ENTRADA",Movimientos!$R$2:$R$1998,0)),"-")</f>
        <v>-</v>
      </c>
      <c r="H803" s="17" t="str">
        <f>IFERROR(IF(INDEX(Movimientos!$M$2:$M$1998,MATCH(A803&amp;"ENTRADA",Movimientos!$R$2:$R$1998,0))=0,"S/D",INDEX(Movimientos!$M$2:$M$1998,MATCH(A803&amp;"ENTRADA",Movimientos!$R$2:$R$1998,0))),"S/D")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 ht="14.25">
      <c r="A804" s="16" t="s">
        <v>2969</v>
      </c>
      <c r="B804" s="2" t="str">
        <f>IFERROR(INDEX(Movimientos!$C$2:$C$1998,MATCH(A804&amp;"ENTRADA",Movimientos!$R$2:$R$1998,0)),"-")</f>
        <v>-</v>
      </c>
      <c r="C804" s="2" t="str">
        <f>IFERROR(INDEX(Movimientos!$D$2:$D$1998,MATCH(A804&amp;"ENTRADA",Movimientos!$R$2:$R$1998,0)),"-")</f>
        <v>-</v>
      </c>
      <c r="D804" s="2" t="str">
        <f>IFERROR(INDEX(Movimientos!$E$2:$E$1998,MATCH(A804&amp;"ENTRADA",Movimientos!$R$2:$R$1998,0)),"-")</f>
        <v>-</v>
      </c>
      <c r="E804" s="2" t="str">
        <f>IFERROR(INDEX(Movimientos!$F$2:$F$1998,MATCH(A804&amp;"ENTRADA",Movimientos!$R$2:$R$1998,0)),"-")</f>
        <v>-</v>
      </c>
      <c r="F804" s="2" t="str">
        <f>IFERROR(INDEX(Movimientos!$G$2:$G$1998,MATCH(A804&amp;"ENTRADA",Movimientos!$R$2:$R$1998,0)),"-")</f>
        <v>-</v>
      </c>
      <c r="G804" s="2" t="str">
        <f>IFERROR(INDEX(Movimientos!$L$2:$L$1998,MATCH(A804&amp;"ENTRADA",Movimientos!$R$2:$R$1998,0)),"-")</f>
        <v>-</v>
      </c>
      <c r="H804" s="17" t="str">
        <f>IFERROR(IF(INDEX(Movimientos!$M$2:$M$1998,MATCH(A804&amp;"ENTRADA",Movimientos!$R$2:$R$1998,0))=0,"S/D",INDEX(Movimientos!$M$2:$M$1998,MATCH(A804&amp;"ENTRADA",Movimientos!$R$2:$R$1998,0))),"S/D")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 ht="14.25">
      <c r="A805" s="16" t="s">
        <v>2970</v>
      </c>
      <c r="B805" s="2" t="str">
        <f>IFERROR(INDEX(Movimientos!$C$2:$C$1998,MATCH(A805&amp;"ENTRADA",Movimientos!$R$2:$R$1998,0)),"-")</f>
        <v>-</v>
      </c>
      <c r="C805" s="2" t="str">
        <f>IFERROR(INDEX(Movimientos!$D$2:$D$1998,MATCH(A805&amp;"ENTRADA",Movimientos!$R$2:$R$1998,0)),"-")</f>
        <v>-</v>
      </c>
      <c r="D805" s="2" t="str">
        <f>IFERROR(INDEX(Movimientos!$E$2:$E$1998,MATCH(A805&amp;"ENTRADA",Movimientos!$R$2:$R$1998,0)),"-")</f>
        <v>-</v>
      </c>
      <c r="E805" s="2" t="str">
        <f>IFERROR(INDEX(Movimientos!$F$2:$F$1998,MATCH(A805&amp;"ENTRADA",Movimientos!$R$2:$R$1998,0)),"-")</f>
        <v>-</v>
      </c>
      <c r="F805" s="2" t="str">
        <f>IFERROR(INDEX(Movimientos!$G$2:$G$1998,MATCH(A805&amp;"ENTRADA",Movimientos!$R$2:$R$1998,0)),"-")</f>
        <v>-</v>
      </c>
      <c r="G805" s="2" t="str">
        <f>IFERROR(INDEX(Movimientos!$L$2:$L$1998,MATCH(A805&amp;"ENTRADA",Movimientos!$R$2:$R$1998,0)),"-")</f>
        <v>-</v>
      </c>
      <c r="H805" s="17" t="str">
        <f>IFERROR(IF(INDEX(Movimientos!$M$2:$M$1998,MATCH(A805&amp;"ENTRADA",Movimientos!$R$2:$R$1998,0))=0,"S/D",INDEX(Movimientos!$M$2:$M$1998,MATCH(A805&amp;"ENTRADA",Movimientos!$R$2:$R$1998,0))),"S/D")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 ht="14.25">
      <c r="A806" s="16" t="s">
        <v>2971</v>
      </c>
      <c r="B806" s="2" t="str">
        <f>IFERROR(INDEX(Movimientos!$C$2:$C$1998,MATCH(A806&amp;"ENTRADA",Movimientos!$R$2:$R$1998,0)),"-")</f>
        <v>-</v>
      </c>
      <c r="C806" s="2" t="str">
        <f>IFERROR(INDEX(Movimientos!$D$2:$D$1998,MATCH(A806&amp;"ENTRADA",Movimientos!$R$2:$R$1998,0)),"-")</f>
        <v>-</v>
      </c>
      <c r="D806" s="2" t="str">
        <f>IFERROR(INDEX(Movimientos!$E$2:$E$1998,MATCH(A806&amp;"ENTRADA",Movimientos!$R$2:$R$1998,0)),"-")</f>
        <v>-</v>
      </c>
      <c r="E806" s="2" t="str">
        <f>IFERROR(INDEX(Movimientos!$F$2:$F$1998,MATCH(A806&amp;"ENTRADA",Movimientos!$R$2:$R$1998,0)),"-")</f>
        <v>-</v>
      </c>
      <c r="F806" s="2" t="str">
        <f>IFERROR(INDEX(Movimientos!$G$2:$G$1998,MATCH(A806&amp;"ENTRADA",Movimientos!$R$2:$R$1998,0)),"-")</f>
        <v>-</v>
      </c>
      <c r="G806" s="2" t="str">
        <f>IFERROR(INDEX(Movimientos!$L$2:$L$1998,MATCH(A806&amp;"ENTRADA",Movimientos!$R$2:$R$1998,0)),"-")</f>
        <v>-</v>
      </c>
      <c r="H806" s="17" t="str">
        <f>IFERROR(IF(INDEX(Movimientos!$M$2:$M$1998,MATCH(A806&amp;"ENTRADA",Movimientos!$R$2:$R$1998,0))=0,"S/D",INDEX(Movimientos!$M$2:$M$1998,MATCH(A806&amp;"ENTRADA",Movimientos!$R$2:$R$1998,0))),"S/D")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 ht="14.25">
      <c r="A807" s="16" t="s">
        <v>2972</v>
      </c>
      <c r="B807" s="2" t="str">
        <f>IFERROR(INDEX(Movimientos!$C$2:$C$1998,MATCH(A807&amp;"ENTRADA",Movimientos!$R$2:$R$1998,0)),"-")</f>
        <v>-</v>
      </c>
      <c r="C807" s="2" t="str">
        <f>IFERROR(INDEX(Movimientos!$D$2:$D$1998,MATCH(A807&amp;"ENTRADA",Movimientos!$R$2:$R$1998,0)),"-")</f>
        <v>-</v>
      </c>
      <c r="D807" s="2" t="str">
        <f>IFERROR(INDEX(Movimientos!$E$2:$E$1998,MATCH(A807&amp;"ENTRADA",Movimientos!$R$2:$R$1998,0)),"-")</f>
        <v>-</v>
      </c>
      <c r="E807" s="2" t="str">
        <f>IFERROR(INDEX(Movimientos!$F$2:$F$1998,MATCH(A807&amp;"ENTRADA",Movimientos!$R$2:$R$1998,0)),"-")</f>
        <v>-</v>
      </c>
      <c r="F807" s="2" t="str">
        <f>IFERROR(INDEX(Movimientos!$G$2:$G$1998,MATCH(A807&amp;"ENTRADA",Movimientos!$R$2:$R$1998,0)),"-")</f>
        <v>-</v>
      </c>
      <c r="G807" s="2" t="str">
        <f>IFERROR(INDEX(Movimientos!$L$2:$L$1998,MATCH(A807&amp;"ENTRADA",Movimientos!$R$2:$R$1998,0)),"-")</f>
        <v>-</v>
      </c>
      <c r="H807" s="17" t="str">
        <f>IFERROR(IF(INDEX(Movimientos!$M$2:$M$1998,MATCH(A807&amp;"ENTRADA",Movimientos!$R$2:$R$1998,0))=0,"S/D",INDEX(Movimientos!$M$2:$M$1998,MATCH(A807&amp;"ENTRADA",Movimientos!$R$2:$R$1998,0))),"S/D")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 ht="14.25">
      <c r="A808" s="16" t="s">
        <v>2973</v>
      </c>
      <c r="B808" s="2" t="str">
        <f>IFERROR(INDEX(Movimientos!$C$2:$C$1998,MATCH(A808&amp;"ENTRADA",Movimientos!$R$2:$R$1998,0)),"-")</f>
        <v>-</v>
      </c>
      <c r="C808" s="2" t="str">
        <f>IFERROR(INDEX(Movimientos!$D$2:$D$1998,MATCH(A808&amp;"ENTRADA",Movimientos!$R$2:$R$1998,0)),"-")</f>
        <v>-</v>
      </c>
      <c r="D808" s="2" t="str">
        <f>IFERROR(INDEX(Movimientos!$E$2:$E$1998,MATCH(A808&amp;"ENTRADA",Movimientos!$R$2:$R$1998,0)),"-")</f>
        <v>-</v>
      </c>
      <c r="E808" s="2" t="str">
        <f>IFERROR(INDEX(Movimientos!$F$2:$F$1998,MATCH(A808&amp;"ENTRADA",Movimientos!$R$2:$R$1998,0)),"-")</f>
        <v>-</v>
      </c>
      <c r="F808" s="2" t="str">
        <f>IFERROR(INDEX(Movimientos!$G$2:$G$1998,MATCH(A808&amp;"ENTRADA",Movimientos!$R$2:$R$1998,0)),"-")</f>
        <v>-</v>
      </c>
      <c r="G808" s="2" t="str">
        <f>IFERROR(INDEX(Movimientos!$L$2:$L$1998,MATCH(A808&amp;"ENTRADA",Movimientos!$R$2:$R$1998,0)),"-")</f>
        <v>-</v>
      </c>
      <c r="H808" s="17" t="str">
        <f>IFERROR(IF(INDEX(Movimientos!$M$2:$M$1998,MATCH(A808&amp;"ENTRADA",Movimientos!$R$2:$R$1998,0))=0,"S/D",INDEX(Movimientos!$M$2:$M$1998,MATCH(A808&amp;"ENTRADA",Movimientos!$R$2:$R$1998,0))),"S/D")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 ht="14.25">
      <c r="A809" s="16" t="s">
        <v>2974</v>
      </c>
      <c r="B809" s="2" t="str">
        <f>IFERROR(INDEX(Movimientos!$C$2:$C$1998,MATCH(A809&amp;"ENTRADA",Movimientos!$R$2:$R$1998,0)),"-")</f>
        <v>-</v>
      </c>
      <c r="C809" s="2" t="str">
        <f>IFERROR(INDEX(Movimientos!$D$2:$D$1998,MATCH(A809&amp;"ENTRADA",Movimientos!$R$2:$R$1998,0)),"-")</f>
        <v>-</v>
      </c>
      <c r="D809" s="2" t="str">
        <f>IFERROR(INDEX(Movimientos!$E$2:$E$1998,MATCH(A809&amp;"ENTRADA",Movimientos!$R$2:$R$1998,0)),"-")</f>
        <v>-</v>
      </c>
      <c r="E809" s="2" t="str">
        <f>IFERROR(INDEX(Movimientos!$F$2:$F$1998,MATCH(A809&amp;"ENTRADA",Movimientos!$R$2:$R$1998,0)),"-")</f>
        <v>-</v>
      </c>
      <c r="F809" s="2" t="str">
        <f>IFERROR(INDEX(Movimientos!$G$2:$G$1998,MATCH(A809&amp;"ENTRADA",Movimientos!$R$2:$R$1998,0)),"-")</f>
        <v>-</v>
      </c>
      <c r="G809" s="2" t="str">
        <f>IFERROR(INDEX(Movimientos!$L$2:$L$1998,MATCH(A809&amp;"ENTRADA",Movimientos!$R$2:$R$1998,0)),"-")</f>
        <v>-</v>
      </c>
      <c r="H809" s="17" t="str">
        <f>IFERROR(IF(INDEX(Movimientos!$M$2:$M$1998,MATCH(A809&amp;"ENTRADA",Movimientos!$R$2:$R$1998,0))=0,"S/D",INDEX(Movimientos!$M$2:$M$1998,MATCH(A809&amp;"ENTRADA",Movimientos!$R$2:$R$1998,0))),"S/D")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 ht="14.25">
      <c r="A810" s="16" t="s">
        <v>2975</v>
      </c>
      <c r="B810" s="2" t="str">
        <f>IFERROR(INDEX(Movimientos!$C$2:$C$1998,MATCH(A810&amp;"ENTRADA",Movimientos!$R$2:$R$1998,0)),"-")</f>
        <v>-</v>
      </c>
      <c r="C810" s="2" t="str">
        <f>IFERROR(INDEX(Movimientos!$D$2:$D$1998,MATCH(A810&amp;"ENTRADA",Movimientos!$R$2:$R$1998,0)),"-")</f>
        <v>-</v>
      </c>
      <c r="D810" s="2" t="str">
        <f>IFERROR(INDEX(Movimientos!$E$2:$E$1998,MATCH(A810&amp;"ENTRADA",Movimientos!$R$2:$R$1998,0)),"-")</f>
        <v>-</v>
      </c>
      <c r="E810" s="2" t="str">
        <f>IFERROR(INDEX(Movimientos!$F$2:$F$1998,MATCH(A810&amp;"ENTRADA",Movimientos!$R$2:$R$1998,0)),"-")</f>
        <v>-</v>
      </c>
      <c r="F810" s="2" t="str">
        <f>IFERROR(INDEX(Movimientos!$G$2:$G$1998,MATCH(A810&amp;"ENTRADA",Movimientos!$R$2:$R$1998,0)),"-")</f>
        <v>-</v>
      </c>
      <c r="G810" s="2" t="str">
        <f>IFERROR(INDEX(Movimientos!$L$2:$L$1998,MATCH(A810&amp;"ENTRADA",Movimientos!$R$2:$R$1998,0)),"-")</f>
        <v>-</v>
      </c>
      <c r="H810" s="17" t="str">
        <f>IFERROR(IF(INDEX(Movimientos!$M$2:$M$1998,MATCH(A810&amp;"ENTRADA",Movimientos!$R$2:$R$1998,0))=0,"S/D",INDEX(Movimientos!$M$2:$M$1998,MATCH(A810&amp;"ENTRADA",Movimientos!$R$2:$R$1998,0))),"S/D")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 ht="14.25">
      <c r="A811" s="16" t="s">
        <v>2976</v>
      </c>
      <c r="B811" s="2" t="str">
        <f>IFERROR(INDEX(Movimientos!$C$2:$C$1998,MATCH(A811&amp;"ENTRADA",Movimientos!$R$2:$R$1998,0)),"-")</f>
        <v>-</v>
      </c>
      <c r="C811" s="2" t="str">
        <f>IFERROR(INDEX(Movimientos!$D$2:$D$1998,MATCH(A811&amp;"ENTRADA",Movimientos!$R$2:$R$1998,0)),"-")</f>
        <v>-</v>
      </c>
      <c r="D811" s="2" t="str">
        <f>IFERROR(INDEX(Movimientos!$E$2:$E$1998,MATCH(A811&amp;"ENTRADA",Movimientos!$R$2:$R$1998,0)),"-")</f>
        <v>-</v>
      </c>
      <c r="E811" s="2" t="str">
        <f>IFERROR(INDEX(Movimientos!$F$2:$F$1998,MATCH(A811&amp;"ENTRADA",Movimientos!$R$2:$R$1998,0)),"-")</f>
        <v>-</v>
      </c>
      <c r="F811" s="2" t="str">
        <f>IFERROR(INDEX(Movimientos!$G$2:$G$1998,MATCH(A811&amp;"ENTRADA",Movimientos!$R$2:$R$1998,0)),"-")</f>
        <v>-</v>
      </c>
      <c r="G811" s="2" t="str">
        <f>IFERROR(INDEX(Movimientos!$L$2:$L$1998,MATCH(A811&amp;"ENTRADA",Movimientos!$R$2:$R$1998,0)),"-")</f>
        <v>-</v>
      </c>
      <c r="H811" s="17" t="str">
        <f>IFERROR(IF(INDEX(Movimientos!$M$2:$M$1998,MATCH(A811&amp;"ENTRADA",Movimientos!$R$2:$R$1998,0))=0,"S/D",INDEX(Movimientos!$M$2:$M$1998,MATCH(A811&amp;"ENTRADA",Movimientos!$R$2:$R$1998,0))),"S/D")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 ht="14.25">
      <c r="A812" s="16" t="s">
        <v>2977</v>
      </c>
      <c r="B812" s="2" t="str">
        <f>IFERROR(INDEX(Movimientos!$C$2:$C$1998,MATCH(A812&amp;"ENTRADA",Movimientos!$R$2:$R$1998,0)),"-")</f>
        <v>-</v>
      </c>
      <c r="C812" s="2" t="str">
        <f>IFERROR(INDEX(Movimientos!$D$2:$D$1998,MATCH(A812&amp;"ENTRADA",Movimientos!$R$2:$R$1998,0)),"-")</f>
        <v>-</v>
      </c>
      <c r="D812" s="2" t="str">
        <f>IFERROR(INDEX(Movimientos!$E$2:$E$1998,MATCH(A812&amp;"ENTRADA",Movimientos!$R$2:$R$1998,0)),"-")</f>
        <v>-</v>
      </c>
      <c r="E812" s="2" t="str">
        <f>IFERROR(INDEX(Movimientos!$F$2:$F$1998,MATCH(A812&amp;"ENTRADA",Movimientos!$R$2:$R$1998,0)),"-")</f>
        <v>-</v>
      </c>
      <c r="F812" s="2" t="str">
        <f>IFERROR(INDEX(Movimientos!$G$2:$G$1998,MATCH(A812&amp;"ENTRADA",Movimientos!$R$2:$R$1998,0)),"-")</f>
        <v>-</v>
      </c>
      <c r="G812" s="2" t="str">
        <f>IFERROR(INDEX(Movimientos!$L$2:$L$1998,MATCH(A812&amp;"ENTRADA",Movimientos!$R$2:$R$1998,0)),"-")</f>
        <v>-</v>
      </c>
      <c r="H812" s="17" t="str">
        <f>IFERROR(IF(INDEX(Movimientos!$M$2:$M$1998,MATCH(A812&amp;"ENTRADA",Movimientos!$R$2:$R$1998,0))=0,"S/D",INDEX(Movimientos!$M$2:$M$1998,MATCH(A812&amp;"ENTRADA",Movimientos!$R$2:$R$1998,0))),"S/D")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 ht="14.25">
      <c r="A813" s="16" t="s">
        <v>2978</v>
      </c>
      <c r="B813" s="2" t="str">
        <f>IFERROR(INDEX(Movimientos!$C$2:$C$1998,MATCH(A813&amp;"ENTRADA",Movimientos!$R$2:$R$1998,0)),"-")</f>
        <v>-</v>
      </c>
      <c r="C813" s="2" t="str">
        <f>IFERROR(INDEX(Movimientos!$D$2:$D$1998,MATCH(A813&amp;"ENTRADA",Movimientos!$R$2:$R$1998,0)),"-")</f>
        <v>-</v>
      </c>
      <c r="D813" s="2" t="str">
        <f>IFERROR(INDEX(Movimientos!$E$2:$E$1998,MATCH(A813&amp;"ENTRADA",Movimientos!$R$2:$R$1998,0)),"-")</f>
        <v>-</v>
      </c>
      <c r="E813" s="2" t="str">
        <f>IFERROR(INDEX(Movimientos!$F$2:$F$1998,MATCH(A813&amp;"ENTRADA",Movimientos!$R$2:$R$1998,0)),"-")</f>
        <v>-</v>
      </c>
      <c r="F813" s="2" t="str">
        <f>IFERROR(INDEX(Movimientos!$G$2:$G$1998,MATCH(A813&amp;"ENTRADA",Movimientos!$R$2:$R$1998,0)),"-")</f>
        <v>-</v>
      </c>
      <c r="G813" s="2" t="str">
        <f>IFERROR(INDEX(Movimientos!$L$2:$L$1998,MATCH(A813&amp;"ENTRADA",Movimientos!$R$2:$R$1998,0)),"-")</f>
        <v>-</v>
      </c>
      <c r="H813" s="17" t="str">
        <f>IFERROR(IF(INDEX(Movimientos!$M$2:$M$1998,MATCH(A813&amp;"ENTRADA",Movimientos!$R$2:$R$1998,0))=0,"S/D",INDEX(Movimientos!$M$2:$M$1998,MATCH(A813&amp;"ENTRADA",Movimientos!$R$2:$R$1998,0))),"S/D")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 ht="14.25">
      <c r="A814" s="16" t="s">
        <v>2979</v>
      </c>
      <c r="B814" s="2" t="str">
        <f>IFERROR(INDEX(Movimientos!$C$2:$C$1998,MATCH(A814&amp;"ENTRADA",Movimientos!$R$2:$R$1998,0)),"-")</f>
        <v>-</v>
      </c>
      <c r="C814" s="2" t="str">
        <f>IFERROR(INDEX(Movimientos!$D$2:$D$1998,MATCH(A814&amp;"ENTRADA",Movimientos!$R$2:$R$1998,0)),"-")</f>
        <v>-</v>
      </c>
      <c r="D814" s="2" t="str">
        <f>IFERROR(INDEX(Movimientos!$E$2:$E$1998,MATCH(A814&amp;"ENTRADA",Movimientos!$R$2:$R$1998,0)),"-")</f>
        <v>-</v>
      </c>
      <c r="E814" s="2" t="str">
        <f>IFERROR(INDEX(Movimientos!$F$2:$F$1998,MATCH(A814&amp;"ENTRADA",Movimientos!$R$2:$R$1998,0)),"-")</f>
        <v>-</v>
      </c>
      <c r="F814" s="2" t="str">
        <f>IFERROR(INDEX(Movimientos!$G$2:$G$1998,MATCH(A814&amp;"ENTRADA",Movimientos!$R$2:$R$1998,0)),"-")</f>
        <v>-</v>
      </c>
      <c r="G814" s="2" t="str">
        <f>IFERROR(INDEX(Movimientos!$L$2:$L$1998,MATCH(A814&amp;"ENTRADA",Movimientos!$R$2:$R$1998,0)),"-")</f>
        <v>-</v>
      </c>
      <c r="H814" s="17" t="str">
        <f>IFERROR(IF(INDEX(Movimientos!$M$2:$M$1998,MATCH(A814&amp;"ENTRADA",Movimientos!$R$2:$R$1998,0))=0,"S/D",INDEX(Movimientos!$M$2:$M$1998,MATCH(A814&amp;"ENTRADA",Movimientos!$R$2:$R$1998,0))),"S/D")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 ht="14.25">
      <c r="A815" s="16" t="s">
        <v>2980</v>
      </c>
      <c r="B815" s="2" t="str">
        <f>IFERROR(INDEX(Movimientos!$C$2:$C$1998,MATCH(A815&amp;"ENTRADA",Movimientos!$R$2:$R$1998,0)),"-")</f>
        <v>-</v>
      </c>
      <c r="C815" s="2" t="str">
        <f>IFERROR(INDEX(Movimientos!$D$2:$D$1998,MATCH(A815&amp;"ENTRADA",Movimientos!$R$2:$R$1998,0)),"-")</f>
        <v>-</v>
      </c>
      <c r="D815" s="2" t="str">
        <f>IFERROR(INDEX(Movimientos!$E$2:$E$1998,MATCH(A815&amp;"ENTRADA",Movimientos!$R$2:$R$1998,0)),"-")</f>
        <v>-</v>
      </c>
      <c r="E815" s="2" t="str">
        <f>IFERROR(INDEX(Movimientos!$F$2:$F$1998,MATCH(A815&amp;"ENTRADA",Movimientos!$R$2:$R$1998,0)),"-")</f>
        <v>-</v>
      </c>
      <c r="F815" s="2" t="str">
        <f>IFERROR(INDEX(Movimientos!$G$2:$G$1998,MATCH(A815&amp;"ENTRADA",Movimientos!$R$2:$R$1998,0)),"-")</f>
        <v>-</v>
      </c>
      <c r="G815" s="2" t="str">
        <f>IFERROR(INDEX(Movimientos!$L$2:$L$1998,MATCH(A815&amp;"ENTRADA",Movimientos!$R$2:$R$1998,0)),"-")</f>
        <v>-</v>
      </c>
      <c r="H815" s="17" t="str">
        <f>IFERROR(IF(INDEX(Movimientos!$M$2:$M$1998,MATCH(A815&amp;"ENTRADA",Movimientos!$R$2:$R$1998,0))=0,"S/D",INDEX(Movimientos!$M$2:$M$1998,MATCH(A815&amp;"ENTRADA",Movimientos!$R$2:$R$1998,0))),"S/D")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 ht="14.25">
      <c r="A816" s="16" t="s">
        <v>2981</v>
      </c>
      <c r="B816" s="2" t="str">
        <f>IFERROR(INDEX(Movimientos!$C$2:$C$1998,MATCH(A816&amp;"ENTRADA",Movimientos!$R$2:$R$1998,0)),"-")</f>
        <v>-</v>
      </c>
      <c r="C816" s="2" t="str">
        <f>IFERROR(INDEX(Movimientos!$D$2:$D$1998,MATCH(A816&amp;"ENTRADA",Movimientos!$R$2:$R$1998,0)),"-")</f>
        <v>-</v>
      </c>
      <c r="D816" s="2" t="str">
        <f>IFERROR(INDEX(Movimientos!$E$2:$E$1998,MATCH(A816&amp;"ENTRADA",Movimientos!$R$2:$R$1998,0)),"-")</f>
        <v>-</v>
      </c>
      <c r="E816" s="2" t="str">
        <f>IFERROR(INDEX(Movimientos!$F$2:$F$1998,MATCH(A816&amp;"ENTRADA",Movimientos!$R$2:$R$1998,0)),"-")</f>
        <v>-</v>
      </c>
      <c r="F816" s="2" t="str">
        <f>IFERROR(INDEX(Movimientos!$G$2:$G$1998,MATCH(A816&amp;"ENTRADA",Movimientos!$R$2:$R$1998,0)),"-")</f>
        <v>-</v>
      </c>
      <c r="G816" s="2" t="str">
        <f>IFERROR(INDEX(Movimientos!$L$2:$L$1998,MATCH(A816&amp;"ENTRADA",Movimientos!$R$2:$R$1998,0)),"-")</f>
        <v>-</v>
      </c>
      <c r="H816" s="17" t="str">
        <f>IFERROR(IF(INDEX(Movimientos!$M$2:$M$1998,MATCH(A816&amp;"ENTRADA",Movimientos!$R$2:$R$1998,0))=0,"S/D",INDEX(Movimientos!$M$2:$M$1998,MATCH(A816&amp;"ENTRADA",Movimientos!$R$2:$R$1998,0))),"S/D")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 ht="14.25">
      <c r="A817" s="16" t="s">
        <v>2982</v>
      </c>
      <c r="B817" s="2" t="str">
        <f>IFERROR(INDEX(Movimientos!$C$2:$C$1998,MATCH(A817&amp;"ENTRADA",Movimientos!$R$2:$R$1998,0)),"-")</f>
        <v>-</v>
      </c>
      <c r="C817" s="2" t="str">
        <f>IFERROR(INDEX(Movimientos!$D$2:$D$1998,MATCH(A817&amp;"ENTRADA",Movimientos!$R$2:$R$1998,0)),"-")</f>
        <v>-</v>
      </c>
      <c r="D817" s="2" t="str">
        <f>IFERROR(INDEX(Movimientos!$E$2:$E$1998,MATCH(A817&amp;"ENTRADA",Movimientos!$R$2:$R$1998,0)),"-")</f>
        <v>-</v>
      </c>
      <c r="E817" s="2" t="str">
        <f>IFERROR(INDEX(Movimientos!$F$2:$F$1998,MATCH(A817&amp;"ENTRADA",Movimientos!$R$2:$R$1998,0)),"-")</f>
        <v>-</v>
      </c>
      <c r="F817" s="2" t="str">
        <f>IFERROR(INDEX(Movimientos!$G$2:$G$1998,MATCH(A817&amp;"ENTRADA",Movimientos!$R$2:$R$1998,0)),"-")</f>
        <v>-</v>
      </c>
      <c r="G817" s="2" t="str">
        <f>IFERROR(INDEX(Movimientos!$L$2:$L$1998,MATCH(A817&amp;"ENTRADA",Movimientos!$R$2:$R$1998,0)),"-")</f>
        <v>-</v>
      </c>
      <c r="H817" s="17" t="str">
        <f>IFERROR(IF(INDEX(Movimientos!$M$2:$M$1998,MATCH(A817&amp;"ENTRADA",Movimientos!$R$2:$R$1998,0))=0,"S/D",INDEX(Movimientos!$M$2:$M$1998,MATCH(A817&amp;"ENTRADA",Movimientos!$R$2:$R$1998,0))),"S/D")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 ht="14.25">
      <c r="A818" s="16" t="s">
        <v>2983</v>
      </c>
      <c r="B818" s="2" t="str">
        <f>IFERROR(INDEX(Movimientos!$C$2:$C$1998,MATCH(A818&amp;"ENTRADA",Movimientos!$R$2:$R$1998,0)),"-")</f>
        <v>-</v>
      </c>
      <c r="C818" s="2" t="str">
        <f>IFERROR(INDEX(Movimientos!$D$2:$D$1998,MATCH(A818&amp;"ENTRADA",Movimientos!$R$2:$R$1998,0)),"-")</f>
        <v>-</v>
      </c>
      <c r="D818" s="2" t="str">
        <f>IFERROR(INDEX(Movimientos!$E$2:$E$1998,MATCH(A818&amp;"ENTRADA",Movimientos!$R$2:$R$1998,0)),"-")</f>
        <v>-</v>
      </c>
      <c r="E818" s="2" t="str">
        <f>IFERROR(INDEX(Movimientos!$F$2:$F$1998,MATCH(A818&amp;"ENTRADA",Movimientos!$R$2:$R$1998,0)),"-")</f>
        <v>-</v>
      </c>
      <c r="F818" s="2" t="str">
        <f>IFERROR(INDEX(Movimientos!$G$2:$G$1998,MATCH(A818&amp;"ENTRADA",Movimientos!$R$2:$R$1998,0)),"-")</f>
        <v>-</v>
      </c>
      <c r="G818" s="2" t="str">
        <f>IFERROR(INDEX(Movimientos!$L$2:$L$1998,MATCH(A818&amp;"ENTRADA",Movimientos!$R$2:$R$1998,0)),"-")</f>
        <v>-</v>
      </c>
      <c r="H818" s="17" t="str">
        <f>IFERROR(IF(INDEX(Movimientos!$M$2:$M$1998,MATCH(A818&amp;"ENTRADA",Movimientos!$R$2:$R$1998,0))=0,"S/D",INDEX(Movimientos!$M$2:$M$1998,MATCH(A818&amp;"ENTRADA",Movimientos!$R$2:$R$1998,0))),"S/D")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 ht="14.25">
      <c r="A819" s="16" t="s">
        <v>2984</v>
      </c>
      <c r="B819" s="2" t="str">
        <f>IFERROR(INDEX(Movimientos!$C$2:$C$1998,MATCH(A819&amp;"ENTRADA",Movimientos!$R$2:$R$1998,0)),"-")</f>
        <v>-</v>
      </c>
      <c r="C819" s="2" t="str">
        <f>IFERROR(INDEX(Movimientos!$D$2:$D$1998,MATCH(A819&amp;"ENTRADA",Movimientos!$R$2:$R$1998,0)),"-")</f>
        <v>-</v>
      </c>
      <c r="D819" s="2" t="str">
        <f>IFERROR(INDEX(Movimientos!$E$2:$E$1998,MATCH(A819&amp;"ENTRADA",Movimientos!$R$2:$R$1998,0)),"-")</f>
        <v>-</v>
      </c>
      <c r="E819" s="2" t="str">
        <f>IFERROR(INDEX(Movimientos!$F$2:$F$1998,MATCH(A819&amp;"ENTRADA",Movimientos!$R$2:$R$1998,0)),"-")</f>
        <v>-</v>
      </c>
      <c r="F819" s="2" t="str">
        <f>IFERROR(INDEX(Movimientos!$G$2:$G$1998,MATCH(A819&amp;"ENTRADA",Movimientos!$R$2:$R$1998,0)),"-")</f>
        <v>-</v>
      </c>
      <c r="G819" s="2" t="str">
        <f>IFERROR(INDEX(Movimientos!$L$2:$L$1998,MATCH(A819&amp;"ENTRADA",Movimientos!$R$2:$R$1998,0)),"-")</f>
        <v>-</v>
      </c>
      <c r="H819" s="17" t="str">
        <f>IFERROR(IF(INDEX(Movimientos!$M$2:$M$1998,MATCH(A819&amp;"ENTRADA",Movimientos!$R$2:$R$1998,0))=0,"S/D",INDEX(Movimientos!$M$2:$M$1998,MATCH(A819&amp;"ENTRADA",Movimientos!$R$2:$R$1998,0))),"S/D")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 ht="14.25">
      <c r="A820" s="16" t="s">
        <v>2985</v>
      </c>
      <c r="B820" s="2" t="str">
        <f>IFERROR(INDEX(Movimientos!$C$2:$C$1998,MATCH(A820&amp;"ENTRADA",Movimientos!$R$2:$R$1998,0)),"-")</f>
        <v>-</v>
      </c>
      <c r="C820" s="2" t="str">
        <f>IFERROR(INDEX(Movimientos!$D$2:$D$1998,MATCH(A820&amp;"ENTRADA",Movimientos!$R$2:$R$1998,0)),"-")</f>
        <v>-</v>
      </c>
      <c r="D820" s="2" t="str">
        <f>IFERROR(INDEX(Movimientos!$E$2:$E$1998,MATCH(A820&amp;"ENTRADA",Movimientos!$R$2:$R$1998,0)),"-")</f>
        <v>-</v>
      </c>
      <c r="E820" s="2" t="str">
        <f>IFERROR(INDEX(Movimientos!$F$2:$F$1998,MATCH(A820&amp;"ENTRADA",Movimientos!$R$2:$R$1998,0)),"-")</f>
        <v>-</v>
      </c>
      <c r="F820" s="2" t="str">
        <f>IFERROR(INDEX(Movimientos!$G$2:$G$1998,MATCH(A820&amp;"ENTRADA",Movimientos!$R$2:$R$1998,0)),"-")</f>
        <v>-</v>
      </c>
      <c r="G820" s="2" t="str">
        <f>IFERROR(INDEX(Movimientos!$L$2:$L$1998,MATCH(A820&amp;"ENTRADA",Movimientos!$R$2:$R$1998,0)),"-")</f>
        <v>-</v>
      </c>
      <c r="H820" s="17" t="str">
        <f>IFERROR(IF(INDEX(Movimientos!$M$2:$M$1998,MATCH(A820&amp;"ENTRADA",Movimientos!$R$2:$R$1998,0))=0,"S/D",INDEX(Movimientos!$M$2:$M$1998,MATCH(A820&amp;"ENTRADA",Movimientos!$R$2:$R$1998,0))),"S/D")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 ht="14.25">
      <c r="A821" s="16" t="s">
        <v>2986</v>
      </c>
      <c r="B821" s="2" t="str">
        <f>IFERROR(INDEX(Movimientos!$C$2:$C$1998,MATCH(A821&amp;"ENTRADA",Movimientos!$R$2:$R$1998,0)),"-")</f>
        <v>-</v>
      </c>
      <c r="C821" s="2" t="str">
        <f>IFERROR(INDEX(Movimientos!$D$2:$D$1998,MATCH(A821&amp;"ENTRADA",Movimientos!$R$2:$R$1998,0)),"-")</f>
        <v>-</v>
      </c>
      <c r="D821" s="2" t="str">
        <f>IFERROR(INDEX(Movimientos!$E$2:$E$1998,MATCH(A821&amp;"ENTRADA",Movimientos!$R$2:$R$1998,0)),"-")</f>
        <v>-</v>
      </c>
      <c r="E821" s="2" t="str">
        <f>IFERROR(INDEX(Movimientos!$F$2:$F$1998,MATCH(A821&amp;"ENTRADA",Movimientos!$R$2:$R$1998,0)),"-")</f>
        <v>-</v>
      </c>
      <c r="F821" s="2" t="str">
        <f>IFERROR(INDEX(Movimientos!$G$2:$G$1998,MATCH(A821&amp;"ENTRADA",Movimientos!$R$2:$R$1998,0)),"-")</f>
        <v>-</v>
      </c>
      <c r="G821" s="2" t="str">
        <f>IFERROR(INDEX(Movimientos!$L$2:$L$1998,MATCH(A821&amp;"ENTRADA",Movimientos!$R$2:$R$1998,0)),"-")</f>
        <v>-</v>
      </c>
      <c r="H821" s="17" t="str">
        <f>IFERROR(IF(INDEX(Movimientos!$M$2:$M$1998,MATCH(A821&amp;"ENTRADA",Movimientos!$R$2:$R$1998,0))=0,"S/D",INDEX(Movimientos!$M$2:$M$1998,MATCH(A821&amp;"ENTRADA",Movimientos!$R$2:$R$1998,0))),"S/D")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 ht="14.25">
      <c r="A822" s="16" t="s">
        <v>2987</v>
      </c>
      <c r="B822" s="2" t="str">
        <f>IFERROR(INDEX(Movimientos!$C$2:$C$1998,MATCH(A822&amp;"ENTRADA",Movimientos!$R$2:$R$1998,0)),"-")</f>
        <v>-</v>
      </c>
      <c r="C822" s="2" t="str">
        <f>IFERROR(INDEX(Movimientos!$D$2:$D$1998,MATCH(A822&amp;"ENTRADA",Movimientos!$R$2:$R$1998,0)),"-")</f>
        <v>-</v>
      </c>
      <c r="D822" s="2" t="str">
        <f>IFERROR(INDEX(Movimientos!$E$2:$E$1998,MATCH(A822&amp;"ENTRADA",Movimientos!$R$2:$R$1998,0)),"-")</f>
        <v>-</v>
      </c>
      <c r="E822" s="2" t="str">
        <f>IFERROR(INDEX(Movimientos!$F$2:$F$1998,MATCH(A822&amp;"ENTRADA",Movimientos!$R$2:$R$1998,0)),"-")</f>
        <v>-</v>
      </c>
      <c r="F822" s="2" t="str">
        <f>IFERROR(INDEX(Movimientos!$G$2:$G$1998,MATCH(A822&amp;"ENTRADA",Movimientos!$R$2:$R$1998,0)),"-")</f>
        <v>-</v>
      </c>
      <c r="G822" s="2" t="str">
        <f>IFERROR(INDEX(Movimientos!$L$2:$L$1998,MATCH(A822&amp;"ENTRADA",Movimientos!$R$2:$R$1998,0)),"-")</f>
        <v>-</v>
      </c>
      <c r="H822" s="17" t="str">
        <f>IFERROR(IF(INDEX(Movimientos!$M$2:$M$1998,MATCH(A822&amp;"ENTRADA",Movimientos!$R$2:$R$1998,0))=0,"S/D",INDEX(Movimientos!$M$2:$M$1998,MATCH(A822&amp;"ENTRADA",Movimientos!$R$2:$R$1998,0))),"S/D")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 ht="14.25">
      <c r="A823" s="16" t="s">
        <v>2988</v>
      </c>
      <c r="B823" s="2" t="str">
        <f>IFERROR(INDEX(Movimientos!$C$2:$C$1998,MATCH(A823&amp;"ENTRADA",Movimientos!$R$2:$R$1998,0)),"-")</f>
        <v>-</v>
      </c>
      <c r="C823" s="2" t="str">
        <f>IFERROR(INDEX(Movimientos!$D$2:$D$1998,MATCH(A823&amp;"ENTRADA",Movimientos!$R$2:$R$1998,0)),"-")</f>
        <v>-</v>
      </c>
      <c r="D823" s="2" t="str">
        <f>IFERROR(INDEX(Movimientos!$E$2:$E$1998,MATCH(A823&amp;"ENTRADA",Movimientos!$R$2:$R$1998,0)),"-")</f>
        <v>-</v>
      </c>
      <c r="E823" s="2" t="str">
        <f>IFERROR(INDEX(Movimientos!$F$2:$F$1998,MATCH(A823&amp;"ENTRADA",Movimientos!$R$2:$R$1998,0)),"-")</f>
        <v>-</v>
      </c>
      <c r="F823" s="2" t="str">
        <f>IFERROR(INDEX(Movimientos!$G$2:$G$1998,MATCH(A823&amp;"ENTRADA",Movimientos!$R$2:$R$1998,0)),"-")</f>
        <v>-</v>
      </c>
      <c r="G823" s="2" t="str">
        <f>IFERROR(INDEX(Movimientos!$L$2:$L$1998,MATCH(A823&amp;"ENTRADA",Movimientos!$R$2:$R$1998,0)),"-")</f>
        <v>-</v>
      </c>
      <c r="H823" s="17" t="str">
        <f>IFERROR(IF(INDEX(Movimientos!$M$2:$M$1998,MATCH(A823&amp;"ENTRADA",Movimientos!$R$2:$R$1998,0))=0,"S/D",INDEX(Movimientos!$M$2:$M$1998,MATCH(A823&amp;"ENTRADA",Movimientos!$R$2:$R$1998,0))),"S/D")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 ht="14.25">
      <c r="A824" s="16" t="s">
        <v>2989</v>
      </c>
      <c r="B824" s="2" t="str">
        <f>IFERROR(INDEX(Movimientos!$C$2:$C$1998,MATCH(A824&amp;"ENTRADA",Movimientos!$R$2:$R$1998,0)),"-")</f>
        <v>-</v>
      </c>
      <c r="C824" s="2" t="str">
        <f>IFERROR(INDEX(Movimientos!$D$2:$D$1998,MATCH(A824&amp;"ENTRADA",Movimientos!$R$2:$R$1998,0)),"-")</f>
        <v>-</v>
      </c>
      <c r="D824" s="2" t="str">
        <f>IFERROR(INDEX(Movimientos!$E$2:$E$1998,MATCH(A824&amp;"ENTRADA",Movimientos!$R$2:$R$1998,0)),"-")</f>
        <v>-</v>
      </c>
      <c r="E824" s="2" t="str">
        <f>IFERROR(INDEX(Movimientos!$F$2:$F$1998,MATCH(A824&amp;"ENTRADA",Movimientos!$R$2:$R$1998,0)),"-")</f>
        <v>-</v>
      </c>
      <c r="F824" s="2" t="str">
        <f>IFERROR(INDEX(Movimientos!$G$2:$G$1998,MATCH(A824&amp;"ENTRADA",Movimientos!$R$2:$R$1998,0)),"-")</f>
        <v>-</v>
      </c>
      <c r="G824" s="2" t="str">
        <f>IFERROR(INDEX(Movimientos!$L$2:$L$1998,MATCH(A824&amp;"ENTRADA",Movimientos!$R$2:$R$1998,0)),"-")</f>
        <v>-</v>
      </c>
      <c r="H824" s="17" t="str">
        <f>IFERROR(IF(INDEX(Movimientos!$M$2:$M$1998,MATCH(A824&amp;"ENTRADA",Movimientos!$R$2:$R$1998,0))=0,"S/D",INDEX(Movimientos!$M$2:$M$1998,MATCH(A824&amp;"ENTRADA",Movimientos!$R$2:$R$1998,0))),"S/D")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 ht="14.25">
      <c r="A825" s="16" t="s">
        <v>2990</v>
      </c>
      <c r="B825" s="2" t="str">
        <f>IFERROR(INDEX(Movimientos!$C$2:$C$1998,MATCH(A825&amp;"ENTRADA",Movimientos!$R$2:$R$1998,0)),"-")</f>
        <v>-</v>
      </c>
      <c r="C825" s="2" t="str">
        <f>IFERROR(INDEX(Movimientos!$D$2:$D$1998,MATCH(A825&amp;"ENTRADA",Movimientos!$R$2:$R$1998,0)),"-")</f>
        <v>-</v>
      </c>
      <c r="D825" s="2" t="str">
        <f>IFERROR(INDEX(Movimientos!$E$2:$E$1998,MATCH(A825&amp;"ENTRADA",Movimientos!$R$2:$R$1998,0)),"-")</f>
        <v>-</v>
      </c>
      <c r="E825" s="2" t="str">
        <f>IFERROR(INDEX(Movimientos!$F$2:$F$1998,MATCH(A825&amp;"ENTRADA",Movimientos!$R$2:$R$1998,0)),"-")</f>
        <v>-</v>
      </c>
      <c r="F825" s="2" t="str">
        <f>IFERROR(INDEX(Movimientos!$G$2:$G$1998,MATCH(A825&amp;"ENTRADA",Movimientos!$R$2:$R$1998,0)),"-")</f>
        <v>-</v>
      </c>
      <c r="G825" s="2" t="str">
        <f>IFERROR(INDEX(Movimientos!$L$2:$L$1998,MATCH(A825&amp;"ENTRADA",Movimientos!$R$2:$R$1998,0)),"-")</f>
        <v>-</v>
      </c>
      <c r="H825" s="17" t="str">
        <f>IFERROR(IF(INDEX(Movimientos!$M$2:$M$1998,MATCH(A825&amp;"ENTRADA",Movimientos!$R$2:$R$1998,0))=0,"S/D",INDEX(Movimientos!$M$2:$M$1998,MATCH(A825&amp;"ENTRADA",Movimientos!$R$2:$R$1998,0))),"S/D")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 ht="14.25">
      <c r="A826" s="16" t="s">
        <v>2991</v>
      </c>
      <c r="B826" s="2" t="str">
        <f>IFERROR(INDEX(Movimientos!$C$2:$C$1998,MATCH(A826&amp;"ENTRADA",Movimientos!$R$2:$R$1998,0)),"-")</f>
        <v>-</v>
      </c>
      <c r="C826" s="2" t="str">
        <f>IFERROR(INDEX(Movimientos!$D$2:$D$1998,MATCH(A826&amp;"ENTRADA",Movimientos!$R$2:$R$1998,0)),"-")</f>
        <v>-</v>
      </c>
      <c r="D826" s="2" t="str">
        <f>IFERROR(INDEX(Movimientos!$E$2:$E$1998,MATCH(A826&amp;"ENTRADA",Movimientos!$R$2:$R$1998,0)),"-")</f>
        <v>-</v>
      </c>
      <c r="E826" s="2" t="str">
        <f>IFERROR(INDEX(Movimientos!$F$2:$F$1998,MATCH(A826&amp;"ENTRADA",Movimientos!$R$2:$R$1998,0)),"-")</f>
        <v>-</v>
      </c>
      <c r="F826" s="2" t="str">
        <f>IFERROR(INDEX(Movimientos!$G$2:$G$1998,MATCH(A826&amp;"ENTRADA",Movimientos!$R$2:$R$1998,0)),"-")</f>
        <v>-</v>
      </c>
      <c r="G826" s="2" t="str">
        <f>IFERROR(INDEX(Movimientos!$L$2:$L$1998,MATCH(A826&amp;"ENTRADA",Movimientos!$R$2:$R$1998,0)),"-")</f>
        <v>-</v>
      </c>
      <c r="H826" s="17" t="str">
        <f>IFERROR(IF(INDEX(Movimientos!$M$2:$M$1998,MATCH(A826&amp;"ENTRADA",Movimientos!$R$2:$R$1998,0))=0,"S/D",INDEX(Movimientos!$M$2:$M$1998,MATCH(A826&amp;"ENTRADA",Movimientos!$R$2:$R$1998,0))),"S/D")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 ht="14.25">
      <c r="A827" s="16" t="s">
        <v>2992</v>
      </c>
      <c r="B827" s="2" t="str">
        <f>IFERROR(INDEX(Movimientos!$C$2:$C$1998,MATCH(A827&amp;"ENTRADA",Movimientos!$R$2:$R$1998,0)),"-")</f>
        <v>-</v>
      </c>
      <c r="C827" s="2" t="str">
        <f>IFERROR(INDEX(Movimientos!$D$2:$D$1998,MATCH(A827&amp;"ENTRADA",Movimientos!$R$2:$R$1998,0)),"-")</f>
        <v>-</v>
      </c>
      <c r="D827" s="2" t="str">
        <f>IFERROR(INDEX(Movimientos!$E$2:$E$1998,MATCH(A827&amp;"ENTRADA",Movimientos!$R$2:$R$1998,0)),"-")</f>
        <v>-</v>
      </c>
      <c r="E827" s="2" t="str">
        <f>IFERROR(INDEX(Movimientos!$F$2:$F$1998,MATCH(A827&amp;"ENTRADA",Movimientos!$R$2:$R$1998,0)),"-")</f>
        <v>-</v>
      </c>
      <c r="F827" s="2" t="str">
        <f>IFERROR(INDEX(Movimientos!$G$2:$G$1998,MATCH(A827&amp;"ENTRADA",Movimientos!$R$2:$R$1998,0)),"-")</f>
        <v>-</v>
      </c>
      <c r="G827" s="2" t="str">
        <f>IFERROR(INDEX(Movimientos!$L$2:$L$1998,MATCH(A827&amp;"ENTRADA",Movimientos!$R$2:$R$1998,0)),"-")</f>
        <v>-</v>
      </c>
      <c r="H827" s="17" t="str">
        <f>IFERROR(IF(INDEX(Movimientos!$M$2:$M$1998,MATCH(A827&amp;"ENTRADA",Movimientos!$R$2:$R$1998,0))=0,"S/D",INDEX(Movimientos!$M$2:$M$1998,MATCH(A827&amp;"ENTRADA",Movimientos!$R$2:$R$1998,0))),"S/D")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 ht="14.25">
      <c r="A828" s="16" t="s">
        <v>2993</v>
      </c>
      <c r="B828" s="2" t="str">
        <f>IFERROR(INDEX(Movimientos!$C$2:$C$1998,MATCH(A828&amp;"ENTRADA",Movimientos!$R$2:$R$1998,0)),"-")</f>
        <v>-</v>
      </c>
      <c r="C828" s="2" t="str">
        <f>IFERROR(INDEX(Movimientos!$D$2:$D$1998,MATCH(A828&amp;"ENTRADA",Movimientos!$R$2:$R$1998,0)),"-")</f>
        <v>-</v>
      </c>
      <c r="D828" s="2" t="str">
        <f>IFERROR(INDEX(Movimientos!$E$2:$E$1998,MATCH(A828&amp;"ENTRADA",Movimientos!$R$2:$R$1998,0)),"-")</f>
        <v>-</v>
      </c>
      <c r="E828" s="2" t="str">
        <f>IFERROR(INDEX(Movimientos!$F$2:$F$1998,MATCH(A828&amp;"ENTRADA",Movimientos!$R$2:$R$1998,0)),"-")</f>
        <v>-</v>
      </c>
      <c r="F828" s="2" t="str">
        <f>IFERROR(INDEX(Movimientos!$G$2:$G$1998,MATCH(A828&amp;"ENTRADA",Movimientos!$R$2:$R$1998,0)),"-")</f>
        <v>-</v>
      </c>
      <c r="G828" s="2" t="str">
        <f>IFERROR(INDEX(Movimientos!$L$2:$L$1998,MATCH(A828&amp;"ENTRADA",Movimientos!$R$2:$R$1998,0)),"-")</f>
        <v>-</v>
      </c>
      <c r="H828" s="17" t="str">
        <f>IFERROR(IF(INDEX(Movimientos!$M$2:$M$1998,MATCH(A828&amp;"ENTRADA",Movimientos!$R$2:$R$1998,0))=0,"S/D",INDEX(Movimientos!$M$2:$M$1998,MATCH(A828&amp;"ENTRADA",Movimientos!$R$2:$R$1998,0))),"S/D")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 ht="14.25">
      <c r="A829" s="16" t="s">
        <v>2994</v>
      </c>
      <c r="B829" s="2" t="str">
        <f>IFERROR(INDEX(Movimientos!$C$2:$C$1998,MATCH(A829&amp;"ENTRADA",Movimientos!$R$2:$R$1998,0)),"-")</f>
        <v>-</v>
      </c>
      <c r="C829" s="2" t="str">
        <f>IFERROR(INDEX(Movimientos!$D$2:$D$1998,MATCH(A829&amp;"ENTRADA",Movimientos!$R$2:$R$1998,0)),"-")</f>
        <v>-</v>
      </c>
      <c r="D829" s="2" t="str">
        <f>IFERROR(INDEX(Movimientos!$E$2:$E$1998,MATCH(A829&amp;"ENTRADA",Movimientos!$R$2:$R$1998,0)),"-")</f>
        <v>-</v>
      </c>
      <c r="E829" s="2" t="str">
        <f>IFERROR(INDEX(Movimientos!$F$2:$F$1998,MATCH(A829&amp;"ENTRADA",Movimientos!$R$2:$R$1998,0)),"-")</f>
        <v>-</v>
      </c>
      <c r="F829" s="2" t="str">
        <f>IFERROR(INDEX(Movimientos!$G$2:$G$1998,MATCH(A829&amp;"ENTRADA",Movimientos!$R$2:$R$1998,0)),"-")</f>
        <v>-</v>
      </c>
      <c r="G829" s="2" t="str">
        <f>IFERROR(INDEX(Movimientos!$L$2:$L$1998,MATCH(A829&amp;"ENTRADA",Movimientos!$R$2:$R$1998,0)),"-")</f>
        <v>-</v>
      </c>
      <c r="H829" s="17" t="str">
        <f>IFERROR(IF(INDEX(Movimientos!$M$2:$M$1998,MATCH(A829&amp;"ENTRADA",Movimientos!$R$2:$R$1998,0))=0,"S/D",INDEX(Movimientos!$M$2:$M$1998,MATCH(A829&amp;"ENTRADA",Movimientos!$R$2:$R$1998,0))),"S/D")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 ht="14.25">
      <c r="A830" s="16" t="s">
        <v>2995</v>
      </c>
      <c r="B830" s="2" t="str">
        <f>IFERROR(INDEX(Movimientos!$C$2:$C$1998,MATCH(A830&amp;"ENTRADA",Movimientos!$R$2:$R$1998,0)),"-")</f>
        <v>-</v>
      </c>
      <c r="C830" s="2" t="str">
        <f>IFERROR(INDEX(Movimientos!$D$2:$D$1998,MATCH(A830&amp;"ENTRADA",Movimientos!$R$2:$R$1998,0)),"-")</f>
        <v>-</v>
      </c>
      <c r="D830" s="2" t="str">
        <f>IFERROR(INDEX(Movimientos!$E$2:$E$1998,MATCH(A830&amp;"ENTRADA",Movimientos!$R$2:$R$1998,0)),"-")</f>
        <v>-</v>
      </c>
      <c r="E830" s="2" t="str">
        <f>IFERROR(INDEX(Movimientos!$F$2:$F$1998,MATCH(A830&amp;"ENTRADA",Movimientos!$R$2:$R$1998,0)),"-")</f>
        <v>-</v>
      </c>
      <c r="F830" s="2" t="str">
        <f>IFERROR(INDEX(Movimientos!$G$2:$G$1998,MATCH(A830&amp;"ENTRADA",Movimientos!$R$2:$R$1998,0)),"-")</f>
        <v>-</v>
      </c>
      <c r="G830" s="2" t="str">
        <f>IFERROR(INDEX(Movimientos!$L$2:$L$1998,MATCH(A830&amp;"ENTRADA",Movimientos!$R$2:$R$1998,0)),"-")</f>
        <v>-</v>
      </c>
      <c r="H830" s="17" t="str">
        <f>IFERROR(IF(INDEX(Movimientos!$M$2:$M$1998,MATCH(A830&amp;"ENTRADA",Movimientos!$R$2:$R$1998,0))=0,"S/D",INDEX(Movimientos!$M$2:$M$1998,MATCH(A830&amp;"ENTRADA",Movimientos!$R$2:$R$1998,0))),"S/D")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 ht="14.25">
      <c r="A831" s="16" t="s">
        <v>2996</v>
      </c>
      <c r="B831" s="2" t="str">
        <f>IFERROR(INDEX(Movimientos!$C$2:$C$1998,MATCH(A831&amp;"ENTRADA",Movimientos!$R$2:$R$1998,0)),"-")</f>
        <v>-</v>
      </c>
      <c r="C831" s="2" t="str">
        <f>IFERROR(INDEX(Movimientos!$D$2:$D$1998,MATCH(A831&amp;"ENTRADA",Movimientos!$R$2:$R$1998,0)),"-")</f>
        <v>-</v>
      </c>
      <c r="D831" s="2" t="str">
        <f>IFERROR(INDEX(Movimientos!$E$2:$E$1998,MATCH(A831&amp;"ENTRADA",Movimientos!$R$2:$R$1998,0)),"-")</f>
        <v>-</v>
      </c>
      <c r="E831" s="2" t="str">
        <f>IFERROR(INDEX(Movimientos!$F$2:$F$1998,MATCH(A831&amp;"ENTRADA",Movimientos!$R$2:$R$1998,0)),"-")</f>
        <v>-</v>
      </c>
      <c r="F831" s="2" t="str">
        <f>IFERROR(INDEX(Movimientos!$G$2:$G$1998,MATCH(A831&amp;"ENTRADA",Movimientos!$R$2:$R$1998,0)),"-")</f>
        <v>-</v>
      </c>
      <c r="G831" s="2" t="str">
        <f>IFERROR(INDEX(Movimientos!$L$2:$L$1998,MATCH(A831&amp;"ENTRADA",Movimientos!$R$2:$R$1998,0)),"-")</f>
        <v>-</v>
      </c>
      <c r="H831" s="17" t="str">
        <f>IFERROR(IF(INDEX(Movimientos!$M$2:$M$1998,MATCH(A831&amp;"ENTRADA",Movimientos!$R$2:$R$1998,0))=0,"S/D",INDEX(Movimientos!$M$2:$M$1998,MATCH(A831&amp;"ENTRADA",Movimientos!$R$2:$R$1998,0))),"S/D")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 ht="14.25">
      <c r="A832" s="16" t="s">
        <v>2997</v>
      </c>
      <c r="B832" s="2" t="str">
        <f>IFERROR(INDEX(Movimientos!$C$2:$C$1998,MATCH(A832&amp;"ENTRADA",Movimientos!$R$2:$R$1998,0)),"-")</f>
        <v>-</v>
      </c>
      <c r="C832" s="2" t="str">
        <f>IFERROR(INDEX(Movimientos!$D$2:$D$1998,MATCH(A832&amp;"ENTRADA",Movimientos!$R$2:$R$1998,0)),"-")</f>
        <v>-</v>
      </c>
      <c r="D832" s="2" t="str">
        <f>IFERROR(INDEX(Movimientos!$E$2:$E$1998,MATCH(A832&amp;"ENTRADA",Movimientos!$R$2:$R$1998,0)),"-")</f>
        <v>-</v>
      </c>
      <c r="E832" s="2" t="str">
        <f>IFERROR(INDEX(Movimientos!$F$2:$F$1998,MATCH(A832&amp;"ENTRADA",Movimientos!$R$2:$R$1998,0)),"-")</f>
        <v>-</v>
      </c>
      <c r="F832" s="2" t="str">
        <f>IFERROR(INDEX(Movimientos!$G$2:$G$1998,MATCH(A832&amp;"ENTRADA",Movimientos!$R$2:$R$1998,0)),"-")</f>
        <v>-</v>
      </c>
      <c r="G832" s="2" t="str">
        <f>IFERROR(INDEX(Movimientos!$L$2:$L$1998,MATCH(A832&amp;"ENTRADA",Movimientos!$R$2:$R$1998,0)),"-")</f>
        <v>-</v>
      </c>
      <c r="H832" s="17" t="str">
        <f>IFERROR(IF(INDEX(Movimientos!$M$2:$M$1998,MATCH(A832&amp;"ENTRADA",Movimientos!$R$2:$R$1998,0))=0,"S/D",INDEX(Movimientos!$M$2:$M$1998,MATCH(A832&amp;"ENTRADA",Movimientos!$R$2:$R$1998,0))),"S/D")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 ht="14.25">
      <c r="A833" s="16" t="s">
        <v>2998</v>
      </c>
      <c r="B833" s="2" t="str">
        <f>IFERROR(INDEX(Movimientos!$C$2:$C$1998,MATCH(A833&amp;"ENTRADA",Movimientos!$R$2:$R$1998,0)),"-")</f>
        <v>-</v>
      </c>
      <c r="C833" s="2" t="str">
        <f>IFERROR(INDEX(Movimientos!$D$2:$D$1998,MATCH(A833&amp;"ENTRADA",Movimientos!$R$2:$R$1998,0)),"-")</f>
        <v>-</v>
      </c>
      <c r="D833" s="2" t="str">
        <f>IFERROR(INDEX(Movimientos!$E$2:$E$1998,MATCH(A833&amp;"ENTRADA",Movimientos!$R$2:$R$1998,0)),"-")</f>
        <v>-</v>
      </c>
      <c r="E833" s="2" t="str">
        <f>IFERROR(INDEX(Movimientos!$F$2:$F$1998,MATCH(A833&amp;"ENTRADA",Movimientos!$R$2:$R$1998,0)),"-")</f>
        <v>-</v>
      </c>
      <c r="F833" s="2" t="str">
        <f>IFERROR(INDEX(Movimientos!$G$2:$G$1998,MATCH(A833&amp;"ENTRADA",Movimientos!$R$2:$R$1998,0)),"-")</f>
        <v>-</v>
      </c>
      <c r="G833" s="2" t="str">
        <f>IFERROR(INDEX(Movimientos!$L$2:$L$1998,MATCH(A833&amp;"ENTRADA",Movimientos!$R$2:$R$1998,0)),"-")</f>
        <v>-</v>
      </c>
      <c r="H833" s="17" t="str">
        <f>IFERROR(IF(INDEX(Movimientos!$M$2:$M$1998,MATCH(A833&amp;"ENTRADA",Movimientos!$R$2:$R$1998,0))=0,"S/D",INDEX(Movimientos!$M$2:$M$1998,MATCH(A833&amp;"ENTRADA",Movimientos!$R$2:$R$1998,0))),"S/D")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 ht="14.25">
      <c r="A834" s="16" t="s">
        <v>2999</v>
      </c>
      <c r="B834" s="2" t="str">
        <f>IFERROR(INDEX(Movimientos!$C$2:$C$1998,MATCH(A834&amp;"ENTRADA",Movimientos!$R$2:$R$1998,0)),"-")</f>
        <v>-</v>
      </c>
      <c r="C834" s="2" t="str">
        <f>IFERROR(INDEX(Movimientos!$D$2:$D$1998,MATCH(A834&amp;"ENTRADA",Movimientos!$R$2:$R$1998,0)),"-")</f>
        <v>-</v>
      </c>
      <c r="D834" s="2" t="str">
        <f>IFERROR(INDEX(Movimientos!$E$2:$E$1998,MATCH(A834&amp;"ENTRADA",Movimientos!$R$2:$R$1998,0)),"-")</f>
        <v>-</v>
      </c>
      <c r="E834" s="2" t="str">
        <f>IFERROR(INDEX(Movimientos!$F$2:$F$1998,MATCH(A834&amp;"ENTRADA",Movimientos!$R$2:$R$1998,0)),"-")</f>
        <v>-</v>
      </c>
      <c r="F834" s="2" t="str">
        <f>IFERROR(INDEX(Movimientos!$G$2:$G$1998,MATCH(A834&amp;"ENTRADA",Movimientos!$R$2:$R$1998,0)),"-")</f>
        <v>-</v>
      </c>
      <c r="G834" s="2" t="str">
        <f>IFERROR(INDEX(Movimientos!$L$2:$L$1998,MATCH(A834&amp;"ENTRADA",Movimientos!$R$2:$R$1998,0)),"-")</f>
        <v>-</v>
      </c>
      <c r="H834" s="17" t="str">
        <f>IFERROR(IF(INDEX(Movimientos!$M$2:$M$1998,MATCH(A834&amp;"ENTRADA",Movimientos!$R$2:$R$1998,0))=0,"S/D",INDEX(Movimientos!$M$2:$M$1998,MATCH(A834&amp;"ENTRADA",Movimientos!$R$2:$R$1998,0))),"S/D")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 ht="14.25">
      <c r="A835" s="16" t="s">
        <v>3000</v>
      </c>
      <c r="B835" s="2" t="str">
        <f>IFERROR(INDEX(Movimientos!$C$2:$C$1998,MATCH(A835&amp;"ENTRADA",Movimientos!$R$2:$R$1998,0)),"-")</f>
        <v>-</v>
      </c>
      <c r="C835" s="2" t="str">
        <f>IFERROR(INDEX(Movimientos!$D$2:$D$1998,MATCH(A835&amp;"ENTRADA",Movimientos!$R$2:$R$1998,0)),"-")</f>
        <v>-</v>
      </c>
      <c r="D835" s="2" t="str">
        <f>IFERROR(INDEX(Movimientos!$E$2:$E$1998,MATCH(A835&amp;"ENTRADA",Movimientos!$R$2:$R$1998,0)),"-")</f>
        <v>-</v>
      </c>
      <c r="E835" s="2" t="str">
        <f>IFERROR(INDEX(Movimientos!$F$2:$F$1998,MATCH(A835&amp;"ENTRADA",Movimientos!$R$2:$R$1998,0)),"-")</f>
        <v>-</v>
      </c>
      <c r="F835" s="2" t="str">
        <f>IFERROR(INDEX(Movimientos!$G$2:$G$1998,MATCH(A835&amp;"ENTRADA",Movimientos!$R$2:$R$1998,0)),"-")</f>
        <v>-</v>
      </c>
      <c r="G835" s="2" t="str">
        <f>IFERROR(INDEX(Movimientos!$L$2:$L$1998,MATCH(A835&amp;"ENTRADA",Movimientos!$R$2:$R$1998,0)),"-")</f>
        <v>-</v>
      </c>
      <c r="H835" s="17" t="str">
        <f>IFERROR(IF(INDEX(Movimientos!$M$2:$M$1998,MATCH(A835&amp;"ENTRADA",Movimientos!$R$2:$R$1998,0))=0,"S/D",INDEX(Movimientos!$M$2:$M$1998,MATCH(A835&amp;"ENTRADA",Movimientos!$R$2:$R$1998,0))),"S/D")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 ht="14.25">
      <c r="A836" s="16" t="s">
        <v>3001</v>
      </c>
      <c r="B836" s="2" t="str">
        <f>IFERROR(INDEX(Movimientos!$C$2:$C$1998,MATCH(A836&amp;"ENTRADA",Movimientos!$R$2:$R$1998,0)),"-")</f>
        <v>-</v>
      </c>
      <c r="C836" s="2" t="str">
        <f>IFERROR(INDEX(Movimientos!$D$2:$D$1998,MATCH(A836&amp;"ENTRADA",Movimientos!$R$2:$R$1998,0)),"-")</f>
        <v>-</v>
      </c>
      <c r="D836" s="2" t="str">
        <f>IFERROR(INDEX(Movimientos!$E$2:$E$1998,MATCH(A836&amp;"ENTRADA",Movimientos!$R$2:$R$1998,0)),"-")</f>
        <v>-</v>
      </c>
      <c r="E836" s="2" t="str">
        <f>IFERROR(INDEX(Movimientos!$F$2:$F$1998,MATCH(A836&amp;"ENTRADA",Movimientos!$R$2:$R$1998,0)),"-")</f>
        <v>-</v>
      </c>
      <c r="F836" s="2" t="str">
        <f>IFERROR(INDEX(Movimientos!$G$2:$G$1998,MATCH(A836&amp;"ENTRADA",Movimientos!$R$2:$R$1998,0)),"-")</f>
        <v>-</v>
      </c>
      <c r="G836" s="2" t="str">
        <f>IFERROR(INDEX(Movimientos!$L$2:$L$1998,MATCH(A836&amp;"ENTRADA",Movimientos!$R$2:$R$1998,0)),"-")</f>
        <v>-</v>
      </c>
      <c r="H836" s="17" t="str">
        <f>IFERROR(IF(INDEX(Movimientos!$M$2:$M$1998,MATCH(A836&amp;"ENTRADA",Movimientos!$R$2:$R$1998,0))=0,"S/D",INDEX(Movimientos!$M$2:$M$1998,MATCH(A836&amp;"ENTRADA",Movimientos!$R$2:$R$1998,0))),"S/D")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 ht="14.25">
      <c r="A837" s="16" t="s">
        <v>3002</v>
      </c>
      <c r="B837" s="2" t="str">
        <f>IFERROR(INDEX(Movimientos!$C$2:$C$1998,MATCH(A837&amp;"ENTRADA",Movimientos!$R$2:$R$1998,0)),"-")</f>
        <v>-</v>
      </c>
      <c r="C837" s="2" t="str">
        <f>IFERROR(INDEX(Movimientos!$D$2:$D$1998,MATCH(A837&amp;"ENTRADA",Movimientos!$R$2:$R$1998,0)),"-")</f>
        <v>-</v>
      </c>
      <c r="D837" s="2" t="str">
        <f>IFERROR(INDEX(Movimientos!$E$2:$E$1998,MATCH(A837&amp;"ENTRADA",Movimientos!$R$2:$R$1998,0)),"-")</f>
        <v>-</v>
      </c>
      <c r="E837" s="2" t="str">
        <f>IFERROR(INDEX(Movimientos!$F$2:$F$1998,MATCH(A837&amp;"ENTRADA",Movimientos!$R$2:$R$1998,0)),"-")</f>
        <v>-</v>
      </c>
      <c r="F837" s="2" t="str">
        <f>IFERROR(INDEX(Movimientos!$G$2:$G$1998,MATCH(A837&amp;"ENTRADA",Movimientos!$R$2:$R$1998,0)),"-")</f>
        <v>-</v>
      </c>
      <c r="G837" s="2" t="str">
        <f>IFERROR(INDEX(Movimientos!$L$2:$L$1998,MATCH(A837&amp;"ENTRADA",Movimientos!$R$2:$R$1998,0)),"-")</f>
        <v>-</v>
      </c>
      <c r="H837" s="17" t="str">
        <f>IFERROR(IF(INDEX(Movimientos!$M$2:$M$1998,MATCH(A837&amp;"ENTRADA",Movimientos!$R$2:$R$1998,0))=0,"S/D",INDEX(Movimientos!$M$2:$M$1998,MATCH(A837&amp;"ENTRADA",Movimientos!$R$2:$R$1998,0))),"S/D")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 ht="14.25">
      <c r="A838" s="16" t="s">
        <v>3003</v>
      </c>
      <c r="B838" s="2" t="str">
        <f>IFERROR(INDEX(Movimientos!$C$2:$C$1998,MATCH(A838&amp;"ENTRADA",Movimientos!$R$2:$R$1998,0)),"-")</f>
        <v>-</v>
      </c>
      <c r="C838" s="2" t="str">
        <f>IFERROR(INDEX(Movimientos!$D$2:$D$1998,MATCH(A838&amp;"ENTRADA",Movimientos!$R$2:$R$1998,0)),"-")</f>
        <v>-</v>
      </c>
      <c r="D838" s="2" t="str">
        <f>IFERROR(INDEX(Movimientos!$E$2:$E$1998,MATCH(A838&amp;"ENTRADA",Movimientos!$R$2:$R$1998,0)),"-")</f>
        <v>-</v>
      </c>
      <c r="E838" s="2" t="str">
        <f>IFERROR(INDEX(Movimientos!$F$2:$F$1998,MATCH(A838&amp;"ENTRADA",Movimientos!$R$2:$R$1998,0)),"-")</f>
        <v>-</v>
      </c>
      <c r="F838" s="2" t="str">
        <f>IFERROR(INDEX(Movimientos!$G$2:$G$1998,MATCH(A838&amp;"ENTRADA",Movimientos!$R$2:$R$1998,0)),"-")</f>
        <v>-</v>
      </c>
      <c r="G838" s="2" t="str">
        <f>IFERROR(INDEX(Movimientos!$L$2:$L$1998,MATCH(A838&amp;"ENTRADA",Movimientos!$R$2:$R$1998,0)),"-")</f>
        <v>-</v>
      </c>
      <c r="H838" s="17" t="str">
        <f>IFERROR(IF(INDEX(Movimientos!$M$2:$M$1998,MATCH(A838&amp;"ENTRADA",Movimientos!$R$2:$R$1998,0))=0,"S/D",INDEX(Movimientos!$M$2:$M$1998,MATCH(A838&amp;"ENTRADA",Movimientos!$R$2:$R$1998,0))),"S/D")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 ht="14.25">
      <c r="A839" s="16" t="s">
        <v>3004</v>
      </c>
      <c r="B839" s="2" t="str">
        <f>IFERROR(INDEX(Movimientos!$C$2:$C$1998,MATCH(A839&amp;"ENTRADA",Movimientos!$R$2:$R$1998,0)),"-")</f>
        <v>-</v>
      </c>
      <c r="C839" s="2" t="str">
        <f>IFERROR(INDEX(Movimientos!$D$2:$D$1998,MATCH(A839&amp;"ENTRADA",Movimientos!$R$2:$R$1998,0)),"-")</f>
        <v>-</v>
      </c>
      <c r="D839" s="2" t="str">
        <f>IFERROR(INDEX(Movimientos!$E$2:$E$1998,MATCH(A839&amp;"ENTRADA",Movimientos!$R$2:$R$1998,0)),"-")</f>
        <v>-</v>
      </c>
      <c r="E839" s="2" t="str">
        <f>IFERROR(INDEX(Movimientos!$F$2:$F$1998,MATCH(A839&amp;"ENTRADA",Movimientos!$R$2:$R$1998,0)),"-")</f>
        <v>-</v>
      </c>
      <c r="F839" s="2" t="str">
        <f>IFERROR(INDEX(Movimientos!$G$2:$G$1998,MATCH(A839&amp;"ENTRADA",Movimientos!$R$2:$R$1998,0)),"-")</f>
        <v>-</v>
      </c>
      <c r="G839" s="2" t="str">
        <f>IFERROR(INDEX(Movimientos!$L$2:$L$1998,MATCH(A839&amp;"ENTRADA",Movimientos!$R$2:$R$1998,0)),"-")</f>
        <v>-</v>
      </c>
      <c r="H839" s="17" t="str">
        <f>IFERROR(IF(INDEX(Movimientos!$M$2:$M$1998,MATCH(A839&amp;"ENTRADA",Movimientos!$R$2:$R$1998,0))=0,"S/D",INDEX(Movimientos!$M$2:$M$1998,MATCH(A839&amp;"ENTRADA",Movimientos!$R$2:$R$1998,0))),"S/D")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 ht="14.25">
      <c r="A840" s="16" t="s">
        <v>3005</v>
      </c>
      <c r="B840" s="2" t="str">
        <f>IFERROR(INDEX(Movimientos!$C$2:$C$1998,MATCH(A840&amp;"ENTRADA",Movimientos!$R$2:$R$1998,0)),"-")</f>
        <v>-</v>
      </c>
      <c r="C840" s="2" t="str">
        <f>IFERROR(INDEX(Movimientos!$D$2:$D$1998,MATCH(A840&amp;"ENTRADA",Movimientos!$R$2:$R$1998,0)),"-")</f>
        <v>-</v>
      </c>
      <c r="D840" s="2" t="str">
        <f>IFERROR(INDEX(Movimientos!$E$2:$E$1998,MATCH(A840&amp;"ENTRADA",Movimientos!$R$2:$R$1998,0)),"-")</f>
        <v>-</v>
      </c>
      <c r="E840" s="2" t="str">
        <f>IFERROR(INDEX(Movimientos!$F$2:$F$1998,MATCH(A840&amp;"ENTRADA",Movimientos!$R$2:$R$1998,0)),"-")</f>
        <v>-</v>
      </c>
      <c r="F840" s="2" t="str">
        <f>IFERROR(INDEX(Movimientos!$G$2:$G$1998,MATCH(A840&amp;"ENTRADA",Movimientos!$R$2:$R$1998,0)),"-")</f>
        <v>-</v>
      </c>
      <c r="G840" s="2" t="str">
        <f>IFERROR(INDEX(Movimientos!$L$2:$L$1998,MATCH(A840&amp;"ENTRADA",Movimientos!$R$2:$R$1998,0)),"-")</f>
        <v>-</v>
      </c>
      <c r="H840" s="17" t="str">
        <f>IFERROR(IF(INDEX(Movimientos!$M$2:$M$1998,MATCH(A840&amp;"ENTRADA",Movimientos!$R$2:$R$1998,0))=0,"S/D",INDEX(Movimientos!$M$2:$M$1998,MATCH(A840&amp;"ENTRADA",Movimientos!$R$2:$R$1998,0))),"S/D")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 ht="14.25">
      <c r="A841" s="16" t="s">
        <v>3006</v>
      </c>
      <c r="B841" s="2" t="str">
        <f>IFERROR(INDEX(Movimientos!$C$2:$C$1998,MATCH(A841&amp;"ENTRADA",Movimientos!$R$2:$R$1998,0)),"-")</f>
        <v>-</v>
      </c>
      <c r="C841" s="2" t="str">
        <f>IFERROR(INDEX(Movimientos!$D$2:$D$1998,MATCH(A841&amp;"ENTRADA",Movimientos!$R$2:$R$1998,0)),"-")</f>
        <v>-</v>
      </c>
      <c r="D841" s="2" t="str">
        <f>IFERROR(INDEX(Movimientos!$E$2:$E$1998,MATCH(A841&amp;"ENTRADA",Movimientos!$R$2:$R$1998,0)),"-")</f>
        <v>-</v>
      </c>
      <c r="E841" s="2" t="str">
        <f>IFERROR(INDEX(Movimientos!$F$2:$F$1998,MATCH(A841&amp;"ENTRADA",Movimientos!$R$2:$R$1998,0)),"-")</f>
        <v>-</v>
      </c>
      <c r="F841" s="2" t="str">
        <f>IFERROR(INDEX(Movimientos!$G$2:$G$1998,MATCH(A841&amp;"ENTRADA",Movimientos!$R$2:$R$1998,0)),"-")</f>
        <v>-</v>
      </c>
      <c r="G841" s="2" t="str">
        <f>IFERROR(INDEX(Movimientos!$L$2:$L$1998,MATCH(A841&amp;"ENTRADA",Movimientos!$R$2:$R$1998,0)),"-")</f>
        <v>-</v>
      </c>
      <c r="H841" s="17" t="str">
        <f>IFERROR(IF(INDEX(Movimientos!$M$2:$M$1998,MATCH(A841&amp;"ENTRADA",Movimientos!$R$2:$R$1998,0))=0,"S/D",INDEX(Movimientos!$M$2:$M$1998,MATCH(A841&amp;"ENTRADA",Movimientos!$R$2:$R$1998,0))),"S/D")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 ht="14.25">
      <c r="A842" s="16" t="s">
        <v>3007</v>
      </c>
      <c r="B842" s="2" t="str">
        <f>IFERROR(INDEX(Movimientos!$C$2:$C$1998,MATCH(A842&amp;"ENTRADA",Movimientos!$R$2:$R$1998,0)),"-")</f>
        <v>-</v>
      </c>
      <c r="C842" s="2" t="str">
        <f>IFERROR(INDEX(Movimientos!$D$2:$D$1998,MATCH(A842&amp;"ENTRADA",Movimientos!$R$2:$R$1998,0)),"-")</f>
        <v>-</v>
      </c>
      <c r="D842" s="2" t="str">
        <f>IFERROR(INDEX(Movimientos!$E$2:$E$1998,MATCH(A842&amp;"ENTRADA",Movimientos!$R$2:$R$1998,0)),"-")</f>
        <v>-</v>
      </c>
      <c r="E842" s="2" t="str">
        <f>IFERROR(INDEX(Movimientos!$F$2:$F$1998,MATCH(A842&amp;"ENTRADA",Movimientos!$R$2:$R$1998,0)),"-")</f>
        <v>-</v>
      </c>
      <c r="F842" s="2" t="str">
        <f>IFERROR(INDEX(Movimientos!$G$2:$G$1998,MATCH(A842&amp;"ENTRADA",Movimientos!$R$2:$R$1998,0)),"-")</f>
        <v>-</v>
      </c>
      <c r="G842" s="2" t="str">
        <f>IFERROR(INDEX(Movimientos!$L$2:$L$1998,MATCH(A842&amp;"ENTRADA",Movimientos!$R$2:$R$1998,0)),"-")</f>
        <v>-</v>
      </c>
      <c r="H842" s="17" t="str">
        <f>IFERROR(IF(INDEX(Movimientos!$M$2:$M$1998,MATCH(A842&amp;"ENTRADA",Movimientos!$R$2:$R$1998,0))=0,"S/D",INDEX(Movimientos!$M$2:$M$1998,MATCH(A842&amp;"ENTRADA",Movimientos!$R$2:$R$1998,0))),"S/D")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 ht="14.25">
      <c r="A843" s="16" t="s">
        <v>3008</v>
      </c>
      <c r="B843" s="2" t="str">
        <f>IFERROR(INDEX(Movimientos!$C$2:$C$1998,MATCH(A843&amp;"ENTRADA",Movimientos!$R$2:$R$1998,0)),"-")</f>
        <v>-</v>
      </c>
      <c r="C843" s="2" t="str">
        <f>IFERROR(INDEX(Movimientos!$D$2:$D$1998,MATCH(A843&amp;"ENTRADA",Movimientos!$R$2:$R$1998,0)),"-")</f>
        <v>-</v>
      </c>
      <c r="D843" s="2" t="str">
        <f>IFERROR(INDEX(Movimientos!$E$2:$E$1998,MATCH(A843&amp;"ENTRADA",Movimientos!$R$2:$R$1998,0)),"-")</f>
        <v>-</v>
      </c>
      <c r="E843" s="2" t="str">
        <f>IFERROR(INDEX(Movimientos!$F$2:$F$1998,MATCH(A843&amp;"ENTRADA",Movimientos!$R$2:$R$1998,0)),"-")</f>
        <v>-</v>
      </c>
      <c r="F843" s="2" t="str">
        <f>IFERROR(INDEX(Movimientos!$G$2:$G$1998,MATCH(A843&amp;"ENTRADA",Movimientos!$R$2:$R$1998,0)),"-")</f>
        <v>-</v>
      </c>
      <c r="G843" s="2" t="str">
        <f>IFERROR(INDEX(Movimientos!$L$2:$L$1998,MATCH(A843&amp;"ENTRADA",Movimientos!$R$2:$R$1998,0)),"-")</f>
        <v>-</v>
      </c>
      <c r="H843" s="17" t="str">
        <f>IFERROR(IF(INDEX(Movimientos!$M$2:$M$1998,MATCH(A843&amp;"ENTRADA",Movimientos!$R$2:$R$1998,0))=0,"S/D",INDEX(Movimientos!$M$2:$M$1998,MATCH(A843&amp;"ENTRADA",Movimientos!$R$2:$R$1998,0))),"S/D")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 ht="14.25">
      <c r="A844" s="16" t="s">
        <v>3009</v>
      </c>
      <c r="B844" s="2" t="str">
        <f>IFERROR(INDEX(Movimientos!$C$2:$C$1998,MATCH(A844&amp;"ENTRADA",Movimientos!$R$2:$R$1998,0)),"-")</f>
        <v>-</v>
      </c>
      <c r="C844" s="2" t="str">
        <f>IFERROR(INDEX(Movimientos!$D$2:$D$1998,MATCH(A844&amp;"ENTRADA",Movimientos!$R$2:$R$1998,0)),"-")</f>
        <v>-</v>
      </c>
      <c r="D844" s="2" t="str">
        <f>IFERROR(INDEX(Movimientos!$E$2:$E$1998,MATCH(A844&amp;"ENTRADA",Movimientos!$R$2:$R$1998,0)),"-")</f>
        <v>-</v>
      </c>
      <c r="E844" s="2" t="str">
        <f>IFERROR(INDEX(Movimientos!$F$2:$F$1998,MATCH(A844&amp;"ENTRADA",Movimientos!$R$2:$R$1998,0)),"-")</f>
        <v>-</v>
      </c>
      <c r="F844" s="2" t="str">
        <f>IFERROR(INDEX(Movimientos!$G$2:$G$1998,MATCH(A844&amp;"ENTRADA",Movimientos!$R$2:$R$1998,0)),"-")</f>
        <v>-</v>
      </c>
      <c r="G844" s="2" t="str">
        <f>IFERROR(INDEX(Movimientos!$L$2:$L$1998,MATCH(A844&amp;"ENTRADA",Movimientos!$R$2:$R$1998,0)),"-")</f>
        <v>-</v>
      </c>
      <c r="H844" s="17" t="str">
        <f>IFERROR(IF(INDEX(Movimientos!$M$2:$M$1998,MATCH(A844&amp;"ENTRADA",Movimientos!$R$2:$R$1998,0))=0,"S/D",INDEX(Movimientos!$M$2:$M$1998,MATCH(A844&amp;"ENTRADA",Movimientos!$R$2:$R$1998,0))),"S/D")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 ht="14.25">
      <c r="A845" s="16" t="s">
        <v>3010</v>
      </c>
      <c r="B845" s="2" t="str">
        <f>IFERROR(INDEX(Movimientos!$C$2:$C$1998,MATCH(A845&amp;"ENTRADA",Movimientos!$R$2:$R$1998,0)),"-")</f>
        <v>-</v>
      </c>
      <c r="C845" s="2" t="str">
        <f>IFERROR(INDEX(Movimientos!$D$2:$D$1998,MATCH(A845&amp;"ENTRADA",Movimientos!$R$2:$R$1998,0)),"-")</f>
        <v>-</v>
      </c>
      <c r="D845" s="2" t="str">
        <f>IFERROR(INDEX(Movimientos!$E$2:$E$1998,MATCH(A845&amp;"ENTRADA",Movimientos!$R$2:$R$1998,0)),"-")</f>
        <v>-</v>
      </c>
      <c r="E845" s="2" t="str">
        <f>IFERROR(INDEX(Movimientos!$F$2:$F$1998,MATCH(A845&amp;"ENTRADA",Movimientos!$R$2:$R$1998,0)),"-")</f>
        <v>-</v>
      </c>
      <c r="F845" s="2" t="str">
        <f>IFERROR(INDEX(Movimientos!$G$2:$G$1998,MATCH(A845&amp;"ENTRADA",Movimientos!$R$2:$R$1998,0)),"-")</f>
        <v>-</v>
      </c>
      <c r="G845" s="2" t="str">
        <f>IFERROR(INDEX(Movimientos!$L$2:$L$1998,MATCH(A845&amp;"ENTRADA",Movimientos!$R$2:$R$1998,0)),"-")</f>
        <v>-</v>
      </c>
      <c r="H845" s="17" t="str">
        <f>IFERROR(IF(INDEX(Movimientos!$M$2:$M$1998,MATCH(A845&amp;"ENTRADA",Movimientos!$R$2:$R$1998,0))=0,"S/D",INDEX(Movimientos!$M$2:$M$1998,MATCH(A845&amp;"ENTRADA",Movimientos!$R$2:$R$1998,0))),"S/D")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 ht="14.25">
      <c r="A846" s="16" t="s">
        <v>3011</v>
      </c>
      <c r="B846" s="2" t="str">
        <f>IFERROR(INDEX(Movimientos!$C$2:$C$1998,MATCH(A846&amp;"ENTRADA",Movimientos!$R$2:$R$1998,0)),"-")</f>
        <v>-</v>
      </c>
      <c r="C846" s="2" t="str">
        <f>IFERROR(INDEX(Movimientos!$D$2:$D$1998,MATCH(A846&amp;"ENTRADA",Movimientos!$R$2:$R$1998,0)),"-")</f>
        <v>-</v>
      </c>
      <c r="D846" s="2" t="str">
        <f>IFERROR(INDEX(Movimientos!$E$2:$E$1998,MATCH(A846&amp;"ENTRADA",Movimientos!$R$2:$R$1998,0)),"-")</f>
        <v>-</v>
      </c>
      <c r="E846" s="2" t="str">
        <f>IFERROR(INDEX(Movimientos!$F$2:$F$1998,MATCH(A846&amp;"ENTRADA",Movimientos!$R$2:$R$1998,0)),"-")</f>
        <v>-</v>
      </c>
      <c r="F846" s="2" t="str">
        <f>IFERROR(INDEX(Movimientos!$G$2:$G$1998,MATCH(A846&amp;"ENTRADA",Movimientos!$R$2:$R$1998,0)),"-")</f>
        <v>-</v>
      </c>
      <c r="G846" s="2" t="str">
        <f>IFERROR(INDEX(Movimientos!$L$2:$L$1998,MATCH(A846&amp;"ENTRADA",Movimientos!$R$2:$R$1998,0)),"-")</f>
        <v>-</v>
      </c>
      <c r="H846" s="17" t="str">
        <f>IFERROR(IF(INDEX(Movimientos!$M$2:$M$1998,MATCH(A846&amp;"ENTRADA",Movimientos!$R$2:$R$1998,0))=0,"S/D",INDEX(Movimientos!$M$2:$M$1998,MATCH(A846&amp;"ENTRADA",Movimientos!$R$2:$R$1998,0))),"S/D")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 ht="14.25">
      <c r="A847" s="16" t="s">
        <v>3012</v>
      </c>
      <c r="B847" s="2" t="str">
        <f>IFERROR(INDEX(Movimientos!$C$2:$C$1998,MATCH(A847&amp;"ENTRADA",Movimientos!$R$2:$R$1998,0)),"-")</f>
        <v>-</v>
      </c>
      <c r="C847" s="2" t="str">
        <f>IFERROR(INDEX(Movimientos!$D$2:$D$1998,MATCH(A847&amp;"ENTRADA",Movimientos!$R$2:$R$1998,0)),"-")</f>
        <v>-</v>
      </c>
      <c r="D847" s="2" t="str">
        <f>IFERROR(INDEX(Movimientos!$E$2:$E$1998,MATCH(A847&amp;"ENTRADA",Movimientos!$R$2:$R$1998,0)),"-")</f>
        <v>-</v>
      </c>
      <c r="E847" s="2" t="str">
        <f>IFERROR(INDEX(Movimientos!$F$2:$F$1998,MATCH(A847&amp;"ENTRADA",Movimientos!$R$2:$R$1998,0)),"-")</f>
        <v>-</v>
      </c>
      <c r="F847" s="2" t="str">
        <f>IFERROR(INDEX(Movimientos!$G$2:$G$1998,MATCH(A847&amp;"ENTRADA",Movimientos!$R$2:$R$1998,0)),"-")</f>
        <v>-</v>
      </c>
      <c r="G847" s="2" t="str">
        <f>IFERROR(INDEX(Movimientos!$L$2:$L$1998,MATCH(A847&amp;"ENTRADA",Movimientos!$R$2:$R$1998,0)),"-")</f>
        <v>-</v>
      </c>
      <c r="H847" s="17" t="str">
        <f>IFERROR(IF(INDEX(Movimientos!$M$2:$M$1998,MATCH(A847&amp;"ENTRADA",Movimientos!$R$2:$R$1998,0))=0,"S/D",INDEX(Movimientos!$M$2:$M$1998,MATCH(A847&amp;"ENTRADA",Movimientos!$R$2:$R$1998,0))),"S/D")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 ht="14.25">
      <c r="A848" s="16" t="s">
        <v>3013</v>
      </c>
      <c r="B848" s="2" t="str">
        <f>IFERROR(INDEX(Movimientos!$C$2:$C$1998,MATCH(A848&amp;"ENTRADA",Movimientos!$R$2:$R$1998,0)),"-")</f>
        <v>-</v>
      </c>
      <c r="C848" s="2" t="str">
        <f>IFERROR(INDEX(Movimientos!$D$2:$D$1998,MATCH(A848&amp;"ENTRADA",Movimientos!$R$2:$R$1998,0)),"-")</f>
        <v>-</v>
      </c>
      <c r="D848" s="2" t="str">
        <f>IFERROR(INDEX(Movimientos!$E$2:$E$1998,MATCH(A848&amp;"ENTRADA",Movimientos!$R$2:$R$1998,0)),"-")</f>
        <v>-</v>
      </c>
      <c r="E848" s="2" t="str">
        <f>IFERROR(INDEX(Movimientos!$F$2:$F$1998,MATCH(A848&amp;"ENTRADA",Movimientos!$R$2:$R$1998,0)),"-")</f>
        <v>-</v>
      </c>
      <c r="F848" s="2" t="str">
        <f>IFERROR(INDEX(Movimientos!$G$2:$G$1998,MATCH(A848&amp;"ENTRADA",Movimientos!$R$2:$R$1998,0)),"-")</f>
        <v>-</v>
      </c>
      <c r="G848" s="2" t="str">
        <f>IFERROR(INDEX(Movimientos!$L$2:$L$1998,MATCH(A848&amp;"ENTRADA",Movimientos!$R$2:$R$1998,0)),"-")</f>
        <v>-</v>
      </c>
      <c r="H848" s="17" t="str">
        <f>IFERROR(IF(INDEX(Movimientos!$M$2:$M$1998,MATCH(A848&amp;"ENTRADA",Movimientos!$R$2:$R$1998,0))=0,"S/D",INDEX(Movimientos!$M$2:$M$1998,MATCH(A848&amp;"ENTRADA",Movimientos!$R$2:$R$1998,0))),"S/D")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 ht="14.25">
      <c r="A849" s="16" t="s">
        <v>3014</v>
      </c>
      <c r="B849" s="2" t="str">
        <f>IFERROR(INDEX(Movimientos!$C$2:$C$1998,MATCH(A849&amp;"ENTRADA",Movimientos!$R$2:$R$1998,0)),"-")</f>
        <v>-</v>
      </c>
      <c r="C849" s="2" t="str">
        <f>IFERROR(INDEX(Movimientos!$D$2:$D$1998,MATCH(A849&amp;"ENTRADA",Movimientos!$R$2:$R$1998,0)),"-")</f>
        <v>-</v>
      </c>
      <c r="D849" s="2" t="str">
        <f>IFERROR(INDEX(Movimientos!$E$2:$E$1998,MATCH(A849&amp;"ENTRADA",Movimientos!$R$2:$R$1998,0)),"-")</f>
        <v>-</v>
      </c>
      <c r="E849" s="2" t="str">
        <f>IFERROR(INDEX(Movimientos!$F$2:$F$1998,MATCH(A849&amp;"ENTRADA",Movimientos!$R$2:$R$1998,0)),"-")</f>
        <v>-</v>
      </c>
      <c r="F849" s="2" t="str">
        <f>IFERROR(INDEX(Movimientos!$G$2:$G$1998,MATCH(A849&amp;"ENTRADA",Movimientos!$R$2:$R$1998,0)),"-")</f>
        <v>-</v>
      </c>
      <c r="G849" s="2" t="str">
        <f>IFERROR(INDEX(Movimientos!$L$2:$L$1998,MATCH(A849&amp;"ENTRADA",Movimientos!$R$2:$R$1998,0)),"-")</f>
        <v>-</v>
      </c>
      <c r="H849" s="17" t="str">
        <f>IFERROR(IF(INDEX(Movimientos!$M$2:$M$1998,MATCH(A849&amp;"ENTRADA",Movimientos!$R$2:$R$1998,0))=0,"S/D",INDEX(Movimientos!$M$2:$M$1998,MATCH(A849&amp;"ENTRADA",Movimientos!$R$2:$R$1998,0))),"S/D")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 ht="14.25">
      <c r="A850" s="16" t="s">
        <v>3015</v>
      </c>
      <c r="B850" s="2" t="str">
        <f>IFERROR(INDEX(Movimientos!$C$2:$C$1998,MATCH(A850&amp;"ENTRADA",Movimientos!$R$2:$R$1998,0)),"-")</f>
        <v>-</v>
      </c>
      <c r="C850" s="2" t="str">
        <f>IFERROR(INDEX(Movimientos!$D$2:$D$1998,MATCH(A850&amp;"ENTRADA",Movimientos!$R$2:$R$1998,0)),"-")</f>
        <v>-</v>
      </c>
      <c r="D850" s="2" t="str">
        <f>IFERROR(INDEX(Movimientos!$E$2:$E$1998,MATCH(A850&amp;"ENTRADA",Movimientos!$R$2:$R$1998,0)),"-")</f>
        <v>-</v>
      </c>
      <c r="E850" s="2" t="str">
        <f>IFERROR(INDEX(Movimientos!$F$2:$F$1998,MATCH(A850&amp;"ENTRADA",Movimientos!$R$2:$R$1998,0)),"-")</f>
        <v>-</v>
      </c>
      <c r="F850" s="2" t="str">
        <f>IFERROR(INDEX(Movimientos!$G$2:$G$1998,MATCH(A850&amp;"ENTRADA",Movimientos!$R$2:$R$1998,0)),"-")</f>
        <v>-</v>
      </c>
      <c r="G850" s="2" t="str">
        <f>IFERROR(INDEX(Movimientos!$L$2:$L$1998,MATCH(A850&amp;"ENTRADA",Movimientos!$R$2:$R$1998,0)),"-")</f>
        <v>-</v>
      </c>
      <c r="H850" s="17" t="str">
        <f>IFERROR(IF(INDEX(Movimientos!$M$2:$M$1998,MATCH(A850&amp;"ENTRADA",Movimientos!$R$2:$R$1998,0))=0,"S/D",INDEX(Movimientos!$M$2:$M$1998,MATCH(A850&amp;"ENTRADA",Movimientos!$R$2:$R$1998,0))),"S/D")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 ht="14.25">
      <c r="A851" s="16" t="s">
        <v>3016</v>
      </c>
      <c r="B851" s="2" t="str">
        <f>IFERROR(INDEX(Movimientos!$C$2:$C$1998,MATCH(A851&amp;"ENTRADA",Movimientos!$R$2:$R$1998,0)),"-")</f>
        <v>-</v>
      </c>
      <c r="C851" s="2" t="str">
        <f>IFERROR(INDEX(Movimientos!$D$2:$D$1998,MATCH(A851&amp;"ENTRADA",Movimientos!$R$2:$R$1998,0)),"-")</f>
        <v>-</v>
      </c>
      <c r="D851" s="2" t="str">
        <f>IFERROR(INDEX(Movimientos!$E$2:$E$1998,MATCH(A851&amp;"ENTRADA",Movimientos!$R$2:$R$1998,0)),"-")</f>
        <v>-</v>
      </c>
      <c r="E851" s="2" t="str">
        <f>IFERROR(INDEX(Movimientos!$F$2:$F$1998,MATCH(A851&amp;"ENTRADA",Movimientos!$R$2:$R$1998,0)),"-")</f>
        <v>-</v>
      </c>
      <c r="F851" s="2" t="str">
        <f>IFERROR(INDEX(Movimientos!$G$2:$G$1998,MATCH(A851&amp;"ENTRADA",Movimientos!$R$2:$R$1998,0)),"-")</f>
        <v>-</v>
      </c>
      <c r="G851" s="2" t="str">
        <f>IFERROR(INDEX(Movimientos!$L$2:$L$1998,MATCH(A851&amp;"ENTRADA",Movimientos!$R$2:$R$1998,0)),"-")</f>
        <v>-</v>
      </c>
      <c r="H851" s="17" t="str">
        <f>IFERROR(IF(INDEX(Movimientos!$M$2:$M$1998,MATCH(A851&amp;"ENTRADA",Movimientos!$R$2:$R$1998,0))=0,"S/D",INDEX(Movimientos!$M$2:$M$1998,MATCH(A851&amp;"ENTRADA",Movimientos!$R$2:$R$1998,0))),"S/D")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 ht="14.25">
      <c r="A852" s="16" t="s">
        <v>3017</v>
      </c>
      <c r="B852" s="2" t="str">
        <f>IFERROR(INDEX(Movimientos!$C$2:$C$1998,MATCH(A852&amp;"ENTRADA",Movimientos!$R$2:$R$1998,0)),"-")</f>
        <v>-</v>
      </c>
      <c r="C852" s="2" t="str">
        <f>IFERROR(INDEX(Movimientos!$D$2:$D$1998,MATCH(A852&amp;"ENTRADA",Movimientos!$R$2:$R$1998,0)),"-")</f>
        <v>-</v>
      </c>
      <c r="D852" s="2" t="str">
        <f>IFERROR(INDEX(Movimientos!$E$2:$E$1998,MATCH(A852&amp;"ENTRADA",Movimientos!$R$2:$R$1998,0)),"-")</f>
        <v>-</v>
      </c>
      <c r="E852" s="2" t="str">
        <f>IFERROR(INDEX(Movimientos!$F$2:$F$1998,MATCH(A852&amp;"ENTRADA",Movimientos!$R$2:$R$1998,0)),"-")</f>
        <v>-</v>
      </c>
      <c r="F852" s="2" t="str">
        <f>IFERROR(INDEX(Movimientos!$G$2:$G$1998,MATCH(A852&amp;"ENTRADA",Movimientos!$R$2:$R$1998,0)),"-")</f>
        <v>-</v>
      </c>
      <c r="G852" s="2" t="str">
        <f>IFERROR(INDEX(Movimientos!$L$2:$L$1998,MATCH(A852&amp;"ENTRADA",Movimientos!$R$2:$R$1998,0)),"-")</f>
        <v>-</v>
      </c>
      <c r="H852" s="17" t="str">
        <f>IFERROR(IF(INDEX(Movimientos!$M$2:$M$1998,MATCH(A852&amp;"ENTRADA",Movimientos!$R$2:$R$1998,0))=0,"S/D",INDEX(Movimientos!$M$2:$M$1998,MATCH(A852&amp;"ENTRADA",Movimientos!$R$2:$R$1998,0))),"S/D")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 ht="14.25">
      <c r="A853" s="16" t="s">
        <v>3018</v>
      </c>
      <c r="B853" s="2" t="str">
        <f>IFERROR(INDEX(Movimientos!$C$2:$C$1998,MATCH(A853&amp;"ENTRADA",Movimientos!$R$2:$R$1998,0)),"-")</f>
        <v>-</v>
      </c>
      <c r="C853" s="2" t="str">
        <f>IFERROR(INDEX(Movimientos!$D$2:$D$1998,MATCH(A853&amp;"ENTRADA",Movimientos!$R$2:$R$1998,0)),"-")</f>
        <v>-</v>
      </c>
      <c r="D853" s="2" t="str">
        <f>IFERROR(INDEX(Movimientos!$E$2:$E$1998,MATCH(A853&amp;"ENTRADA",Movimientos!$R$2:$R$1998,0)),"-")</f>
        <v>-</v>
      </c>
      <c r="E853" s="2" t="str">
        <f>IFERROR(INDEX(Movimientos!$F$2:$F$1998,MATCH(A853&amp;"ENTRADA",Movimientos!$R$2:$R$1998,0)),"-")</f>
        <v>-</v>
      </c>
      <c r="F853" s="2" t="str">
        <f>IFERROR(INDEX(Movimientos!$G$2:$G$1998,MATCH(A853&amp;"ENTRADA",Movimientos!$R$2:$R$1998,0)),"-")</f>
        <v>-</v>
      </c>
      <c r="G853" s="2" t="str">
        <f>IFERROR(INDEX(Movimientos!$L$2:$L$1998,MATCH(A853&amp;"ENTRADA",Movimientos!$R$2:$R$1998,0)),"-")</f>
        <v>-</v>
      </c>
      <c r="H853" s="17" t="str">
        <f>IFERROR(IF(INDEX(Movimientos!$M$2:$M$1998,MATCH(A853&amp;"ENTRADA",Movimientos!$R$2:$R$1998,0))=0,"S/D",INDEX(Movimientos!$M$2:$M$1998,MATCH(A853&amp;"ENTRADA",Movimientos!$R$2:$R$1998,0))),"S/D")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 ht="14.25">
      <c r="A854" s="16" t="s">
        <v>3019</v>
      </c>
      <c r="B854" s="2" t="str">
        <f>IFERROR(INDEX(Movimientos!$C$2:$C$1998,MATCH(A854&amp;"ENTRADA",Movimientos!$R$2:$R$1998,0)),"-")</f>
        <v>-</v>
      </c>
      <c r="C854" s="2" t="str">
        <f>IFERROR(INDEX(Movimientos!$D$2:$D$1998,MATCH(A854&amp;"ENTRADA",Movimientos!$R$2:$R$1998,0)),"-")</f>
        <v>-</v>
      </c>
      <c r="D854" s="2" t="str">
        <f>IFERROR(INDEX(Movimientos!$E$2:$E$1998,MATCH(A854&amp;"ENTRADA",Movimientos!$R$2:$R$1998,0)),"-")</f>
        <v>-</v>
      </c>
      <c r="E854" s="2" t="str">
        <f>IFERROR(INDEX(Movimientos!$F$2:$F$1998,MATCH(A854&amp;"ENTRADA",Movimientos!$R$2:$R$1998,0)),"-")</f>
        <v>-</v>
      </c>
      <c r="F854" s="2" t="str">
        <f>IFERROR(INDEX(Movimientos!$G$2:$G$1998,MATCH(A854&amp;"ENTRADA",Movimientos!$R$2:$R$1998,0)),"-")</f>
        <v>-</v>
      </c>
      <c r="G854" s="2" t="str">
        <f>IFERROR(INDEX(Movimientos!$L$2:$L$1998,MATCH(A854&amp;"ENTRADA",Movimientos!$R$2:$R$1998,0)),"-")</f>
        <v>-</v>
      </c>
      <c r="H854" s="17" t="str">
        <f>IFERROR(IF(INDEX(Movimientos!$M$2:$M$1998,MATCH(A854&amp;"ENTRADA",Movimientos!$R$2:$R$1998,0))=0,"S/D",INDEX(Movimientos!$M$2:$M$1998,MATCH(A854&amp;"ENTRADA",Movimientos!$R$2:$R$1998,0))),"S/D")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 ht="14.25">
      <c r="A855" s="16" t="s">
        <v>3020</v>
      </c>
      <c r="B855" s="2" t="str">
        <f>IFERROR(INDEX(Movimientos!$C$2:$C$1998,MATCH(A855&amp;"ENTRADA",Movimientos!$R$2:$R$1998,0)),"-")</f>
        <v>-</v>
      </c>
      <c r="C855" s="2" t="str">
        <f>IFERROR(INDEX(Movimientos!$D$2:$D$1998,MATCH(A855&amp;"ENTRADA",Movimientos!$R$2:$R$1998,0)),"-")</f>
        <v>-</v>
      </c>
      <c r="D855" s="2" t="str">
        <f>IFERROR(INDEX(Movimientos!$E$2:$E$1998,MATCH(A855&amp;"ENTRADA",Movimientos!$R$2:$R$1998,0)),"-")</f>
        <v>-</v>
      </c>
      <c r="E855" s="2" t="str">
        <f>IFERROR(INDEX(Movimientos!$F$2:$F$1998,MATCH(A855&amp;"ENTRADA",Movimientos!$R$2:$R$1998,0)),"-")</f>
        <v>-</v>
      </c>
      <c r="F855" s="2" t="str">
        <f>IFERROR(INDEX(Movimientos!$G$2:$G$1998,MATCH(A855&amp;"ENTRADA",Movimientos!$R$2:$R$1998,0)),"-")</f>
        <v>-</v>
      </c>
      <c r="G855" s="2" t="str">
        <f>IFERROR(INDEX(Movimientos!$L$2:$L$1998,MATCH(A855&amp;"ENTRADA",Movimientos!$R$2:$R$1998,0)),"-")</f>
        <v>-</v>
      </c>
      <c r="H855" s="17" t="str">
        <f>IFERROR(IF(INDEX(Movimientos!$M$2:$M$1998,MATCH(A855&amp;"ENTRADA",Movimientos!$R$2:$R$1998,0))=0,"S/D",INDEX(Movimientos!$M$2:$M$1998,MATCH(A855&amp;"ENTRADA",Movimientos!$R$2:$R$1998,0))),"S/D")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 ht="14.25">
      <c r="A856" s="16" t="s">
        <v>3021</v>
      </c>
      <c r="B856" s="2" t="str">
        <f>IFERROR(INDEX(Movimientos!$C$2:$C$1998,MATCH(A856&amp;"ENTRADA",Movimientos!$R$2:$R$1998,0)),"-")</f>
        <v>-</v>
      </c>
      <c r="C856" s="2" t="str">
        <f>IFERROR(INDEX(Movimientos!$D$2:$D$1998,MATCH(A856&amp;"ENTRADA",Movimientos!$R$2:$R$1998,0)),"-")</f>
        <v>-</v>
      </c>
      <c r="D856" s="2" t="str">
        <f>IFERROR(INDEX(Movimientos!$E$2:$E$1998,MATCH(A856&amp;"ENTRADA",Movimientos!$R$2:$R$1998,0)),"-")</f>
        <v>-</v>
      </c>
      <c r="E856" s="2" t="str">
        <f>IFERROR(INDEX(Movimientos!$F$2:$F$1998,MATCH(A856&amp;"ENTRADA",Movimientos!$R$2:$R$1998,0)),"-")</f>
        <v>-</v>
      </c>
      <c r="F856" s="2" t="str">
        <f>IFERROR(INDEX(Movimientos!$G$2:$G$1998,MATCH(A856&amp;"ENTRADA",Movimientos!$R$2:$R$1998,0)),"-")</f>
        <v>-</v>
      </c>
      <c r="G856" s="2" t="str">
        <f>IFERROR(INDEX(Movimientos!$L$2:$L$1998,MATCH(A856&amp;"ENTRADA",Movimientos!$R$2:$R$1998,0)),"-")</f>
        <v>-</v>
      </c>
      <c r="H856" s="17" t="str">
        <f>IFERROR(IF(INDEX(Movimientos!$M$2:$M$1998,MATCH(A856&amp;"ENTRADA",Movimientos!$R$2:$R$1998,0))=0,"S/D",INDEX(Movimientos!$M$2:$M$1998,MATCH(A856&amp;"ENTRADA",Movimientos!$R$2:$R$1998,0))),"S/D")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 ht="14.25">
      <c r="A857" s="16" t="s">
        <v>3022</v>
      </c>
      <c r="B857" s="2" t="str">
        <f>IFERROR(INDEX(Movimientos!$C$2:$C$1998,MATCH(A857&amp;"ENTRADA",Movimientos!$R$2:$R$1998,0)),"-")</f>
        <v>-</v>
      </c>
      <c r="C857" s="2" t="str">
        <f>IFERROR(INDEX(Movimientos!$D$2:$D$1998,MATCH(A857&amp;"ENTRADA",Movimientos!$R$2:$R$1998,0)),"-")</f>
        <v>-</v>
      </c>
      <c r="D857" s="2" t="str">
        <f>IFERROR(INDEX(Movimientos!$E$2:$E$1998,MATCH(A857&amp;"ENTRADA",Movimientos!$R$2:$R$1998,0)),"-")</f>
        <v>-</v>
      </c>
      <c r="E857" s="2" t="str">
        <f>IFERROR(INDEX(Movimientos!$F$2:$F$1998,MATCH(A857&amp;"ENTRADA",Movimientos!$R$2:$R$1998,0)),"-")</f>
        <v>-</v>
      </c>
      <c r="F857" s="2" t="str">
        <f>IFERROR(INDEX(Movimientos!$G$2:$G$1998,MATCH(A857&amp;"ENTRADA",Movimientos!$R$2:$R$1998,0)),"-")</f>
        <v>-</v>
      </c>
      <c r="G857" s="2" t="str">
        <f>IFERROR(INDEX(Movimientos!$L$2:$L$1998,MATCH(A857&amp;"ENTRADA",Movimientos!$R$2:$R$1998,0)),"-")</f>
        <v>-</v>
      </c>
      <c r="H857" s="17" t="str">
        <f>IFERROR(IF(INDEX(Movimientos!$M$2:$M$1998,MATCH(A857&amp;"ENTRADA",Movimientos!$R$2:$R$1998,0))=0,"S/D",INDEX(Movimientos!$M$2:$M$1998,MATCH(A857&amp;"ENTRADA",Movimientos!$R$2:$R$1998,0))),"S/D")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 ht="14.25">
      <c r="A858" s="16" t="s">
        <v>3023</v>
      </c>
      <c r="B858" s="2" t="str">
        <f>IFERROR(INDEX(Movimientos!$C$2:$C$1998,MATCH(A858&amp;"ENTRADA",Movimientos!$R$2:$R$1998,0)),"-")</f>
        <v>-</v>
      </c>
      <c r="C858" s="2" t="str">
        <f>IFERROR(INDEX(Movimientos!$D$2:$D$1998,MATCH(A858&amp;"ENTRADA",Movimientos!$R$2:$R$1998,0)),"-")</f>
        <v>-</v>
      </c>
      <c r="D858" s="2" t="str">
        <f>IFERROR(INDEX(Movimientos!$E$2:$E$1998,MATCH(A858&amp;"ENTRADA",Movimientos!$R$2:$R$1998,0)),"-")</f>
        <v>-</v>
      </c>
      <c r="E858" s="2" t="str">
        <f>IFERROR(INDEX(Movimientos!$F$2:$F$1998,MATCH(A858&amp;"ENTRADA",Movimientos!$R$2:$R$1998,0)),"-")</f>
        <v>-</v>
      </c>
      <c r="F858" s="2" t="str">
        <f>IFERROR(INDEX(Movimientos!$G$2:$G$1998,MATCH(A858&amp;"ENTRADA",Movimientos!$R$2:$R$1998,0)),"-")</f>
        <v>-</v>
      </c>
      <c r="G858" s="2" t="str">
        <f>IFERROR(INDEX(Movimientos!$L$2:$L$1998,MATCH(A858&amp;"ENTRADA",Movimientos!$R$2:$R$1998,0)),"-")</f>
        <v>-</v>
      </c>
      <c r="H858" s="17" t="str">
        <f>IFERROR(IF(INDEX(Movimientos!$M$2:$M$1998,MATCH(A858&amp;"ENTRADA",Movimientos!$R$2:$R$1998,0))=0,"S/D",INDEX(Movimientos!$M$2:$M$1998,MATCH(A858&amp;"ENTRADA",Movimientos!$R$2:$R$1998,0))),"S/D")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 ht="14.25">
      <c r="A859" s="16" t="s">
        <v>3024</v>
      </c>
      <c r="B859" s="2" t="str">
        <f>IFERROR(INDEX(Movimientos!$C$2:$C$1998,MATCH(A859&amp;"ENTRADA",Movimientos!$R$2:$R$1998,0)),"-")</f>
        <v>-</v>
      </c>
      <c r="C859" s="2" t="str">
        <f>IFERROR(INDEX(Movimientos!$D$2:$D$1998,MATCH(A859&amp;"ENTRADA",Movimientos!$R$2:$R$1998,0)),"-")</f>
        <v>-</v>
      </c>
      <c r="D859" s="2" t="str">
        <f>IFERROR(INDEX(Movimientos!$E$2:$E$1998,MATCH(A859&amp;"ENTRADA",Movimientos!$R$2:$R$1998,0)),"-")</f>
        <v>-</v>
      </c>
      <c r="E859" s="2" t="str">
        <f>IFERROR(INDEX(Movimientos!$F$2:$F$1998,MATCH(A859&amp;"ENTRADA",Movimientos!$R$2:$R$1998,0)),"-")</f>
        <v>-</v>
      </c>
      <c r="F859" s="2" t="str">
        <f>IFERROR(INDEX(Movimientos!$G$2:$G$1998,MATCH(A859&amp;"ENTRADA",Movimientos!$R$2:$R$1998,0)),"-")</f>
        <v>-</v>
      </c>
      <c r="G859" s="2" t="str">
        <f>IFERROR(INDEX(Movimientos!$L$2:$L$1998,MATCH(A859&amp;"ENTRADA",Movimientos!$R$2:$R$1998,0)),"-")</f>
        <v>-</v>
      </c>
      <c r="H859" s="17" t="str">
        <f>IFERROR(IF(INDEX(Movimientos!$M$2:$M$1998,MATCH(A859&amp;"ENTRADA",Movimientos!$R$2:$R$1998,0))=0,"S/D",INDEX(Movimientos!$M$2:$M$1998,MATCH(A859&amp;"ENTRADA",Movimientos!$R$2:$R$1998,0))),"S/D")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 ht="14.25">
      <c r="A860" s="16" t="s">
        <v>3025</v>
      </c>
      <c r="B860" s="2" t="str">
        <f>IFERROR(INDEX(Movimientos!$C$2:$C$1998,MATCH(A860&amp;"ENTRADA",Movimientos!$R$2:$R$1998,0)),"-")</f>
        <v>-</v>
      </c>
      <c r="C860" s="2" t="str">
        <f>IFERROR(INDEX(Movimientos!$D$2:$D$1998,MATCH(A860&amp;"ENTRADA",Movimientos!$R$2:$R$1998,0)),"-")</f>
        <v>-</v>
      </c>
      <c r="D860" s="2" t="str">
        <f>IFERROR(INDEX(Movimientos!$E$2:$E$1998,MATCH(A860&amp;"ENTRADA",Movimientos!$R$2:$R$1998,0)),"-")</f>
        <v>-</v>
      </c>
      <c r="E860" s="2" t="str">
        <f>IFERROR(INDEX(Movimientos!$F$2:$F$1998,MATCH(A860&amp;"ENTRADA",Movimientos!$R$2:$R$1998,0)),"-")</f>
        <v>-</v>
      </c>
      <c r="F860" s="2" t="str">
        <f>IFERROR(INDEX(Movimientos!$G$2:$G$1998,MATCH(A860&amp;"ENTRADA",Movimientos!$R$2:$R$1998,0)),"-")</f>
        <v>-</v>
      </c>
      <c r="G860" s="2" t="str">
        <f>IFERROR(INDEX(Movimientos!$L$2:$L$1998,MATCH(A860&amp;"ENTRADA",Movimientos!$R$2:$R$1998,0)),"-")</f>
        <v>-</v>
      </c>
      <c r="H860" s="17" t="str">
        <f>IFERROR(IF(INDEX(Movimientos!$M$2:$M$1998,MATCH(A860&amp;"ENTRADA",Movimientos!$R$2:$R$1998,0))=0,"S/D",INDEX(Movimientos!$M$2:$M$1998,MATCH(A860&amp;"ENTRADA",Movimientos!$R$2:$R$1998,0))),"S/D")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 ht="14.25">
      <c r="A861" s="16" t="s">
        <v>3026</v>
      </c>
      <c r="B861" s="2" t="str">
        <f>IFERROR(INDEX(Movimientos!$C$2:$C$1998,MATCH(A861&amp;"ENTRADA",Movimientos!$R$2:$R$1998,0)),"-")</f>
        <v>-</v>
      </c>
      <c r="C861" s="2" t="str">
        <f>IFERROR(INDEX(Movimientos!$D$2:$D$1998,MATCH(A861&amp;"ENTRADA",Movimientos!$R$2:$R$1998,0)),"-")</f>
        <v>-</v>
      </c>
      <c r="D861" s="2" t="str">
        <f>IFERROR(INDEX(Movimientos!$E$2:$E$1998,MATCH(A861&amp;"ENTRADA",Movimientos!$R$2:$R$1998,0)),"-")</f>
        <v>-</v>
      </c>
      <c r="E861" s="2" t="str">
        <f>IFERROR(INDEX(Movimientos!$F$2:$F$1998,MATCH(A861&amp;"ENTRADA",Movimientos!$R$2:$R$1998,0)),"-")</f>
        <v>-</v>
      </c>
      <c r="F861" s="2" t="str">
        <f>IFERROR(INDEX(Movimientos!$G$2:$G$1998,MATCH(A861&amp;"ENTRADA",Movimientos!$R$2:$R$1998,0)),"-")</f>
        <v>-</v>
      </c>
      <c r="G861" s="2" t="str">
        <f>IFERROR(INDEX(Movimientos!$L$2:$L$1998,MATCH(A861&amp;"ENTRADA",Movimientos!$R$2:$R$1998,0)),"-")</f>
        <v>-</v>
      </c>
      <c r="H861" s="17" t="str">
        <f>IFERROR(IF(INDEX(Movimientos!$M$2:$M$1998,MATCH(A861&amp;"ENTRADA",Movimientos!$R$2:$R$1998,0))=0,"S/D",INDEX(Movimientos!$M$2:$M$1998,MATCH(A861&amp;"ENTRADA",Movimientos!$R$2:$R$1998,0))),"S/D")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 ht="14.25">
      <c r="A862" s="16" t="s">
        <v>3027</v>
      </c>
      <c r="B862" s="2" t="str">
        <f>IFERROR(INDEX(Movimientos!$C$2:$C$1998,MATCH(A862&amp;"ENTRADA",Movimientos!$R$2:$R$1998,0)),"-")</f>
        <v>-</v>
      </c>
      <c r="C862" s="2" t="str">
        <f>IFERROR(INDEX(Movimientos!$D$2:$D$1998,MATCH(A862&amp;"ENTRADA",Movimientos!$R$2:$R$1998,0)),"-")</f>
        <v>-</v>
      </c>
      <c r="D862" s="2" t="str">
        <f>IFERROR(INDEX(Movimientos!$E$2:$E$1998,MATCH(A862&amp;"ENTRADA",Movimientos!$R$2:$R$1998,0)),"-")</f>
        <v>-</v>
      </c>
      <c r="E862" s="2" t="str">
        <f>IFERROR(INDEX(Movimientos!$F$2:$F$1998,MATCH(A862&amp;"ENTRADA",Movimientos!$R$2:$R$1998,0)),"-")</f>
        <v>-</v>
      </c>
      <c r="F862" s="2" t="str">
        <f>IFERROR(INDEX(Movimientos!$G$2:$G$1998,MATCH(A862&amp;"ENTRADA",Movimientos!$R$2:$R$1998,0)),"-")</f>
        <v>-</v>
      </c>
      <c r="G862" s="2" t="str">
        <f>IFERROR(INDEX(Movimientos!$L$2:$L$1998,MATCH(A862&amp;"ENTRADA",Movimientos!$R$2:$R$1998,0)),"-")</f>
        <v>-</v>
      </c>
      <c r="H862" s="17" t="str">
        <f>IFERROR(IF(INDEX(Movimientos!$M$2:$M$1998,MATCH(A862&amp;"ENTRADA",Movimientos!$R$2:$R$1998,0))=0,"S/D",INDEX(Movimientos!$M$2:$M$1998,MATCH(A862&amp;"ENTRADA",Movimientos!$R$2:$R$1998,0))),"S/D")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 ht="14.25">
      <c r="A863" s="16" t="s">
        <v>3028</v>
      </c>
      <c r="B863" s="2" t="str">
        <f>IFERROR(INDEX(Movimientos!$C$2:$C$1998,MATCH(A863&amp;"ENTRADA",Movimientos!$R$2:$R$1998,0)),"-")</f>
        <v>-</v>
      </c>
      <c r="C863" s="2" t="str">
        <f>IFERROR(INDEX(Movimientos!$D$2:$D$1998,MATCH(A863&amp;"ENTRADA",Movimientos!$R$2:$R$1998,0)),"-")</f>
        <v>-</v>
      </c>
      <c r="D863" s="2" t="str">
        <f>IFERROR(INDEX(Movimientos!$E$2:$E$1998,MATCH(A863&amp;"ENTRADA",Movimientos!$R$2:$R$1998,0)),"-")</f>
        <v>-</v>
      </c>
      <c r="E863" s="2" t="str">
        <f>IFERROR(INDEX(Movimientos!$F$2:$F$1998,MATCH(A863&amp;"ENTRADA",Movimientos!$R$2:$R$1998,0)),"-")</f>
        <v>-</v>
      </c>
      <c r="F863" s="2" t="str">
        <f>IFERROR(INDEX(Movimientos!$G$2:$G$1998,MATCH(A863&amp;"ENTRADA",Movimientos!$R$2:$R$1998,0)),"-")</f>
        <v>-</v>
      </c>
      <c r="G863" s="2" t="str">
        <f>IFERROR(INDEX(Movimientos!$L$2:$L$1998,MATCH(A863&amp;"ENTRADA",Movimientos!$R$2:$R$1998,0)),"-")</f>
        <v>-</v>
      </c>
      <c r="H863" s="17" t="str">
        <f>IFERROR(IF(INDEX(Movimientos!$M$2:$M$1998,MATCH(A863&amp;"ENTRADA",Movimientos!$R$2:$R$1998,0))=0,"S/D",INDEX(Movimientos!$M$2:$M$1998,MATCH(A863&amp;"ENTRADA",Movimientos!$R$2:$R$1998,0))),"S/D")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 ht="14.25">
      <c r="A864" s="16" t="s">
        <v>3029</v>
      </c>
      <c r="B864" s="2" t="str">
        <f>IFERROR(INDEX(Movimientos!$C$2:$C$1998,MATCH(A864&amp;"ENTRADA",Movimientos!$R$2:$R$1998,0)),"-")</f>
        <v>-</v>
      </c>
      <c r="C864" s="2" t="str">
        <f>IFERROR(INDEX(Movimientos!$D$2:$D$1998,MATCH(A864&amp;"ENTRADA",Movimientos!$R$2:$R$1998,0)),"-")</f>
        <v>-</v>
      </c>
      <c r="D864" s="2" t="str">
        <f>IFERROR(INDEX(Movimientos!$E$2:$E$1998,MATCH(A864&amp;"ENTRADA",Movimientos!$R$2:$R$1998,0)),"-")</f>
        <v>-</v>
      </c>
      <c r="E864" s="2" t="str">
        <f>IFERROR(INDEX(Movimientos!$F$2:$F$1998,MATCH(A864&amp;"ENTRADA",Movimientos!$R$2:$R$1998,0)),"-")</f>
        <v>-</v>
      </c>
      <c r="F864" s="2" t="str">
        <f>IFERROR(INDEX(Movimientos!$G$2:$G$1998,MATCH(A864&amp;"ENTRADA",Movimientos!$R$2:$R$1998,0)),"-")</f>
        <v>-</v>
      </c>
      <c r="G864" s="2" t="str">
        <f>IFERROR(INDEX(Movimientos!$L$2:$L$1998,MATCH(A864&amp;"ENTRADA",Movimientos!$R$2:$R$1998,0)),"-")</f>
        <v>-</v>
      </c>
      <c r="H864" s="17" t="str">
        <f>IFERROR(IF(INDEX(Movimientos!$M$2:$M$1998,MATCH(A864&amp;"ENTRADA",Movimientos!$R$2:$R$1998,0))=0,"S/D",INDEX(Movimientos!$M$2:$M$1998,MATCH(A864&amp;"ENTRADA",Movimientos!$R$2:$R$1998,0))),"S/D")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 ht="14.25">
      <c r="A865" s="16" t="s">
        <v>3030</v>
      </c>
      <c r="B865" s="2" t="str">
        <f>IFERROR(INDEX(Movimientos!$C$2:$C$1998,MATCH(A865&amp;"ENTRADA",Movimientos!$R$2:$R$1998,0)),"-")</f>
        <v>-</v>
      </c>
      <c r="C865" s="2" t="str">
        <f>IFERROR(INDEX(Movimientos!$D$2:$D$1998,MATCH(A865&amp;"ENTRADA",Movimientos!$R$2:$R$1998,0)),"-")</f>
        <v>-</v>
      </c>
      <c r="D865" s="2" t="str">
        <f>IFERROR(INDEX(Movimientos!$E$2:$E$1998,MATCH(A865&amp;"ENTRADA",Movimientos!$R$2:$R$1998,0)),"-")</f>
        <v>-</v>
      </c>
      <c r="E865" s="2" t="str">
        <f>IFERROR(INDEX(Movimientos!$F$2:$F$1998,MATCH(A865&amp;"ENTRADA",Movimientos!$R$2:$R$1998,0)),"-")</f>
        <v>-</v>
      </c>
      <c r="F865" s="2" t="str">
        <f>IFERROR(INDEX(Movimientos!$G$2:$G$1998,MATCH(A865&amp;"ENTRADA",Movimientos!$R$2:$R$1998,0)),"-")</f>
        <v>-</v>
      </c>
      <c r="G865" s="2" t="str">
        <f>IFERROR(INDEX(Movimientos!$L$2:$L$1998,MATCH(A865&amp;"ENTRADA",Movimientos!$R$2:$R$1998,0)),"-")</f>
        <v>-</v>
      </c>
      <c r="H865" s="17" t="str">
        <f>IFERROR(IF(INDEX(Movimientos!$M$2:$M$1998,MATCH(A865&amp;"ENTRADA",Movimientos!$R$2:$R$1998,0))=0,"S/D",INDEX(Movimientos!$M$2:$M$1998,MATCH(A865&amp;"ENTRADA",Movimientos!$R$2:$R$1998,0))),"S/D")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 ht="14.25">
      <c r="A866" s="16" t="s">
        <v>3031</v>
      </c>
      <c r="B866" s="2" t="str">
        <f>IFERROR(INDEX(Movimientos!$C$2:$C$1998,MATCH(A866&amp;"ENTRADA",Movimientos!$R$2:$R$1998,0)),"-")</f>
        <v>-</v>
      </c>
      <c r="C866" s="2" t="str">
        <f>IFERROR(INDEX(Movimientos!$D$2:$D$1998,MATCH(A866&amp;"ENTRADA",Movimientos!$R$2:$R$1998,0)),"-")</f>
        <v>-</v>
      </c>
      <c r="D866" s="2" t="str">
        <f>IFERROR(INDEX(Movimientos!$E$2:$E$1998,MATCH(A866&amp;"ENTRADA",Movimientos!$R$2:$R$1998,0)),"-")</f>
        <v>-</v>
      </c>
      <c r="E866" s="2" t="str">
        <f>IFERROR(INDEX(Movimientos!$F$2:$F$1998,MATCH(A866&amp;"ENTRADA",Movimientos!$R$2:$R$1998,0)),"-")</f>
        <v>-</v>
      </c>
      <c r="F866" s="2" t="str">
        <f>IFERROR(INDEX(Movimientos!$G$2:$G$1998,MATCH(A866&amp;"ENTRADA",Movimientos!$R$2:$R$1998,0)),"-")</f>
        <v>-</v>
      </c>
      <c r="G866" s="2" t="str">
        <f>IFERROR(INDEX(Movimientos!$L$2:$L$1998,MATCH(A866&amp;"ENTRADA",Movimientos!$R$2:$R$1998,0)),"-")</f>
        <v>-</v>
      </c>
      <c r="H866" s="17" t="str">
        <f>IFERROR(IF(INDEX(Movimientos!$M$2:$M$1998,MATCH(A866&amp;"ENTRADA",Movimientos!$R$2:$R$1998,0))=0,"S/D",INDEX(Movimientos!$M$2:$M$1998,MATCH(A866&amp;"ENTRADA",Movimientos!$R$2:$R$1998,0))),"S/D")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 ht="14.25">
      <c r="A867" s="16" t="s">
        <v>3032</v>
      </c>
      <c r="B867" s="2" t="str">
        <f>IFERROR(INDEX(Movimientos!$C$2:$C$1998,MATCH(A867&amp;"ENTRADA",Movimientos!$R$2:$R$1998,0)),"-")</f>
        <v>-</v>
      </c>
      <c r="C867" s="2" t="str">
        <f>IFERROR(INDEX(Movimientos!$D$2:$D$1998,MATCH(A867&amp;"ENTRADA",Movimientos!$R$2:$R$1998,0)),"-")</f>
        <v>-</v>
      </c>
      <c r="D867" s="2" t="str">
        <f>IFERROR(INDEX(Movimientos!$E$2:$E$1998,MATCH(A867&amp;"ENTRADA",Movimientos!$R$2:$R$1998,0)),"-")</f>
        <v>-</v>
      </c>
      <c r="E867" s="2" t="str">
        <f>IFERROR(INDEX(Movimientos!$F$2:$F$1998,MATCH(A867&amp;"ENTRADA",Movimientos!$R$2:$R$1998,0)),"-")</f>
        <v>-</v>
      </c>
      <c r="F867" s="2" t="str">
        <f>IFERROR(INDEX(Movimientos!$G$2:$G$1998,MATCH(A867&amp;"ENTRADA",Movimientos!$R$2:$R$1998,0)),"-")</f>
        <v>-</v>
      </c>
      <c r="G867" s="2" t="str">
        <f>IFERROR(INDEX(Movimientos!$L$2:$L$1998,MATCH(A867&amp;"ENTRADA",Movimientos!$R$2:$R$1998,0)),"-")</f>
        <v>-</v>
      </c>
      <c r="H867" s="17" t="str">
        <f>IFERROR(IF(INDEX(Movimientos!$M$2:$M$1998,MATCH(A867&amp;"ENTRADA",Movimientos!$R$2:$R$1998,0))=0,"S/D",INDEX(Movimientos!$M$2:$M$1998,MATCH(A867&amp;"ENTRADA",Movimientos!$R$2:$R$1998,0))),"S/D")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 ht="14.25">
      <c r="A868" s="16" t="s">
        <v>3033</v>
      </c>
      <c r="B868" s="2" t="str">
        <f>IFERROR(INDEX(Movimientos!$C$2:$C$1998,MATCH(A868&amp;"ENTRADA",Movimientos!$R$2:$R$1998,0)),"-")</f>
        <v>-</v>
      </c>
      <c r="C868" s="2" t="str">
        <f>IFERROR(INDEX(Movimientos!$D$2:$D$1998,MATCH(A868&amp;"ENTRADA",Movimientos!$R$2:$R$1998,0)),"-")</f>
        <v>-</v>
      </c>
      <c r="D868" s="2" t="str">
        <f>IFERROR(INDEX(Movimientos!$E$2:$E$1998,MATCH(A868&amp;"ENTRADA",Movimientos!$R$2:$R$1998,0)),"-")</f>
        <v>-</v>
      </c>
      <c r="E868" s="2" t="str">
        <f>IFERROR(INDEX(Movimientos!$F$2:$F$1998,MATCH(A868&amp;"ENTRADA",Movimientos!$R$2:$R$1998,0)),"-")</f>
        <v>-</v>
      </c>
      <c r="F868" s="2" t="str">
        <f>IFERROR(INDEX(Movimientos!$G$2:$G$1998,MATCH(A868&amp;"ENTRADA",Movimientos!$R$2:$R$1998,0)),"-")</f>
        <v>-</v>
      </c>
      <c r="G868" s="2" t="str">
        <f>IFERROR(INDEX(Movimientos!$L$2:$L$1998,MATCH(A868&amp;"ENTRADA",Movimientos!$R$2:$R$1998,0)),"-")</f>
        <v>-</v>
      </c>
      <c r="H868" s="17" t="str">
        <f>IFERROR(IF(INDEX(Movimientos!$M$2:$M$1998,MATCH(A868&amp;"ENTRADA",Movimientos!$R$2:$R$1998,0))=0,"S/D",INDEX(Movimientos!$M$2:$M$1998,MATCH(A868&amp;"ENTRADA",Movimientos!$R$2:$R$1998,0))),"S/D")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 ht="14.25">
      <c r="A869" s="16" t="s">
        <v>3034</v>
      </c>
      <c r="B869" s="2" t="str">
        <f>IFERROR(INDEX(Movimientos!$C$2:$C$1998,MATCH(A869&amp;"ENTRADA",Movimientos!$R$2:$R$1998,0)),"-")</f>
        <v>-</v>
      </c>
      <c r="C869" s="2" t="str">
        <f>IFERROR(INDEX(Movimientos!$D$2:$D$1998,MATCH(A869&amp;"ENTRADA",Movimientos!$R$2:$R$1998,0)),"-")</f>
        <v>-</v>
      </c>
      <c r="D869" s="2" t="str">
        <f>IFERROR(INDEX(Movimientos!$E$2:$E$1998,MATCH(A869&amp;"ENTRADA",Movimientos!$R$2:$R$1998,0)),"-")</f>
        <v>-</v>
      </c>
      <c r="E869" s="2" t="str">
        <f>IFERROR(INDEX(Movimientos!$F$2:$F$1998,MATCH(A869&amp;"ENTRADA",Movimientos!$R$2:$R$1998,0)),"-")</f>
        <v>-</v>
      </c>
      <c r="F869" s="2" t="str">
        <f>IFERROR(INDEX(Movimientos!$G$2:$G$1998,MATCH(A869&amp;"ENTRADA",Movimientos!$R$2:$R$1998,0)),"-")</f>
        <v>-</v>
      </c>
      <c r="G869" s="2" t="str">
        <f>IFERROR(INDEX(Movimientos!$L$2:$L$1998,MATCH(A869&amp;"ENTRADA",Movimientos!$R$2:$R$1998,0)),"-")</f>
        <v>-</v>
      </c>
      <c r="H869" s="17" t="str">
        <f>IFERROR(IF(INDEX(Movimientos!$M$2:$M$1998,MATCH(A869&amp;"ENTRADA",Movimientos!$R$2:$R$1998,0))=0,"S/D",INDEX(Movimientos!$M$2:$M$1998,MATCH(A869&amp;"ENTRADA",Movimientos!$R$2:$R$1998,0))),"S/D")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 ht="14.25">
      <c r="A870" s="16" t="s">
        <v>3035</v>
      </c>
      <c r="B870" s="2" t="str">
        <f>IFERROR(INDEX(Movimientos!$C$2:$C$1998,MATCH(A870&amp;"ENTRADA",Movimientos!$R$2:$R$1998,0)),"-")</f>
        <v>-</v>
      </c>
      <c r="C870" s="2" t="str">
        <f>IFERROR(INDEX(Movimientos!$D$2:$D$1998,MATCH(A870&amp;"ENTRADA",Movimientos!$R$2:$R$1998,0)),"-")</f>
        <v>-</v>
      </c>
      <c r="D870" s="2" t="str">
        <f>IFERROR(INDEX(Movimientos!$E$2:$E$1998,MATCH(A870&amp;"ENTRADA",Movimientos!$R$2:$R$1998,0)),"-")</f>
        <v>-</v>
      </c>
      <c r="E870" s="2" t="str">
        <f>IFERROR(INDEX(Movimientos!$F$2:$F$1998,MATCH(A870&amp;"ENTRADA",Movimientos!$R$2:$R$1998,0)),"-")</f>
        <v>-</v>
      </c>
      <c r="F870" s="2" t="str">
        <f>IFERROR(INDEX(Movimientos!$G$2:$G$1998,MATCH(A870&amp;"ENTRADA",Movimientos!$R$2:$R$1998,0)),"-")</f>
        <v>-</v>
      </c>
      <c r="G870" s="2" t="str">
        <f>IFERROR(INDEX(Movimientos!$L$2:$L$1998,MATCH(A870&amp;"ENTRADA",Movimientos!$R$2:$R$1998,0)),"-")</f>
        <v>-</v>
      </c>
      <c r="H870" s="17" t="str">
        <f>IFERROR(IF(INDEX(Movimientos!$M$2:$M$1998,MATCH(A870&amp;"ENTRADA",Movimientos!$R$2:$R$1998,0))=0,"S/D",INDEX(Movimientos!$M$2:$M$1998,MATCH(A870&amp;"ENTRADA",Movimientos!$R$2:$R$1998,0))),"S/D")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 ht="14.25">
      <c r="A871" s="16" t="s">
        <v>3036</v>
      </c>
      <c r="B871" s="2" t="str">
        <f>IFERROR(INDEX(Movimientos!$C$2:$C$1998,MATCH(A871&amp;"ENTRADA",Movimientos!$R$2:$R$1998,0)),"-")</f>
        <v>-</v>
      </c>
      <c r="C871" s="2" t="str">
        <f>IFERROR(INDEX(Movimientos!$D$2:$D$1998,MATCH(A871&amp;"ENTRADA",Movimientos!$R$2:$R$1998,0)),"-")</f>
        <v>-</v>
      </c>
      <c r="D871" s="2" t="str">
        <f>IFERROR(INDEX(Movimientos!$E$2:$E$1998,MATCH(A871&amp;"ENTRADA",Movimientos!$R$2:$R$1998,0)),"-")</f>
        <v>-</v>
      </c>
      <c r="E871" s="2" t="str">
        <f>IFERROR(INDEX(Movimientos!$F$2:$F$1998,MATCH(A871&amp;"ENTRADA",Movimientos!$R$2:$R$1998,0)),"-")</f>
        <v>-</v>
      </c>
      <c r="F871" s="2" t="str">
        <f>IFERROR(INDEX(Movimientos!$G$2:$G$1998,MATCH(A871&amp;"ENTRADA",Movimientos!$R$2:$R$1998,0)),"-")</f>
        <v>-</v>
      </c>
      <c r="G871" s="2" t="str">
        <f>IFERROR(INDEX(Movimientos!$L$2:$L$1998,MATCH(A871&amp;"ENTRADA",Movimientos!$R$2:$R$1998,0)),"-")</f>
        <v>-</v>
      </c>
      <c r="H871" s="17" t="str">
        <f>IFERROR(IF(INDEX(Movimientos!$M$2:$M$1998,MATCH(A871&amp;"ENTRADA",Movimientos!$R$2:$R$1998,0))=0,"S/D",INDEX(Movimientos!$M$2:$M$1998,MATCH(A871&amp;"ENTRADA",Movimientos!$R$2:$R$1998,0))),"S/D")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 ht="14.25">
      <c r="A872" s="16" t="s">
        <v>3037</v>
      </c>
      <c r="B872" s="2" t="str">
        <f>IFERROR(INDEX(Movimientos!$C$2:$C$1998,MATCH(A872&amp;"ENTRADA",Movimientos!$R$2:$R$1998,0)),"-")</f>
        <v>-</v>
      </c>
      <c r="C872" s="2" t="str">
        <f>IFERROR(INDEX(Movimientos!$D$2:$D$1998,MATCH(A872&amp;"ENTRADA",Movimientos!$R$2:$R$1998,0)),"-")</f>
        <v>-</v>
      </c>
      <c r="D872" s="2" t="str">
        <f>IFERROR(INDEX(Movimientos!$E$2:$E$1998,MATCH(A872&amp;"ENTRADA",Movimientos!$R$2:$R$1998,0)),"-")</f>
        <v>-</v>
      </c>
      <c r="E872" s="2" t="str">
        <f>IFERROR(INDEX(Movimientos!$F$2:$F$1998,MATCH(A872&amp;"ENTRADA",Movimientos!$R$2:$R$1998,0)),"-")</f>
        <v>-</v>
      </c>
      <c r="F872" s="2" t="str">
        <f>IFERROR(INDEX(Movimientos!$G$2:$G$1998,MATCH(A872&amp;"ENTRADA",Movimientos!$R$2:$R$1998,0)),"-")</f>
        <v>-</v>
      </c>
      <c r="G872" s="2" t="str">
        <f>IFERROR(INDEX(Movimientos!$L$2:$L$1998,MATCH(A872&amp;"ENTRADA",Movimientos!$R$2:$R$1998,0)),"-")</f>
        <v>-</v>
      </c>
      <c r="H872" s="17" t="str">
        <f>IFERROR(IF(INDEX(Movimientos!$M$2:$M$1998,MATCH(A872&amp;"ENTRADA",Movimientos!$R$2:$R$1998,0))=0,"S/D",INDEX(Movimientos!$M$2:$M$1998,MATCH(A872&amp;"ENTRADA",Movimientos!$R$2:$R$1998,0))),"S/D")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 ht="14.25">
      <c r="A873" s="16" t="s">
        <v>3038</v>
      </c>
      <c r="B873" s="2" t="str">
        <f>IFERROR(INDEX(Movimientos!$C$2:$C$1998,MATCH(A873&amp;"ENTRADA",Movimientos!$R$2:$R$1998,0)),"-")</f>
        <v>-</v>
      </c>
      <c r="C873" s="2" t="str">
        <f>IFERROR(INDEX(Movimientos!$D$2:$D$1998,MATCH(A873&amp;"ENTRADA",Movimientos!$R$2:$R$1998,0)),"-")</f>
        <v>-</v>
      </c>
      <c r="D873" s="2" t="str">
        <f>IFERROR(INDEX(Movimientos!$E$2:$E$1998,MATCH(A873&amp;"ENTRADA",Movimientos!$R$2:$R$1998,0)),"-")</f>
        <v>-</v>
      </c>
      <c r="E873" s="2" t="str">
        <f>IFERROR(INDEX(Movimientos!$F$2:$F$1998,MATCH(A873&amp;"ENTRADA",Movimientos!$R$2:$R$1998,0)),"-")</f>
        <v>-</v>
      </c>
      <c r="F873" s="2" t="str">
        <f>IFERROR(INDEX(Movimientos!$G$2:$G$1998,MATCH(A873&amp;"ENTRADA",Movimientos!$R$2:$R$1998,0)),"-")</f>
        <v>-</v>
      </c>
      <c r="G873" s="2" t="str">
        <f>IFERROR(INDEX(Movimientos!$L$2:$L$1998,MATCH(A873&amp;"ENTRADA",Movimientos!$R$2:$R$1998,0)),"-")</f>
        <v>-</v>
      </c>
      <c r="H873" s="17" t="str">
        <f>IFERROR(IF(INDEX(Movimientos!$M$2:$M$1998,MATCH(A873&amp;"ENTRADA",Movimientos!$R$2:$R$1998,0))=0,"S/D",INDEX(Movimientos!$M$2:$M$1998,MATCH(A873&amp;"ENTRADA",Movimientos!$R$2:$R$1998,0))),"S/D")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 ht="14.25">
      <c r="A874" s="16" t="s">
        <v>3039</v>
      </c>
      <c r="B874" s="2" t="str">
        <f>IFERROR(INDEX(Movimientos!$C$2:$C$1998,MATCH(A874&amp;"ENTRADA",Movimientos!$R$2:$R$1998,0)),"-")</f>
        <v>-</v>
      </c>
      <c r="C874" s="2" t="str">
        <f>IFERROR(INDEX(Movimientos!$D$2:$D$1998,MATCH(A874&amp;"ENTRADA",Movimientos!$R$2:$R$1998,0)),"-")</f>
        <v>-</v>
      </c>
      <c r="D874" s="2" t="str">
        <f>IFERROR(INDEX(Movimientos!$E$2:$E$1998,MATCH(A874&amp;"ENTRADA",Movimientos!$R$2:$R$1998,0)),"-")</f>
        <v>-</v>
      </c>
      <c r="E874" s="2" t="str">
        <f>IFERROR(INDEX(Movimientos!$F$2:$F$1998,MATCH(A874&amp;"ENTRADA",Movimientos!$R$2:$R$1998,0)),"-")</f>
        <v>-</v>
      </c>
      <c r="F874" s="2" t="str">
        <f>IFERROR(INDEX(Movimientos!$G$2:$G$1998,MATCH(A874&amp;"ENTRADA",Movimientos!$R$2:$R$1998,0)),"-")</f>
        <v>-</v>
      </c>
      <c r="G874" s="2" t="str">
        <f>IFERROR(INDEX(Movimientos!$L$2:$L$1998,MATCH(A874&amp;"ENTRADA",Movimientos!$R$2:$R$1998,0)),"-")</f>
        <v>-</v>
      </c>
      <c r="H874" s="17" t="str">
        <f>IFERROR(IF(INDEX(Movimientos!$M$2:$M$1998,MATCH(A874&amp;"ENTRADA",Movimientos!$R$2:$R$1998,0))=0,"S/D",INDEX(Movimientos!$M$2:$M$1998,MATCH(A874&amp;"ENTRADA",Movimientos!$R$2:$R$1998,0))),"S/D")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 ht="14.25">
      <c r="A875" s="16" t="s">
        <v>3040</v>
      </c>
      <c r="B875" s="2" t="str">
        <f>IFERROR(INDEX(Movimientos!$C$2:$C$1998,MATCH(A875&amp;"ENTRADA",Movimientos!$R$2:$R$1998,0)),"-")</f>
        <v>-</v>
      </c>
      <c r="C875" s="2" t="str">
        <f>IFERROR(INDEX(Movimientos!$D$2:$D$1998,MATCH(A875&amp;"ENTRADA",Movimientos!$R$2:$R$1998,0)),"-")</f>
        <v>-</v>
      </c>
      <c r="D875" s="2" t="str">
        <f>IFERROR(INDEX(Movimientos!$E$2:$E$1998,MATCH(A875&amp;"ENTRADA",Movimientos!$R$2:$R$1998,0)),"-")</f>
        <v>-</v>
      </c>
      <c r="E875" s="2" t="str">
        <f>IFERROR(INDEX(Movimientos!$F$2:$F$1998,MATCH(A875&amp;"ENTRADA",Movimientos!$R$2:$R$1998,0)),"-")</f>
        <v>-</v>
      </c>
      <c r="F875" s="2" t="str">
        <f>IFERROR(INDEX(Movimientos!$G$2:$G$1998,MATCH(A875&amp;"ENTRADA",Movimientos!$R$2:$R$1998,0)),"-")</f>
        <v>-</v>
      </c>
      <c r="G875" s="2" t="str">
        <f>IFERROR(INDEX(Movimientos!$L$2:$L$1998,MATCH(A875&amp;"ENTRADA",Movimientos!$R$2:$R$1998,0)),"-")</f>
        <v>-</v>
      </c>
      <c r="H875" s="17" t="str">
        <f>IFERROR(IF(INDEX(Movimientos!$M$2:$M$1998,MATCH(A875&amp;"ENTRADA",Movimientos!$R$2:$R$1998,0))=0,"S/D",INDEX(Movimientos!$M$2:$M$1998,MATCH(A875&amp;"ENTRADA",Movimientos!$R$2:$R$1998,0))),"S/D")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 ht="14.25">
      <c r="A876" s="16" t="s">
        <v>3041</v>
      </c>
      <c r="B876" s="2" t="str">
        <f>IFERROR(INDEX(Movimientos!$C$2:$C$1998,MATCH(A876&amp;"ENTRADA",Movimientos!$R$2:$R$1998,0)),"-")</f>
        <v>-</v>
      </c>
      <c r="C876" s="2" t="str">
        <f>IFERROR(INDEX(Movimientos!$D$2:$D$1998,MATCH(A876&amp;"ENTRADA",Movimientos!$R$2:$R$1998,0)),"-")</f>
        <v>-</v>
      </c>
      <c r="D876" s="2" t="str">
        <f>IFERROR(INDEX(Movimientos!$E$2:$E$1998,MATCH(A876&amp;"ENTRADA",Movimientos!$R$2:$R$1998,0)),"-")</f>
        <v>-</v>
      </c>
      <c r="E876" s="2" t="str">
        <f>IFERROR(INDEX(Movimientos!$F$2:$F$1998,MATCH(A876&amp;"ENTRADA",Movimientos!$R$2:$R$1998,0)),"-")</f>
        <v>-</v>
      </c>
      <c r="F876" s="2" t="str">
        <f>IFERROR(INDEX(Movimientos!$G$2:$G$1998,MATCH(A876&amp;"ENTRADA",Movimientos!$R$2:$R$1998,0)),"-")</f>
        <v>-</v>
      </c>
      <c r="G876" s="2" t="str">
        <f>IFERROR(INDEX(Movimientos!$L$2:$L$1998,MATCH(A876&amp;"ENTRADA",Movimientos!$R$2:$R$1998,0)),"-")</f>
        <v>-</v>
      </c>
      <c r="H876" s="17" t="str">
        <f>IFERROR(IF(INDEX(Movimientos!$M$2:$M$1998,MATCH(A876&amp;"ENTRADA",Movimientos!$R$2:$R$1998,0))=0,"S/D",INDEX(Movimientos!$M$2:$M$1998,MATCH(A876&amp;"ENTRADA",Movimientos!$R$2:$R$1998,0))),"S/D")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 ht="14.25">
      <c r="A877" s="16" t="s">
        <v>3042</v>
      </c>
      <c r="B877" s="2" t="str">
        <f>IFERROR(INDEX(Movimientos!$C$2:$C$1998,MATCH(A877&amp;"ENTRADA",Movimientos!$R$2:$R$1998,0)),"-")</f>
        <v>-</v>
      </c>
      <c r="C877" s="2" t="str">
        <f>IFERROR(INDEX(Movimientos!$D$2:$D$1998,MATCH(A877&amp;"ENTRADA",Movimientos!$R$2:$R$1998,0)),"-")</f>
        <v>-</v>
      </c>
      <c r="D877" s="2" t="str">
        <f>IFERROR(INDEX(Movimientos!$E$2:$E$1998,MATCH(A877&amp;"ENTRADA",Movimientos!$R$2:$R$1998,0)),"-")</f>
        <v>-</v>
      </c>
      <c r="E877" s="2" t="str">
        <f>IFERROR(INDEX(Movimientos!$F$2:$F$1998,MATCH(A877&amp;"ENTRADA",Movimientos!$R$2:$R$1998,0)),"-")</f>
        <v>-</v>
      </c>
      <c r="F877" s="2" t="str">
        <f>IFERROR(INDEX(Movimientos!$G$2:$G$1998,MATCH(A877&amp;"ENTRADA",Movimientos!$R$2:$R$1998,0)),"-")</f>
        <v>-</v>
      </c>
      <c r="G877" s="2" t="str">
        <f>IFERROR(INDEX(Movimientos!$L$2:$L$1998,MATCH(A877&amp;"ENTRADA",Movimientos!$R$2:$R$1998,0)),"-")</f>
        <v>-</v>
      </c>
      <c r="H877" s="17" t="str">
        <f>IFERROR(IF(INDEX(Movimientos!$M$2:$M$1998,MATCH(A877&amp;"ENTRADA",Movimientos!$R$2:$R$1998,0))=0,"S/D",INDEX(Movimientos!$M$2:$M$1998,MATCH(A877&amp;"ENTRADA",Movimientos!$R$2:$R$1998,0))),"S/D")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 ht="14.25">
      <c r="A878" s="16" t="s">
        <v>3043</v>
      </c>
      <c r="B878" s="2" t="str">
        <f>IFERROR(INDEX(Movimientos!$C$2:$C$1998,MATCH(A878&amp;"ENTRADA",Movimientos!$R$2:$R$1998,0)),"-")</f>
        <v>-</v>
      </c>
      <c r="C878" s="2" t="str">
        <f>IFERROR(INDEX(Movimientos!$D$2:$D$1998,MATCH(A878&amp;"ENTRADA",Movimientos!$R$2:$R$1998,0)),"-")</f>
        <v>-</v>
      </c>
      <c r="D878" s="2" t="str">
        <f>IFERROR(INDEX(Movimientos!$E$2:$E$1998,MATCH(A878&amp;"ENTRADA",Movimientos!$R$2:$R$1998,0)),"-")</f>
        <v>-</v>
      </c>
      <c r="E878" s="2" t="str">
        <f>IFERROR(INDEX(Movimientos!$F$2:$F$1998,MATCH(A878&amp;"ENTRADA",Movimientos!$R$2:$R$1998,0)),"-")</f>
        <v>-</v>
      </c>
      <c r="F878" s="2" t="str">
        <f>IFERROR(INDEX(Movimientos!$G$2:$G$1998,MATCH(A878&amp;"ENTRADA",Movimientos!$R$2:$R$1998,0)),"-")</f>
        <v>-</v>
      </c>
      <c r="G878" s="2" t="str">
        <f>IFERROR(INDEX(Movimientos!$L$2:$L$1998,MATCH(A878&amp;"ENTRADA",Movimientos!$R$2:$R$1998,0)),"-")</f>
        <v>-</v>
      </c>
      <c r="H878" s="17" t="str">
        <f>IFERROR(IF(INDEX(Movimientos!$M$2:$M$1998,MATCH(A878&amp;"ENTRADA",Movimientos!$R$2:$R$1998,0))=0,"S/D",INDEX(Movimientos!$M$2:$M$1998,MATCH(A878&amp;"ENTRADA",Movimientos!$R$2:$R$1998,0))),"S/D")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 ht="14.25">
      <c r="A879" s="16" t="s">
        <v>3044</v>
      </c>
      <c r="B879" s="2" t="str">
        <f>IFERROR(INDEX(Movimientos!$C$2:$C$1998,MATCH(A879&amp;"ENTRADA",Movimientos!$R$2:$R$1998,0)),"-")</f>
        <v>-</v>
      </c>
      <c r="C879" s="2" t="str">
        <f>IFERROR(INDEX(Movimientos!$D$2:$D$1998,MATCH(A879&amp;"ENTRADA",Movimientos!$R$2:$R$1998,0)),"-")</f>
        <v>-</v>
      </c>
      <c r="D879" s="2" t="str">
        <f>IFERROR(INDEX(Movimientos!$E$2:$E$1998,MATCH(A879&amp;"ENTRADA",Movimientos!$R$2:$R$1998,0)),"-")</f>
        <v>-</v>
      </c>
      <c r="E879" s="2" t="str">
        <f>IFERROR(INDEX(Movimientos!$F$2:$F$1998,MATCH(A879&amp;"ENTRADA",Movimientos!$R$2:$R$1998,0)),"-")</f>
        <v>-</v>
      </c>
      <c r="F879" s="2" t="str">
        <f>IFERROR(INDEX(Movimientos!$G$2:$G$1998,MATCH(A879&amp;"ENTRADA",Movimientos!$R$2:$R$1998,0)),"-")</f>
        <v>-</v>
      </c>
      <c r="G879" s="2" t="str">
        <f>IFERROR(INDEX(Movimientos!$L$2:$L$1998,MATCH(A879&amp;"ENTRADA",Movimientos!$R$2:$R$1998,0)),"-")</f>
        <v>-</v>
      </c>
      <c r="H879" s="17" t="str">
        <f>IFERROR(IF(INDEX(Movimientos!$M$2:$M$1998,MATCH(A879&amp;"ENTRADA",Movimientos!$R$2:$R$1998,0))=0,"S/D",INDEX(Movimientos!$M$2:$M$1998,MATCH(A879&amp;"ENTRADA",Movimientos!$R$2:$R$1998,0))),"S/D")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 ht="14.25">
      <c r="A880" s="16" t="s">
        <v>3045</v>
      </c>
      <c r="B880" s="2" t="str">
        <f>IFERROR(INDEX(Movimientos!$C$2:$C$1998,MATCH(A880&amp;"ENTRADA",Movimientos!$R$2:$R$1998,0)),"-")</f>
        <v>-</v>
      </c>
      <c r="C880" s="2" t="str">
        <f>IFERROR(INDEX(Movimientos!$D$2:$D$1998,MATCH(A880&amp;"ENTRADA",Movimientos!$R$2:$R$1998,0)),"-")</f>
        <v>-</v>
      </c>
      <c r="D880" s="2" t="str">
        <f>IFERROR(INDEX(Movimientos!$E$2:$E$1998,MATCH(A880&amp;"ENTRADA",Movimientos!$R$2:$R$1998,0)),"-")</f>
        <v>-</v>
      </c>
      <c r="E880" s="2" t="str">
        <f>IFERROR(INDEX(Movimientos!$F$2:$F$1998,MATCH(A880&amp;"ENTRADA",Movimientos!$R$2:$R$1998,0)),"-")</f>
        <v>-</v>
      </c>
      <c r="F880" s="2" t="str">
        <f>IFERROR(INDEX(Movimientos!$G$2:$G$1998,MATCH(A880&amp;"ENTRADA",Movimientos!$R$2:$R$1998,0)),"-")</f>
        <v>-</v>
      </c>
      <c r="G880" s="2" t="str">
        <f>IFERROR(INDEX(Movimientos!$L$2:$L$1998,MATCH(A880&amp;"ENTRADA",Movimientos!$R$2:$R$1998,0)),"-")</f>
        <v>-</v>
      </c>
      <c r="H880" s="17" t="str">
        <f>IFERROR(IF(INDEX(Movimientos!$M$2:$M$1998,MATCH(A880&amp;"ENTRADA",Movimientos!$R$2:$R$1998,0))=0,"S/D",INDEX(Movimientos!$M$2:$M$1998,MATCH(A880&amp;"ENTRADA",Movimientos!$R$2:$R$1998,0))),"S/D")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 ht="14.25">
      <c r="A881" s="16" t="s">
        <v>3046</v>
      </c>
      <c r="B881" s="2" t="str">
        <f>IFERROR(INDEX(Movimientos!$C$2:$C$1998,MATCH(A881&amp;"ENTRADA",Movimientos!$R$2:$R$1998,0)),"-")</f>
        <v>-</v>
      </c>
      <c r="C881" s="2" t="str">
        <f>IFERROR(INDEX(Movimientos!$D$2:$D$1998,MATCH(A881&amp;"ENTRADA",Movimientos!$R$2:$R$1998,0)),"-")</f>
        <v>-</v>
      </c>
      <c r="D881" s="2" t="str">
        <f>IFERROR(INDEX(Movimientos!$E$2:$E$1998,MATCH(A881&amp;"ENTRADA",Movimientos!$R$2:$R$1998,0)),"-")</f>
        <v>-</v>
      </c>
      <c r="E881" s="2" t="str">
        <f>IFERROR(INDEX(Movimientos!$F$2:$F$1998,MATCH(A881&amp;"ENTRADA",Movimientos!$R$2:$R$1998,0)),"-")</f>
        <v>-</v>
      </c>
      <c r="F881" s="2" t="str">
        <f>IFERROR(INDEX(Movimientos!$G$2:$G$1998,MATCH(A881&amp;"ENTRADA",Movimientos!$R$2:$R$1998,0)),"-")</f>
        <v>-</v>
      </c>
      <c r="G881" s="2" t="str">
        <f>IFERROR(INDEX(Movimientos!$L$2:$L$1998,MATCH(A881&amp;"ENTRADA",Movimientos!$R$2:$R$1998,0)),"-")</f>
        <v>-</v>
      </c>
      <c r="H881" s="17" t="str">
        <f>IFERROR(IF(INDEX(Movimientos!$M$2:$M$1998,MATCH(A881&amp;"ENTRADA",Movimientos!$R$2:$R$1998,0))=0,"S/D",INDEX(Movimientos!$M$2:$M$1998,MATCH(A881&amp;"ENTRADA",Movimientos!$R$2:$R$1998,0))),"S/D")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 ht="14.25">
      <c r="A882" s="16" t="s">
        <v>3047</v>
      </c>
      <c r="B882" s="2" t="str">
        <f>IFERROR(INDEX(Movimientos!$C$2:$C$1998,MATCH(A882&amp;"ENTRADA",Movimientos!$R$2:$R$1998,0)),"-")</f>
        <v>-</v>
      </c>
      <c r="C882" s="2" t="str">
        <f>IFERROR(INDEX(Movimientos!$D$2:$D$1998,MATCH(A882&amp;"ENTRADA",Movimientos!$R$2:$R$1998,0)),"-")</f>
        <v>-</v>
      </c>
      <c r="D882" s="2" t="str">
        <f>IFERROR(INDEX(Movimientos!$E$2:$E$1998,MATCH(A882&amp;"ENTRADA",Movimientos!$R$2:$R$1998,0)),"-")</f>
        <v>-</v>
      </c>
      <c r="E882" s="2" t="str">
        <f>IFERROR(INDEX(Movimientos!$F$2:$F$1998,MATCH(A882&amp;"ENTRADA",Movimientos!$R$2:$R$1998,0)),"-")</f>
        <v>-</v>
      </c>
      <c r="F882" s="2" t="str">
        <f>IFERROR(INDEX(Movimientos!$G$2:$G$1998,MATCH(A882&amp;"ENTRADA",Movimientos!$R$2:$R$1998,0)),"-")</f>
        <v>-</v>
      </c>
      <c r="G882" s="2" t="str">
        <f>IFERROR(INDEX(Movimientos!$L$2:$L$1998,MATCH(A882&amp;"ENTRADA",Movimientos!$R$2:$R$1998,0)),"-")</f>
        <v>-</v>
      </c>
      <c r="H882" s="17" t="str">
        <f>IFERROR(IF(INDEX(Movimientos!$M$2:$M$1998,MATCH(A882&amp;"ENTRADA",Movimientos!$R$2:$R$1998,0))=0,"S/D",INDEX(Movimientos!$M$2:$M$1998,MATCH(A882&amp;"ENTRADA",Movimientos!$R$2:$R$1998,0))),"S/D")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 ht="14.25">
      <c r="A883" s="16" t="s">
        <v>3048</v>
      </c>
      <c r="B883" s="2" t="str">
        <f>IFERROR(INDEX(Movimientos!$C$2:$C$1998,MATCH(A883&amp;"ENTRADA",Movimientos!$R$2:$R$1998,0)),"-")</f>
        <v>-</v>
      </c>
      <c r="C883" s="2" t="str">
        <f>IFERROR(INDEX(Movimientos!$D$2:$D$1998,MATCH(A883&amp;"ENTRADA",Movimientos!$R$2:$R$1998,0)),"-")</f>
        <v>-</v>
      </c>
      <c r="D883" s="2" t="str">
        <f>IFERROR(INDEX(Movimientos!$E$2:$E$1998,MATCH(A883&amp;"ENTRADA",Movimientos!$R$2:$R$1998,0)),"-")</f>
        <v>-</v>
      </c>
      <c r="E883" s="2" t="str">
        <f>IFERROR(INDEX(Movimientos!$F$2:$F$1998,MATCH(A883&amp;"ENTRADA",Movimientos!$R$2:$R$1998,0)),"-")</f>
        <v>-</v>
      </c>
      <c r="F883" s="2" t="str">
        <f>IFERROR(INDEX(Movimientos!$G$2:$G$1998,MATCH(A883&amp;"ENTRADA",Movimientos!$R$2:$R$1998,0)),"-")</f>
        <v>-</v>
      </c>
      <c r="G883" s="2" t="str">
        <f>IFERROR(INDEX(Movimientos!$L$2:$L$1998,MATCH(A883&amp;"ENTRADA",Movimientos!$R$2:$R$1998,0)),"-")</f>
        <v>-</v>
      </c>
      <c r="H883" s="17" t="str">
        <f>IFERROR(IF(INDEX(Movimientos!$M$2:$M$1998,MATCH(A883&amp;"ENTRADA",Movimientos!$R$2:$R$1998,0))=0,"S/D",INDEX(Movimientos!$M$2:$M$1998,MATCH(A883&amp;"ENTRADA",Movimientos!$R$2:$R$1998,0))),"S/D")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 ht="14.25">
      <c r="A884" s="16" t="s">
        <v>3049</v>
      </c>
      <c r="B884" s="2" t="str">
        <f>IFERROR(INDEX(Movimientos!$C$2:$C$1998,MATCH(A884&amp;"ENTRADA",Movimientos!$R$2:$R$1998,0)),"-")</f>
        <v>-</v>
      </c>
      <c r="C884" s="2" t="str">
        <f>IFERROR(INDEX(Movimientos!$D$2:$D$1998,MATCH(A884&amp;"ENTRADA",Movimientos!$R$2:$R$1998,0)),"-")</f>
        <v>-</v>
      </c>
      <c r="D884" s="2" t="str">
        <f>IFERROR(INDEX(Movimientos!$E$2:$E$1998,MATCH(A884&amp;"ENTRADA",Movimientos!$R$2:$R$1998,0)),"-")</f>
        <v>-</v>
      </c>
      <c r="E884" s="2" t="str">
        <f>IFERROR(INDEX(Movimientos!$F$2:$F$1998,MATCH(A884&amp;"ENTRADA",Movimientos!$R$2:$R$1998,0)),"-")</f>
        <v>-</v>
      </c>
      <c r="F884" s="2" t="str">
        <f>IFERROR(INDEX(Movimientos!$G$2:$G$1998,MATCH(A884&amp;"ENTRADA",Movimientos!$R$2:$R$1998,0)),"-")</f>
        <v>-</v>
      </c>
      <c r="G884" s="2" t="str">
        <f>IFERROR(INDEX(Movimientos!$L$2:$L$1998,MATCH(A884&amp;"ENTRADA",Movimientos!$R$2:$R$1998,0)),"-")</f>
        <v>-</v>
      </c>
      <c r="H884" s="17" t="str">
        <f>IFERROR(IF(INDEX(Movimientos!$M$2:$M$1998,MATCH(A884&amp;"ENTRADA",Movimientos!$R$2:$R$1998,0))=0,"S/D",INDEX(Movimientos!$M$2:$M$1998,MATCH(A884&amp;"ENTRADA",Movimientos!$R$2:$R$1998,0))),"S/D")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 ht="14.25">
      <c r="A885" s="16" t="s">
        <v>3050</v>
      </c>
      <c r="B885" s="2" t="str">
        <f>IFERROR(INDEX(Movimientos!$C$2:$C$1998,MATCH(A885&amp;"ENTRADA",Movimientos!$R$2:$R$1998,0)),"-")</f>
        <v>-</v>
      </c>
      <c r="C885" s="2" t="str">
        <f>IFERROR(INDEX(Movimientos!$D$2:$D$1998,MATCH(A885&amp;"ENTRADA",Movimientos!$R$2:$R$1998,0)),"-")</f>
        <v>-</v>
      </c>
      <c r="D885" s="2" t="str">
        <f>IFERROR(INDEX(Movimientos!$E$2:$E$1998,MATCH(A885&amp;"ENTRADA",Movimientos!$R$2:$R$1998,0)),"-")</f>
        <v>-</v>
      </c>
      <c r="E885" s="2" t="str">
        <f>IFERROR(INDEX(Movimientos!$F$2:$F$1998,MATCH(A885&amp;"ENTRADA",Movimientos!$R$2:$R$1998,0)),"-")</f>
        <v>-</v>
      </c>
      <c r="F885" s="2" t="str">
        <f>IFERROR(INDEX(Movimientos!$G$2:$G$1998,MATCH(A885&amp;"ENTRADA",Movimientos!$R$2:$R$1998,0)),"-")</f>
        <v>-</v>
      </c>
      <c r="G885" s="2" t="str">
        <f>IFERROR(INDEX(Movimientos!$L$2:$L$1998,MATCH(A885&amp;"ENTRADA",Movimientos!$R$2:$R$1998,0)),"-")</f>
        <v>-</v>
      </c>
      <c r="H885" s="17" t="str">
        <f>IFERROR(IF(INDEX(Movimientos!$M$2:$M$1998,MATCH(A885&amp;"ENTRADA",Movimientos!$R$2:$R$1998,0))=0,"S/D",INDEX(Movimientos!$M$2:$M$1998,MATCH(A885&amp;"ENTRADA",Movimientos!$R$2:$R$1998,0))),"S/D")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 ht="14.25">
      <c r="A886" s="16" t="s">
        <v>3051</v>
      </c>
      <c r="B886" s="2" t="str">
        <f>IFERROR(INDEX(Movimientos!$C$2:$C$1998,MATCH(A886&amp;"ENTRADA",Movimientos!$R$2:$R$1998,0)),"-")</f>
        <v>-</v>
      </c>
      <c r="C886" s="2" t="str">
        <f>IFERROR(INDEX(Movimientos!$D$2:$D$1998,MATCH(A886&amp;"ENTRADA",Movimientos!$R$2:$R$1998,0)),"-")</f>
        <v>-</v>
      </c>
      <c r="D886" s="2" t="str">
        <f>IFERROR(INDEX(Movimientos!$E$2:$E$1998,MATCH(A886&amp;"ENTRADA",Movimientos!$R$2:$R$1998,0)),"-")</f>
        <v>-</v>
      </c>
      <c r="E886" s="2" t="str">
        <f>IFERROR(INDEX(Movimientos!$F$2:$F$1998,MATCH(A886&amp;"ENTRADA",Movimientos!$R$2:$R$1998,0)),"-")</f>
        <v>-</v>
      </c>
      <c r="F886" s="2" t="str">
        <f>IFERROR(INDEX(Movimientos!$G$2:$G$1998,MATCH(A886&amp;"ENTRADA",Movimientos!$R$2:$R$1998,0)),"-")</f>
        <v>-</v>
      </c>
      <c r="G886" s="2" t="str">
        <f>IFERROR(INDEX(Movimientos!$L$2:$L$1998,MATCH(A886&amp;"ENTRADA",Movimientos!$R$2:$R$1998,0)),"-")</f>
        <v>-</v>
      </c>
      <c r="H886" s="17" t="str">
        <f>IFERROR(IF(INDEX(Movimientos!$M$2:$M$1998,MATCH(A886&amp;"ENTRADA",Movimientos!$R$2:$R$1998,0))=0,"S/D",INDEX(Movimientos!$M$2:$M$1998,MATCH(A886&amp;"ENTRADA",Movimientos!$R$2:$R$1998,0))),"S/D")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 ht="14.25">
      <c r="A887" s="16" t="s">
        <v>3052</v>
      </c>
      <c r="B887" s="2" t="str">
        <f>IFERROR(INDEX(Movimientos!$C$2:$C$1998,MATCH(A887&amp;"ENTRADA",Movimientos!$R$2:$R$1998,0)),"-")</f>
        <v>-</v>
      </c>
      <c r="C887" s="2" t="str">
        <f>IFERROR(INDEX(Movimientos!$D$2:$D$1998,MATCH(A887&amp;"ENTRADA",Movimientos!$R$2:$R$1998,0)),"-")</f>
        <v>-</v>
      </c>
      <c r="D887" s="2" t="str">
        <f>IFERROR(INDEX(Movimientos!$E$2:$E$1998,MATCH(A887&amp;"ENTRADA",Movimientos!$R$2:$R$1998,0)),"-")</f>
        <v>-</v>
      </c>
      <c r="E887" s="2" t="str">
        <f>IFERROR(INDEX(Movimientos!$F$2:$F$1998,MATCH(A887&amp;"ENTRADA",Movimientos!$R$2:$R$1998,0)),"-")</f>
        <v>-</v>
      </c>
      <c r="F887" s="2" t="str">
        <f>IFERROR(INDEX(Movimientos!$G$2:$G$1998,MATCH(A887&amp;"ENTRADA",Movimientos!$R$2:$R$1998,0)),"-")</f>
        <v>-</v>
      </c>
      <c r="G887" s="2" t="str">
        <f>IFERROR(INDEX(Movimientos!$L$2:$L$1998,MATCH(A887&amp;"ENTRADA",Movimientos!$R$2:$R$1998,0)),"-")</f>
        <v>-</v>
      </c>
      <c r="H887" s="17" t="str">
        <f>IFERROR(IF(INDEX(Movimientos!$M$2:$M$1998,MATCH(A887&amp;"ENTRADA",Movimientos!$R$2:$R$1998,0))=0,"S/D",INDEX(Movimientos!$M$2:$M$1998,MATCH(A887&amp;"ENTRADA",Movimientos!$R$2:$R$1998,0))),"S/D")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 ht="14.25">
      <c r="A888" s="16" t="s">
        <v>3053</v>
      </c>
      <c r="B888" s="2" t="str">
        <f>IFERROR(INDEX(Movimientos!$C$2:$C$1998,MATCH(A888&amp;"ENTRADA",Movimientos!$R$2:$R$1998,0)),"-")</f>
        <v>-</v>
      </c>
      <c r="C888" s="2" t="str">
        <f>IFERROR(INDEX(Movimientos!$D$2:$D$1998,MATCH(A888&amp;"ENTRADA",Movimientos!$R$2:$R$1998,0)),"-")</f>
        <v>-</v>
      </c>
      <c r="D888" s="2" t="str">
        <f>IFERROR(INDEX(Movimientos!$E$2:$E$1998,MATCH(A888&amp;"ENTRADA",Movimientos!$R$2:$R$1998,0)),"-")</f>
        <v>-</v>
      </c>
      <c r="E888" s="2" t="str">
        <f>IFERROR(INDEX(Movimientos!$F$2:$F$1998,MATCH(A888&amp;"ENTRADA",Movimientos!$R$2:$R$1998,0)),"-")</f>
        <v>-</v>
      </c>
      <c r="F888" s="2" t="str">
        <f>IFERROR(INDEX(Movimientos!$G$2:$G$1998,MATCH(A888&amp;"ENTRADA",Movimientos!$R$2:$R$1998,0)),"-")</f>
        <v>-</v>
      </c>
      <c r="G888" s="2" t="str">
        <f>IFERROR(INDEX(Movimientos!$L$2:$L$1998,MATCH(A888&amp;"ENTRADA",Movimientos!$R$2:$R$1998,0)),"-")</f>
        <v>-</v>
      </c>
      <c r="H888" s="17" t="str">
        <f>IFERROR(IF(INDEX(Movimientos!$M$2:$M$1998,MATCH(A888&amp;"ENTRADA",Movimientos!$R$2:$R$1998,0))=0,"S/D",INDEX(Movimientos!$M$2:$M$1998,MATCH(A888&amp;"ENTRADA",Movimientos!$R$2:$R$1998,0))),"S/D")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 ht="14.25">
      <c r="A889" s="16" t="s">
        <v>3054</v>
      </c>
      <c r="B889" s="2" t="str">
        <f>IFERROR(INDEX(Movimientos!$C$2:$C$1998,MATCH(A889&amp;"ENTRADA",Movimientos!$R$2:$R$1998,0)),"-")</f>
        <v>-</v>
      </c>
      <c r="C889" s="2" t="str">
        <f>IFERROR(INDEX(Movimientos!$D$2:$D$1998,MATCH(A889&amp;"ENTRADA",Movimientos!$R$2:$R$1998,0)),"-")</f>
        <v>-</v>
      </c>
      <c r="D889" s="2" t="str">
        <f>IFERROR(INDEX(Movimientos!$E$2:$E$1998,MATCH(A889&amp;"ENTRADA",Movimientos!$R$2:$R$1998,0)),"-")</f>
        <v>-</v>
      </c>
      <c r="E889" s="2" t="str">
        <f>IFERROR(INDEX(Movimientos!$F$2:$F$1998,MATCH(A889&amp;"ENTRADA",Movimientos!$R$2:$R$1998,0)),"-")</f>
        <v>-</v>
      </c>
      <c r="F889" s="2" t="str">
        <f>IFERROR(INDEX(Movimientos!$G$2:$G$1998,MATCH(A889&amp;"ENTRADA",Movimientos!$R$2:$R$1998,0)),"-")</f>
        <v>-</v>
      </c>
      <c r="G889" s="2" t="str">
        <f>IFERROR(INDEX(Movimientos!$L$2:$L$1998,MATCH(A889&amp;"ENTRADA",Movimientos!$R$2:$R$1998,0)),"-")</f>
        <v>-</v>
      </c>
      <c r="H889" s="17" t="str">
        <f>IFERROR(IF(INDEX(Movimientos!$M$2:$M$1998,MATCH(A889&amp;"ENTRADA",Movimientos!$R$2:$R$1998,0))=0,"S/D",INDEX(Movimientos!$M$2:$M$1998,MATCH(A889&amp;"ENTRADA",Movimientos!$R$2:$R$1998,0))),"S/D")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 ht="14.25">
      <c r="A890" s="16" t="s">
        <v>3055</v>
      </c>
      <c r="B890" s="2" t="str">
        <f>IFERROR(INDEX(Movimientos!$C$2:$C$1998,MATCH(A890&amp;"ENTRADA",Movimientos!$R$2:$R$1998,0)),"-")</f>
        <v>-</v>
      </c>
      <c r="C890" s="2" t="str">
        <f>IFERROR(INDEX(Movimientos!$D$2:$D$1998,MATCH(A890&amp;"ENTRADA",Movimientos!$R$2:$R$1998,0)),"-")</f>
        <v>-</v>
      </c>
      <c r="D890" s="2" t="str">
        <f>IFERROR(INDEX(Movimientos!$E$2:$E$1998,MATCH(A890&amp;"ENTRADA",Movimientos!$R$2:$R$1998,0)),"-")</f>
        <v>-</v>
      </c>
      <c r="E890" s="2" t="str">
        <f>IFERROR(INDEX(Movimientos!$F$2:$F$1998,MATCH(A890&amp;"ENTRADA",Movimientos!$R$2:$R$1998,0)),"-")</f>
        <v>-</v>
      </c>
      <c r="F890" s="2" t="str">
        <f>IFERROR(INDEX(Movimientos!$G$2:$G$1998,MATCH(A890&amp;"ENTRADA",Movimientos!$R$2:$R$1998,0)),"-")</f>
        <v>-</v>
      </c>
      <c r="G890" s="2" t="str">
        <f>IFERROR(INDEX(Movimientos!$L$2:$L$1998,MATCH(A890&amp;"ENTRADA",Movimientos!$R$2:$R$1998,0)),"-")</f>
        <v>-</v>
      </c>
      <c r="H890" s="17" t="str">
        <f>IFERROR(IF(INDEX(Movimientos!$M$2:$M$1998,MATCH(A890&amp;"ENTRADA",Movimientos!$R$2:$R$1998,0))=0,"S/D",INDEX(Movimientos!$M$2:$M$1998,MATCH(A890&amp;"ENTRADA",Movimientos!$R$2:$R$1998,0))),"S/D")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 ht="14.25">
      <c r="A891" s="16" t="s">
        <v>3056</v>
      </c>
      <c r="B891" s="2" t="str">
        <f>IFERROR(INDEX(Movimientos!$C$2:$C$1998,MATCH(A891&amp;"ENTRADA",Movimientos!$R$2:$R$1998,0)),"-")</f>
        <v>-</v>
      </c>
      <c r="C891" s="2" t="str">
        <f>IFERROR(INDEX(Movimientos!$D$2:$D$1998,MATCH(A891&amp;"ENTRADA",Movimientos!$R$2:$R$1998,0)),"-")</f>
        <v>-</v>
      </c>
      <c r="D891" s="2" t="str">
        <f>IFERROR(INDEX(Movimientos!$E$2:$E$1998,MATCH(A891&amp;"ENTRADA",Movimientos!$R$2:$R$1998,0)),"-")</f>
        <v>-</v>
      </c>
      <c r="E891" s="2" t="str">
        <f>IFERROR(INDEX(Movimientos!$F$2:$F$1998,MATCH(A891&amp;"ENTRADA",Movimientos!$R$2:$R$1998,0)),"-")</f>
        <v>-</v>
      </c>
      <c r="F891" s="2" t="str">
        <f>IFERROR(INDEX(Movimientos!$G$2:$G$1998,MATCH(A891&amp;"ENTRADA",Movimientos!$R$2:$R$1998,0)),"-")</f>
        <v>-</v>
      </c>
      <c r="G891" s="2" t="str">
        <f>IFERROR(INDEX(Movimientos!$L$2:$L$1998,MATCH(A891&amp;"ENTRADA",Movimientos!$R$2:$R$1998,0)),"-")</f>
        <v>-</v>
      </c>
      <c r="H891" s="17" t="str">
        <f>IFERROR(IF(INDEX(Movimientos!$M$2:$M$1998,MATCH(A891&amp;"ENTRADA",Movimientos!$R$2:$R$1998,0))=0,"S/D",INDEX(Movimientos!$M$2:$M$1998,MATCH(A891&amp;"ENTRADA",Movimientos!$R$2:$R$1998,0))),"S/D")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 ht="14.25">
      <c r="A892" s="16" t="s">
        <v>3057</v>
      </c>
      <c r="B892" s="2" t="str">
        <f>IFERROR(INDEX(Movimientos!$C$2:$C$1998,MATCH(A892&amp;"ENTRADA",Movimientos!$R$2:$R$1998,0)),"-")</f>
        <v>-</v>
      </c>
      <c r="C892" s="2" t="str">
        <f>IFERROR(INDEX(Movimientos!$D$2:$D$1998,MATCH(A892&amp;"ENTRADA",Movimientos!$R$2:$R$1998,0)),"-")</f>
        <v>-</v>
      </c>
      <c r="D892" s="2" t="str">
        <f>IFERROR(INDEX(Movimientos!$E$2:$E$1998,MATCH(A892&amp;"ENTRADA",Movimientos!$R$2:$R$1998,0)),"-")</f>
        <v>-</v>
      </c>
      <c r="E892" s="2" t="str">
        <f>IFERROR(INDEX(Movimientos!$F$2:$F$1998,MATCH(A892&amp;"ENTRADA",Movimientos!$R$2:$R$1998,0)),"-")</f>
        <v>-</v>
      </c>
      <c r="F892" s="2" t="str">
        <f>IFERROR(INDEX(Movimientos!$G$2:$G$1998,MATCH(A892&amp;"ENTRADA",Movimientos!$R$2:$R$1998,0)),"-")</f>
        <v>-</v>
      </c>
      <c r="G892" s="2" t="str">
        <f>IFERROR(INDEX(Movimientos!$L$2:$L$1998,MATCH(A892&amp;"ENTRADA",Movimientos!$R$2:$R$1998,0)),"-")</f>
        <v>-</v>
      </c>
      <c r="H892" s="17" t="str">
        <f>IFERROR(IF(INDEX(Movimientos!$M$2:$M$1998,MATCH(A892&amp;"ENTRADA",Movimientos!$R$2:$R$1998,0))=0,"S/D",INDEX(Movimientos!$M$2:$M$1998,MATCH(A892&amp;"ENTRADA",Movimientos!$R$2:$R$1998,0))),"S/D")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 ht="14.25">
      <c r="A893" s="16" t="s">
        <v>3058</v>
      </c>
      <c r="B893" s="2" t="str">
        <f>IFERROR(INDEX(Movimientos!$C$2:$C$1998,MATCH(A893&amp;"ENTRADA",Movimientos!$R$2:$R$1998,0)),"-")</f>
        <v>-</v>
      </c>
      <c r="C893" s="2" t="str">
        <f>IFERROR(INDEX(Movimientos!$D$2:$D$1998,MATCH(A893&amp;"ENTRADA",Movimientos!$R$2:$R$1998,0)),"-")</f>
        <v>-</v>
      </c>
      <c r="D893" s="2" t="str">
        <f>IFERROR(INDEX(Movimientos!$E$2:$E$1998,MATCH(A893&amp;"ENTRADA",Movimientos!$R$2:$R$1998,0)),"-")</f>
        <v>-</v>
      </c>
      <c r="E893" s="2" t="str">
        <f>IFERROR(INDEX(Movimientos!$F$2:$F$1998,MATCH(A893&amp;"ENTRADA",Movimientos!$R$2:$R$1998,0)),"-")</f>
        <v>-</v>
      </c>
      <c r="F893" s="2" t="str">
        <f>IFERROR(INDEX(Movimientos!$G$2:$G$1998,MATCH(A893&amp;"ENTRADA",Movimientos!$R$2:$R$1998,0)),"-")</f>
        <v>-</v>
      </c>
      <c r="G893" s="2" t="str">
        <f>IFERROR(INDEX(Movimientos!$L$2:$L$1998,MATCH(A893&amp;"ENTRADA",Movimientos!$R$2:$R$1998,0)),"-")</f>
        <v>-</v>
      </c>
      <c r="H893" s="17" t="str">
        <f>IFERROR(IF(INDEX(Movimientos!$M$2:$M$1998,MATCH(A893&amp;"ENTRADA",Movimientos!$R$2:$R$1998,0))=0,"S/D",INDEX(Movimientos!$M$2:$M$1998,MATCH(A893&amp;"ENTRADA",Movimientos!$R$2:$R$1998,0))),"S/D")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 ht="14.25">
      <c r="A894" s="16" t="s">
        <v>3059</v>
      </c>
      <c r="B894" s="2" t="str">
        <f>IFERROR(INDEX(Movimientos!$C$2:$C$1998,MATCH(A894&amp;"ENTRADA",Movimientos!$R$2:$R$1998,0)),"-")</f>
        <v>-</v>
      </c>
      <c r="C894" s="2" t="str">
        <f>IFERROR(INDEX(Movimientos!$D$2:$D$1998,MATCH(A894&amp;"ENTRADA",Movimientos!$R$2:$R$1998,0)),"-")</f>
        <v>-</v>
      </c>
      <c r="D894" s="2" t="str">
        <f>IFERROR(INDEX(Movimientos!$E$2:$E$1998,MATCH(A894&amp;"ENTRADA",Movimientos!$R$2:$R$1998,0)),"-")</f>
        <v>-</v>
      </c>
      <c r="E894" s="2" t="str">
        <f>IFERROR(INDEX(Movimientos!$F$2:$F$1998,MATCH(A894&amp;"ENTRADA",Movimientos!$R$2:$R$1998,0)),"-")</f>
        <v>-</v>
      </c>
      <c r="F894" s="2" t="str">
        <f>IFERROR(INDEX(Movimientos!$G$2:$G$1998,MATCH(A894&amp;"ENTRADA",Movimientos!$R$2:$R$1998,0)),"-")</f>
        <v>-</v>
      </c>
      <c r="G894" s="2" t="str">
        <f>IFERROR(INDEX(Movimientos!$L$2:$L$1998,MATCH(A894&amp;"ENTRADA",Movimientos!$R$2:$R$1998,0)),"-")</f>
        <v>-</v>
      </c>
      <c r="H894" s="17" t="str">
        <f>IFERROR(IF(INDEX(Movimientos!$M$2:$M$1998,MATCH(A894&amp;"ENTRADA",Movimientos!$R$2:$R$1998,0))=0,"S/D",INDEX(Movimientos!$M$2:$M$1998,MATCH(A894&amp;"ENTRADA",Movimientos!$R$2:$R$1998,0))),"S/D")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 ht="14.25">
      <c r="A895" s="16" t="s">
        <v>3060</v>
      </c>
      <c r="B895" s="2" t="str">
        <f>IFERROR(INDEX(Movimientos!$C$2:$C$1998,MATCH(A895&amp;"ENTRADA",Movimientos!$R$2:$R$1998,0)),"-")</f>
        <v>-</v>
      </c>
      <c r="C895" s="2" t="str">
        <f>IFERROR(INDEX(Movimientos!$D$2:$D$1998,MATCH(A895&amp;"ENTRADA",Movimientos!$R$2:$R$1998,0)),"-")</f>
        <v>-</v>
      </c>
      <c r="D895" s="2" t="str">
        <f>IFERROR(INDEX(Movimientos!$E$2:$E$1998,MATCH(A895&amp;"ENTRADA",Movimientos!$R$2:$R$1998,0)),"-")</f>
        <v>-</v>
      </c>
      <c r="E895" s="2" t="str">
        <f>IFERROR(INDEX(Movimientos!$F$2:$F$1998,MATCH(A895&amp;"ENTRADA",Movimientos!$R$2:$R$1998,0)),"-")</f>
        <v>-</v>
      </c>
      <c r="F895" s="2" t="str">
        <f>IFERROR(INDEX(Movimientos!$G$2:$G$1998,MATCH(A895&amp;"ENTRADA",Movimientos!$R$2:$R$1998,0)),"-")</f>
        <v>-</v>
      </c>
      <c r="G895" s="2" t="str">
        <f>IFERROR(INDEX(Movimientos!$L$2:$L$1998,MATCH(A895&amp;"ENTRADA",Movimientos!$R$2:$R$1998,0)),"-")</f>
        <v>-</v>
      </c>
      <c r="H895" s="17" t="str">
        <f>IFERROR(IF(INDEX(Movimientos!$M$2:$M$1998,MATCH(A895&amp;"ENTRADA",Movimientos!$R$2:$R$1998,0))=0,"S/D",INDEX(Movimientos!$M$2:$M$1998,MATCH(A895&amp;"ENTRADA",Movimientos!$R$2:$R$1998,0))),"S/D")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 ht="14.25">
      <c r="A896" s="16" t="s">
        <v>3061</v>
      </c>
      <c r="B896" s="2" t="str">
        <f>IFERROR(INDEX(Movimientos!$C$2:$C$1998,MATCH(A896&amp;"ENTRADA",Movimientos!$R$2:$R$1998,0)),"-")</f>
        <v>-</v>
      </c>
      <c r="C896" s="2" t="str">
        <f>IFERROR(INDEX(Movimientos!$D$2:$D$1998,MATCH(A896&amp;"ENTRADA",Movimientos!$R$2:$R$1998,0)),"-")</f>
        <v>-</v>
      </c>
      <c r="D896" s="2" t="str">
        <f>IFERROR(INDEX(Movimientos!$E$2:$E$1998,MATCH(A896&amp;"ENTRADA",Movimientos!$R$2:$R$1998,0)),"-")</f>
        <v>-</v>
      </c>
      <c r="E896" s="2" t="str">
        <f>IFERROR(INDEX(Movimientos!$F$2:$F$1998,MATCH(A896&amp;"ENTRADA",Movimientos!$R$2:$R$1998,0)),"-")</f>
        <v>-</v>
      </c>
      <c r="F896" s="2" t="str">
        <f>IFERROR(INDEX(Movimientos!$G$2:$G$1998,MATCH(A896&amp;"ENTRADA",Movimientos!$R$2:$R$1998,0)),"-")</f>
        <v>-</v>
      </c>
      <c r="G896" s="2" t="str">
        <f>IFERROR(INDEX(Movimientos!$L$2:$L$1998,MATCH(A896&amp;"ENTRADA",Movimientos!$R$2:$R$1998,0)),"-")</f>
        <v>-</v>
      </c>
      <c r="H896" s="17" t="str">
        <f>IFERROR(IF(INDEX(Movimientos!$M$2:$M$1998,MATCH(A896&amp;"ENTRADA",Movimientos!$R$2:$R$1998,0))=0,"S/D",INDEX(Movimientos!$M$2:$M$1998,MATCH(A896&amp;"ENTRADA",Movimientos!$R$2:$R$1998,0))),"S/D")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 ht="14.25">
      <c r="A897" s="16" t="s">
        <v>3062</v>
      </c>
      <c r="B897" s="2" t="str">
        <f>IFERROR(INDEX(Movimientos!$C$2:$C$1998,MATCH(A897&amp;"ENTRADA",Movimientos!$R$2:$R$1998,0)),"-")</f>
        <v>-</v>
      </c>
      <c r="C897" s="2" t="str">
        <f>IFERROR(INDEX(Movimientos!$D$2:$D$1998,MATCH(A897&amp;"ENTRADA",Movimientos!$R$2:$R$1998,0)),"-")</f>
        <v>-</v>
      </c>
      <c r="D897" s="2" t="str">
        <f>IFERROR(INDEX(Movimientos!$E$2:$E$1998,MATCH(A897&amp;"ENTRADA",Movimientos!$R$2:$R$1998,0)),"-")</f>
        <v>-</v>
      </c>
      <c r="E897" s="2" t="str">
        <f>IFERROR(INDEX(Movimientos!$F$2:$F$1998,MATCH(A897&amp;"ENTRADA",Movimientos!$R$2:$R$1998,0)),"-")</f>
        <v>-</v>
      </c>
      <c r="F897" s="2" t="str">
        <f>IFERROR(INDEX(Movimientos!$G$2:$G$1998,MATCH(A897&amp;"ENTRADA",Movimientos!$R$2:$R$1998,0)),"-")</f>
        <v>-</v>
      </c>
      <c r="G897" s="2" t="str">
        <f>IFERROR(INDEX(Movimientos!$L$2:$L$1998,MATCH(A897&amp;"ENTRADA",Movimientos!$R$2:$R$1998,0)),"-")</f>
        <v>-</v>
      </c>
      <c r="H897" s="17" t="str">
        <f>IFERROR(IF(INDEX(Movimientos!$M$2:$M$1998,MATCH(A897&amp;"ENTRADA",Movimientos!$R$2:$R$1998,0))=0,"S/D",INDEX(Movimientos!$M$2:$M$1998,MATCH(A897&amp;"ENTRADA",Movimientos!$R$2:$R$1998,0))),"S/D")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 ht="14.25">
      <c r="A898" s="16" t="s">
        <v>3063</v>
      </c>
      <c r="B898" s="2" t="str">
        <f>IFERROR(INDEX(Movimientos!$C$2:$C$1998,MATCH(A898&amp;"ENTRADA",Movimientos!$R$2:$R$1998,0)),"-")</f>
        <v>-</v>
      </c>
      <c r="C898" s="2" t="str">
        <f>IFERROR(INDEX(Movimientos!$D$2:$D$1998,MATCH(A898&amp;"ENTRADA",Movimientos!$R$2:$R$1998,0)),"-")</f>
        <v>-</v>
      </c>
      <c r="D898" s="2" t="str">
        <f>IFERROR(INDEX(Movimientos!$E$2:$E$1998,MATCH(A898&amp;"ENTRADA",Movimientos!$R$2:$R$1998,0)),"-")</f>
        <v>-</v>
      </c>
      <c r="E898" s="2" t="str">
        <f>IFERROR(INDEX(Movimientos!$F$2:$F$1998,MATCH(A898&amp;"ENTRADA",Movimientos!$R$2:$R$1998,0)),"-")</f>
        <v>-</v>
      </c>
      <c r="F898" s="2" t="str">
        <f>IFERROR(INDEX(Movimientos!$G$2:$G$1998,MATCH(A898&amp;"ENTRADA",Movimientos!$R$2:$R$1998,0)),"-")</f>
        <v>-</v>
      </c>
      <c r="G898" s="2" t="str">
        <f>IFERROR(INDEX(Movimientos!$L$2:$L$1998,MATCH(A898&amp;"ENTRADA",Movimientos!$R$2:$R$1998,0)),"-")</f>
        <v>-</v>
      </c>
      <c r="H898" s="17" t="str">
        <f>IFERROR(IF(INDEX(Movimientos!$M$2:$M$1998,MATCH(A898&amp;"ENTRADA",Movimientos!$R$2:$R$1998,0))=0,"S/D",INDEX(Movimientos!$M$2:$M$1998,MATCH(A898&amp;"ENTRADA",Movimientos!$R$2:$R$1998,0))),"S/D")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 ht="14.25">
      <c r="A899" s="16" t="s">
        <v>3064</v>
      </c>
      <c r="B899" s="2" t="str">
        <f>IFERROR(INDEX(Movimientos!$C$2:$C$1998,MATCH(A899&amp;"ENTRADA",Movimientos!$R$2:$R$1998,0)),"-")</f>
        <v>-</v>
      </c>
      <c r="C899" s="2" t="str">
        <f>IFERROR(INDEX(Movimientos!$D$2:$D$1998,MATCH(A899&amp;"ENTRADA",Movimientos!$R$2:$R$1998,0)),"-")</f>
        <v>-</v>
      </c>
      <c r="D899" s="2" t="str">
        <f>IFERROR(INDEX(Movimientos!$E$2:$E$1998,MATCH(A899&amp;"ENTRADA",Movimientos!$R$2:$R$1998,0)),"-")</f>
        <v>-</v>
      </c>
      <c r="E899" s="2" t="str">
        <f>IFERROR(INDEX(Movimientos!$F$2:$F$1998,MATCH(A899&amp;"ENTRADA",Movimientos!$R$2:$R$1998,0)),"-")</f>
        <v>-</v>
      </c>
      <c r="F899" s="2" t="str">
        <f>IFERROR(INDEX(Movimientos!$G$2:$G$1998,MATCH(A899&amp;"ENTRADA",Movimientos!$R$2:$R$1998,0)),"-")</f>
        <v>-</v>
      </c>
      <c r="G899" s="2" t="str">
        <f>IFERROR(INDEX(Movimientos!$L$2:$L$1998,MATCH(A899&amp;"ENTRADA",Movimientos!$R$2:$R$1998,0)),"-")</f>
        <v>-</v>
      </c>
      <c r="H899" s="17" t="str">
        <f>IFERROR(IF(INDEX(Movimientos!$M$2:$M$1998,MATCH(A899&amp;"ENTRADA",Movimientos!$R$2:$R$1998,0))=0,"S/D",INDEX(Movimientos!$M$2:$M$1998,MATCH(A899&amp;"ENTRADA",Movimientos!$R$2:$R$1998,0))),"S/D")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 ht="14.25">
      <c r="A900" s="16" t="s">
        <v>3065</v>
      </c>
      <c r="B900" s="2" t="str">
        <f>IFERROR(INDEX(Movimientos!$C$2:$C$1998,MATCH(A900&amp;"ENTRADA",Movimientos!$R$2:$R$1998,0)),"-")</f>
        <v>-</v>
      </c>
      <c r="C900" s="2" t="str">
        <f>IFERROR(INDEX(Movimientos!$D$2:$D$1998,MATCH(A900&amp;"ENTRADA",Movimientos!$R$2:$R$1998,0)),"-")</f>
        <v>-</v>
      </c>
      <c r="D900" s="2" t="str">
        <f>IFERROR(INDEX(Movimientos!$E$2:$E$1998,MATCH(A900&amp;"ENTRADA",Movimientos!$R$2:$R$1998,0)),"-")</f>
        <v>-</v>
      </c>
      <c r="E900" s="2" t="str">
        <f>IFERROR(INDEX(Movimientos!$F$2:$F$1998,MATCH(A900&amp;"ENTRADA",Movimientos!$R$2:$R$1998,0)),"-")</f>
        <v>-</v>
      </c>
      <c r="F900" s="2" t="str">
        <f>IFERROR(INDEX(Movimientos!$G$2:$G$1998,MATCH(A900&amp;"ENTRADA",Movimientos!$R$2:$R$1998,0)),"-")</f>
        <v>-</v>
      </c>
      <c r="G900" s="2" t="str">
        <f>IFERROR(INDEX(Movimientos!$L$2:$L$1998,MATCH(A900&amp;"ENTRADA",Movimientos!$R$2:$R$1998,0)),"-")</f>
        <v>-</v>
      </c>
      <c r="H900" s="17" t="str">
        <f>IFERROR(IF(INDEX(Movimientos!$M$2:$M$1998,MATCH(A900&amp;"ENTRADA",Movimientos!$R$2:$R$1998,0))=0,"S/D",INDEX(Movimientos!$M$2:$M$1998,MATCH(A900&amp;"ENTRADA",Movimientos!$R$2:$R$1998,0))),"S/D")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 ht="14.25">
      <c r="A901" s="16" t="s">
        <v>3066</v>
      </c>
      <c r="B901" s="2" t="str">
        <f>IFERROR(INDEX(Movimientos!$C$2:$C$1998,MATCH(A901&amp;"ENTRADA",Movimientos!$R$2:$R$1998,0)),"-")</f>
        <v>-</v>
      </c>
      <c r="C901" s="2" t="str">
        <f>IFERROR(INDEX(Movimientos!$D$2:$D$1998,MATCH(A901&amp;"ENTRADA",Movimientos!$R$2:$R$1998,0)),"-")</f>
        <v>-</v>
      </c>
      <c r="D901" s="2" t="str">
        <f>IFERROR(INDEX(Movimientos!$E$2:$E$1998,MATCH(A901&amp;"ENTRADA",Movimientos!$R$2:$R$1998,0)),"-")</f>
        <v>-</v>
      </c>
      <c r="E901" s="2" t="str">
        <f>IFERROR(INDEX(Movimientos!$F$2:$F$1998,MATCH(A901&amp;"ENTRADA",Movimientos!$R$2:$R$1998,0)),"-")</f>
        <v>-</v>
      </c>
      <c r="F901" s="2" t="str">
        <f>IFERROR(INDEX(Movimientos!$G$2:$G$1998,MATCH(A901&amp;"ENTRADA",Movimientos!$R$2:$R$1998,0)),"-")</f>
        <v>-</v>
      </c>
      <c r="G901" s="2" t="str">
        <f>IFERROR(INDEX(Movimientos!$L$2:$L$1998,MATCH(A901&amp;"ENTRADA",Movimientos!$R$2:$R$1998,0)),"-")</f>
        <v>-</v>
      </c>
      <c r="H901" s="17" t="str">
        <f>IFERROR(IF(INDEX(Movimientos!$M$2:$M$1998,MATCH(A901&amp;"ENTRADA",Movimientos!$R$2:$R$1998,0))=0,"S/D",INDEX(Movimientos!$M$2:$M$1998,MATCH(A901&amp;"ENTRADA",Movimientos!$R$2:$R$1998,0))),"S/D")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 ht="14.25">
      <c r="A902" s="16" t="s">
        <v>3067</v>
      </c>
      <c r="B902" s="2" t="str">
        <f>IFERROR(INDEX(Movimientos!$C$2:$C$1998,MATCH(A902&amp;"ENTRADA",Movimientos!$R$2:$R$1998,0)),"-")</f>
        <v>-</v>
      </c>
      <c r="C902" s="2" t="str">
        <f>IFERROR(INDEX(Movimientos!$D$2:$D$1998,MATCH(A902&amp;"ENTRADA",Movimientos!$R$2:$R$1998,0)),"-")</f>
        <v>-</v>
      </c>
      <c r="D902" s="2" t="str">
        <f>IFERROR(INDEX(Movimientos!$E$2:$E$1998,MATCH(A902&amp;"ENTRADA",Movimientos!$R$2:$R$1998,0)),"-")</f>
        <v>-</v>
      </c>
      <c r="E902" s="2" t="str">
        <f>IFERROR(INDEX(Movimientos!$F$2:$F$1998,MATCH(A902&amp;"ENTRADA",Movimientos!$R$2:$R$1998,0)),"-")</f>
        <v>-</v>
      </c>
      <c r="F902" s="2" t="str">
        <f>IFERROR(INDEX(Movimientos!$G$2:$G$1998,MATCH(A902&amp;"ENTRADA",Movimientos!$R$2:$R$1998,0)),"-")</f>
        <v>-</v>
      </c>
      <c r="G902" s="2" t="str">
        <f>IFERROR(INDEX(Movimientos!$L$2:$L$1998,MATCH(A902&amp;"ENTRADA",Movimientos!$R$2:$R$1998,0)),"-")</f>
        <v>-</v>
      </c>
      <c r="H902" s="17" t="str">
        <f>IFERROR(IF(INDEX(Movimientos!$M$2:$M$1998,MATCH(A902&amp;"ENTRADA",Movimientos!$R$2:$R$1998,0))=0,"S/D",INDEX(Movimientos!$M$2:$M$1998,MATCH(A902&amp;"ENTRADA",Movimientos!$R$2:$R$1998,0))),"S/D")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 ht="14.25">
      <c r="A903" s="16" t="s">
        <v>3068</v>
      </c>
      <c r="B903" s="2" t="str">
        <f>IFERROR(INDEX(Movimientos!$C$2:$C$1998,MATCH(A903&amp;"ENTRADA",Movimientos!$R$2:$R$1998,0)),"-")</f>
        <v>-</v>
      </c>
      <c r="C903" s="2" t="str">
        <f>IFERROR(INDEX(Movimientos!$D$2:$D$1998,MATCH(A903&amp;"ENTRADA",Movimientos!$R$2:$R$1998,0)),"-")</f>
        <v>-</v>
      </c>
      <c r="D903" s="2" t="str">
        <f>IFERROR(INDEX(Movimientos!$E$2:$E$1998,MATCH(A903&amp;"ENTRADA",Movimientos!$R$2:$R$1998,0)),"-")</f>
        <v>-</v>
      </c>
      <c r="E903" s="2" t="str">
        <f>IFERROR(INDEX(Movimientos!$F$2:$F$1998,MATCH(A903&amp;"ENTRADA",Movimientos!$R$2:$R$1998,0)),"-")</f>
        <v>-</v>
      </c>
      <c r="F903" s="2" t="str">
        <f>IFERROR(INDEX(Movimientos!$G$2:$G$1998,MATCH(A903&amp;"ENTRADA",Movimientos!$R$2:$R$1998,0)),"-")</f>
        <v>-</v>
      </c>
      <c r="G903" s="2" t="str">
        <f>IFERROR(INDEX(Movimientos!$L$2:$L$1998,MATCH(A903&amp;"ENTRADA",Movimientos!$R$2:$R$1998,0)),"-")</f>
        <v>-</v>
      </c>
      <c r="H903" s="17" t="str">
        <f>IFERROR(IF(INDEX(Movimientos!$M$2:$M$1998,MATCH(A903&amp;"ENTRADA",Movimientos!$R$2:$R$1998,0))=0,"S/D",INDEX(Movimientos!$M$2:$M$1998,MATCH(A903&amp;"ENTRADA",Movimientos!$R$2:$R$1998,0))),"S/D")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 ht="14.25">
      <c r="A904" s="16" t="s">
        <v>3069</v>
      </c>
      <c r="B904" s="2" t="str">
        <f>IFERROR(INDEX(Movimientos!$C$2:$C$1998,MATCH(A904&amp;"ENTRADA",Movimientos!$R$2:$R$1998,0)),"-")</f>
        <v>-</v>
      </c>
      <c r="C904" s="2" t="str">
        <f>IFERROR(INDEX(Movimientos!$D$2:$D$1998,MATCH(A904&amp;"ENTRADA",Movimientos!$R$2:$R$1998,0)),"-")</f>
        <v>-</v>
      </c>
      <c r="D904" s="2" t="str">
        <f>IFERROR(INDEX(Movimientos!$E$2:$E$1998,MATCH(A904&amp;"ENTRADA",Movimientos!$R$2:$R$1998,0)),"-")</f>
        <v>-</v>
      </c>
      <c r="E904" s="2" t="str">
        <f>IFERROR(INDEX(Movimientos!$F$2:$F$1998,MATCH(A904&amp;"ENTRADA",Movimientos!$R$2:$R$1998,0)),"-")</f>
        <v>-</v>
      </c>
      <c r="F904" s="2" t="str">
        <f>IFERROR(INDEX(Movimientos!$G$2:$G$1998,MATCH(A904&amp;"ENTRADA",Movimientos!$R$2:$R$1998,0)),"-")</f>
        <v>-</v>
      </c>
      <c r="G904" s="2" t="str">
        <f>IFERROR(INDEX(Movimientos!$L$2:$L$1998,MATCH(A904&amp;"ENTRADA",Movimientos!$R$2:$R$1998,0)),"-")</f>
        <v>-</v>
      </c>
      <c r="H904" s="17" t="str">
        <f>IFERROR(IF(INDEX(Movimientos!$M$2:$M$1998,MATCH(A904&amp;"ENTRADA",Movimientos!$R$2:$R$1998,0))=0,"S/D",INDEX(Movimientos!$M$2:$M$1998,MATCH(A904&amp;"ENTRADA",Movimientos!$R$2:$R$1998,0))),"S/D")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 ht="14.25">
      <c r="A905" s="16" t="s">
        <v>3070</v>
      </c>
      <c r="B905" s="2" t="str">
        <f>IFERROR(INDEX(Movimientos!$C$2:$C$1998,MATCH(A905&amp;"ENTRADA",Movimientos!$R$2:$R$1998,0)),"-")</f>
        <v>-</v>
      </c>
      <c r="C905" s="2" t="str">
        <f>IFERROR(INDEX(Movimientos!$D$2:$D$1998,MATCH(A905&amp;"ENTRADA",Movimientos!$R$2:$R$1998,0)),"-")</f>
        <v>-</v>
      </c>
      <c r="D905" s="2" t="str">
        <f>IFERROR(INDEX(Movimientos!$E$2:$E$1998,MATCH(A905&amp;"ENTRADA",Movimientos!$R$2:$R$1998,0)),"-")</f>
        <v>-</v>
      </c>
      <c r="E905" s="2" t="str">
        <f>IFERROR(INDEX(Movimientos!$F$2:$F$1998,MATCH(A905&amp;"ENTRADA",Movimientos!$R$2:$R$1998,0)),"-")</f>
        <v>-</v>
      </c>
      <c r="F905" s="2" t="str">
        <f>IFERROR(INDEX(Movimientos!$G$2:$G$1998,MATCH(A905&amp;"ENTRADA",Movimientos!$R$2:$R$1998,0)),"-")</f>
        <v>-</v>
      </c>
      <c r="G905" s="2" t="str">
        <f>IFERROR(INDEX(Movimientos!$L$2:$L$1998,MATCH(A905&amp;"ENTRADA",Movimientos!$R$2:$R$1998,0)),"-")</f>
        <v>-</v>
      </c>
      <c r="H905" s="17" t="str">
        <f>IFERROR(IF(INDEX(Movimientos!$M$2:$M$1998,MATCH(A905&amp;"ENTRADA",Movimientos!$R$2:$R$1998,0))=0,"S/D",INDEX(Movimientos!$M$2:$M$1998,MATCH(A905&amp;"ENTRADA",Movimientos!$R$2:$R$1998,0))),"S/D")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 ht="14.25">
      <c r="A906" s="16" t="s">
        <v>3071</v>
      </c>
      <c r="B906" s="2" t="str">
        <f>IFERROR(INDEX(Movimientos!$C$2:$C$1998,MATCH(A906&amp;"ENTRADA",Movimientos!$R$2:$R$1998,0)),"-")</f>
        <v>-</v>
      </c>
      <c r="C906" s="2" t="str">
        <f>IFERROR(INDEX(Movimientos!$D$2:$D$1998,MATCH(A906&amp;"ENTRADA",Movimientos!$R$2:$R$1998,0)),"-")</f>
        <v>-</v>
      </c>
      <c r="D906" s="2" t="str">
        <f>IFERROR(INDEX(Movimientos!$E$2:$E$1998,MATCH(A906&amp;"ENTRADA",Movimientos!$R$2:$R$1998,0)),"-")</f>
        <v>-</v>
      </c>
      <c r="E906" s="2" t="str">
        <f>IFERROR(INDEX(Movimientos!$F$2:$F$1998,MATCH(A906&amp;"ENTRADA",Movimientos!$R$2:$R$1998,0)),"-")</f>
        <v>-</v>
      </c>
      <c r="F906" s="2" t="str">
        <f>IFERROR(INDEX(Movimientos!$G$2:$G$1998,MATCH(A906&amp;"ENTRADA",Movimientos!$R$2:$R$1998,0)),"-")</f>
        <v>-</v>
      </c>
      <c r="G906" s="2" t="str">
        <f>IFERROR(INDEX(Movimientos!$L$2:$L$1998,MATCH(A906&amp;"ENTRADA",Movimientos!$R$2:$R$1998,0)),"-")</f>
        <v>-</v>
      </c>
      <c r="H906" s="17" t="str">
        <f>IFERROR(IF(INDEX(Movimientos!$M$2:$M$1998,MATCH(A906&amp;"ENTRADA",Movimientos!$R$2:$R$1998,0))=0,"S/D",INDEX(Movimientos!$M$2:$M$1998,MATCH(A906&amp;"ENTRADA",Movimientos!$R$2:$R$1998,0))),"S/D")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 ht="14.25">
      <c r="A907" s="16" t="s">
        <v>3072</v>
      </c>
      <c r="B907" s="2" t="str">
        <f>IFERROR(INDEX(Movimientos!$C$2:$C$1998,MATCH(A907&amp;"ENTRADA",Movimientos!$R$2:$R$1998,0)),"-")</f>
        <v>-</v>
      </c>
      <c r="C907" s="2" t="str">
        <f>IFERROR(INDEX(Movimientos!$D$2:$D$1998,MATCH(A907&amp;"ENTRADA",Movimientos!$R$2:$R$1998,0)),"-")</f>
        <v>-</v>
      </c>
      <c r="D907" s="2" t="str">
        <f>IFERROR(INDEX(Movimientos!$E$2:$E$1998,MATCH(A907&amp;"ENTRADA",Movimientos!$R$2:$R$1998,0)),"-")</f>
        <v>-</v>
      </c>
      <c r="E907" s="2" t="str">
        <f>IFERROR(INDEX(Movimientos!$F$2:$F$1998,MATCH(A907&amp;"ENTRADA",Movimientos!$R$2:$R$1998,0)),"-")</f>
        <v>-</v>
      </c>
      <c r="F907" s="2" t="str">
        <f>IFERROR(INDEX(Movimientos!$G$2:$G$1998,MATCH(A907&amp;"ENTRADA",Movimientos!$R$2:$R$1998,0)),"-")</f>
        <v>-</v>
      </c>
      <c r="G907" s="2" t="str">
        <f>IFERROR(INDEX(Movimientos!$L$2:$L$1998,MATCH(A907&amp;"ENTRADA",Movimientos!$R$2:$R$1998,0)),"-")</f>
        <v>-</v>
      </c>
      <c r="H907" s="17" t="str">
        <f>IFERROR(IF(INDEX(Movimientos!$M$2:$M$1998,MATCH(A907&amp;"ENTRADA",Movimientos!$R$2:$R$1998,0))=0,"S/D",INDEX(Movimientos!$M$2:$M$1998,MATCH(A907&amp;"ENTRADA",Movimientos!$R$2:$R$1998,0))),"S/D")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 ht="14.25">
      <c r="A908" s="16" t="s">
        <v>3073</v>
      </c>
      <c r="B908" s="2" t="str">
        <f>IFERROR(INDEX(Movimientos!$C$2:$C$1998,MATCH(A908&amp;"ENTRADA",Movimientos!$R$2:$R$1998,0)),"-")</f>
        <v>-</v>
      </c>
      <c r="C908" s="2" t="str">
        <f>IFERROR(INDEX(Movimientos!$D$2:$D$1998,MATCH(A908&amp;"ENTRADA",Movimientos!$R$2:$R$1998,0)),"-")</f>
        <v>-</v>
      </c>
      <c r="D908" s="2" t="str">
        <f>IFERROR(INDEX(Movimientos!$E$2:$E$1998,MATCH(A908&amp;"ENTRADA",Movimientos!$R$2:$R$1998,0)),"-")</f>
        <v>-</v>
      </c>
      <c r="E908" s="2" t="str">
        <f>IFERROR(INDEX(Movimientos!$F$2:$F$1998,MATCH(A908&amp;"ENTRADA",Movimientos!$R$2:$R$1998,0)),"-")</f>
        <v>-</v>
      </c>
      <c r="F908" s="2" t="str">
        <f>IFERROR(INDEX(Movimientos!$G$2:$G$1998,MATCH(A908&amp;"ENTRADA",Movimientos!$R$2:$R$1998,0)),"-")</f>
        <v>-</v>
      </c>
      <c r="G908" s="2" t="str">
        <f>IFERROR(INDEX(Movimientos!$L$2:$L$1998,MATCH(A908&amp;"ENTRADA",Movimientos!$R$2:$R$1998,0)),"-")</f>
        <v>-</v>
      </c>
      <c r="H908" s="17" t="str">
        <f>IFERROR(IF(INDEX(Movimientos!$M$2:$M$1998,MATCH(A908&amp;"ENTRADA",Movimientos!$R$2:$R$1998,0))=0,"S/D",INDEX(Movimientos!$M$2:$M$1998,MATCH(A908&amp;"ENTRADA",Movimientos!$R$2:$R$1998,0))),"S/D")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 ht="14.25">
      <c r="A909" s="16" t="s">
        <v>3074</v>
      </c>
      <c r="B909" s="2" t="str">
        <f>IFERROR(INDEX(Movimientos!$C$2:$C$1998,MATCH(A909&amp;"ENTRADA",Movimientos!$R$2:$R$1998,0)),"-")</f>
        <v>-</v>
      </c>
      <c r="C909" s="2" t="str">
        <f>IFERROR(INDEX(Movimientos!$D$2:$D$1998,MATCH(A909&amp;"ENTRADA",Movimientos!$R$2:$R$1998,0)),"-")</f>
        <v>-</v>
      </c>
      <c r="D909" s="2" t="str">
        <f>IFERROR(INDEX(Movimientos!$E$2:$E$1998,MATCH(A909&amp;"ENTRADA",Movimientos!$R$2:$R$1998,0)),"-")</f>
        <v>-</v>
      </c>
      <c r="E909" s="2" t="str">
        <f>IFERROR(INDEX(Movimientos!$F$2:$F$1998,MATCH(A909&amp;"ENTRADA",Movimientos!$R$2:$R$1998,0)),"-")</f>
        <v>-</v>
      </c>
      <c r="F909" s="2" t="str">
        <f>IFERROR(INDEX(Movimientos!$G$2:$G$1998,MATCH(A909&amp;"ENTRADA",Movimientos!$R$2:$R$1998,0)),"-")</f>
        <v>-</v>
      </c>
      <c r="G909" s="2" t="str">
        <f>IFERROR(INDEX(Movimientos!$L$2:$L$1998,MATCH(A909&amp;"ENTRADA",Movimientos!$R$2:$R$1998,0)),"-")</f>
        <v>-</v>
      </c>
      <c r="H909" s="17" t="str">
        <f>IFERROR(IF(INDEX(Movimientos!$M$2:$M$1998,MATCH(A909&amp;"ENTRADA",Movimientos!$R$2:$R$1998,0))=0,"S/D",INDEX(Movimientos!$M$2:$M$1998,MATCH(A909&amp;"ENTRADA",Movimientos!$R$2:$R$1998,0))),"S/D")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 ht="14.25">
      <c r="A910" s="16" t="s">
        <v>3075</v>
      </c>
      <c r="B910" s="2" t="str">
        <f>IFERROR(INDEX(Movimientos!$C$2:$C$1998,MATCH(A910&amp;"ENTRADA",Movimientos!$R$2:$R$1998,0)),"-")</f>
        <v>-</v>
      </c>
      <c r="C910" s="2" t="str">
        <f>IFERROR(INDEX(Movimientos!$D$2:$D$1998,MATCH(A910&amp;"ENTRADA",Movimientos!$R$2:$R$1998,0)),"-")</f>
        <v>-</v>
      </c>
      <c r="D910" s="2" t="str">
        <f>IFERROR(INDEX(Movimientos!$E$2:$E$1998,MATCH(A910&amp;"ENTRADA",Movimientos!$R$2:$R$1998,0)),"-")</f>
        <v>-</v>
      </c>
      <c r="E910" s="2" t="str">
        <f>IFERROR(INDEX(Movimientos!$F$2:$F$1998,MATCH(A910&amp;"ENTRADA",Movimientos!$R$2:$R$1998,0)),"-")</f>
        <v>-</v>
      </c>
      <c r="F910" s="2" t="str">
        <f>IFERROR(INDEX(Movimientos!$G$2:$G$1998,MATCH(A910&amp;"ENTRADA",Movimientos!$R$2:$R$1998,0)),"-")</f>
        <v>-</v>
      </c>
      <c r="G910" s="2" t="str">
        <f>IFERROR(INDEX(Movimientos!$L$2:$L$1998,MATCH(A910&amp;"ENTRADA",Movimientos!$R$2:$R$1998,0)),"-")</f>
        <v>-</v>
      </c>
      <c r="H910" s="17" t="str">
        <f>IFERROR(IF(INDEX(Movimientos!$M$2:$M$1998,MATCH(A910&amp;"ENTRADA",Movimientos!$R$2:$R$1998,0))=0,"S/D",INDEX(Movimientos!$M$2:$M$1998,MATCH(A910&amp;"ENTRADA",Movimientos!$R$2:$R$1998,0))),"S/D")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 ht="14.25">
      <c r="A911" s="16" t="s">
        <v>3076</v>
      </c>
      <c r="B911" s="2" t="str">
        <f>IFERROR(INDEX(Movimientos!$C$2:$C$1998,MATCH(A911&amp;"ENTRADA",Movimientos!$R$2:$R$1998,0)),"-")</f>
        <v>-</v>
      </c>
      <c r="C911" s="2" t="str">
        <f>IFERROR(INDEX(Movimientos!$D$2:$D$1998,MATCH(A911&amp;"ENTRADA",Movimientos!$R$2:$R$1998,0)),"-")</f>
        <v>-</v>
      </c>
      <c r="D911" s="2" t="str">
        <f>IFERROR(INDEX(Movimientos!$E$2:$E$1998,MATCH(A911&amp;"ENTRADA",Movimientos!$R$2:$R$1998,0)),"-")</f>
        <v>-</v>
      </c>
      <c r="E911" s="2" t="str">
        <f>IFERROR(INDEX(Movimientos!$F$2:$F$1998,MATCH(A911&amp;"ENTRADA",Movimientos!$R$2:$R$1998,0)),"-")</f>
        <v>-</v>
      </c>
      <c r="F911" s="2" t="str">
        <f>IFERROR(INDEX(Movimientos!$G$2:$G$1998,MATCH(A911&amp;"ENTRADA",Movimientos!$R$2:$R$1998,0)),"-")</f>
        <v>-</v>
      </c>
      <c r="G911" s="2" t="str">
        <f>IFERROR(INDEX(Movimientos!$L$2:$L$1998,MATCH(A911&amp;"ENTRADA",Movimientos!$R$2:$R$1998,0)),"-")</f>
        <v>-</v>
      </c>
      <c r="H911" s="17" t="str">
        <f>IFERROR(IF(INDEX(Movimientos!$M$2:$M$1998,MATCH(A911&amp;"ENTRADA",Movimientos!$R$2:$R$1998,0))=0,"S/D",INDEX(Movimientos!$M$2:$M$1998,MATCH(A911&amp;"ENTRADA",Movimientos!$R$2:$R$1998,0))),"S/D")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 ht="14.25">
      <c r="A912" s="16" t="s">
        <v>3077</v>
      </c>
      <c r="B912" s="2" t="str">
        <f>IFERROR(INDEX(Movimientos!$C$2:$C$1998,MATCH(A912&amp;"ENTRADA",Movimientos!$R$2:$R$1998,0)),"-")</f>
        <v>-</v>
      </c>
      <c r="C912" s="2" t="str">
        <f>IFERROR(INDEX(Movimientos!$D$2:$D$1998,MATCH(A912&amp;"ENTRADA",Movimientos!$R$2:$R$1998,0)),"-")</f>
        <v>-</v>
      </c>
      <c r="D912" s="2" t="str">
        <f>IFERROR(INDEX(Movimientos!$E$2:$E$1998,MATCH(A912&amp;"ENTRADA",Movimientos!$R$2:$R$1998,0)),"-")</f>
        <v>-</v>
      </c>
      <c r="E912" s="2" t="str">
        <f>IFERROR(INDEX(Movimientos!$F$2:$F$1998,MATCH(A912&amp;"ENTRADA",Movimientos!$R$2:$R$1998,0)),"-")</f>
        <v>-</v>
      </c>
      <c r="F912" s="2" t="str">
        <f>IFERROR(INDEX(Movimientos!$G$2:$G$1998,MATCH(A912&amp;"ENTRADA",Movimientos!$R$2:$R$1998,0)),"-")</f>
        <v>-</v>
      </c>
      <c r="G912" s="2" t="str">
        <f>IFERROR(INDEX(Movimientos!$L$2:$L$1998,MATCH(A912&amp;"ENTRADA",Movimientos!$R$2:$R$1998,0)),"-")</f>
        <v>-</v>
      </c>
      <c r="H912" s="17" t="str">
        <f>IFERROR(IF(INDEX(Movimientos!$M$2:$M$1998,MATCH(A912&amp;"ENTRADA",Movimientos!$R$2:$R$1998,0))=0,"S/D",INDEX(Movimientos!$M$2:$M$1998,MATCH(A912&amp;"ENTRADA",Movimientos!$R$2:$R$1998,0))),"S/D")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 ht="14.25">
      <c r="A913" s="16" t="s">
        <v>3078</v>
      </c>
      <c r="B913" s="2" t="str">
        <f>IFERROR(INDEX(Movimientos!$C$2:$C$1998,MATCH(A913&amp;"ENTRADA",Movimientos!$R$2:$R$1998,0)),"-")</f>
        <v>-</v>
      </c>
      <c r="C913" s="2" t="str">
        <f>IFERROR(INDEX(Movimientos!$D$2:$D$1998,MATCH(A913&amp;"ENTRADA",Movimientos!$R$2:$R$1998,0)),"-")</f>
        <v>-</v>
      </c>
      <c r="D913" s="2" t="str">
        <f>IFERROR(INDEX(Movimientos!$E$2:$E$1998,MATCH(A913&amp;"ENTRADA",Movimientos!$R$2:$R$1998,0)),"-")</f>
        <v>-</v>
      </c>
      <c r="E913" s="2" t="str">
        <f>IFERROR(INDEX(Movimientos!$F$2:$F$1998,MATCH(A913&amp;"ENTRADA",Movimientos!$R$2:$R$1998,0)),"-")</f>
        <v>-</v>
      </c>
      <c r="F913" s="2" t="str">
        <f>IFERROR(INDEX(Movimientos!$G$2:$G$1998,MATCH(A913&amp;"ENTRADA",Movimientos!$R$2:$R$1998,0)),"-")</f>
        <v>-</v>
      </c>
      <c r="G913" s="2" t="str">
        <f>IFERROR(INDEX(Movimientos!$L$2:$L$1998,MATCH(A913&amp;"ENTRADA",Movimientos!$R$2:$R$1998,0)),"-")</f>
        <v>-</v>
      </c>
      <c r="H913" s="17" t="str">
        <f>IFERROR(IF(INDEX(Movimientos!$M$2:$M$1998,MATCH(A913&amp;"ENTRADA",Movimientos!$R$2:$R$1998,0))=0,"S/D",INDEX(Movimientos!$M$2:$M$1998,MATCH(A913&amp;"ENTRADA",Movimientos!$R$2:$R$1998,0))),"S/D")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 ht="14.25">
      <c r="A914" s="16" t="s">
        <v>3079</v>
      </c>
      <c r="B914" s="2" t="str">
        <f>IFERROR(INDEX(Movimientos!$C$2:$C$1998,MATCH(A914&amp;"ENTRADA",Movimientos!$R$2:$R$1998,0)),"-")</f>
        <v>-</v>
      </c>
      <c r="C914" s="2" t="str">
        <f>IFERROR(INDEX(Movimientos!$D$2:$D$1998,MATCH(A914&amp;"ENTRADA",Movimientos!$R$2:$R$1998,0)),"-")</f>
        <v>-</v>
      </c>
      <c r="D914" s="2" t="str">
        <f>IFERROR(INDEX(Movimientos!$E$2:$E$1998,MATCH(A914&amp;"ENTRADA",Movimientos!$R$2:$R$1998,0)),"-")</f>
        <v>-</v>
      </c>
      <c r="E914" s="2" t="str">
        <f>IFERROR(INDEX(Movimientos!$F$2:$F$1998,MATCH(A914&amp;"ENTRADA",Movimientos!$R$2:$R$1998,0)),"-")</f>
        <v>-</v>
      </c>
      <c r="F914" s="2" t="str">
        <f>IFERROR(INDEX(Movimientos!$G$2:$G$1998,MATCH(A914&amp;"ENTRADA",Movimientos!$R$2:$R$1998,0)),"-")</f>
        <v>-</v>
      </c>
      <c r="G914" s="2" t="str">
        <f>IFERROR(INDEX(Movimientos!$L$2:$L$1998,MATCH(A914&amp;"ENTRADA",Movimientos!$R$2:$R$1998,0)),"-")</f>
        <v>-</v>
      </c>
      <c r="H914" s="17" t="str">
        <f>IFERROR(IF(INDEX(Movimientos!$M$2:$M$1998,MATCH(A914&amp;"ENTRADA",Movimientos!$R$2:$R$1998,0))=0,"S/D",INDEX(Movimientos!$M$2:$M$1998,MATCH(A914&amp;"ENTRADA",Movimientos!$R$2:$R$1998,0))),"S/D")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 ht="14.25">
      <c r="A915" s="16" t="s">
        <v>3080</v>
      </c>
      <c r="B915" s="2" t="str">
        <f>IFERROR(INDEX(Movimientos!$C$2:$C$1998,MATCH(A915&amp;"ENTRADA",Movimientos!$R$2:$R$1998,0)),"-")</f>
        <v>-</v>
      </c>
      <c r="C915" s="2" t="str">
        <f>IFERROR(INDEX(Movimientos!$D$2:$D$1998,MATCH(A915&amp;"ENTRADA",Movimientos!$R$2:$R$1998,0)),"-")</f>
        <v>-</v>
      </c>
      <c r="D915" s="2" t="str">
        <f>IFERROR(INDEX(Movimientos!$E$2:$E$1998,MATCH(A915&amp;"ENTRADA",Movimientos!$R$2:$R$1998,0)),"-")</f>
        <v>-</v>
      </c>
      <c r="E915" s="2" t="str">
        <f>IFERROR(INDEX(Movimientos!$F$2:$F$1998,MATCH(A915&amp;"ENTRADA",Movimientos!$R$2:$R$1998,0)),"-")</f>
        <v>-</v>
      </c>
      <c r="F915" s="2" t="str">
        <f>IFERROR(INDEX(Movimientos!$G$2:$G$1998,MATCH(A915&amp;"ENTRADA",Movimientos!$R$2:$R$1998,0)),"-")</f>
        <v>-</v>
      </c>
      <c r="G915" s="2" t="str">
        <f>IFERROR(INDEX(Movimientos!$L$2:$L$1998,MATCH(A915&amp;"ENTRADA",Movimientos!$R$2:$R$1998,0)),"-")</f>
        <v>-</v>
      </c>
      <c r="H915" s="17" t="str">
        <f>IFERROR(IF(INDEX(Movimientos!$M$2:$M$1998,MATCH(A915&amp;"ENTRADA",Movimientos!$R$2:$R$1998,0))=0,"S/D",INDEX(Movimientos!$M$2:$M$1998,MATCH(A915&amp;"ENTRADA",Movimientos!$R$2:$R$1998,0))),"S/D")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 ht="14.25">
      <c r="A916" s="16" t="s">
        <v>3081</v>
      </c>
      <c r="B916" s="2" t="str">
        <f>IFERROR(INDEX(Movimientos!$C$2:$C$1998,MATCH(A916&amp;"ENTRADA",Movimientos!$R$2:$R$1998,0)),"-")</f>
        <v>-</v>
      </c>
      <c r="C916" s="2" t="str">
        <f>IFERROR(INDEX(Movimientos!$D$2:$D$1998,MATCH(A916&amp;"ENTRADA",Movimientos!$R$2:$R$1998,0)),"-")</f>
        <v>-</v>
      </c>
      <c r="D916" s="2" t="str">
        <f>IFERROR(INDEX(Movimientos!$E$2:$E$1998,MATCH(A916&amp;"ENTRADA",Movimientos!$R$2:$R$1998,0)),"-")</f>
        <v>-</v>
      </c>
      <c r="E916" s="2" t="str">
        <f>IFERROR(INDEX(Movimientos!$F$2:$F$1998,MATCH(A916&amp;"ENTRADA",Movimientos!$R$2:$R$1998,0)),"-")</f>
        <v>-</v>
      </c>
      <c r="F916" s="2" t="str">
        <f>IFERROR(INDEX(Movimientos!$G$2:$G$1998,MATCH(A916&amp;"ENTRADA",Movimientos!$R$2:$R$1998,0)),"-")</f>
        <v>-</v>
      </c>
      <c r="G916" s="2" t="str">
        <f>IFERROR(INDEX(Movimientos!$L$2:$L$1998,MATCH(A916&amp;"ENTRADA",Movimientos!$R$2:$R$1998,0)),"-")</f>
        <v>-</v>
      </c>
      <c r="H916" s="17" t="str">
        <f>IFERROR(IF(INDEX(Movimientos!$M$2:$M$1998,MATCH(A916&amp;"ENTRADA",Movimientos!$R$2:$R$1998,0))=0,"S/D",INDEX(Movimientos!$M$2:$M$1998,MATCH(A916&amp;"ENTRADA",Movimientos!$R$2:$R$1998,0))),"S/D")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 ht="14.25">
      <c r="A917" s="16" t="s">
        <v>3082</v>
      </c>
      <c r="B917" s="2" t="str">
        <f>IFERROR(INDEX(Movimientos!$C$2:$C$1998,MATCH(A917&amp;"ENTRADA",Movimientos!$R$2:$R$1998,0)),"-")</f>
        <v>-</v>
      </c>
      <c r="C917" s="2" t="str">
        <f>IFERROR(INDEX(Movimientos!$D$2:$D$1998,MATCH(A917&amp;"ENTRADA",Movimientos!$R$2:$R$1998,0)),"-")</f>
        <v>-</v>
      </c>
      <c r="D917" s="2" t="str">
        <f>IFERROR(INDEX(Movimientos!$E$2:$E$1998,MATCH(A917&amp;"ENTRADA",Movimientos!$R$2:$R$1998,0)),"-")</f>
        <v>-</v>
      </c>
      <c r="E917" s="2" t="str">
        <f>IFERROR(INDEX(Movimientos!$F$2:$F$1998,MATCH(A917&amp;"ENTRADA",Movimientos!$R$2:$R$1998,0)),"-")</f>
        <v>-</v>
      </c>
      <c r="F917" s="2" t="str">
        <f>IFERROR(INDEX(Movimientos!$G$2:$G$1998,MATCH(A917&amp;"ENTRADA",Movimientos!$R$2:$R$1998,0)),"-")</f>
        <v>-</v>
      </c>
      <c r="G917" s="2" t="str">
        <f>IFERROR(INDEX(Movimientos!$L$2:$L$1998,MATCH(A917&amp;"ENTRADA",Movimientos!$R$2:$R$1998,0)),"-")</f>
        <v>-</v>
      </c>
      <c r="H917" s="17" t="str">
        <f>IFERROR(IF(INDEX(Movimientos!$M$2:$M$1998,MATCH(A917&amp;"ENTRADA",Movimientos!$R$2:$R$1998,0))=0,"S/D",INDEX(Movimientos!$M$2:$M$1998,MATCH(A917&amp;"ENTRADA",Movimientos!$R$2:$R$1998,0))),"S/D")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 ht="14.25">
      <c r="A918" s="16" t="s">
        <v>3083</v>
      </c>
      <c r="B918" s="2" t="str">
        <f>IFERROR(INDEX(Movimientos!$C$2:$C$1998,MATCH(A918&amp;"ENTRADA",Movimientos!$R$2:$R$1998,0)),"-")</f>
        <v>-</v>
      </c>
      <c r="C918" s="2" t="str">
        <f>IFERROR(INDEX(Movimientos!$D$2:$D$1998,MATCH(A918&amp;"ENTRADA",Movimientos!$R$2:$R$1998,0)),"-")</f>
        <v>-</v>
      </c>
      <c r="D918" s="2" t="str">
        <f>IFERROR(INDEX(Movimientos!$E$2:$E$1998,MATCH(A918&amp;"ENTRADA",Movimientos!$R$2:$R$1998,0)),"-")</f>
        <v>-</v>
      </c>
      <c r="E918" s="2" t="str">
        <f>IFERROR(INDEX(Movimientos!$F$2:$F$1998,MATCH(A918&amp;"ENTRADA",Movimientos!$R$2:$R$1998,0)),"-")</f>
        <v>-</v>
      </c>
      <c r="F918" s="2" t="str">
        <f>IFERROR(INDEX(Movimientos!$G$2:$G$1998,MATCH(A918&amp;"ENTRADA",Movimientos!$R$2:$R$1998,0)),"-")</f>
        <v>-</v>
      </c>
      <c r="G918" s="2" t="str">
        <f>IFERROR(INDEX(Movimientos!$L$2:$L$1998,MATCH(A918&amp;"ENTRADA",Movimientos!$R$2:$R$1998,0)),"-")</f>
        <v>-</v>
      </c>
      <c r="H918" s="17" t="str">
        <f>IFERROR(IF(INDEX(Movimientos!$M$2:$M$1998,MATCH(A918&amp;"ENTRADA",Movimientos!$R$2:$R$1998,0))=0,"S/D",INDEX(Movimientos!$M$2:$M$1998,MATCH(A918&amp;"ENTRADA",Movimientos!$R$2:$R$1998,0))),"S/D")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 ht="14.25">
      <c r="A919" s="16" t="s">
        <v>3084</v>
      </c>
      <c r="B919" s="2" t="str">
        <f>IFERROR(INDEX(Movimientos!$C$2:$C$1998,MATCH(A919&amp;"ENTRADA",Movimientos!$R$2:$R$1998,0)),"-")</f>
        <v>-</v>
      </c>
      <c r="C919" s="2" t="str">
        <f>IFERROR(INDEX(Movimientos!$D$2:$D$1998,MATCH(A919&amp;"ENTRADA",Movimientos!$R$2:$R$1998,0)),"-")</f>
        <v>-</v>
      </c>
      <c r="D919" s="2" t="str">
        <f>IFERROR(INDEX(Movimientos!$E$2:$E$1998,MATCH(A919&amp;"ENTRADA",Movimientos!$R$2:$R$1998,0)),"-")</f>
        <v>-</v>
      </c>
      <c r="E919" s="2" t="str">
        <f>IFERROR(INDEX(Movimientos!$F$2:$F$1998,MATCH(A919&amp;"ENTRADA",Movimientos!$R$2:$R$1998,0)),"-")</f>
        <v>-</v>
      </c>
      <c r="F919" s="2" t="str">
        <f>IFERROR(INDEX(Movimientos!$G$2:$G$1998,MATCH(A919&amp;"ENTRADA",Movimientos!$R$2:$R$1998,0)),"-")</f>
        <v>-</v>
      </c>
      <c r="G919" s="2" t="str">
        <f>IFERROR(INDEX(Movimientos!$L$2:$L$1998,MATCH(A919&amp;"ENTRADA",Movimientos!$R$2:$R$1998,0)),"-")</f>
        <v>-</v>
      </c>
      <c r="H919" s="17" t="str">
        <f>IFERROR(IF(INDEX(Movimientos!$M$2:$M$1998,MATCH(A919&amp;"ENTRADA",Movimientos!$R$2:$R$1998,0))=0,"S/D",INDEX(Movimientos!$M$2:$M$1998,MATCH(A919&amp;"ENTRADA",Movimientos!$R$2:$R$1998,0))),"S/D")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 ht="14.25">
      <c r="A920" s="16" t="s">
        <v>3085</v>
      </c>
      <c r="B920" s="2" t="str">
        <f>IFERROR(INDEX(Movimientos!$C$2:$C$1998,MATCH(A920&amp;"ENTRADA",Movimientos!$R$2:$R$1998,0)),"-")</f>
        <v>-</v>
      </c>
      <c r="C920" s="2" t="str">
        <f>IFERROR(INDEX(Movimientos!$D$2:$D$1998,MATCH(A920&amp;"ENTRADA",Movimientos!$R$2:$R$1998,0)),"-")</f>
        <v>-</v>
      </c>
      <c r="D920" s="2" t="str">
        <f>IFERROR(INDEX(Movimientos!$E$2:$E$1998,MATCH(A920&amp;"ENTRADA",Movimientos!$R$2:$R$1998,0)),"-")</f>
        <v>-</v>
      </c>
      <c r="E920" s="2" t="str">
        <f>IFERROR(INDEX(Movimientos!$F$2:$F$1998,MATCH(A920&amp;"ENTRADA",Movimientos!$R$2:$R$1998,0)),"-")</f>
        <v>-</v>
      </c>
      <c r="F920" s="2" t="str">
        <f>IFERROR(INDEX(Movimientos!$G$2:$G$1998,MATCH(A920&amp;"ENTRADA",Movimientos!$R$2:$R$1998,0)),"-")</f>
        <v>-</v>
      </c>
      <c r="G920" s="2" t="str">
        <f>IFERROR(INDEX(Movimientos!$L$2:$L$1998,MATCH(A920&amp;"ENTRADA",Movimientos!$R$2:$R$1998,0)),"-")</f>
        <v>-</v>
      </c>
      <c r="H920" s="17" t="str">
        <f>IFERROR(IF(INDEX(Movimientos!$M$2:$M$1998,MATCH(A920&amp;"ENTRADA",Movimientos!$R$2:$R$1998,0))=0,"S/D",INDEX(Movimientos!$M$2:$M$1998,MATCH(A920&amp;"ENTRADA",Movimientos!$R$2:$R$1998,0))),"S/D")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 ht="14.25">
      <c r="A921" s="16" t="s">
        <v>3086</v>
      </c>
      <c r="B921" s="2" t="str">
        <f>IFERROR(INDEX(Movimientos!$C$2:$C$1998,MATCH(A921&amp;"ENTRADA",Movimientos!$R$2:$R$1998,0)),"-")</f>
        <v>-</v>
      </c>
      <c r="C921" s="2" t="str">
        <f>IFERROR(INDEX(Movimientos!$D$2:$D$1998,MATCH(A921&amp;"ENTRADA",Movimientos!$R$2:$R$1998,0)),"-")</f>
        <v>-</v>
      </c>
      <c r="D921" s="2" t="str">
        <f>IFERROR(INDEX(Movimientos!$E$2:$E$1998,MATCH(A921&amp;"ENTRADA",Movimientos!$R$2:$R$1998,0)),"-")</f>
        <v>-</v>
      </c>
      <c r="E921" s="2" t="str">
        <f>IFERROR(INDEX(Movimientos!$F$2:$F$1998,MATCH(A921&amp;"ENTRADA",Movimientos!$R$2:$R$1998,0)),"-")</f>
        <v>-</v>
      </c>
      <c r="F921" s="2" t="str">
        <f>IFERROR(INDEX(Movimientos!$G$2:$G$1998,MATCH(A921&amp;"ENTRADA",Movimientos!$R$2:$R$1998,0)),"-")</f>
        <v>-</v>
      </c>
      <c r="G921" s="2" t="str">
        <f>IFERROR(INDEX(Movimientos!$L$2:$L$1998,MATCH(A921&amp;"ENTRADA",Movimientos!$R$2:$R$1998,0)),"-")</f>
        <v>-</v>
      </c>
      <c r="H921" s="17" t="str">
        <f>IFERROR(IF(INDEX(Movimientos!$M$2:$M$1998,MATCH(A921&amp;"ENTRADA",Movimientos!$R$2:$R$1998,0))=0,"S/D",INDEX(Movimientos!$M$2:$M$1998,MATCH(A921&amp;"ENTRADA",Movimientos!$R$2:$R$1998,0))),"S/D")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 ht="14.25">
      <c r="A922" s="16" t="s">
        <v>3087</v>
      </c>
      <c r="B922" s="2" t="str">
        <f>IFERROR(INDEX(Movimientos!$C$2:$C$1998,MATCH(A922&amp;"ENTRADA",Movimientos!$R$2:$R$1998,0)),"-")</f>
        <v>-</v>
      </c>
      <c r="C922" s="2" t="str">
        <f>IFERROR(INDEX(Movimientos!$D$2:$D$1998,MATCH(A922&amp;"ENTRADA",Movimientos!$R$2:$R$1998,0)),"-")</f>
        <v>-</v>
      </c>
      <c r="D922" s="2" t="str">
        <f>IFERROR(INDEX(Movimientos!$E$2:$E$1998,MATCH(A922&amp;"ENTRADA",Movimientos!$R$2:$R$1998,0)),"-")</f>
        <v>-</v>
      </c>
      <c r="E922" s="2" t="str">
        <f>IFERROR(INDEX(Movimientos!$F$2:$F$1998,MATCH(A922&amp;"ENTRADA",Movimientos!$R$2:$R$1998,0)),"-")</f>
        <v>-</v>
      </c>
      <c r="F922" s="2" t="str">
        <f>IFERROR(INDEX(Movimientos!$G$2:$G$1998,MATCH(A922&amp;"ENTRADA",Movimientos!$R$2:$R$1998,0)),"-")</f>
        <v>-</v>
      </c>
      <c r="G922" s="2" t="str">
        <f>IFERROR(INDEX(Movimientos!$L$2:$L$1998,MATCH(A922&amp;"ENTRADA",Movimientos!$R$2:$R$1998,0)),"-")</f>
        <v>-</v>
      </c>
      <c r="H922" s="17" t="str">
        <f>IFERROR(IF(INDEX(Movimientos!$M$2:$M$1998,MATCH(A922&amp;"ENTRADA",Movimientos!$R$2:$R$1998,0))=0,"S/D",INDEX(Movimientos!$M$2:$M$1998,MATCH(A922&amp;"ENTRADA",Movimientos!$R$2:$R$1998,0))),"S/D")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 ht="14.25">
      <c r="A923" s="16" t="s">
        <v>3088</v>
      </c>
      <c r="B923" s="2" t="str">
        <f>IFERROR(INDEX(Movimientos!$C$2:$C$1998,MATCH(A923&amp;"ENTRADA",Movimientos!$R$2:$R$1998,0)),"-")</f>
        <v>-</v>
      </c>
      <c r="C923" s="2" t="str">
        <f>IFERROR(INDEX(Movimientos!$D$2:$D$1998,MATCH(A923&amp;"ENTRADA",Movimientos!$R$2:$R$1998,0)),"-")</f>
        <v>-</v>
      </c>
      <c r="D923" s="2" t="str">
        <f>IFERROR(INDEX(Movimientos!$E$2:$E$1998,MATCH(A923&amp;"ENTRADA",Movimientos!$R$2:$R$1998,0)),"-")</f>
        <v>-</v>
      </c>
      <c r="E923" s="2" t="str">
        <f>IFERROR(INDEX(Movimientos!$F$2:$F$1998,MATCH(A923&amp;"ENTRADA",Movimientos!$R$2:$R$1998,0)),"-")</f>
        <v>-</v>
      </c>
      <c r="F923" s="2" t="str">
        <f>IFERROR(INDEX(Movimientos!$G$2:$G$1998,MATCH(A923&amp;"ENTRADA",Movimientos!$R$2:$R$1998,0)),"-")</f>
        <v>-</v>
      </c>
      <c r="G923" s="2" t="str">
        <f>IFERROR(INDEX(Movimientos!$L$2:$L$1998,MATCH(A923&amp;"ENTRADA",Movimientos!$R$2:$R$1998,0)),"-")</f>
        <v>-</v>
      </c>
      <c r="H923" s="17" t="str">
        <f>IFERROR(IF(INDEX(Movimientos!$M$2:$M$1998,MATCH(A923&amp;"ENTRADA",Movimientos!$R$2:$R$1998,0))=0,"S/D",INDEX(Movimientos!$M$2:$M$1998,MATCH(A923&amp;"ENTRADA",Movimientos!$R$2:$R$1998,0))),"S/D")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 ht="14.25">
      <c r="A924" s="16" t="s">
        <v>3089</v>
      </c>
      <c r="B924" s="2" t="str">
        <f>IFERROR(INDEX(Movimientos!$C$2:$C$1998,MATCH(A924&amp;"ENTRADA",Movimientos!$R$2:$R$1998,0)),"-")</f>
        <v>-</v>
      </c>
      <c r="C924" s="2" t="str">
        <f>IFERROR(INDEX(Movimientos!$D$2:$D$1998,MATCH(A924&amp;"ENTRADA",Movimientos!$R$2:$R$1998,0)),"-")</f>
        <v>-</v>
      </c>
      <c r="D924" s="2" t="str">
        <f>IFERROR(INDEX(Movimientos!$E$2:$E$1998,MATCH(A924&amp;"ENTRADA",Movimientos!$R$2:$R$1998,0)),"-")</f>
        <v>-</v>
      </c>
      <c r="E924" s="2" t="str">
        <f>IFERROR(INDEX(Movimientos!$F$2:$F$1998,MATCH(A924&amp;"ENTRADA",Movimientos!$R$2:$R$1998,0)),"-")</f>
        <v>-</v>
      </c>
      <c r="F924" s="2" t="str">
        <f>IFERROR(INDEX(Movimientos!$G$2:$G$1998,MATCH(A924&amp;"ENTRADA",Movimientos!$R$2:$R$1998,0)),"-")</f>
        <v>-</v>
      </c>
      <c r="G924" s="2" t="str">
        <f>IFERROR(INDEX(Movimientos!$L$2:$L$1998,MATCH(A924&amp;"ENTRADA",Movimientos!$R$2:$R$1998,0)),"-")</f>
        <v>-</v>
      </c>
      <c r="H924" s="17" t="str">
        <f>IFERROR(IF(INDEX(Movimientos!$M$2:$M$1998,MATCH(A924&amp;"ENTRADA",Movimientos!$R$2:$R$1998,0))=0,"S/D",INDEX(Movimientos!$M$2:$M$1998,MATCH(A924&amp;"ENTRADA",Movimientos!$R$2:$R$1998,0))),"S/D")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 ht="14.25">
      <c r="A925" s="16" t="s">
        <v>3090</v>
      </c>
      <c r="B925" s="2" t="str">
        <f>IFERROR(INDEX(Movimientos!$C$2:$C$1998,MATCH(A925&amp;"ENTRADA",Movimientos!$R$2:$R$1998,0)),"-")</f>
        <v>-</v>
      </c>
      <c r="C925" s="2" t="str">
        <f>IFERROR(INDEX(Movimientos!$D$2:$D$1998,MATCH(A925&amp;"ENTRADA",Movimientos!$R$2:$R$1998,0)),"-")</f>
        <v>-</v>
      </c>
      <c r="D925" s="2" t="str">
        <f>IFERROR(INDEX(Movimientos!$E$2:$E$1998,MATCH(A925&amp;"ENTRADA",Movimientos!$R$2:$R$1998,0)),"-")</f>
        <v>-</v>
      </c>
      <c r="E925" s="2" t="str">
        <f>IFERROR(INDEX(Movimientos!$F$2:$F$1998,MATCH(A925&amp;"ENTRADA",Movimientos!$R$2:$R$1998,0)),"-")</f>
        <v>-</v>
      </c>
      <c r="F925" s="2" t="str">
        <f>IFERROR(INDEX(Movimientos!$G$2:$G$1998,MATCH(A925&amp;"ENTRADA",Movimientos!$R$2:$R$1998,0)),"-")</f>
        <v>-</v>
      </c>
      <c r="G925" s="2" t="str">
        <f>IFERROR(INDEX(Movimientos!$L$2:$L$1998,MATCH(A925&amp;"ENTRADA",Movimientos!$R$2:$R$1998,0)),"-")</f>
        <v>-</v>
      </c>
      <c r="H925" s="17" t="str">
        <f>IFERROR(IF(INDEX(Movimientos!$M$2:$M$1998,MATCH(A925&amp;"ENTRADA",Movimientos!$R$2:$R$1998,0))=0,"S/D",INDEX(Movimientos!$M$2:$M$1998,MATCH(A925&amp;"ENTRADA",Movimientos!$R$2:$R$1998,0))),"S/D")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 ht="14.25">
      <c r="A926" s="16" t="s">
        <v>3091</v>
      </c>
      <c r="B926" s="2" t="str">
        <f>IFERROR(INDEX(Movimientos!$C$2:$C$1998,MATCH(A926&amp;"ENTRADA",Movimientos!$R$2:$R$1998,0)),"-")</f>
        <v>-</v>
      </c>
      <c r="C926" s="2" t="str">
        <f>IFERROR(INDEX(Movimientos!$D$2:$D$1998,MATCH(A926&amp;"ENTRADA",Movimientos!$R$2:$R$1998,0)),"-")</f>
        <v>-</v>
      </c>
      <c r="D926" s="2" t="str">
        <f>IFERROR(INDEX(Movimientos!$E$2:$E$1998,MATCH(A926&amp;"ENTRADA",Movimientos!$R$2:$R$1998,0)),"-")</f>
        <v>-</v>
      </c>
      <c r="E926" s="2" t="str">
        <f>IFERROR(INDEX(Movimientos!$F$2:$F$1998,MATCH(A926&amp;"ENTRADA",Movimientos!$R$2:$R$1998,0)),"-")</f>
        <v>-</v>
      </c>
      <c r="F926" s="2" t="str">
        <f>IFERROR(INDEX(Movimientos!$G$2:$G$1998,MATCH(A926&amp;"ENTRADA",Movimientos!$R$2:$R$1998,0)),"-")</f>
        <v>-</v>
      </c>
      <c r="G926" s="2" t="str">
        <f>IFERROR(INDEX(Movimientos!$L$2:$L$1998,MATCH(A926&amp;"ENTRADA",Movimientos!$R$2:$R$1998,0)),"-")</f>
        <v>-</v>
      </c>
      <c r="H926" s="17" t="str">
        <f>IFERROR(IF(INDEX(Movimientos!$M$2:$M$1998,MATCH(A926&amp;"ENTRADA",Movimientos!$R$2:$R$1998,0))=0,"S/D",INDEX(Movimientos!$M$2:$M$1998,MATCH(A926&amp;"ENTRADA",Movimientos!$R$2:$R$1998,0))),"S/D")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 ht="14.25">
      <c r="A927" s="16" t="s">
        <v>3092</v>
      </c>
      <c r="B927" s="2" t="str">
        <f>IFERROR(INDEX(Movimientos!$C$2:$C$1998,MATCH(A927&amp;"ENTRADA",Movimientos!$R$2:$R$1998,0)),"-")</f>
        <v>-</v>
      </c>
      <c r="C927" s="2" t="str">
        <f>IFERROR(INDEX(Movimientos!$D$2:$D$1998,MATCH(A927&amp;"ENTRADA",Movimientos!$R$2:$R$1998,0)),"-")</f>
        <v>-</v>
      </c>
      <c r="D927" s="2" t="str">
        <f>IFERROR(INDEX(Movimientos!$E$2:$E$1998,MATCH(A927&amp;"ENTRADA",Movimientos!$R$2:$R$1998,0)),"-")</f>
        <v>-</v>
      </c>
      <c r="E927" s="2" t="str">
        <f>IFERROR(INDEX(Movimientos!$F$2:$F$1998,MATCH(A927&amp;"ENTRADA",Movimientos!$R$2:$R$1998,0)),"-")</f>
        <v>-</v>
      </c>
      <c r="F927" s="2" t="str">
        <f>IFERROR(INDEX(Movimientos!$G$2:$G$1998,MATCH(A927&amp;"ENTRADA",Movimientos!$R$2:$R$1998,0)),"-")</f>
        <v>-</v>
      </c>
      <c r="G927" s="2" t="str">
        <f>IFERROR(INDEX(Movimientos!$L$2:$L$1998,MATCH(A927&amp;"ENTRADA",Movimientos!$R$2:$R$1998,0)),"-")</f>
        <v>-</v>
      </c>
      <c r="H927" s="17" t="str">
        <f>IFERROR(IF(INDEX(Movimientos!$M$2:$M$1998,MATCH(A927&amp;"ENTRADA",Movimientos!$R$2:$R$1998,0))=0,"S/D",INDEX(Movimientos!$M$2:$M$1998,MATCH(A927&amp;"ENTRADA",Movimientos!$R$2:$R$1998,0))),"S/D")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 ht="14.25">
      <c r="A928" s="16" t="s">
        <v>3093</v>
      </c>
      <c r="B928" s="2" t="str">
        <f>IFERROR(INDEX(Movimientos!$C$2:$C$1998,MATCH(A928&amp;"ENTRADA",Movimientos!$R$2:$R$1998,0)),"-")</f>
        <v>-</v>
      </c>
      <c r="C928" s="2" t="str">
        <f>IFERROR(INDEX(Movimientos!$D$2:$D$1998,MATCH(A928&amp;"ENTRADA",Movimientos!$R$2:$R$1998,0)),"-")</f>
        <v>-</v>
      </c>
      <c r="D928" s="2" t="str">
        <f>IFERROR(INDEX(Movimientos!$E$2:$E$1998,MATCH(A928&amp;"ENTRADA",Movimientos!$R$2:$R$1998,0)),"-")</f>
        <v>-</v>
      </c>
      <c r="E928" s="2" t="str">
        <f>IFERROR(INDEX(Movimientos!$F$2:$F$1998,MATCH(A928&amp;"ENTRADA",Movimientos!$R$2:$R$1998,0)),"-")</f>
        <v>-</v>
      </c>
      <c r="F928" s="2" t="str">
        <f>IFERROR(INDEX(Movimientos!$G$2:$G$1998,MATCH(A928&amp;"ENTRADA",Movimientos!$R$2:$R$1998,0)),"-")</f>
        <v>-</v>
      </c>
      <c r="G928" s="2" t="str">
        <f>IFERROR(INDEX(Movimientos!$L$2:$L$1998,MATCH(A928&amp;"ENTRADA",Movimientos!$R$2:$R$1998,0)),"-")</f>
        <v>-</v>
      </c>
      <c r="H928" s="17" t="str">
        <f>IFERROR(IF(INDEX(Movimientos!$M$2:$M$1998,MATCH(A928&amp;"ENTRADA",Movimientos!$R$2:$R$1998,0))=0,"S/D",INDEX(Movimientos!$M$2:$M$1998,MATCH(A928&amp;"ENTRADA",Movimientos!$R$2:$R$1998,0))),"S/D")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 ht="14.25">
      <c r="A929" s="16" t="s">
        <v>3094</v>
      </c>
      <c r="B929" s="2" t="str">
        <f>IFERROR(INDEX(Movimientos!$C$2:$C$1998,MATCH(A929&amp;"ENTRADA",Movimientos!$R$2:$R$1998,0)),"-")</f>
        <v>-</v>
      </c>
      <c r="C929" s="2" t="str">
        <f>IFERROR(INDEX(Movimientos!$D$2:$D$1998,MATCH(A929&amp;"ENTRADA",Movimientos!$R$2:$R$1998,0)),"-")</f>
        <v>-</v>
      </c>
      <c r="D929" s="2" t="str">
        <f>IFERROR(INDEX(Movimientos!$E$2:$E$1998,MATCH(A929&amp;"ENTRADA",Movimientos!$R$2:$R$1998,0)),"-")</f>
        <v>-</v>
      </c>
      <c r="E929" s="2" t="str">
        <f>IFERROR(INDEX(Movimientos!$F$2:$F$1998,MATCH(A929&amp;"ENTRADA",Movimientos!$R$2:$R$1998,0)),"-")</f>
        <v>-</v>
      </c>
      <c r="F929" s="2" t="str">
        <f>IFERROR(INDEX(Movimientos!$G$2:$G$1998,MATCH(A929&amp;"ENTRADA",Movimientos!$R$2:$R$1998,0)),"-")</f>
        <v>-</v>
      </c>
      <c r="G929" s="2" t="str">
        <f>IFERROR(INDEX(Movimientos!$L$2:$L$1998,MATCH(A929&amp;"ENTRADA",Movimientos!$R$2:$R$1998,0)),"-")</f>
        <v>-</v>
      </c>
      <c r="H929" s="17" t="str">
        <f>IFERROR(IF(INDEX(Movimientos!$M$2:$M$1998,MATCH(A929&amp;"ENTRADA",Movimientos!$R$2:$R$1998,0))=0,"S/D",INDEX(Movimientos!$M$2:$M$1998,MATCH(A929&amp;"ENTRADA",Movimientos!$R$2:$R$1998,0))),"S/D")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 ht="14.25">
      <c r="A930" s="16" t="s">
        <v>3095</v>
      </c>
      <c r="B930" s="2" t="str">
        <f>IFERROR(INDEX(Movimientos!$C$2:$C$1998,MATCH(A930&amp;"ENTRADA",Movimientos!$R$2:$R$1998,0)),"-")</f>
        <v>-</v>
      </c>
      <c r="C930" s="2" t="str">
        <f>IFERROR(INDEX(Movimientos!$D$2:$D$1998,MATCH(A930&amp;"ENTRADA",Movimientos!$R$2:$R$1998,0)),"-")</f>
        <v>-</v>
      </c>
      <c r="D930" s="2" t="str">
        <f>IFERROR(INDEX(Movimientos!$E$2:$E$1998,MATCH(A930&amp;"ENTRADA",Movimientos!$R$2:$R$1998,0)),"-")</f>
        <v>-</v>
      </c>
      <c r="E930" s="2" t="str">
        <f>IFERROR(INDEX(Movimientos!$F$2:$F$1998,MATCH(A930&amp;"ENTRADA",Movimientos!$R$2:$R$1998,0)),"-")</f>
        <v>-</v>
      </c>
      <c r="F930" s="2" t="str">
        <f>IFERROR(INDEX(Movimientos!$G$2:$G$1998,MATCH(A930&amp;"ENTRADA",Movimientos!$R$2:$R$1998,0)),"-")</f>
        <v>-</v>
      </c>
      <c r="G930" s="2" t="str">
        <f>IFERROR(INDEX(Movimientos!$L$2:$L$1998,MATCH(A930&amp;"ENTRADA",Movimientos!$R$2:$R$1998,0)),"-")</f>
        <v>-</v>
      </c>
      <c r="H930" s="17" t="str">
        <f>IFERROR(IF(INDEX(Movimientos!$M$2:$M$1998,MATCH(A930&amp;"ENTRADA",Movimientos!$R$2:$R$1998,0))=0,"S/D",INDEX(Movimientos!$M$2:$M$1998,MATCH(A930&amp;"ENTRADA",Movimientos!$R$2:$R$1998,0))),"S/D")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 ht="14.25">
      <c r="A931" s="16" t="s">
        <v>3096</v>
      </c>
      <c r="B931" s="2" t="str">
        <f>IFERROR(INDEX(Movimientos!$C$2:$C$1998,MATCH(A931&amp;"ENTRADA",Movimientos!$R$2:$R$1998,0)),"-")</f>
        <v>-</v>
      </c>
      <c r="C931" s="2" t="str">
        <f>IFERROR(INDEX(Movimientos!$D$2:$D$1998,MATCH(A931&amp;"ENTRADA",Movimientos!$R$2:$R$1998,0)),"-")</f>
        <v>-</v>
      </c>
      <c r="D931" s="2" t="str">
        <f>IFERROR(INDEX(Movimientos!$E$2:$E$1998,MATCH(A931&amp;"ENTRADA",Movimientos!$R$2:$R$1998,0)),"-")</f>
        <v>-</v>
      </c>
      <c r="E931" s="2" t="str">
        <f>IFERROR(INDEX(Movimientos!$F$2:$F$1998,MATCH(A931&amp;"ENTRADA",Movimientos!$R$2:$R$1998,0)),"-")</f>
        <v>-</v>
      </c>
      <c r="F931" s="2" t="str">
        <f>IFERROR(INDEX(Movimientos!$G$2:$G$1998,MATCH(A931&amp;"ENTRADA",Movimientos!$R$2:$R$1998,0)),"-")</f>
        <v>-</v>
      </c>
      <c r="G931" s="2" t="str">
        <f>IFERROR(INDEX(Movimientos!$L$2:$L$1998,MATCH(A931&amp;"ENTRADA",Movimientos!$R$2:$R$1998,0)),"-")</f>
        <v>-</v>
      </c>
      <c r="H931" s="17" t="str">
        <f>IFERROR(IF(INDEX(Movimientos!$M$2:$M$1998,MATCH(A931&amp;"ENTRADA",Movimientos!$R$2:$R$1998,0))=0,"S/D",INDEX(Movimientos!$M$2:$M$1998,MATCH(A931&amp;"ENTRADA",Movimientos!$R$2:$R$1998,0))),"S/D")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 ht="14.25">
      <c r="A932" s="16" t="s">
        <v>3097</v>
      </c>
      <c r="B932" s="2" t="str">
        <f>IFERROR(INDEX(Movimientos!$C$2:$C$1998,MATCH(A932&amp;"ENTRADA",Movimientos!$R$2:$R$1998,0)),"-")</f>
        <v>-</v>
      </c>
      <c r="C932" s="2" t="str">
        <f>IFERROR(INDEX(Movimientos!$D$2:$D$1998,MATCH(A932&amp;"ENTRADA",Movimientos!$R$2:$R$1998,0)),"-")</f>
        <v>-</v>
      </c>
      <c r="D932" s="2" t="str">
        <f>IFERROR(INDEX(Movimientos!$E$2:$E$1998,MATCH(A932&amp;"ENTRADA",Movimientos!$R$2:$R$1998,0)),"-")</f>
        <v>-</v>
      </c>
      <c r="E932" s="2" t="str">
        <f>IFERROR(INDEX(Movimientos!$F$2:$F$1998,MATCH(A932&amp;"ENTRADA",Movimientos!$R$2:$R$1998,0)),"-")</f>
        <v>-</v>
      </c>
      <c r="F932" s="2" t="str">
        <f>IFERROR(INDEX(Movimientos!$G$2:$G$1998,MATCH(A932&amp;"ENTRADA",Movimientos!$R$2:$R$1998,0)),"-")</f>
        <v>-</v>
      </c>
      <c r="G932" s="2" t="str">
        <f>IFERROR(INDEX(Movimientos!$L$2:$L$1998,MATCH(A932&amp;"ENTRADA",Movimientos!$R$2:$R$1998,0)),"-")</f>
        <v>-</v>
      </c>
      <c r="H932" s="17" t="str">
        <f>IFERROR(IF(INDEX(Movimientos!$M$2:$M$1998,MATCH(A932&amp;"ENTRADA",Movimientos!$R$2:$R$1998,0))=0,"S/D",INDEX(Movimientos!$M$2:$M$1998,MATCH(A932&amp;"ENTRADA",Movimientos!$R$2:$R$1998,0))),"S/D")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 ht="14.25">
      <c r="A933" s="16" t="s">
        <v>3098</v>
      </c>
      <c r="B933" s="2" t="str">
        <f>IFERROR(INDEX(Movimientos!$C$2:$C$1998,MATCH(A933&amp;"ENTRADA",Movimientos!$R$2:$R$1998,0)),"-")</f>
        <v>-</v>
      </c>
      <c r="C933" s="2" t="str">
        <f>IFERROR(INDEX(Movimientos!$D$2:$D$1998,MATCH(A933&amp;"ENTRADA",Movimientos!$R$2:$R$1998,0)),"-")</f>
        <v>-</v>
      </c>
      <c r="D933" s="2" t="str">
        <f>IFERROR(INDEX(Movimientos!$E$2:$E$1998,MATCH(A933&amp;"ENTRADA",Movimientos!$R$2:$R$1998,0)),"-")</f>
        <v>-</v>
      </c>
      <c r="E933" s="2" t="str">
        <f>IFERROR(INDEX(Movimientos!$F$2:$F$1998,MATCH(A933&amp;"ENTRADA",Movimientos!$R$2:$R$1998,0)),"-")</f>
        <v>-</v>
      </c>
      <c r="F933" s="2" t="str">
        <f>IFERROR(INDEX(Movimientos!$G$2:$G$1998,MATCH(A933&amp;"ENTRADA",Movimientos!$R$2:$R$1998,0)),"-")</f>
        <v>-</v>
      </c>
      <c r="G933" s="2" t="str">
        <f>IFERROR(INDEX(Movimientos!$L$2:$L$1998,MATCH(A933&amp;"ENTRADA",Movimientos!$R$2:$R$1998,0)),"-")</f>
        <v>-</v>
      </c>
      <c r="H933" s="17" t="str">
        <f>IFERROR(IF(INDEX(Movimientos!$M$2:$M$1998,MATCH(A933&amp;"ENTRADA",Movimientos!$R$2:$R$1998,0))=0,"S/D",INDEX(Movimientos!$M$2:$M$1998,MATCH(A933&amp;"ENTRADA",Movimientos!$R$2:$R$1998,0))),"S/D")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 ht="14.25">
      <c r="A934" s="16" t="s">
        <v>3099</v>
      </c>
      <c r="B934" s="2" t="str">
        <f>IFERROR(INDEX(Movimientos!$C$2:$C$1998,MATCH(A934&amp;"ENTRADA",Movimientos!$R$2:$R$1998,0)),"-")</f>
        <v>-</v>
      </c>
      <c r="C934" s="2" t="str">
        <f>IFERROR(INDEX(Movimientos!$D$2:$D$1998,MATCH(A934&amp;"ENTRADA",Movimientos!$R$2:$R$1998,0)),"-")</f>
        <v>-</v>
      </c>
      <c r="D934" s="2" t="str">
        <f>IFERROR(INDEX(Movimientos!$E$2:$E$1998,MATCH(A934&amp;"ENTRADA",Movimientos!$R$2:$R$1998,0)),"-")</f>
        <v>-</v>
      </c>
      <c r="E934" s="2" t="str">
        <f>IFERROR(INDEX(Movimientos!$F$2:$F$1998,MATCH(A934&amp;"ENTRADA",Movimientos!$R$2:$R$1998,0)),"-")</f>
        <v>-</v>
      </c>
      <c r="F934" s="2" t="str">
        <f>IFERROR(INDEX(Movimientos!$G$2:$G$1998,MATCH(A934&amp;"ENTRADA",Movimientos!$R$2:$R$1998,0)),"-")</f>
        <v>-</v>
      </c>
      <c r="G934" s="2" t="str">
        <f>IFERROR(INDEX(Movimientos!$L$2:$L$1998,MATCH(A934&amp;"ENTRADA",Movimientos!$R$2:$R$1998,0)),"-")</f>
        <v>-</v>
      </c>
      <c r="H934" s="17" t="str">
        <f>IFERROR(IF(INDEX(Movimientos!$M$2:$M$1998,MATCH(A934&amp;"ENTRADA",Movimientos!$R$2:$R$1998,0))=0,"S/D",INDEX(Movimientos!$M$2:$M$1998,MATCH(A934&amp;"ENTRADA",Movimientos!$R$2:$R$1998,0))),"S/D")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 ht="14.25">
      <c r="A935" s="16" t="s">
        <v>3100</v>
      </c>
      <c r="B935" s="2" t="str">
        <f>IFERROR(INDEX(Movimientos!$C$2:$C$1998,MATCH(A935&amp;"ENTRADA",Movimientos!$R$2:$R$1998,0)),"-")</f>
        <v>-</v>
      </c>
      <c r="C935" s="2" t="str">
        <f>IFERROR(INDEX(Movimientos!$D$2:$D$1998,MATCH(A935&amp;"ENTRADA",Movimientos!$R$2:$R$1998,0)),"-")</f>
        <v>-</v>
      </c>
      <c r="D935" s="2" t="str">
        <f>IFERROR(INDEX(Movimientos!$E$2:$E$1998,MATCH(A935&amp;"ENTRADA",Movimientos!$R$2:$R$1998,0)),"-")</f>
        <v>-</v>
      </c>
      <c r="E935" s="2" t="str">
        <f>IFERROR(INDEX(Movimientos!$F$2:$F$1998,MATCH(A935&amp;"ENTRADA",Movimientos!$R$2:$R$1998,0)),"-")</f>
        <v>-</v>
      </c>
      <c r="F935" s="2" t="str">
        <f>IFERROR(INDEX(Movimientos!$G$2:$G$1998,MATCH(A935&amp;"ENTRADA",Movimientos!$R$2:$R$1998,0)),"-")</f>
        <v>-</v>
      </c>
      <c r="G935" s="2" t="str">
        <f>IFERROR(INDEX(Movimientos!$L$2:$L$1998,MATCH(A935&amp;"ENTRADA",Movimientos!$R$2:$R$1998,0)),"-")</f>
        <v>-</v>
      </c>
      <c r="H935" s="17" t="str">
        <f>IFERROR(IF(INDEX(Movimientos!$M$2:$M$1998,MATCH(A935&amp;"ENTRADA",Movimientos!$R$2:$R$1998,0))=0,"S/D",INDEX(Movimientos!$M$2:$M$1998,MATCH(A935&amp;"ENTRADA",Movimientos!$R$2:$R$1998,0))),"S/D")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 ht="14.25">
      <c r="A936" s="16" t="s">
        <v>3101</v>
      </c>
      <c r="B936" s="2" t="str">
        <f>IFERROR(INDEX(Movimientos!$C$2:$C$1998,MATCH(A936&amp;"ENTRADA",Movimientos!$R$2:$R$1998,0)),"-")</f>
        <v>-</v>
      </c>
      <c r="C936" s="2" t="str">
        <f>IFERROR(INDEX(Movimientos!$D$2:$D$1998,MATCH(A936&amp;"ENTRADA",Movimientos!$R$2:$R$1998,0)),"-")</f>
        <v>-</v>
      </c>
      <c r="D936" s="2" t="str">
        <f>IFERROR(INDEX(Movimientos!$E$2:$E$1998,MATCH(A936&amp;"ENTRADA",Movimientos!$R$2:$R$1998,0)),"-")</f>
        <v>-</v>
      </c>
      <c r="E936" s="2" t="str">
        <f>IFERROR(INDEX(Movimientos!$F$2:$F$1998,MATCH(A936&amp;"ENTRADA",Movimientos!$R$2:$R$1998,0)),"-")</f>
        <v>-</v>
      </c>
      <c r="F936" s="2" t="str">
        <f>IFERROR(INDEX(Movimientos!$G$2:$G$1998,MATCH(A936&amp;"ENTRADA",Movimientos!$R$2:$R$1998,0)),"-")</f>
        <v>-</v>
      </c>
      <c r="G936" s="2" t="str">
        <f>IFERROR(INDEX(Movimientos!$L$2:$L$1998,MATCH(A936&amp;"ENTRADA",Movimientos!$R$2:$R$1998,0)),"-")</f>
        <v>-</v>
      </c>
      <c r="H936" s="17" t="str">
        <f>IFERROR(IF(INDEX(Movimientos!$M$2:$M$1998,MATCH(A936&amp;"ENTRADA",Movimientos!$R$2:$R$1998,0))=0,"S/D",INDEX(Movimientos!$M$2:$M$1998,MATCH(A936&amp;"ENTRADA",Movimientos!$R$2:$R$1998,0))),"S/D")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 ht="14.25">
      <c r="A937" s="16" t="s">
        <v>3102</v>
      </c>
      <c r="B937" s="2" t="str">
        <f>IFERROR(INDEX(Movimientos!$C$2:$C$1998,MATCH(A937&amp;"ENTRADA",Movimientos!$R$2:$R$1998,0)),"-")</f>
        <v>-</v>
      </c>
      <c r="C937" s="2" t="str">
        <f>IFERROR(INDEX(Movimientos!$D$2:$D$1998,MATCH(A937&amp;"ENTRADA",Movimientos!$R$2:$R$1998,0)),"-")</f>
        <v>-</v>
      </c>
      <c r="D937" s="2" t="str">
        <f>IFERROR(INDEX(Movimientos!$E$2:$E$1998,MATCH(A937&amp;"ENTRADA",Movimientos!$R$2:$R$1998,0)),"-")</f>
        <v>-</v>
      </c>
      <c r="E937" s="2" t="str">
        <f>IFERROR(INDEX(Movimientos!$F$2:$F$1998,MATCH(A937&amp;"ENTRADA",Movimientos!$R$2:$R$1998,0)),"-")</f>
        <v>-</v>
      </c>
      <c r="F937" s="2" t="str">
        <f>IFERROR(INDEX(Movimientos!$G$2:$G$1998,MATCH(A937&amp;"ENTRADA",Movimientos!$R$2:$R$1998,0)),"-")</f>
        <v>-</v>
      </c>
      <c r="G937" s="2" t="str">
        <f>IFERROR(INDEX(Movimientos!$L$2:$L$1998,MATCH(A937&amp;"ENTRADA",Movimientos!$R$2:$R$1998,0)),"-")</f>
        <v>-</v>
      </c>
      <c r="H937" s="17" t="str">
        <f>IFERROR(IF(INDEX(Movimientos!$M$2:$M$1998,MATCH(A937&amp;"ENTRADA",Movimientos!$R$2:$R$1998,0))=0,"S/D",INDEX(Movimientos!$M$2:$M$1998,MATCH(A937&amp;"ENTRADA",Movimientos!$R$2:$R$1998,0))),"S/D")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 ht="14.25">
      <c r="A938" s="16" t="s">
        <v>3103</v>
      </c>
      <c r="B938" s="2" t="str">
        <f>IFERROR(INDEX(Movimientos!$C$2:$C$1998,MATCH(A938&amp;"ENTRADA",Movimientos!$R$2:$R$1998,0)),"-")</f>
        <v>-</v>
      </c>
      <c r="C938" s="2" t="str">
        <f>IFERROR(INDEX(Movimientos!$D$2:$D$1998,MATCH(A938&amp;"ENTRADA",Movimientos!$R$2:$R$1998,0)),"-")</f>
        <v>-</v>
      </c>
      <c r="D938" s="2" t="str">
        <f>IFERROR(INDEX(Movimientos!$E$2:$E$1998,MATCH(A938&amp;"ENTRADA",Movimientos!$R$2:$R$1998,0)),"-")</f>
        <v>-</v>
      </c>
      <c r="E938" s="2" t="str">
        <f>IFERROR(INDEX(Movimientos!$F$2:$F$1998,MATCH(A938&amp;"ENTRADA",Movimientos!$R$2:$R$1998,0)),"-")</f>
        <v>-</v>
      </c>
      <c r="F938" s="2" t="str">
        <f>IFERROR(INDEX(Movimientos!$G$2:$G$1998,MATCH(A938&amp;"ENTRADA",Movimientos!$R$2:$R$1998,0)),"-")</f>
        <v>-</v>
      </c>
      <c r="G938" s="2" t="str">
        <f>IFERROR(INDEX(Movimientos!$L$2:$L$1998,MATCH(A938&amp;"ENTRADA",Movimientos!$R$2:$R$1998,0)),"-")</f>
        <v>-</v>
      </c>
      <c r="H938" s="17" t="str">
        <f>IFERROR(IF(INDEX(Movimientos!$M$2:$M$1998,MATCH(A938&amp;"ENTRADA",Movimientos!$R$2:$R$1998,0))=0,"S/D",INDEX(Movimientos!$M$2:$M$1998,MATCH(A938&amp;"ENTRADA",Movimientos!$R$2:$R$1998,0))),"S/D")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 ht="14.25">
      <c r="A939" s="16" t="s">
        <v>3104</v>
      </c>
      <c r="B939" s="2" t="str">
        <f>IFERROR(INDEX(Movimientos!$C$2:$C$1998,MATCH(A939&amp;"ENTRADA",Movimientos!$R$2:$R$1998,0)),"-")</f>
        <v>-</v>
      </c>
      <c r="C939" s="2" t="str">
        <f>IFERROR(INDEX(Movimientos!$D$2:$D$1998,MATCH(A939&amp;"ENTRADA",Movimientos!$R$2:$R$1998,0)),"-")</f>
        <v>-</v>
      </c>
      <c r="D939" s="2" t="str">
        <f>IFERROR(INDEX(Movimientos!$E$2:$E$1998,MATCH(A939&amp;"ENTRADA",Movimientos!$R$2:$R$1998,0)),"-")</f>
        <v>-</v>
      </c>
      <c r="E939" s="2" t="str">
        <f>IFERROR(INDEX(Movimientos!$F$2:$F$1998,MATCH(A939&amp;"ENTRADA",Movimientos!$R$2:$R$1998,0)),"-")</f>
        <v>-</v>
      </c>
      <c r="F939" s="2" t="str">
        <f>IFERROR(INDEX(Movimientos!$G$2:$G$1998,MATCH(A939&amp;"ENTRADA",Movimientos!$R$2:$R$1998,0)),"-")</f>
        <v>-</v>
      </c>
      <c r="G939" s="2" t="str">
        <f>IFERROR(INDEX(Movimientos!$L$2:$L$1998,MATCH(A939&amp;"ENTRADA",Movimientos!$R$2:$R$1998,0)),"-")</f>
        <v>-</v>
      </c>
      <c r="H939" s="17" t="str">
        <f>IFERROR(IF(INDEX(Movimientos!$M$2:$M$1998,MATCH(A939&amp;"ENTRADA",Movimientos!$R$2:$R$1998,0))=0,"S/D",INDEX(Movimientos!$M$2:$M$1998,MATCH(A939&amp;"ENTRADA",Movimientos!$R$2:$R$1998,0))),"S/D")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 ht="14.25">
      <c r="A940" s="16" t="s">
        <v>3105</v>
      </c>
      <c r="B940" s="2" t="str">
        <f>IFERROR(INDEX(Movimientos!$C$2:$C$1998,MATCH(A940&amp;"ENTRADA",Movimientos!$R$2:$R$1998,0)),"-")</f>
        <v>-</v>
      </c>
      <c r="C940" s="2" t="str">
        <f>IFERROR(INDEX(Movimientos!$D$2:$D$1998,MATCH(A940&amp;"ENTRADA",Movimientos!$R$2:$R$1998,0)),"-")</f>
        <v>-</v>
      </c>
      <c r="D940" s="2" t="str">
        <f>IFERROR(INDEX(Movimientos!$E$2:$E$1998,MATCH(A940&amp;"ENTRADA",Movimientos!$R$2:$R$1998,0)),"-")</f>
        <v>-</v>
      </c>
      <c r="E940" s="2" t="str">
        <f>IFERROR(INDEX(Movimientos!$F$2:$F$1998,MATCH(A940&amp;"ENTRADA",Movimientos!$R$2:$R$1998,0)),"-")</f>
        <v>-</v>
      </c>
      <c r="F940" s="2" t="str">
        <f>IFERROR(INDEX(Movimientos!$G$2:$G$1998,MATCH(A940&amp;"ENTRADA",Movimientos!$R$2:$R$1998,0)),"-")</f>
        <v>-</v>
      </c>
      <c r="G940" s="2" t="str">
        <f>IFERROR(INDEX(Movimientos!$L$2:$L$1998,MATCH(A940&amp;"ENTRADA",Movimientos!$R$2:$R$1998,0)),"-")</f>
        <v>-</v>
      </c>
      <c r="H940" s="17" t="str">
        <f>IFERROR(IF(INDEX(Movimientos!$M$2:$M$1998,MATCH(A940&amp;"ENTRADA",Movimientos!$R$2:$R$1998,0))=0,"S/D",INDEX(Movimientos!$M$2:$M$1998,MATCH(A940&amp;"ENTRADA",Movimientos!$R$2:$R$1998,0))),"S/D")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 ht="14.25">
      <c r="A941" s="16" t="s">
        <v>3106</v>
      </c>
      <c r="B941" s="2" t="str">
        <f>IFERROR(INDEX(Movimientos!$C$2:$C$1998,MATCH(A941&amp;"ENTRADA",Movimientos!$R$2:$R$1998,0)),"-")</f>
        <v>-</v>
      </c>
      <c r="C941" s="2" t="str">
        <f>IFERROR(INDEX(Movimientos!$D$2:$D$1998,MATCH(A941&amp;"ENTRADA",Movimientos!$R$2:$R$1998,0)),"-")</f>
        <v>-</v>
      </c>
      <c r="D941" s="2" t="str">
        <f>IFERROR(INDEX(Movimientos!$E$2:$E$1998,MATCH(A941&amp;"ENTRADA",Movimientos!$R$2:$R$1998,0)),"-")</f>
        <v>-</v>
      </c>
      <c r="E941" s="2" t="str">
        <f>IFERROR(INDEX(Movimientos!$F$2:$F$1998,MATCH(A941&amp;"ENTRADA",Movimientos!$R$2:$R$1998,0)),"-")</f>
        <v>-</v>
      </c>
      <c r="F941" s="2" t="str">
        <f>IFERROR(INDEX(Movimientos!$G$2:$G$1998,MATCH(A941&amp;"ENTRADA",Movimientos!$R$2:$R$1998,0)),"-")</f>
        <v>-</v>
      </c>
      <c r="G941" s="2" t="str">
        <f>IFERROR(INDEX(Movimientos!$L$2:$L$1998,MATCH(A941&amp;"ENTRADA",Movimientos!$R$2:$R$1998,0)),"-")</f>
        <v>-</v>
      </c>
      <c r="H941" s="17" t="str">
        <f>IFERROR(IF(INDEX(Movimientos!$M$2:$M$1998,MATCH(A941&amp;"ENTRADA",Movimientos!$R$2:$R$1998,0))=0,"S/D",INDEX(Movimientos!$M$2:$M$1998,MATCH(A941&amp;"ENTRADA",Movimientos!$R$2:$R$1998,0))),"S/D")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 ht="14.25">
      <c r="A942" s="16" t="s">
        <v>3107</v>
      </c>
      <c r="B942" s="2" t="str">
        <f>IFERROR(INDEX(Movimientos!$C$2:$C$1998,MATCH(A942&amp;"ENTRADA",Movimientos!$R$2:$R$1998,0)),"-")</f>
        <v>-</v>
      </c>
      <c r="C942" s="2" t="str">
        <f>IFERROR(INDEX(Movimientos!$D$2:$D$1998,MATCH(A942&amp;"ENTRADA",Movimientos!$R$2:$R$1998,0)),"-")</f>
        <v>-</v>
      </c>
      <c r="D942" s="2" t="str">
        <f>IFERROR(INDEX(Movimientos!$E$2:$E$1998,MATCH(A942&amp;"ENTRADA",Movimientos!$R$2:$R$1998,0)),"-")</f>
        <v>-</v>
      </c>
      <c r="E942" s="2" t="str">
        <f>IFERROR(INDEX(Movimientos!$F$2:$F$1998,MATCH(A942&amp;"ENTRADA",Movimientos!$R$2:$R$1998,0)),"-")</f>
        <v>-</v>
      </c>
      <c r="F942" s="2" t="str">
        <f>IFERROR(INDEX(Movimientos!$G$2:$G$1998,MATCH(A942&amp;"ENTRADA",Movimientos!$R$2:$R$1998,0)),"-")</f>
        <v>-</v>
      </c>
      <c r="G942" s="2" t="str">
        <f>IFERROR(INDEX(Movimientos!$L$2:$L$1998,MATCH(A942&amp;"ENTRADA",Movimientos!$R$2:$R$1998,0)),"-")</f>
        <v>-</v>
      </c>
      <c r="H942" s="17" t="str">
        <f>IFERROR(IF(INDEX(Movimientos!$M$2:$M$1998,MATCH(A942&amp;"ENTRADA",Movimientos!$R$2:$R$1998,0))=0,"S/D",INDEX(Movimientos!$M$2:$M$1998,MATCH(A942&amp;"ENTRADA",Movimientos!$R$2:$R$1998,0))),"S/D")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 ht="14.25">
      <c r="A943" s="16" t="s">
        <v>3108</v>
      </c>
      <c r="B943" s="2" t="str">
        <f>IFERROR(INDEX(Movimientos!$C$2:$C$1998,MATCH(A943&amp;"ENTRADA",Movimientos!$R$2:$R$1998,0)),"-")</f>
        <v>-</v>
      </c>
      <c r="C943" s="2" t="str">
        <f>IFERROR(INDEX(Movimientos!$D$2:$D$1998,MATCH(A943&amp;"ENTRADA",Movimientos!$R$2:$R$1998,0)),"-")</f>
        <v>-</v>
      </c>
      <c r="D943" s="2" t="str">
        <f>IFERROR(INDEX(Movimientos!$E$2:$E$1998,MATCH(A943&amp;"ENTRADA",Movimientos!$R$2:$R$1998,0)),"-")</f>
        <v>-</v>
      </c>
      <c r="E943" s="2" t="str">
        <f>IFERROR(INDEX(Movimientos!$F$2:$F$1998,MATCH(A943&amp;"ENTRADA",Movimientos!$R$2:$R$1998,0)),"-")</f>
        <v>-</v>
      </c>
      <c r="F943" s="2" t="str">
        <f>IFERROR(INDEX(Movimientos!$G$2:$G$1998,MATCH(A943&amp;"ENTRADA",Movimientos!$R$2:$R$1998,0)),"-")</f>
        <v>-</v>
      </c>
      <c r="G943" s="2" t="str">
        <f>IFERROR(INDEX(Movimientos!$L$2:$L$1998,MATCH(A943&amp;"ENTRADA",Movimientos!$R$2:$R$1998,0)),"-")</f>
        <v>-</v>
      </c>
      <c r="H943" s="17" t="str">
        <f>IFERROR(IF(INDEX(Movimientos!$M$2:$M$1998,MATCH(A943&amp;"ENTRADA",Movimientos!$R$2:$R$1998,0))=0,"S/D",INDEX(Movimientos!$M$2:$M$1998,MATCH(A943&amp;"ENTRADA",Movimientos!$R$2:$R$1998,0))),"S/D")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 ht="14.25">
      <c r="A944" s="16" t="s">
        <v>3109</v>
      </c>
      <c r="B944" s="2" t="str">
        <f>IFERROR(INDEX(Movimientos!$C$2:$C$1998,MATCH(A944&amp;"ENTRADA",Movimientos!$R$2:$R$1998,0)),"-")</f>
        <v>-</v>
      </c>
      <c r="C944" s="2" t="str">
        <f>IFERROR(INDEX(Movimientos!$D$2:$D$1998,MATCH(A944&amp;"ENTRADA",Movimientos!$R$2:$R$1998,0)),"-")</f>
        <v>-</v>
      </c>
      <c r="D944" s="2" t="str">
        <f>IFERROR(INDEX(Movimientos!$E$2:$E$1998,MATCH(A944&amp;"ENTRADA",Movimientos!$R$2:$R$1998,0)),"-")</f>
        <v>-</v>
      </c>
      <c r="E944" s="2" t="str">
        <f>IFERROR(INDEX(Movimientos!$F$2:$F$1998,MATCH(A944&amp;"ENTRADA",Movimientos!$R$2:$R$1998,0)),"-")</f>
        <v>-</v>
      </c>
      <c r="F944" s="2" t="str">
        <f>IFERROR(INDEX(Movimientos!$G$2:$G$1998,MATCH(A944&amp;"ENTRADA",Movimientos!$R$2:$R$1998,0)),"-")</f>
        <v>-</v>
      </c>
      <c r="G944" s="2" t="str">
        <f>IFERROR(INDEX(Movimientos!$L$2:$L$1998,MATCH(A944&amp;"ENTRADA",Movimientos!$R$2:$R$1998,0)),"-")</f>
        <v>-</v>
      </c>
      <c r="H944" s="17" t="str">
        <f>IFERROR(IF(INDEX(Movimientos!$M$2:$M$1998,MATCH(A944&amp;"ENTRADA",Movimientos!$R$2:$R$1998,0))=0,"S/D",INDEX(Movimientos!$M$2:$M$1998,MATCH(A944&amp;"ENTRADA",Movimientos!$R$2:$R$1998,0))),"S/D")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 ht="14.25">
      <c r="A945" s="16" t="s">
        <v>3110</v>
      </c>
      <c r="B945" s="2" t="str">
        <f>IFERROR(INDEX(Movimientos!$C$2:$C$1998,MATCH(A945&amp;"ENTRADA",Movimientos!$R$2:$R$1998,0)),"-")</f>
        <v>-</v>
      </c>
      <c r="C945" s="2" t="str">
        <f>IFERROR(INDEX(Movimientos!$D$2:$D$1998,MATCH(A945&amp;"ENTRADA",Movimientos!$R$2:$R$1998,0)),"-")</f>
        <v>-</v>
      </c>
      <c r="D945" s="2" t="str">
        <f>IFERROR(INDEX(Movimientos!$E$2:$E$1998,MATCH(A945&amp;"ENTRADA",Movimientos!$R$2:$R$1998,0)),"-")</f>
        <v>-</v>
      </c>
      <c r="E945" s="2" t="str">
        <f>IFERROR(INDEX(Movimientos!$F$2:$F$1998,MATCH(A945&amp;"ENTRADA",Movimientos!$R$2:$R$1998,0)),"-")</f>
        <v>-</v>
      </c>
      <c r="F945" s="2" t="str">
        <f>IFERROR(INDEX(Movimientos!$G$2:$G$1998,MATCH(A945&amp;"ENTRADA",Movimientos!$R$2:$R$1998,0)),"-")</f>
        <v>-</v>
      </c>
      <c r="G945" s="2" t="str">
        <f>IFERROR(INDEX(Movimientos!$L$2:$L$1998,MATCH(A945&amp;"ENTRADA",Movimientos!$R$2:$R$1998,0)),"-")</f>
        <v>-</v>
      </c>
      <c r="H945" s="17" t="str">
        <f>IFERROR(IF(INDEX(Movimientos!$M$2:$M$1998,MATCH(A945&amp;"ENTRADA",Movimientos!$R$2:$R$1998,0))=0,"S/D",INDEX(Movimientos!$M$2:$M$1998,MATCH(A945&amp;"ENTRADA",Movimientos!$R$2:$R$1998,0))),"S/D")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 ht="14.25">
      <c r="A946" s="16" t="s">
        <v>3111</v>
      </c>
      <c r="B946" s="2" t="str">
        <f>IFERROR(INDEX(Movimientos!$C$2:$C$1998,MATCH(A946&amp;"ENTRADA",Movimientos!$R$2:$R$1998,0)),"-")</f>
        <v>-</v>
      </c>
      <c r="C946" s="2" t="str">
        <f>IFERROR(INDEX(Movimientos!$D$2:$D$1998,MATCH(A946&amp;"ENTRADA",Movimientos!$R$2:$R$1998,0)),"-")</f>
        <v>-</v>
      </c>
      <c r="D946" s="2" t="str">
        <f>IFERROR(INDEX(Movimientos!$E$2:$E$1998,MATCH(A946&amp;"ENTRADA",Movimientos!$R$2:$R$1998,0)),"-")</f>
        <v>-</v>
      </c>
      <c r="E946" s="2" t="str">
        <f>IFERROR(INDEX(Movimientos!$F$2:$F$1998,MATCH(A946&amp;"ENTRADA",Movimientos!$R$2:$R$1998,0)),"-")</f>
        <v>-</v>
      </c>
      <c r="F946" s="2" t="str">
        <f>IFERROR(INDEX(Movimientos!$G$2:$G$1998,MATCH(A946&amp;"ENTRADA",Movimientos!$R$2:$R$1998,0)),"-")</f>
        <v>-</v>
      </c>
      <c r="G946" s="2" t="str">
        <f>IFERROR(INDEX(Movimientos!$L$2:$L$1998,MATCH(A946&amp;"ENTRADA",Movimientos!$R$2:$R$1998,0)),"-")</f>
        <v>-</v>
      </c>
      <c r="H946" s="17" t="str">
        <f>IFERROR(IF(INDEX(Movimientos!$M$2:$M$1998,MATCH(A946&amp;"ENTRADA",Movimientos!$R$2:$R$1998,0))=0,"S/D",INDEX(Movimientos!$M$2:$M$1998,MATCH(A946&amp;"ENTRADA",Movimientos!$R$2:$R$1998,0))),"S/D")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 ht="14.25">
      <c r="A947" s="16" t="s">
        <v>3112</v>
      </c>
      <c r="B947" s="2" t="str">
        <f>IFERROR(INDEX(Movimientos!$C$2:$C$1998,MATCH(A947&amp;"ENTRADA",Movimientos!$R$2:$R$1998,0)),"-")</f>
        <v>-</v>
      </c>
      <c r="C947" s="2" t="str">
        <f>IFERROR(INDEX(Movimientos!$D$2:$D$1998,MATCH(A947&amp;"ENTRADA",Movimientos!$R$2:$R$1998,0)),"-")</f>
        <v>-</v>
      </c>
      <c r="D947" s="2" t="str">
        <f>IFERROR(INDEX(Movimientos!$E$2:$E$1998,MATCH(A947&amp;"ENTRADA",Movimientos!$R$2:$R$1998,0)),"-")</f>
        <v>-</v>
      </c>
      <c r="E947" s="2" t="str">
        <f>IFERROR(INDEX(Movimientos!$F$2:$F$1998,MATCH(A947&amp;"ENTRADA",Movimientos!$R$2:$R$1998,0)),"-")</f>
        <v>-</v>
      </c>
      <c r="F947" s="2" t="str">
        <f>IFERROR(INDEX(Movimientos!$G$2:$G$1998,MATCH(A947&amp;"ENTRADA",Movimientos!$R$2:$R$1998,0)),"-")</f>
        <v>-</v>
      </c>
      <c r="G947" s="2" t="str">
        <f>IFERROR(INDEX(Movimientos!$L$2:$L$1998,MATCH(A947&amp;"ENTRADA",Movimientos!$R$2:$R$1998,0)),"-")</f>
        <v>-</v>
      </c>
      <c r="H947" s="17" t="str">
        <f>IFERROR(IF(INDEX(Movimientos!$M$2:$M$1998,MATCH(A947&amp;"ENTRADA",Movimientos!$R$2:$R$1998,0))=0,"S/D",INDEX(Movimientos!$M$2:$M$1998,MATCH(A947&amp;"ENTRADA",Movimientos!$R$2:$R$1998,0))),"S/D")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 ht="14.25">
      <c r="A948" s="16" t="s">
        <v>3113</v>
      </c>
      <c r="B948" s="2" t="str">
        <f>IFERROR(INDEX(Movimientos!$C$2:$C$1998,MATCH(A948&amp;"ENTRADA",Movimientos!$R$2:$R$1998,0)),"-")</f>
        <v>-</v>
      </c>
      <c r="C948" s="2" t="str">
        <f>IFERROR(INDEX(Movimientos!$D$2:$D$1998,MATCH(A948&amp;"ENTRADA",Movimientos!$R$2:$R$1998,0)),"-")</f>
        <v>-</v>
      </c>
      <c r="D948" s="2" t="str">
        <f>IFERROR(INDEX(Movimientos!$E$2:$E$1998,MATCH(A948&amp;"ENTRADA",Movimientos!$R$2:$R$1998,0)),"-")</f>
        <v>-</v>
      </c>
      <c r="E948" s="2" t="str">
        <f>IFERROR(INDEX(Movimientos!$F$2:$F$1998,MATCH(A948&amp;"ENTRADA",Movimientos!$R$2:$R$1998,0)),"-")</f>
        <v>-</v>
      </c>
      <c r="F948" s="2" t="str">
        <f>IFERROR(INDEX(Movimientos!$G$2:$G$1998,MATCH(A948&amp;"ENTRADA",Movimientos!$R$2:$R$1998,0)),"-")</f>
        <v>-</v>
      </c>
      <c r="G948" s="2" t="str">
        <f>IFERROR(INDEX(Movimientos!$L$2:$L$1998,MATCH(A948&amp;"ENTRADA",Movimientos!$R$2:$R$1998,0)),"-")</f>
        <v>-</v>
      </c>
      <c r="H948" s="17" t="str">
        <f>IFERROR(IF(INDEX(Movimientos!$M$2:$M$1998,MATCH(A948&amp;"ENTRADA",Movimientos!$R$2:$R$1998,0))=0,"S/D",INDEX(Movimientos!$M$2:$M$1998,MATCH(A948&amp;"ENTRADA",Movimientos!$R$2:$R$1998,0))),"S/D")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 ht="14.25">
      <c r="A949" s="16" t="s">
        <v>3114</v>
      </c>
      <c r="B949" s="2" t="str">
        <f>IFERROR(INDEX(Movimientos!$C$2:$C$1998,MATCH(A949&amp;"ENTRADA",Movimientos!$R$2:$R$1998,0)),"-")</f>
        <v>-</v>
      </c>
      <c r="C949" s="2" t="str">
        <f>IFERROR(INDEX(Movimientos!$D$2:$D$1998,MATCH(A949&amp;"ENTRADA",Movimientos!$R$2:$R$1998,0)),"-")</f>
        <v>-</v>
      </c>
      <c r="D949" s="2" t="str">
        <f>IFERROR(INDEX(Movimientos!$E$2:$E$1998,MATCH(A949&amp;"ENTRADA",Movimientos!$R$2:$R$1998,0)),"-")</f>
        <v>-</v>
      </c>
      <c r="E949" s="2" t="str">
        <f>IFERROR(INDEX(Movimientos!$F$2:$F$1998,MATCH(A949&amp;"ENTRADA",Movimientos!$R$2:$R$1998,0)),"-")</f>
        <v>-</v>
      </c>
      <c r="F949" s="2" t="str">
        <f>IFERROR(INDEX(Movimientos!$G$2:$G$1998,MATCH(A949&amp;"ENTRADA",Movimientos!$R$2:$R$1998,0)),"-")</f>
        <v>-</v>
      </c>
      <c r="G949" s="2" t="str">
        <f>IFERROR(INDEX(Movimientos!$L$2:$L$1998,MATCH(A949&amp;"ENTRADA",Movimientos!$R$2:$R$1998,0)),"-")</f>
        <v>-</v>
      </c>
      <c r="H949" s="17" t="str">
        <f>IFERROR(IF(INDEX(Movimientos!$M$2:$M$1998,MATCH(A949&amp;"ENTRADA",Movimientos!$R$2:$R$1998,0))=0,"S/D",INDEX(Movimientos!$M$2:$M$1998,MATCH(A949&amp;"ENTRADA",Movimientos!$R$2:$R$1998,0))),"S/D")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 ht="14.25">
      <c r="A950" s="16" t="s">
        <v>3115</v>
      </c>
      <c r="B950" s="2" t="str">
        <f>IFERROR(INDEX(Movimientos!$C$2:$C$1998,MATCH(A950&amp;"ENTRADA",Movimientos!$R$2:$R$1998,0)),"-")</f>
        <v>-</v>
      </c>
      <c r="C950" s="2" t="str">
        <f>IFERROR(INDEX(Movimientos!$D$2:$D$1998,MATCH(A950&amp;"ENTRADA",Movimientos!$R$2:$R$1998,0)),"-")</f>
        <v>-</v>
      </c>
      <c r="D950" s="2" t="str">
        <f>IFERROR(INDEX(Movimientos!$E$2:$E$1998,MATCH(A950&amp;"ENTRADA",Movimientos!$R$2:$R$1998,0)),"-")</f>
        <v>-</v>
      </c>
      <c r="E950" s="2" t="str">
        <f>IFERROR(INDEX(Movimientos!$F$2:$F$1998,MATCH(A950&amp;"ENTRADA",Movimientos!$R$2:$R$1998,0)),"-")</f>
        <v>-</v>
      </c>
      <c r="F950" s="2" t="str">
        <f>IFERROR(INDEX(Movimientos!$G$2:$G$1998,MATCH(A950&amp;"ENTRADA",Movimientos!$R$2:$R$1998,0)),"-")</f>
        <v>-</v>
      </c>
      <c r="G950" s="2" t="str">
        <f>IFERROR(INDEX(Movimientos!$L$2:$L$1998,MATCH(A950&amp;"ENTRADA",Movimientos!$R$2:$R$1998,0)),"-")</f>
        <v>-</v>
      </c>
      <c r="H950" s="17" t="str">
        <f>IFERROR(IF(INDEX(Movimientos!$M$2:$M$1998,MATCH(A950&amp;"ENTRADA",Movimientos!$R$2:$R$1998,0))=0,"S/D",INDEX(Movimientos!$M$2:$M$1998,MATCH(A950&amp;"ENTRADA",Movimientos!$R$2:$R$1998,0))),"S/D")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 ht="14.25">
      <c r="A951" s="16" t="s">
        <v>3116</v>
      </c>
      <c r="B951" s="2" t="str">
        <f>IFERROR(INDEX(Movimientos!$C$2:$C$1998,MATCH(A951&amp;"ENTRADA",Movimientos!$R$2:$R$1998,0)),"-")</f>
        <v>-</v>
      </c>
      <c r="C951" s="2" t="str">
        <f>IFERROR(INDEX(Movimientos!$D$2:$D$1998,MATCH(A951&amp;"ENTRADA",Movimientos!$R$2:$R$1998,0)),"-")</f>
        <v>-</v>
      </c>
      <c r="D951" s="2" t="str">
        <f>IFERROR(INDEX(Movimientos!$E$2:$E$1998,MATCH(A951&amp;"ENTRADA",Movimientos!$R$2:$R$1998,0)),"-")</f>
        <v>-</v>
      </c>
      <c r="E951" s="2" t="str">
        <f>IFERROR(INDEX(Movimientos!$F$2:$F$1998,MATCH(A951&amp;"ENTRADA",Movimientos!$R$2:$R$1998,0)),"-")</f>
        <v>-</v>
      </c>
      <c r="F951" s="2" t="str">
        <f>IFERROR(INDEX(Movimientos!$G$2:$G$1998,MATCH(A951&amp;"ENTRADA",Movimientos!$R$2:$R$1998,0)),"-")</f>
        <v>-</v>
      </c>
      <c r="G951" s="2" t="str">
        <f>IFERROR(INDEX(Movimientos!$L$2:$L$1998,MATCH(A951&amp;"ENTRADA",Movimientos!$R$2:$R$1998,0)),"-")</f>
        <v>-</v>
      </c>
      <c r="H951" s="17" t="str">
        <f>IFERROR(IF(INDEX(Movimientos!$M$2:$M$1998,MATCH(A951&amp;"ENTRADA",Movimientos!$R$2:$R$1998,0))=0,"S/D",INDEX(Movimientos!$M$2:$M$1998,MATCH(A951&amp;"ENTRADA",Movimientos!$R$2:$R$1998,0))),"S/D")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 ht="14.25">
      <c r="A952" s="16" t="s">
        <v>3117</v>
      </c>
      <c r="B952" s="2" t="str">
        <f>IFERROR(INDEX(Movimientos!$C$2:$C$1998,MATCH(A952&amp;"ENTRADA",Movimientos!$R$2:$R$1998,0)),"-")</f>
        <v>-</v>
      </c>
      <c r="C952" s="2" t="str">
        <f>IFERROR(INDEX(Movimientos!$D$2:$D$1998,MATCH(A952&amp;"ENTRADA",Movimientos!$R$2:$R$1998,0)),"-")</f>
        <v>-</v>
      </c>
      <c r="D952" s="2" t="str">
        <f>IFERROR(INDEX(Movimientos!$E$2:$E$1998,MATCH(A952&amp;"ENTRADA",Movimientos!$R$2:$R$1998,0)),"-")</f>
        <v>-</v>
      </c>
      <c r="E952" s="2" t="str">
        <f>IFERROR(INDEX(Movimientos!$F$2:$F$1998,MATCH(A952&amp;"ENTRADA",Movimientos!$R$2:$R$1998,0)),"-")</f>
        <v>-</v>
      </c>
      <c r="F952" s="2" t="str">
        <f>IFERROR(INDEX(Movimientos!$G$2:$G$1998,MATCH(A952&amp;"ENTRADA",Movimientos!$R$2:$R$1998,0)),"-")</f>
        <v>-</v>
      </c>
      <c r="G952" s="2" t="str">
        <f>IFERROR(INDEX(Movimientos!$L$2:$L$1998,MATCH(A952&amp;"ENTRADA",Movimientos!$R$2:$R$1998,0)),"-")</f>
        <v>-</v>
      </c>
      <c r="H952" s="17" t="str">
        <f>IFERROR(IF(INDEX(Movimientos!$M$2:$M$1998,MATCH(A952&amp;"ENTRADA",Movimientos!$R$2:$R$1998,0))=0,"S/D",INDEX(Movimientos!$M$2:$M$1998,MATCH(A952&amp;"ENTRADA",Movimientos!$R$2:$R$1998,0))),"S/D")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 ht="14.25">
      <c r="A953" s="16" t="s">
        <v>3118</v>
      </c>
      <c r="B953" s="2" t="str">
        <f>IFERROR(INDEX(Movimientos!$C$2:$C$1998,MATCH(A953&amp;"ENTRADA",Movimientos!$R$2:$R$1998,0)),"-")</f>
        <v>-</v>
      </c>
      <c r="C953" s="2" t="str">
        <f>IFERROR(INDEX(Movimientos!$D$2:$D$1998,MATCH(A953&amp;"ENTRADA",Movimientos!$R$2:$R$1998,0)),"-")</f>
        <v>-</v>
      </c>
      <c r="D953" s="2" t="str">
        <f>IFERROR(INDEX(Movimientos!$E$2:$E$1998,MATCH(A953&amp;"ENTRADA",Movimientos!$R$2:$R$1998,0)),"-")</f>
        <v>-</v>
      </c>
      <c r="E953" s="2" t="str">
        <f>IFERROR(INDEX(Movimientos!$F$2:$F$1998,MATCH(A953&amp;"ENTRADA",Movimientos!$R$2:$R$1998,0)),"-")</f>
        <v>-</v>
      </c>
      <c r="F953" s="2" t="str">
        <f>IFERROR(INDEX(Movimientos!$G$2:$G$1998,MATCH(A953&amp;"ENTRADA",Movimientos!$R$2:$R$1998,0)),"-")</f>
        <v>-</v>
      </c>
      <c r="G953" s="2" t="str">
        <f>IFERROR(INDEX(Movimientos!$L$2:$L$1998,MATCH(A953&amp;"ENTRADA",Movimientos!$R$2:$R$1998,0)),"-")</f>
        <v>-</v>
      </c>
      <c r="H953" s="17" t="str">
        <f>IFERROR(IF(INDEX(Movimientos!$M$2:$M$1998,MATCH(A953&amp;"ENTRADA",Movimientos!$R$2:$R$1998,0))=0,"S/D",INDEX(Movimientos!$M$2:$M$1998,MATCH(A953&amp;"ENTRADA",Movimientos!$R$2:$R$1998,0))),"S/D")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 ht="14.25">
      <c r="A954" s="16" t="s">
        <v>3119</v>
      </c>
      <c r="B954" s="2" t="str">
        <f>IFERROR(INDEX(Movimientos!$C$2:$C$1998,MATCH(A954&amp;"ENTRADA",Movimientos!$R$2:$R$1998,0)),"-")</f>
        <v>-</v>
      </c>
      <c r="C954" s="2" t="str">
        <f>IFERROR(INDEX(Movimientos!$D$2:$D$1998,MATCH(A954&amp;"ENTRADA",Movimientos!$R$2:$R$1998,0)),"-")</f>
        <v>-</v>
      </c>
      <c r="D954" s="2" t="str">
        <f>IFERROR(INDEX(Movimientos!$E$2:$E$1998,MATCH(A954&amp;"ENTRADA",Movimientos!$R$2:$R$1998,0)),"-")</f>
        <v>-</v>
      </c>
      <c r="E954" s="2" t="str">
        <f>IFERROR(INDEX(Movimientos!$F$2:$F$1998,MATCH(A954&amp;"ENTRADA",Movimientos!$R$2:$R$1998,0)),"-")</f>
        <v>-</v>
      </c>
      <c r="F954" s="2" t="str">
        <f>IFERROR(INDEX(Movimientos!$G$2:$G$1998,MATCH(A954&amp;"ENTRADA",Movimientos!$R$2:$R$1998,0)),"-")</f>
        <v>-</v>
      </c>
      <c r="G954" s="2" t="str">
        <f>IFERROR(INDEX(Movimientos!$L$2:$L$1998,MATCH(A954&amp;"ENTRADA",Movimientos!$R$2:$R$1998,0)),"-")</f>
        <v>-</v>
      </c>
      <c r="H954" s="17" t="str">
        <f>IFERROR(IF(INDEX(Movimientos!$M$2:$M$1998,MATCH(A954&amp;"ENTRADA",Movimientos!$R$2:$R$1998,0))=0,"S/D",INDEX(Movimientos!$M$2:$M$1998,MATCH(A954&amp;"ENTRADA",Movimientos!$R$2:$R$1998,0))),"S/D")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 ht="14.25">
      <c r="A955" s="16" t="s">
        <v>3120</v>
      </c>
      <c r="B955" s="2" t="str">
        <f>IFERROR(INDEX(Movimientos!$C$2:$C$1998,MATCH(A955&amp;"ENTRADA",Movimientos!$R$2:$R$1998,0)),"-")</f>
        <v>-</v>
      </c>
      <c r="C955" s="2" t="str">
        <f>IFERROR(INDEX(Movimientos!$D$2:$D$1998,MATCH(A955&amp;"ENTRADA",Movimientos!$R$2:$R$1998,0)),"-")</f>
        <v>-</v>
      </c>
      <c r="D955" s="2" t="str">
        <f>IFERROR(INDEX(Movimientos!$E$2:$E$1998,MATCH(A955&amp;"ENTRADA",Movimientos!$R$2:$R$1998,0)),"-")</f>
        <v>-</v>
      </c>
      <c r="E955" s="2" t="str">
        <f>IFERROR(INDEX(Movimientos!$F$2:$F$1998,MATCH(A955&amp;"ENTRADA",Movimientos!$R$2:$R$1998,0)),"-")</f>
        <v>-</v>
      </c>
      <c r="F955" s="2" t="str">
        <f>IFERROR(INDEX(Movimientos!$G$2:$G$1998,MATCH(A955&amp;"ENTRADA",Movimientos!$R$2:$R$1998,0)),"-")</f>
        <v>-</v>
      </c>
      <c r="G955" s="2" t="str">
        <f>IFERROR(INDEX(Movimientos!$L$2:$L$1998,MATCH(A955&amp;"ENTRADA",Movimientos!$R$2:$R$1998,0)),"-")</f>
        <v>-</v>
      </c>
      <c r="H955" s="17" t="str">
        <f>IFERROR(IF(INDEX(Movimientos!$M$2:$M$1998,MATCH(A955&amp;"ENTRADA",Movimientos!$R$2:$R$1998,0))=0,"S/D",INDEX(Movimientos!$M$2:$M$1998,MATCH(A955&amp;"ENTRADA",Movimientos!$R$2:$R$1998,0))),"S/D")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 ht="14.25">
      <c r="A956" s="16" t="s">
        <v>3121</v>
      </c>
      <c r="B956" s="2" t="str">
        <f>IFERROR(INDEX(Movimientos!$C$2:$C$1998,MATCH(A956&amp;"ENTRADA",Movimientos!$R$2:$R$1998,0)),"-")</f>
        <v>-</v>
      </c>
      <c r="C956" s="2" t="str">
        <f>IFERROR(INDEX(Movimientos!$D$2:$D$1998,MATCH(A956&amp;"ENTRADA",Movimientos!$R$2:$R$1998,0)),"-")</f>
        <v>-</v>
      </c>
      <c r="D956" s="2" t="str">
        <f>IFERROR(INDEX(Movimientos!$E$2:$E$1998,MATCH(A956&amp;"ENTRADA",Movimientos!$R$2:$R$1998,0)),"-")</f>
        <v>-</v>
      </c>
      <c r="E956" s="2" t="str">
        <f>IFERROR(INDEX(Movimientos!$F$2:$F$1998,MATCH(A956&amp;"ENTRADA",Movimientos!$R$2:$R$1998,0)),"-")</f>
        <v>-</v>
      </c>
      <c r="F956" s="2" t="str">
        <f>IFERROR(INDEX(Movimientos!$G$2:$G$1998,MATCH(A956&amp;"ENTRADA",Movimientos!$R$2:$R$1998,0)),"-")</f>
        <v>-</v>
      </c>
      <c r="G956" s="2" t="str">
        <f>IFERROR(INDEX(Movimientos!$L$2:$L$1998,MATCH(A956&amp;"ENTRADA",Movimientos!$R$2:$R$1998,0)),"-")</f>
        <v>-</v>
      </c>
      <c r="H956" s="17" t="str">
        <f>IFERROR(IF(INDEX(Movimientos!$M$2:$M$1998,MATCH(A956&amp;"ENTRADA",Movimientos!$R$2:$R$1998,0))=0,"S/D",INDEX(Movimientos!$M$2:$M$1998,MATCH(A956&amp;"ENTRADA",Movimientos!$R$2:$R$1998,0))),"S/D")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 ht="14.25">
      <c r="A957" s="16" t="s">
        <v>3122</v>
      </c>
      <c r="B957" s="2" t="str">
        <f>IFERROR(INDEX(Movimientos!$C$2:$C$1998,MATCH(A957&amp;"ENTRADA",Movimientos!$R$2:$R$1998,0)),"-")</f>
        <v>-</v>
      </c>
      <c r="C957" s="2" t="str">
        <f>IFERROR(INDEX(Movimientos!$D$2:$D$1998,MATCH(A957&amp;"ENTRADA",Movimientos!$R$2:$R$1998,0)),"-")</f>
        <v>-</v>
      </c>
      <c r="D957" s="2" t="str">
        <f>IFERROR(INDEX(Movimientos!$E$2:$E$1998,MATCH(A957&amp;"ENTRADA",Movimientos!$R$2:$R$1998,0)),"-")</f>
        <v>-</v>
      </c>
      <c r="E957" s="2" t="str">
        <f>IFERROR(INDEX(Movimientos!$F$2:$F$1998,MATCH(A957&amp;"ENTRADA",Movimientos!$R$2:$R$1998,0)),"-")</f>
        <v>-</v>
      </c>
      <c r="F957" s="2" t="str">
        <f>IFERROR(INDEX(Movimientos!$G$2:$G$1998,MATCH(A957&amp;"ENTRADA",Movimientos!$R$2:$R$1998,0)),"-")</f>
        <v>-</v>
      </c>
      <c r="G957" s="2" t="str">
        <f>IFERROR(INDEX(Movimientos!$L$2:$L$1998,MATCH(A957&amp;"ENTRADA",Movimientos!$R$2:$R$1998,0)),"-")</f>
        <v>-</v>
      </c>
      <c r="H957" s="17" t="str">
        <f>IFERROR(IF(INDEX(Movimientos!$M$2:$M$1998,MATCH(A957&amp;"ENTRADA",Movimientos!$R$2:$R$1998,0))=0,"S/D",INDEX(Movimientos!$M$2:$M$1998,MATCH(A957&amp;"ENTRADA",Movimientos!$R$2:$R$1998,0))),"S/D")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 ht="14.25">
      <c r="A958" s="16" t="s">
        <v>3123</v>
      </c>
      <c r="B958" s="2" t="str">
        <f>IFERROR(INDEX(Movimientos!$C$2:$C$1998,MATCH(A958&amp;"ENTRADA",Movimientos!$R$2:$R$1998,0)),"-")</f>
        <v>-</v>
      </c>
      <c r="C958" s="2" t="str">
        <f>IFERROR(INDEX(Movimientos!$D$2:$D$1998,MATCH(A958&amp;"ENTRADA",Movimientos!$R$2:$R$1998,0)),"-")</f>
        <v>-</v>
      </c>
      <c r="D958" s="2" t="str">
        <f>IFERROR(INDEX(Movimientos!$E$2:$E$1998,MATCH(A958&amp;"ENTRADA",Movimientos!$R$2:$R$1998,0)),"-")</f>
        <v>-</v>
      </c>
      <c r="E958" s="2" t="str">
        <f>IFERROR(INDEX(Movimientos!$F$2:$F$1998,MATCH(A958&amp;"ENTRADA",Movimientos!$R$2:$R$1998,0)),"-")</f>
        <v>-</v>
      </c>
      <c r="F958" s="2" t="str">
        <f>IFERROR(INDEX(Movimientos!$G$2:$G$1998,MATCH(A958&amp;"ENTRADA",Movimientos!$R$2:$R$1998,0)),"-")</f>
        <v>-</v>
      </c>
      <c r="G958" s="2" t="str">
        <f>IFERROR(INDEX(Movimientos!$L$2:$L$1998,MATCH(A958&amp;"ENTRADA",Movimientos!$R$2:$R$1998,0)),"-")</f>
        <v>-</v>
      </c>
      <c r="H958" s="17" t="str">
        <f>IFERROR(IF(INDEX(Movimientos!$M$2:$M$1998,MATCH(A958&amp;"ENTRADA",Movimientos!$R$2:$R$1998,0))=0,"S/D",INDEX(Movimientos!$M$2:$M$1998,MATCH(A958&amp;"ENTRADA",Movimientos!$R$2:$R$1998,0))),"S/D")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 ht="14.25">
      <c r="A959" s="16" t="s">
        <v>3124</v>
      </c>
      <c r="B959" s="2" t="str">
        <f>IFERROR(INDEX(Movimientos!$C$2:$C$1998,MATCH(A959&amp;"ENTRADA",Movimientos!$R$2:$R$1998,0)),"-")</f>
        <v>-</v>
      </c>
      <c r="C959" s="2" t="str">
        <f>IFERROR(INDEX(Movimientos!$D$2:$D$1998,MATCH(A959&amp;"ENTRADA",Movimientos!$R$2:$R$1998,0)),"-")</f>
        <v>-</v>
      </c>
      <c r="D959" s="2" t="str">
        <f>IFERROR(INDEX(Movimientos!$E$2:$E$1998,MATCH(A959&amp;"ENTRADA",Movimientos!$R$2:$R$1998,0)),"-")</f>
        <v>-</v>
      </c>
      <c r="E959" s="2" t="str">
        <f>IFERROR(INDEX(Movimientos!$F$2:$F$1998,MATCH(A959&amp;"ENTRADA",Movimientos!$R$2:$R$1998,0)),"-")</f>
        <v>-</v>
      </c>
      <c r="F959" s="2" t="str">
        <f>IFERROR(INDEX(Movimientos!$G$2:$G$1998,MATCH(A959&amp;"ENTRADA",Movimientos!$R$2:$R$1998,0)),"-")</f>
        <v>-</v>
      </c>
      <c r="G959" s="2" t="str">
        <f>IFERROR(INDEX(Movimientos!$L$2:$L$1998,MATCH(A959&amp;"ENTRADA",Movimientos!$R$2:$R$1998,0)),"-")</f>
        <v>-</v>
      </c>
      <c r="H959" s="17" t="str">
        <f>IFERROR(IF(INDEX(Movimientos!$M$2:$M$1998,MATCH(A959&amp;"ENTRADA",Movimientos!$R$2:$R$1998,0))=0,"S/D",INDEX(Movimientos!$M$2:$M$1998,MATCH(A959&amp;"ENTRADA",Movimientos!$R$2:$R$1998,0))),"S/D")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 ht="14.25">
      <c r="A960" s="16" t="s">
        <v>3125</v>
      </c>
      <c r="B960" s="2" t="str">
        <f>IFERROR(INDEX(Movimientos!$C$2:$C$1998,MATCH(A960&amp;"ENTRADA",Movimientos!$R$2:$R$1998,0)),"-")</f>
        <v>-</v>
      </c>
      <c r="C960" s="2" t="str">
        <f>IFERROR(INDEX(Movimientos!$D$2:$D$1998,MATCH(A960&amp;"ENTRADA",Movimientos!$R$2:$R$1998,0)),"-")</f>
        <v>-</v>
      </c>
      <c r="D960" s="2" t="str">
        <f>IFERROR(INDEX(Movimientos!$E$2:$E$1998,MATCH(A960&amp;"ENTRADA",Movimientos!$R$2:$R$1998,0)),"-")</f>
        <v>-</v>
      </c>
      <c r="E960" s="2" t="str">
        <f>IFERROR(INDEX(Movimientos!$F$2:$F$1998,MATCH(A960&amp;"ENTRADA",Movimientos!$R$2:$R$1998,0)),"-")</f>
        <v>-</v>
      </c>
      <c r="F960" s="2" t="str">
        <f>IFERROR(INDEX(Movimientos!$G$2:$G$1998,MATCH(A960&amp;"ENTRADA",Movimientos!$R$2:$R$1998,0)),"-")</f>
        <v>-</v>
      </c>
      <c r="G960" s="2" t="str">
        <f>IFERROR(INDEX(Movimientos!$L$2:$L$1998,MATCH(A960&amp;"ENTRADA",Movimientos!$R$2:$R$1998,0)),"-")</f>
        <v>-</v>
      </c>
      <c r="H960" s="17" t="str">
        <f>IFERROR(IF(INDEX(Movimientos!$M$2:$M$1998,MATCH(A960&amp;"ENTRADA",Movimientos!$R$2:$R$1998,0))=0,"S/D",INDEX(Movimientos!$M$2:$M$1998,MATCH(A960&amp;"ENTRADA",Movimientos!$R$2:$R$1998,0))),"S/D")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 ht="14.25">
      <c r="A961" s="16" t="s">
        <v>3126</v>
      </c>
      <c r="B961" s="2" t="str">
        <f>IFERROR(INDEX(Movimientos!$C$2:$C$1998,MATCH(A961&amp;"ENTRADA",Movimientos!$R$2:$R$1998,0)),"-")</f>
        <v>-</v>
      </c>
      <c r="C961" s="2" t="str">
        <f>IFERROR(INDEX(Movimientos!$D$2:$D$1998,MATCH(A961&amp;"ENTRADA",Movimientos!$R$2:$R$1998,0)),"-")</f>
        <v>-</v>
      </c>
      <c r="D961" s="2" t="str">
        <f>IFERROR(INDEX(Movimientos!$E$2:$E$1998,MATCH(A961&amp;"ENTRADA",Movimientos!$R$2:$R$1998,0)),"-")</f>
        <v>-</v>
      </c>
      <c r="E961" s="2" t="str">
        <f>IFERROR(INDEX(Movimientos!$F$2:$F$1998,MATCH(A961&amp;"ENTRADA",Movimientos!$R$2:$R$1998,0)),"-")</f>
        <v>-</v>
      </c>
      <c r="F961" s="2" t="str">
        <f>IFERROR(INDEX(Movimientos!$G$2:$G$1998,MATCH(A961&amp;"ENTRADA",Movimientos!$R$2:$R$1998,0)),"-")</f>
        <v>-</v>
      </c>
      <c r="G961" s="2" t="str">
        <f>IFERROR(INDEX(Movimientos!$L$2:$L$1998,MATCH(A961&amp;"ENTRADA",Movimientos!$R$2:$R$1998,0)),"-")</f>
        <v>-</v>
      </c>
      <c r="H961" s="17" t="str">
        <f>IFERROR(IF(INDEX(Movimientos!$M$2:$M$1998,MATCH(A961&amp;"ENTRADA",Movimientos!$R$2:$R$1998,0))=0,"S/D",INDEX(Movimientos!$M$2:$M$1998,MATCH(A961&amp;"ENTRADA",Movimientos!$R$2:$R$1998,0))),"S/D")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 ht="14.25">
      <c r="A962" s="16" t="s">
        <v>3127</v>
      </c>
      <c r="B962" s="2" t="str">
        <f>IFERROR(INDEX(Movimientos!$C$2:$C$1998,MATCH(A962&amp;"ENTRADA",Movimientos!$R$2:$R$1998,0)),"-")</f>
        <v>-</v>
      </c>
      <c r="C962" s="2" t="str">
        <f>IFERROR(INDEX(Movimientos!$D$2:$D$1998,MATCH(A962&amp;"ENTRADA",Movimientos!$R$2:$R$1998,0)),"-")</f>
        <v>-</v>
      </c>
      <c r="D962" s="2" t="str">
        <f>IFERROR(INDEX(Movimientos!$E$2:$E$1998,MATCH(A962&amp;"ENTRADA",Movimientos!$R$2:$R$1998,0)),"-")</f>
        <v>-</v>
      </c>
      <c r="E962" s="2" t="str">
        <f>IFERROR(INDEX(Movimientos!$F$2:$F$1998,MATCH(A962&amp;"ENTRADA",Movimientos!$R$2:$R$1998,0)),"-")</f>
        <v>-</v>
      </c>
      <c r="F962" s="2" t="str">
        <f>IFERROR(INDEX(Movimientos!$G$2:$G$1998,MATCH(A962&amp;"ENTRADA",Movimientos!$R$2:$R$1998,0)),"-")</f>
        <v>-</v>
      </c>
      <c r="G962" s="2" t="str">
        <f>IFERROR(INDEX(Movimientos!$L$2:$L$1998,MATCH(A962&amp;"ENTRADA",Movimientos!$R$2:$R$1998,0)),"-")</f>
        <v>-</v>
      </c>
      <c r="H962" s="17" t="str">
        <f>IFERROR(IF(INDEX(Movimientos!$M$2:$M$1998,MATCH(A962&amp;"ENTRADA",Movimientos!$R$2:$R$1998,0))=0,"S/D",INDEX(Movimientos!$M$2:$M$1998,MATCH(A962&amp;"ENTRADA",Movimientos!$R$2:$R$1998,0))),"S/D")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 ht="14.25">
      <c r="A963" s="16" t="s">
        <v>3128</v>
      </c>
      <c r="B963" s="2" t="str">
        <f>IFERROR(INDEX(Movimientos!$C$2:$C$1998,MATCH(A963&amp;"ENTRADA",Movimientos!$R$2:$R$1998,0)),"-")</f>
        <v>-</v>
      </c>
      <c r="C963" s="2" t="str">
        <f>IFERROR(INDEX(Movimientos!$D$2:$D$1998,MATCH(A963&amp;"ENTRADA",Movimientos!$R$2:$R$1998,0)),"-")</f>
        <v>-</v>
      </c>
      <c r="D963" s="2" t="str">
        <f>IFERROR(INDEX(Movimientos!$E$2:$E$1998,MATCH(A963&amp;"ENTRADA",Movimientos!$R$2:$R$1998,0)),"-")</f>
        <v>-</v>
      </c>
      <c r="E963" s="2" t="str">
        <f>IFERROR(INDEX(Movimientos!$F$2:$F$1998,MATCH(A963&amp;"ENTRADA",Movimientos!$R$2:$R$1998,0)),"-")</f>
        <v>-</v>
      </c>
      <c r="F963" s="2" t="str">
        <f>IFERROR(INDEX(Movimientos!$G$2:$G$1998,MATCH(A963&amp;"ENTRADA",Movimientos!$R$2:$R$1998,0)),"-")</f>
        <v>-</v>
      </c>
      <c r="G963" s="2" t="str">
        <f>IFERROR(INDEX(Movimientos!$L$2:$L$1998,MATCH(A963&amp;"ENTRADA",Movimientos!$R$2:$R$1998,0)),"-")</f>
        <v>-</v>
      </c>
      <c r="H963" s="17" t="str">
        <f>IFERROR(IF(INDEX(Movimientos!$M$2:$M$1998,MATCH(A963&amp;"ENTRADA",Movimientos!$R$2:$R$1998,0))=0,"S/D",INDEX(Movimientos!$M$2:$M$1998,MATCH(A963&amp;"ENTRADA",Movimientos!$R$2:$R$1998,0))),"S/D")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 ht="14.25">
      <c r="A964" s="16" t="s">
        <v>3129</v>
      </c>
      <c r="B964" s="2" t="str">
        <f>IFERROR(INDEX(Movimientos!$C$2:$C$1998,MATCH(A964&amp;"ENTRADA",Movimientos!$R$2:$R$1998,0)),"-")</f>
        <v>-</v>
      </c>
      <c r="C964" s="2" t="str">
        <f>IFERROR(INDEX(Movimientos!$D$2:$D$1998,MATCH(A964&amp;"ENTRADA",Movimientos!$R$2:$R$1998,0)),"-")</f>
        <v>-</v>
      </c>
      <c r="D964" s="2" t="str">
        <f>IFERROR(INDEX(Movimientos!$E$2:$E$1998,MATCH(A964&amp;"ENTRADA",Movimientos!$R$2:$R$1998,0)),"-")</f>
        <v>-</v>
      </c>
      <c r="E964" s="2" t="str">
        <f>IFERROR(INDEX(Movimientos!$F$2:$F$1998,MATCH(A964&amp;"ENTRADA",Movimientos!$R$2:$R$1998,0)),"-")</f>
        <v>-</v>
      </c>
      <c r="F964" s="2" t="str">
        <f>IFERROR(INDEX(Movimientos!$G$2:$G$1998,MATCH(A964&amp;"ENTRADA",Movimientos!$R$2:$R$1998,0)),"-")</f>
        <v>-</v>
      </c>
      <c r="G964" s="2" t="str">
        <f>IFERROR(INDEX(Movimientos!$L$2:$L$1998,MATCH(A964&amp;"ENTRADA",Movimientos!$R$2:$R$1998,0)),"-")</f>
        <v>-</v>
      </c>
      <c r="H964" s="17" t="str">
        <f>IFERROR(IF(INDEX(Movimientos!$M$2:$M$1998,MATCH(A964&amp;"ENTRADA",Movimientos!$R$2:$R$1998,0))=0,"S/D",INDEX(Movimientos!$M$2:$M$1998,MATCH(A964&amp;"ENTRADA",Movimientos!$R$2:$R$1998,0))),"S/D")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 ht="14.25">
      <c r="A965" s="16" t="s">
        <v>3130</v>
      </c>
      <c r="B965" s="2" t="str">
        <f>IFERROR(INDEX(Movimientos!$C$2:$C$1998,MATCH(A965&amp;"ENTRADA",Movimientos!$R$2:$R$1998,0)),"-")</f>
        <v>-</v>
      </c>
      <c r="C965" s="2" t="str">
        <f>IFERROR(INDEX(Movimientos!$D$2:$D$1998,MATCH(A965&amp;"ENTRADA",Movimientos!$R$2:$R$1998,0)),"-")</f>
        <v>-</v>
      </c>
      <c r="D965" s="2" t="str">
        <f>IFERROR(INDEX(Movimientos!$E$2:$E$1998,MATCH(A965&amp;"ENTRADA",Movimientos!$R$2:$R$1998,0)),"-")</f>
        <v>-</v>
      </c>
      <c r="E965" s="2" t="str">
        <f>IFERROR(INDEX(Movimientos!$F$2:$F$1998,MATCH(A965&amp;"ENTRADA",Movimientos!$R$2:$R$1998,0)),"-")</f>
        <v>-</v>
      </c>
      <c r="F965" s="2" t="str">
        <f>IFERROR(INDEX(Movimientos!$G$2:$G$1998,MATCH(A965&amp;"ENTRADA",Movimientos!$R$2:$R$1998,0)),"-")</f>
        <v>-</v>
      </c>
      <c r="G965" s="2" t="str">
        <f>IFERROR(INDEX(Movimientos!$L$2:$L$1998,MATCH(A965&amp;"ENTRADA",Movimientos!$R$2:$R$1998,0)),"-")</f>
        <v>-</v>
      </c>
      <c r="H965" s="17" t="str">
        <f>IFERROR(IF(INDEX(Movimientos!$M$2:$M$1998,MATCH(A965&amp;"ENTRADA",Movimientos!$R$2:$R$1998,0))=0,"S/D",INDEX(Movimientos!$M$2:$M$1998,MATCH(A965&amp;"ENTRADA",Movimientos!$R$2:$R$1998,0))),"S/D")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 ht="14.25">
      <c r="A966" s="16" t="s">
        <v>3131</v>
      </c>
      <c r="B966" s="2" t="str">
        <f>IFERROR(INDEX(Movimientos!$C$2:$C$1998,MATCH(A966&amp;"ENTRADA",Movimientos!$R$2:$R$1998,0)),"-")</f>
        <v>-</v>
      </c>
      <c r="C966" s="2" t="str">
        <f>IFERROR(INDEX(Movimientos!$D$2:$D$1998,MATCH(A966&amp;"ENTRADA",Movimientos!$R$2:$R$1998,0)),"-")</f>
        <v>-</v>
      </c>
      <c r="D966" s="2" t="str">
        <f>IFERROR(INDEX(Movimientos!$E$2:$E$1998,MATCH(A966&amp;"ENTRADA",Movimientos!$R$2:$R$1998,0)),"-")</f>
        <v>-</v>
      </c>
      <c r="E966" s="2" t="str">
        <f>IFERROR(INDEX(Movimientos!$F$2:$F$1998,MATCH(A966&amp;"ENTRADA",Movimientos!$R$2:$R$1998,0)),"-")</f>
        <v>-</v>
      </c>
      <c r="F966" s="2" t="str">
        <f>IFERROR(INDEX(Movimientos!$G$2:$G$1998,MATCH(A966&amp;"ENTRADA",Movimientos!$R$2:$R$1998,0)),"-")</f>
        <v>-</v>
      </c>
      <c r="G966" s="2" t="str">
        <f>IFERROR(INDEX(Movimientos!$L$2:$L$1998,MATCH(A966&amp;"ENTRADA",Movimientos!$R$2:$R$1998,0)),"-")</f>
        <v>-</v>
      </c>
      <c r="H966" s="17" t="str">
        <f>IFERROR(IF(INDEX(Movimientos!$M$2:$M$1998,MATCH(A966&amp;"ENTRADA",Movimientos!$R$2:$R$1998,0))=0,"S/D",INDEX(Movimientos!$M$2:$M$1998,MATCH(A966&amp;"ENTRADA",Movimientos!$R$2:$R$1998,0))),"S/D")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 ht="14.25">
      <c r="A967" s="16" t="s">
        <v>3132</v>
      </c>
      <c r="B967" s="2" t="str">
        <f>IFERROR(INDEX(Movimientos!$C$2:$C$1998,MATCH(A967&amp;"ENTRADA",Movimientos!$R$2:$R$1998,0)),"-")</f>
        <v>-</v>
      </c>
      <c r="C967" s="2" t="str">
        <f>IFERROR(INDEX(Movimientos!$D$2:$D$1998,MATCH(A967&amp;"ENTRADA",Movimientos!$R$2:$R$1998,0)),"-")</f>
        <v>-</v>
      </c>
      <c r="D967" s="2" t="str">
        <f>IFERROR(INDEX(Movimientos!$E$2:$E$1998,MATCH(A967&amp;"ENTRADA",Movimientos!$R$2:$R$1998,0)),"-")</f>
        <v>-</v>
      </c>
      <c r="E967" s="2" t="str">
        <f>IFERROR(INDEX(Movimientos!$F$2:$F$1998,MATCH(A967&amp;"ENTRADA",Movimientos!$R$2:$R$1998,0)),"-")</f>
        <v>-</v>
      </c>
      <c r="F967" s="2" t="str">
        <f>IFERROR(INDEX(Movimientos!$G$2:$G$1998,MATCH(A967&amp;"ENTRADA",Movimientos!$R$2:$R$1998,0)),"-")</f>
        <v>-</v>
      </c>
      <c r="G967" s="2" t="str">
        <f>IFERROR(INDEX(Movimientos!$L$2:$L$1998,MATCH(A967&amp;"ENTRADA",Movimientos!$R$2:$R$1998,0)),"-")</f>
        <v>-</v>
      </c>
      <c r="H967" s="17" t="str">
        <f>IFERROR(IF(INDEX(Movimientos!$M$2:$M$1998,MATCH(A967&amp;"ENTRADA",Movimientos!$R$2:$R$1998,0))=0,"S/D",INDEX(Movimientos!$M$2:$M$1998,MATCH(A967&amp;"ENTRADA",Movimientos!$R$2:$R$1998,0))),"S/D")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 ht="14.25">
      <c r="A968" s="16" t="s">
        <v>3133</v>
      </c>
      <c r="B968" s="2" t="str">
        <f>IFERROR(INDEX(Movimientos!$C$2:$C$1998,MATCH(A968&amp;"ENTRADA",Movimientos!$R$2:$R$1998,0)),"-")</f>
        <v>-</v>
      </c>
      <c r="C968" s="2" t="str">
        <f>IFERROR(INDEX(Movimientos!$D$2:$D$1998,MATCH(A968&amp;"ENTRADA",Movimientos!$R$2:$R$1998,0)),"-")</f>
        <v>-</v>
      </c>
      <c r="D968" s="2" t="str">
        <f>IFERROR(INDEX(Movimientos!$E$2:$E$1998,MATCH(A968&amp;"ENTRADA",Movimientos!$R$2:$R$1998,0)),"-")</f>
        <v>-</v>
      </c>
      <c r="E968" s="2" t="str">
        <f>IFERROR(INDEX(Movimientos!$F$2:$F$1998,MATCH(A968&amp;"ENTRADA",Movimientos!$R$2:$R$1998,0)),"-")</f>
        <v>-</v>
      </c>
      <c r="F968" s="2" t="str">
        <f>IFERROR(INDEX(Movimientos!$G$2:$G$1998,MATCH(A968&amp;"ENTRADA",Movimientos!$R$2:$R$1998,0)),"-")</f>
        <v>-</v>
      </c>
      <c r="G968" s="2" t="str">
        <f>IFERROR(INDEX(Movimientos!$L$2:$L$1998,MATCH(A968&amp;"ENTRADA",Movimientos!$R$2:$R$1998,0)),"-")</f>
        <v>-</v>
      </c>
      <c r="H968" s="17" t="str">
        <f>IFERROR(IF(INDEX(Movimientos!$M$2:$M$1998,MATCH(A968&amp;"ENTRADA",Movimientos!$R$2:$R$1998,0))=0,"S/D",INDEX(Movimientos!$M$2:$M$1998,MATCH(A968&amp;"ENTRADA",Movimientos!$R$2:$R$1998,0))),"S/D")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 ht="14.25">
      <c r="A969" s="16" t="s">
        <v>3134</v>
      </c>
      <c r="B969" s="2" t="str">
        <f>IFERROR(INDEX(Movimientos!$C$2:$C$1998,MATCH(A969&amp;"ENTRADA",Movimientos!$R$2:$R$1998,0)),"-")</f>
        <v>-</v>
      </c>
      <c r="C969" s="2" t="str">
        <f>IFERROR(INDEX(Movimientos!$D$2:$D$1998,MATCH(A969&amp;"ENTRADA",Movimientos!$R$2:$R$1998,0)),"-")</f>
        <v>-</v>
      </c>
      <c r="D969" s="2" t="str">
        <f>IFERROR(INDEX(Movimientos!$E$2:$E$1998,MATCH(A969&amp;"ENTRADA",Movimientos!$R$2:$R$1998,0)),"-")</f>
        <v>-</v>
      </c>
      <c r="E969" s="2" t="str">
        <f>IFERROR(INDEX(Movimientos!$F$2:$F$1998,MATCH(A969&amp;"ENTRADA",Movimientos!$R$2:$R$1998,0)),"-")</f>
        <v>-</v>
      </c>
      <c r="F969" s="2" t="str">
        <f>IFERROR(INDEX(Movimientos!$G$2:$G$1998,MATCH(A969&amp;"ENTRADA",Movimientos!$R$2:$R$1998,0)),"-")</f>
        <v>-</v>
      </c>
      <c r="G969" s="2" t="str">
        <f>IFERROR(INDEX(Movimientos!$L$2:$L$1998,MATCH(A969&amp;"ENTRADA",Movimientos!$R$2:$R$1998,0)),"-")</f>
        <v>-</v>
      </c>
      <c r="H969" s="17" t="str">
        <f>IFERROR(IF(INDEX(Movimientos!$M$2:$M$1998,MATCH(A969&amp;"ENTRADA",Movimientos!$R$2:$R$1998,0))=0,"S/D",INDEX(Movimientos!$M$2:$M$1998,MATCH(A969&amp;"ENTRADA",Movimientos!$R$2:$R$1998,0))),"S/D")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 ht="14.25">
      <c r="A970" s="16" t="s">
        <v>3135</v>
      </c>
      <c r="B970" s="2" t="str">
        <f>IFERROR(INDEX(Movimientos!$C$2:$C$1998,MATCH(A970&amp;"ENTRADA",Movimientos!$R$2:$R$1998,0)),"-")</f>
        <v>-</v>
      </c>
      <c r="C970" s="2" t="str">
        <f>IFERROR(INDEX(Movimientos!$D$2:$D$1998,MATCH(A970&amp;"ENTRADA",Movimientos!$R$2:$R$1998,0)),"-")</f>
        <v>-</v>
      </c>
      <c r="D970" s="2" t="str">
        <f>IFERROR(INDEX(Movimientos!$E$2:$E$1998,MATCH(A970&amp;"ENTRADA",Movimientos!$R$2:$R$1998,0)),"-")</f>
        <v>-</v>
      </c>
      <c r="E970" s="2" t="str">
        <f>IFERROR(INDEX(Movimientos!$F$2:$F$1998,MATCH(A970&amp;"ENTRADA",Movimientos!$R$2:$R$1998,0)),"-")</f>
        <v>-</v>
      </c>
      <c r="F970" s="2" t="str">
        <f>IFERROR(INDEX(Movimientos!$G$2:$G$1998,MATCH(A970&amp;"ENTRADA",Movimientos!$R$2:$R$1998,0)),"-")</f>
        <v>-</v>
      </c>
      <c r="G970" s="2" t="str">
        <f>IFERROR(INDEX(Movimientos!$L$2:$L$1998,MATCH(A970&amp;"ENTRADA",Movimientos!$R$2:$R$1998,0)),"-")</f>
        <v>-</v>
      </c>
      <c r="H970" s="17" t="str">
        <f>IFERROR(IF(INDEX(Movimientos!$M$2:$M$1998,MATCH(A970&amp;"ENTRADA",Movimientos!$R$2:$R$1998,0))=0,"S/D",INDEX(Movimientos!$M$2:$M$1998,MATCH(A970&amp;"ENTRADA",Movimientos!$R$2:$R$1998,0))),"S/D")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 ht="14.25">
      <c r="A971" s="16" t="s">
        <v>3136</v>
      </c>
      <c r="B971" s="2" t="str">
        <f>IFERROR(INDEX(Movimientos!$C$2:$C$1998,MATCH(A971&amp;"ENTRADA",Movimientos!$R$2:$R$1998,0)),"-")</f>
        <v>-</v>
      </c>
      <c r="C971" s="2" t="str">
        <f>IFERROR(INDEX(Movimientos!$D$2:$D$1998,MATCH(A971&amp;"ENTRADA",Movimientos!$R$2:$R$1998,0)),"-")</f>
        <v>-</v>
      </c>
      <c r="D971" s="2" t="str">
        <f>IFERROR(INDEX(Movimientos!$E$2:$E$1998,MATCH(A971&amp;"ENTRADA",Movimientos!$R$2:$R$1998,0)),"-")</f>
        <v>-</v>
      </c>
      <c r="E971" s="2" t="str">
        <f>IFERROR(INDEX(Movimientos!$F$2:$F$1998,MATCH(A971&amp;"ENTRADA",Movimientos!$R$2:$R$1998,0)),"-")</f>
        <v>-</v>
      </c>
      <c r="F971" s="2" t="str">
        <f>IFERROR(INDEX(Movimientos!$G$2:$G$1998,MATCH(A971&amp;"ENTRADA",Movimientos!$R$2:$R$1998,0)),"-")</f>
        <v>-</v>
      </c>
      <c r="G971" s="2" t="str">
        <f>IFERROR(INDEX(Movimientos!$L$2:$L$1998,MATCH(A971&amp;"ENTRADA",Movimientos!$R$2:$R$1998,0)),"-")</f>
        <v>-</v>
      </c>
      <c r="H971" s="17" t="str">
        <f>IFERROR(IF(INDEX(Movimientos!$M$2:$M$1998,MATCH(A971&amp;"ENTRADA",Movimientos!$R$2:$R$1998,0))=0,"S/D",INDEX(Movimientos!$M$2:$M$1998,MATCH(A971&amp;"ENTRADA",Movimientos!$R$2:$R$1998,0))),"S/D")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 ht="14.25">
      <c r="A972" s="16" t="s">
        <v>3137</v>
      </c>
      <c r="B972" s="2" t="str">
        <f>IFERROR(INDEX(Movimientos!$C$2:$C$1998,MATCH(A972&amp;"ENTRADA",Movimientos!$R$2:$R$1998,0)),"-")</f>
        <v>-</v>
      </c>
      <c r="C972" s="2" t="str">
        <f>IFERROR(INDEX(Movimientos!$D$2:$D$1998,MATCH(A972&amp;"ENTRADA",Movimientos!$R$2:$R$1998,0)),"-")</f>
        <v>-</v>
      </c>
      <c r="D972" s="2" t="str">
        <f>IFERROR(INDEX(Movimientos!$E$2:$E$1998,MATCH(A972&amp;"ENTRADA",Movimientos!$R$2:$R$1998,0)),"-")</f>
        <v>-</v>
      </c>
      <c r="E972" s="2" t="str">
        <f>IFERROR(INDEX(Movimientos!$F$2:$F$1998,MATCH(A972&amp;"ENTRADA",Movimientos!$R$2:$R$1998,0)),"-")</f>
        <v>-</v>
      </c>
      <c r="F972" s="2" t="str">
        <f>IFERROR(INDEX(Movimientos!$G$2:$G$1998,MATCH(A972&amp;"ENTRADA",Movimientos!$R$2:$R$1998,0)),"-")</f>
        <v>-</v>
      </c>
      <c r="G972" s="2" t="str">
        <f>IFERROR(INDEX(Movimientos!$L$2:$L$1998,MATCH(A972&amp;"ENTRADA",Movimientos!$R$2:$R$1998,0)),"-")</f>
        <v>-</v>
      </c>
      <c r="H972" s="17" t="str">
        <f>IFERROR(IF(INDEX(Movimientos!$M$2:$M$1998,MATCH(A972&amp;"ENTRADA",Movimientos!$R$2:$R$1998,0))=0,"S/D",INDEX(Movimientos!$M$2:$M$1998,MATCH(A972&amp;"ENTRADA",Movimientos!$R$2:$R$1998,0))),"S/D")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 ht="14.25">
      <c r="A973" s="16" t="s">
        <v>3138</v>
      </c>
      <c r="B973" s="2" t="str">
        <f>IFERROR(INDEX(Movimientos!$C$2:$C$1998,MATCH(A973&amp;"ENTRADA",Movimientos!$R$2:$R$1998,0)),"-")</f>
        <v>-</v>
      </c>
      <c r="C973" s="2" t="str">
        <f>IFERROR(INDEX(Movimientos!$D$2:$D$1998,MATCH(A973&amp;"ENTRADA",Movimientos!$R$2:$R$1998,0)),"-")</f>
        <v>-</v>
      </c>
      <c r="D973" s="2" t="str">
        <f>IFERROR(INDEX(Movimientos!$E$2:$E$1998,MATCH(A973&amp;"ENTRADA",Movimientos!$R$2:$R$1998,0)),"-")</f>
        <v>-</v>
      </c>
      <c r="E973" s="2" t="str">
        <f>IFERROR(INDEX(Movimientos!$F$2:$F$1998,MATCH(A973&amp;"ENTRADA",Movimientos!$R$2:$R$1998,0)),"-")</f>
        <v>-</v>
      </c>
      <c r="F973" s="2" t="str">
        <f>IFERROR(INDEX(Movimientos!$G$2:$G$1998,MATCH(A973&amp;"ENTRADA",Movimientos!$R$2:$R$1998,0)),"-")</f>
        <v>-</v>
      </c>
      <c r="G973" s="2" t="str">
        <f>IFERROR(INDEX(Movimientos!$L$2:$L$1998,MATCH(A973&amp;"ENTRADA",Movimientos!$R$2:$R$1998,0)),"-")</f>
        <v>-</v>
      </c>
      <c r="H973" s="17" t="str">
        <f>IFERROR(IF(INDEX(Movimientos!$M$2:$M$1998,MATCH(A973&amp;"ENTRADA",Movimientos!$R$2:$R$1998,0))=0,"S/D",INDEX(Movimientos!$M$2:$M$1998,MATCH(A973&amp;"ENTRADA",Movimientos!$R$2:$R$1998,0))),"S/D")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 ht="14.25">
      <c r="A974" s="16" t="s">
        <v>3139</v>
      </c>
      <c r="B974" s="2" t="str">
        <f>IFERROR(INDEX(Movimientos!$C$2:$C$1998,MATCH(A974&amp;"ENTRADA",Movimientos!$R$2:$R$1998,0)),"-")</f>
        <v>-</v>
      </c>
      <c r="C974" s="2" t="str">
        <f>IFERROR(INDEX(Movimientos!$D$2:$D$1998,MATCH(A974&amp;"ENTRADA",Movimientos!$R$2:$R$1998,0)),"-")</f>
        <v>-</v>
      </c>
      <c r="D974" s="2" t="str">
        <f>IFERROR(INDEX(Movimientos!$E$2:$E$1998,MATCH(A974&amp;"ENTRADA",Movimientos!$R$2:$R$1998,0)),"-")</f>
        <v>-</v>
      </c>
      <c r="E974" s="2" t="str">
        <f>IFERROR(INDEX(Movimientos!$F$2:$F$1998,MATCH(A974&amp;"ENTRADA",Movimientos!$R$2:$R$1998,0)),"-")</f>
        <v>-</v>
      </c>
      <c r="F974" s="2" t="str">
        <f>IFERROR(INDEX(Movimientos!$G$2:$G$1998,MATCH(A974&amp;"ENTRADA",Movimientos!$R$2:$R$1998,0)),"-")</f>
        <v>-</v>
      </c>
      <c r="G974" s="2" t="str">
        <f>IFERROR(INDEX(Movimientos!$L$2:$L$1998,MATCH(A974&amp;"ENTRADA",Movimientos!$R$2:$R$1998,0)),"-")</f>
        <v>-</v>
      </c>
      <c r="H974" s="17" t="str">
        <f>IFERROR(IF(INDEX(Movimientos!$M$2:$M$1998,MATCH(A974&amp;"ENTRADA",Movimientos!$R$2:$R$1998,0))=0,"S/D",INDEX(Movimientos!$M$2:$M$1998,MATCH(A974&amp;"ENTRADA",Movimientos!$R$2:$R$1998,0))),"S/D")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 ht="14.25">
      <c r="A975" s="16" t="s">
        <v>3140</v>
      </c>
      <c r="B975" s="2" t="str">
        <f>IFERROR(INDEX(Movimientos!$C$2:$C$1998,MATCH(A975&amp;"ENTRADA",Movimientos!$R$2:$R$1998,0)),"-")</f>
        <v>-</v>
      </c>
      <c r="C975" s="2" t="str">
        <f>IFERROR(INDEX(Movimientos!$D$2:$D$1998,MATCH(A975&amp;"ENTRADA",Movimientos!$R$2:$R$1998,0)),"-")</f>
        <v>-</v>
      </c>
      <c r="D975" s="2" t="str">
        <f>IFERROR(INDEX(Movimientos!$E$2:$E$1998,MATCH(A975&amp;"ENTRADA",Movimientos!$R$2:$R$1998,0)),"-")</f>
        <v>-</v>
      </c>
      <c r="E975" s="2" t="str">
        <f>IFERROR(INDEX(Movimientos!$F$2:$F$1998,MATCH(A975&amp;"ENTRADA",Movimientos!$R$2:$R$1998,0)),"-")</f>
        <v>-</v>
      </c>
      <c r="F975" s="2" t="str">
        <f>IFERROR(INDEX(Movimientos!$G$2:$G$1998,MATCH(A975&amp;"ENTRADA",Movimientos!$R$2:$R$1998,0)),"-")</f>
        <v>-</v>
      </c>
      <c r="G975" s="2" t="str">
        <f>IFERROR(INDEX(Movimientos!$L$2:$L$1998,MATCH(A975&amp;"ENTRADA",Movimientos!$R$2:$R$1998,0)),"-")</f>
        <v>-</v>
      </c>
      <c r="H975" s="17" t="str">
        <f>IFERROR(IF(INDEX(Movimientos!$M$2:$M$1998,MATCH(A975&amp;"ENTRADA",Movimientos!$R$2:$R$1998,0))=0,"S/D",INDEX(Movimientos!$M$2:$M$1998,MATCH(A975&amp;"ENTRADA",Movimientos!$R$2:$R$1998,0))),"S/D")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 ht="14.25">
      <c r="A976" s="16" t="s">
        <v>3141</v>
      </c>
      <c r="B976" s="2" t="str">
        <f>IFERROR(INDEX(Movimientos!$C$2:$C$1998,MATCH(A976&amp;"ENTRADA",Movimientos!$R$2:$R$1998,0)),"-")</f>
        <v>-</v>
      </c>
      <c r="C976" s="2" t="str">
        <f>IFERROR(INDEX(Movimientos!$D$2:$D$1998,MATCH(A976&amp;"ENTRADA",Movimientos!$R$2:$R$1998,0)),"-")</f>
        <v>-</v>
      </c>
      <c r="D976" s="2" t="str">
        <f>IFERROR(INDEX(Movimientos!$E$2:$E$1998,MATCH(A976&amp;"ENTRADA",Movimientos!$R$2:$R$1998,0)),"-")</f>
        <v>-</v>
      </c>
      <c r="E976" s="2" t="str">
        <f>IFERROR(INDEX(Movimientos!$F$2:$F$1998,MATCH(A976&amp;"ENTRADA",Movimientos!$R$2:$R$1998,0)),"-")</f>
        <v>-</v>
      </c>
      <c r="F976" s="2" t="str">
        <f>IFERROR(INDEX(Movimientos!$G$2:$G$1998,MATCH(A976&amp;"ENTRADA",Movimientos!$R$2:$R$1998,0)),"-")</f>
        <v>-</v>
      </c>
      <c r="G976" s="2" t="str">
        <f>IFERROR(INDEX(Movimientos!$L$2:$L$1998,MATCH(A976&amp;"ENTRADA",Movimientos!$R$2:$R$1998,0)),"-")</f>
        <v>-</v>
      </c>
      <c r="H976" s="17" t="str">
        <f>IFERROR(IF(INDEX(Movimientos!$M$2:$M$1998,MATCH(A976&amp;"ENTRADA",Movimientos!$R$2:$R$1998,0))=0,"S/D",INDEX(Movimientos!$M$2:$M$1998,MATCH(A976&amp;"ENTRADA",Movimientos!$R$2:$R$1998,0))),"S/D")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 ht="14.25">
      <c r="A977" s="16" t="s">
        <v>3142</v>
      </c>
      <c r="B977" s="2" t="str">
        <f>IFERROR(INDEX(Movimientos!$C$2:$C$1998,MATCH(A977&amp;"ENTRADA",Movimientos!$R$2:$R$1998,0)),"-")</f>
        <v>-</v>
      </c>
      <c r="C977" s="2" t="str">
        <f>IFERROR(INDEX(Movimientos!$D$2:$D$1998,MATCH(A977&amp;"ENTRADA",Movimientos!$R$2:$R$1998,0)),"-")</f>
        <v>-</v>
      </c>
      <c r="D977" s="2" t="str">
        <f>IFERROR(INDEX(Movimientos!$E$2:$E$1998,MATCH(A977&amp;"ENTRADA",Movimientos!$R$2:$R$1998,0)),"-")</f>
        <v>-</v>
      </c>
      <c r="E977" s="2" t="str">
        <f>IFERROR(INDEX(Movimientos!$F$2:$F$1998,MATCH(A977&amp;"ENTRADA",Movimientos!$R$2:$R$1998,0)),"-")</f>
        <v>-</v>
      </c>
      <c r="F977" s="2" t="str">
        <f>IFERROR(INDEX(Movimientos!$G$2:$G$1998,MATCH(A977&amp;"ENTRADA",Movimientos!$R$2:$R$1998,0)),"-")</f>
        <v>-</v>
      </c>
      <c r="G977" s="2" t="str">
        <f>IFERROR(INDEX(Movimientos!$L$2:$L$1998,MATCH(A977&amp;"ENTRADA",Movimientos!$R$2:$R$1998,0)),"-")</f>
        <v>-</v>
      </c>
      <c r="H977" s="17" t="str">
        <f>IFERROR(IF(INDEX(Movimientos!$M$2:$M$1998,MATCH(A977&amp;"ENTRADA",Movimientos!$R$2:$R$1998,0))=0,"S/D",INDEX(Movimientos!$M$2:$M$1998,MATCH(A977&amp;"ENTRADA",Movimientos!$R$2:$R$1998,0))),"S/D")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 ht="14.25">
      <c r="A978" s="16" t="s">
        <v>3143</v>
      </c>
      <c r="B978" s="2" t="str">
        <f>IFERROR(INDEX(Movimientos!$C$2:$C$1998,MATCH(A978&amp;"ENTRADA",Movimientos!$R$2:$R$1998,0)),"-")</f>
        <v>-</v>
      </c>
      <c r="C978" s="2" t="str">
        <f>IFERROR(INDEX(Movimientos!$D$2:$D$1998,MATCH(A978&amp;"ENTRADA",Movimientos!$R$2:$R$1998,0)),"-")</f>
        <v>-</v>
      </c>
      <c r="D978" s="2" t="str">
        <f>IFERROR(INDEX(Movimientos!$E$2:$E$1998,MATCH(A978&amp;"ENTRADA",Movimientos!$R$2:$R$1998,0)),"-")</f>
        <v>-</v>
      </c>
      <c r="E978" s="2" t="str">
        <f>IFERROR(INDEX(Movimientos!$F$2:$F$1998,MATCH(A978&amp;"ENTRADA",Movimientos!$R$2:$R$1998,0)),"-")</f>
        <v>-</v>
      </c>
      <c r="F978" s="2" t="str">
        <f>IFERROR(INDEX(Movimientos!$G$2:$G$1998,MATCH(A978&amp;"ENTRADA",Movimientos!$R$2:$R$1998,0)),"-")</f>
        <v>-</v>
      </c>
      <c r="G978" s="2" t="str">
        <f>IFERROR(INDEX(Movimientos!$L$2:$L$1998,MATCH(A978&amp;"ENTRADA",Movimientos!$R$2:$R$1998,0)),"-")</f>
        <v>-</v>
      </c>
      <c r="H978" s="17" t="str">
        <f>IFERROR(IF(INDEX(Movimientos!$M$2:$M$1998,MATCH(A978&amp;"ENTRADA",Movimientos!$R$2:$R$1998,0))=0,"S/D",INDEX(Movimientos!$M$2:$M$1998,MATCH(A978&amp;"ENTRADA",Movimientos!$R$2:$R$1998,0))),"S/D")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 ht="14.25">
      <c r="A979" s="16" t="s">
        <v>3144</v>
      </c>
      <c r="B979" s="2" t="str">
        <f>IFERROR(INDEX(Movimientos!$C$2:$C$1998,MATCH(A979&amp;"ENTRADA",Movimientos!$R$2:$R$1998,0)),"-")</f>
        <v>-</v>
      </c>
      <c r="C979" s="2" t="str">
        <f>IFERROR(INDEX(Movimientos!$D$2:$D$1998,MATCH(A979&amp;"ENTRADA",Movimientos!$R$2:$R$1998,0)),"-")</f>
        <v>-</v>
      </c>
      <c r="D979" s="2" t="str">
        <f>IFERROR(INDEX(Movimientos!$E$2:$E$1998,MATCH(A979&amp;"ENTRADA",Movimientos!$R$2:$R$1998,0)),"-")</f>
        <v>-</v>
      </c>
      <c r="E979" s="2" t="str">
        <f>IFERROR(INDEX(Movimientos!$F$2:$F$1998,MATCH(A979&amp;"ENTRADA",Movimientos!$R$2:$R$1998,0)),"-")</f>
        <v>-</v>
      </c>
      <c r="F979" s="2" t="str">
        <f>IFERROR(INDEX(Movimientos!$G$2:$G$1998,MATCH(A979&amp;"ENTRADA",Movimientos!$R$2:$R$1998,0)),"-")</f>
        <v>-</v>
      </c>
      <c r="G979" s="2" t="str">
        <f>IFERROR(INDEX(Movimientos!$L$2:$L$1998,MATCH(A979&amp;"ENTRADA",Movimientos!$R$2:$R$1998,0)),"-")</f>
        <v>-</v>
      </c>
      <c r="H979" s="17" t="str">
        <f>IFERROR(IF(INDEX(Movimientos!$M$2:$M$1998,MATCH(A979&amp;"ENTRADA",Movimientos!$R$2:$R$1998,0))=0,"S/D",INDEX(Movimientos!$M$2:$M$1998,MATCH(A979&amp;"ENTRADA",Movimientos!$R$2:$R$1998,0))),"S/D")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 ht="14.25">
      <c r="A980" s="16" t="s">
        <v>3145</v>
      </c>
      <c r="B980" s="2" t="str">
        <f>IFERROR(INDEX(Movimientos!$C$2:$C$1998,MATCH(A980&amp;"ENTRADA",Movimientos!$R$2:$R$1998,0)),"-")</f>
        <v>-</v>
      </c>
      <c r="C980" s="2" t="str">
        <f>IFERROR(INDEX(Movimientos!$D$2:$D$1998,MATCH(A980&amp;"ENTRADA",Movimientos!$R$2:$R$1998,0)),"-")</f>
        <v>-</v>
      </c>
      <c r="D980" s="2" t="str">
        <f>IFERROR(INDEX(Movimientos!$E$2:$E$1998,MATCH(A980&amp;"ENTRADA",Movimientos!$R$2:$R$1998,0)),"-")</f>
        <v>-</v>
      </c>
      <c r="E980" s="2" t="str">
        <f>IFERROR(INDEX(Movimientos!$F$2:$F$1998,MATCH(A980&amp;"ENTRADA",Movimientos!$R$2:$R$1998,0)),"-")</f>
        <v>-</v>
      </c>
      <c r="F980" s="2" t="str">
        <f>IFERROR(INDEX(Movimientos!$G$2:$G$1998,MATCH(A980&amp;"ENTRADA",Movimientos!$R$2:$R$1998,0)),"-")</f>
        <v>-</v>
      </c>
      <c r="G980" s="2" t="str">
        <f>IFERROR(INDEX(Movimientos!$L$2:$L$1998,MATCH(A980&amp;"ENTRADA",Movimientos!$R$2:$R$1998,0)),"-")</f>
        <v>-</v>
      </c>
      <c r="H980" s="17" t="str">
        <f>IFERROR(IF(INDEX(Movimientos!$M$2:$M$1998,MATCH(A980&amp;"ENTRADA",Movimientos!$R$2:$R$1998,0))=0,"S/D",INDEX(Movimientos!$M$2:$M$1998,MATCH(A980&amp;"ENTRADA",Movimientos!$R$2:$R$1998,0))),"S/D")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 ht="14.25">
      <c r="A981" s="16" t="s">
        <v>3146</v>
      </c>
      <c r="B981" s="2" t="str">
        <f>IFERROR(INDEX(Movimientos!$C$2:$C$1998,MATCH(A981&amp;"ENTRADA",Movimientos!$R$2:$R$1998,0)),"-")</f>
        <v>-</v>
      </c>
      <c r="C981" s="2" t="str">
        <f>IFERROR(INDEX(Movimientos!$D$2:$D$1998,MATCH(A981&amp;"ENTRADA",Movimientos!$R$2:$R$1998,0)),"-")</f>
        <v>-</v>
      </c>
      <c r="D981" s="2" t="str">
        <f>IFERROR(INDEX(Movimientos!$E$2:$E$1998,MATCH(A981&amp;"ENTRADA",Movimientos!$R$2:$R$1998,0)),"-")</f>
        <v>-</v>
      </c>
      <c r="E981" s="2" t="str">
        <f>IFERROR(INDEX(Movimientos!$F$2:$F$1998,MATCH(A981&amp;"ENTRADA",Movimientos!$R$2:$R$1998,0)),"-")</f>
        <v>-</v>
      </c>
      <c r="F981" s="2" t="str">
        <f>IFERROR(INDEX(Movimientos!$G$2:$G$1998,MATCH(A981&amp;"ENTRADA",Movimientos!$R$2:$R$1998,0)),"-")</f>
        <v>-</v>
      </c>
      <c r="G981" s="2" t="str">
        <f>IFERROR(INDEX(Movimientos!$L$2:$L$1998,MATCH(A981&amp;"ENTRADA",Movimientos!$R$2:$R$1998,0)),"-")</f>
        <v>-</v>
      </c>
      <c r="H981" s="17" t="str">
        <f>IFERROR(IF(INDEX(Movimientos!$M$2:$M$1998,MATCH(A981&amp;"ENTRADA",Movimientos!$R$2:$R$1998,0))=0,"S/D",INDEX(Movimientos!$M$2:$M$1998,MATCH(A981&amp;"ENTRADA",Movimientos!$R$2:$R$1998,0))),"S/D")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 ht="14.25">
      <c r="A982" s="16" t="s">
        <v>3147</v>
      </c>
      <c r="B982" s="2" t="str">
        <f>IFERROR(INDEX(Movimientos!$C$2:$C$1998,MATCH(A982&amp;"ENTRADA",Movimientos!$R$2:$R$1998,0)),"-")</f>
        <v>-</v>
      </c>
      <c r="C982" s="2" t="str">
        <f>IFERROR(INDEX(Movimientos!$D$2:$D$1998,MATCH(A982&amp;"ENTRADA",Movimientos!$R$2:$R$1998,0)),"-")</f>
        <v>-</v>
      </c>
      <c r="D982" s="2" t="str">
        <f>IFERROR(INDEX(Movimientos!$E$2:$E$1998,MATCH(A982&amp;"ENTRADA",Movimientos!$R$2:$R$1998,0)),"-")</f>
        <v>-</v>
      </c>
      <c r="E982" s="2" t="str">
        <f>IFERROR(INDEX(Movimientos!$F$2:$F$1998,MATCH(A982&amp;"ENTRADA",Movimientos!$R$2:$R$1998,0)),"-")</f>
        <v>-</v>
      </c>
      <c r="F982" s="2" t="str">
        <f>IFERROR(INDEX(Movimientos!$G$2:$G$1998,MATCH(A982&amp;"ENTRADA",Movimientos!$R$2:$R$1998,0)),"-")</f>
        <v>-</v>
      </c>
      <c r="G982" s="2" t="str">
        <f>IFERROR(INDEX(Movimientos!$L$2:$L$1998,MATCH(A982&amp;"ENTRADA",Movimientos!$R$2:$R$1998,0)),"-")</f>
        <v>-</v>
      </c>
      <c r="H982" s="17" t="str">
        <f>IFERROR(IF(INDEX(Movimientos!$M$2:$M$1998,MATCH(A982&amp;"ENTRADA",Movimientos!$R$2:$R$1998,0))=0,"S/D",INDEX(Movimientos!$M$2:$M$1998,MATCH(A982&amp;"ENTRADA",Movimientos!$R$2:$R$1998,0))),"S/D")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 ht="14.25">
      <c r="A983" s="16" t="s">
        <v>3148</v>
      </c>
      <c r="B983" s="2" t="str">
        <f>IFERROR(INDEX(Movimientos!$C$2:$C$1998,MATCH(A983&amp;"ENTRADA",Movimientos!$R$2:$R$1998,0)),"-")</f>
        <v>-</v>
      </c>
      <c r="C983" s="2" t="str">
        <f>IFERROR(INDEX(Movimientos!$D$2:$D$1998,MATCH(A983&amp;"ENTRADA",Movimientos!$R$2:$R$1998,0)),"-")</f>
        <v>-</v>
      </c>
      <c r="D983" s="2" t="str">
        <f>IFERROR(INDEX(Movimientos!$E$2:$E$1998,MATCH(A983&amp;"ENTRADA",Movimientos!$R$2:$R$1998,0)),"-")</f>
        <v>-</v>
      </c>
      <c r="E983" s="2" t="str">
        <f>IFERROR(INDEX(Movimientos!$F$2:$F$1998,MATCH(A983&amp;"ENTRADA",Movimientos!$R$2:$R$1998,0)),"-")</f>
        <v>-</v>
      </c>
      <c r="F983" s="2" t="str">
        <f>IFERROR(INDEX(Movimientos!$G$2:$G$1998,MATCH(A983&amp;"ENTRADA",Movimientos!$R$2:$R$1998,0)),"-")</f>
        <v>-</v>
      </c>
      <c r="G983" s="2" t="str">
        <f>IFERROR(INDEX(Movimientos!$L$2:$L$1998,MATCH(A983&amp;"ENTRADA",Movimientos!$R$2:$R$1998,0)),"-")</f>
        <v>-</v>
      </c>
      <c r="H983" s="17" t="str">
        <f>IFERROR(IF(INDEX(Movimientos!$M$2:$M$1998,MATCH(A983&amp;"ENTRADA",Movimientos!$R$2:$R$1998,0))=0,"S/D",INDEX(Movimientos!$M$2:$M$1998,MATCH(A983&amp;"ENTRADA",Movimientos!$R$2:$R$1998,0))),"S/D")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 ht="14.25">
      <c r="A984" s="16" t="s">
        <v>3149</v>
      </c>
      <c r="B984" s="2" t="str">
        <f>IFERROR(INDEX(Movimientos!$C$2:$C$1998,MATCH(A984&amp;"ENTRADA",Movimientos!$R$2:$R$1998,0)),"-")</f>
        <v>-</v>
      </c>
      <c r="C984" s="2" t="str">
        <f>IFERROR(INDEX(Movimientos!$D$2:$D$1998,MATCH(A984&amp;"ENTRADA",Movimientos!$R$2:$R$1998,0)),"-")</f>
        <v>-</v>
      </c>
      <c r="D984" s="2" t="str">
        <f>IFERROR(INDEX(Movimientos!$E$2:$E$1998,MATCH(A984&amp;"ENTRADA",Movimientos!$R$2:$R$1998,0)),"-")</f>
        <v>-</v>
      </c>
      <c r="E984" s="2" t="str">
        <f>IFERROR(INDEX(Movimientos!$F$2:$F$1998,MATCH(A984&amp;"ENTRADA",Movimientos!$R$2:$R$1998,0)),"-")</f>
        <v>-</v>
      </c>
      <c r="F984" s="2" t="str">
        <f>IFERROR(INDEX(Movimientos!$G$2:$G$1998,MATCH(A984&amp;"ENTRADA",Movimientos!$R$2:$R$1998,0)),"-")</f>
        <v>-</v>
      </c>
      <c r="G984" s="2" t="str">
        <f>IFERROR(INDEX(Movimientos!$L$2:$L$1998,MATCH(A984&amp;"ENTRADA",Movimientos!$R$2:$R$1998,0)),"-")</f>
        <v>-</v>
      </c>
      <c r="H984" s="17" t="str">
        <f>IFERROR(IF(INDEX(Movimientos!$M$2:$M$1998,MATCH(A984&amp;"ENTRADA",Movimientos!$R$2:$R$1998,0))=0,"S/D",INDEX(Movimientos!$M$2:$M$1998,MATCH(A984&amp;"ENTRADA",Movimientos!$R$2:$R$1998,0))),"S/D")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 ht="14.25">
      <c r="A985" s="16" t="s">
        <v>3150</v>
      </c>
      <c r="B985" s="2" t="str">
        <f>IFERROR(INDEX(Movimientos!$C$2:$C$1998,MATCH(A985&amp;"ENTRADA",Movimientos!$R$2:$R$1998,0)),"-")</f>
        <v>-</v>
      </c>
      <c r="C985" s="2" t="str">
        <f>IFERROR(INDEX(Movimientos!$D$2:$D$1998,MATCH(A985&amp;"ENTRADA",Movimientos!$R$2:$R$1998,0)),"-")</f>
        <v>-</v>
      </c>
      <c r="D985" s="2" t="str">
        <f>IFERROR(INDEX(Movimientos!$E$2:$E$1998,MATCH(A985&amp;"ENTRADA",Movimientos!$R$2:$R$1998,0)),"-")</f>
        <v>-</v>
      </c>
      <c r="E985" s="2" t="str">
        <f>IFERROR(INDEX(Movimientos!$F$2:$F$1998,MATCH(A985&amp;"ENTRADA",Movimientos!$R$2:$R$1998,0)),"-")</f>
        <v>-</v>
      </c>
      <c r="F985" s="2" t="str">
        <f>IFERROR(INDEX(Movimientos!$G$2:$G$1998,MATCH(A985&amp;"ENTRADA",Movimientos!$R$2:$R$1998,0)),"-")</f>
        <v>-</v>
      </c>
      <c r="G985" s="2" t="str">
        <f>IFERROR(INDEX(Movimientos!$L$2:$L$1998,MATCH(A985&amp;"ENTRADA",Movimientos!$R$2:$R$1998,0)),"-")</f>
        <v>-</v>
      </c>
      <c r="H985" s="17" t="str">
        <f>IFERROR(IF(INDEX(Movimientos!$M$2:$M$1998,MATCH(A985&amp;"ENTRADA",Movimientos!$R$2:$R$1998,0))=0,"S/D",INDEX(Movimientos!$M$2:$M$1998,MATCH(A985&amp;"ENTRADA",Movimientos!$R$2:$R$1998,0))),"S/D")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 ht="14.25">
      <c r="A986" s="16" t="s">
        <v>3151</v>
      </c>
      <c r="B986" s="2" t="str">
        <f>IFERROR(INDEX(Movimientos!$C$2:$C$1998,MATCH(A986&amp;"ENTRADA",Movimientos!$R$2:$R$1998,0)),"-")</f>
        <v>-</v>
      </c>
      <c r="C986" s="2" t="str">
        <f>IFERROR(INDEX(Movimientos!$D$2:$D$1998,MATCH(A986&amp;"ENTRADA",Movimientos!$R$2:$R$1998,0)),"-")</f>
        <v>-</v>
      </c>
      <c r="D986" s="2" t="str">
        <f>IFERROR(INDEX(Movimientos!$E$2:$E$1998,MATCH(A986&amp;"ENTRADA",Movimientos!$R$2:$R$1998,0)),"-")</f>
        <v>-</v>
      </c>
      <c r="E986" s="2" t="str">
        <f>IFERROR(INDEX(Movimientos!$F$2:$F$1998,MATCH(A986&amp;"ENTRADA",Movimientos!$R$2:$R$1998,0)),"-")</f>
        <v>-</v>
      </c>
      <c r="F986" s="2" t="str">
        <f>IFERROR(INDEX(Movimientos!$G$2:$G$1998,MATCH(A986&amp;"ENTRADA",Movimientos!$R$2:$R$1998,0)),"-")</f>
        <v>-</v>
      </c>
      <c r="G986" s="2" t="str">
        <f>IFERROR(INDEX(Movimientos!$L$2:$L$1998,MATCH(A986&amp;"ENTRADA",Movimientos!$R$2:$R$1998,0)),"-")</f>
        <v>-</v>
      </c>
      <c r="H986" s="17" t="str">
        <f>IFERROR(IF(INDEX(Movimientos!$M$2:$M$1998,MATCH(A986&amp;"ENTRADA",Movimientos!$R$2:$R$1998,0))=0,"S/D",INDEX(Movimientos!$M$2:$M$1998,MATCH(A986&amp;"ENTRADA",Movimientos!$R$2:$R$1998,0))),"S/D")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 ht="14.25">
      <c r="A987" s="16" t="s">
        <v>3152</v>
      </c>
      <c r="B987" s="2" t="str">
        <f>IFERROR(INDEX(Movimientos!$C$2:$C$1998,MATCH(A987&amp;"ENTRADA",Movimientos!$R$2:$R$1998,0)),"-")</f>
        <v>-</v>
      </c>
      <c r="C987" s="2" t="str">
        <f>IFERROR(INDEX(Movimientos!$D$2:$D$1998,MATCH(A987&amp;"ENTRADA",Movimientos!$R$2:$R$1998,0)),"-")</f>
        <v>-</v>
      </c>
      <c r="D987" s="2" t="str">
        <f>IFERROR(INDEX(Movimientos!$E$2:$E$1998,MATCH(A987&amp;"ENTRADA",Movimientos!$R$2:$R$1998,0)),"-")</f>
        <v>-</v>
      </c>
      <c r="E987" s="2" t="str">
        <f>IFERROR(INDEX(Movimientos!$F$2:$F$1998,MATCH(A987&amp;"ENTRADA",Movimientos!$R$2:$R$1998,0)),"-")</f>
        <v>-</v>
      </c>
      <c r="F987" s="2" t="str">
        <f>IFERROR(INDEX(Movimientos!$G$2:$G$1998,MATCH(A987&amp;"ENTRADA",Movimientos!$R$2:$R$1998,0)),"-")</f>
        <v>-</v>
      </c>
      <c r="G987" s="2" t="str">
        <f>IFERROR(INDEX(Movimientos!$L$2:$L$1998,MATCH(A987&amp;"ENTRADA",Movimientos!$R$2:$R$1998,0)),"-")</f>
        <v>-</v>
      </c>
      <c r="H987" s="17" t="str">
        <f>IFERROR(IF(INDEX(Movimientos!$M$2:$M$1998,MATCH(A987&amp;"ENTRADA",Movimientos!$R$2:$R$1998,0))=0,"S/D",INDEX(Movimientos!$M$2:$M$1998,MATCH(A987&amp;"ENTRADA",Movimientos!$R$2:$R$1998,0))),"S/D")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 ht="14.25">
      <c r="A988" s="16" t="s">
        <v>3153</v>
      </c>
      <c r="B988" s="2" t="str">
        <f>IFERROR(INDEX(Movimientos!$C$2:$C$1998,MATCH(A988&amp;"ENTRADA",Movimientos!$R$2:$R$1998,0)),"-")</f>
        <v>-</v>
      </c>
      <c r="C988" s="2" t="str">
        <f>IFERROR(INDEX(Movimientos!$D$2:$D$1998,MATCH(A988&amp;"ENTRADA",Movimientos!$R$2:$R$1998,0)),"-")</f>
        <v>-</v>
      </c>
      <c r="D988" s="2" t="str">
        <f>IFERROR(INDEX(Movimientos!$E$2:$E$1998,MATCH(A988&amp;"ENTRADA",Movimientos!$R$2:$R$1998,0)),"-")</f>
        <v>-</v>
      </c>
      <c r="E988" s="2" t="str">
        <f>IFERROR(INDEX(Movimientos!$F$2:$F$1998,MATCH(A988&amp;"ENTRADA",Movimientos!$R$2:$R$1998,0)),"-")</f>
        <v>-</v>
      </c>
      <c r="F988" s="2" t="str">
        <f>IFERROR(INDEX(Movimientos!$G$2:$G$1998,MATCH(A988&amp;"ENTRADA",Movimientos!$R$2:$R$1998,0)),"-")</f>
        <v>-</v>
      </c>
      <c r="G988" s="2" t="str">
        <f>IFERROR(INDEX(Movimientos!$L$2:$L$1998,MATCH(A988&amp;"ENTRADA",Movimientos!$R$2:$R$1998,0)),"-")</f>
        <v>-</v>
      </c>
      <c r="H988" s="17" t="str">
        <f>IFERROR(IF(INDEX(Movimientos!$M$2:$M$1998,MATCH(A988&amp;"ENTRADA",Movimientos!$R$2:$R$1998,0))=0,"S/D",INDEX(Movimientos!$M$2:$M$1998,MATCH(A988&amp;"ENTRADA",Movimientos!$R$2:$R$1998,0))),"S/D")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 ht="14.25">
      <c r="A989" s="16" t="s">
        <v>3154</v>
      </c>
      <c r="B989" s="2" t="str">
        <f>IFERROR(INDEX(Movimientos!$C$2:$C$1998,MATCH(A989&amp;"ENTRADA",Movimientos!$R$2:$R$1998,0)),"-")</f>
        <v>-</v>
      </c>
      <c r="C989" s="2" t="str">
        <f>IFERROR(INDEX(Movimientos!$D$2:$D$1998,MATCH(A989&amp;"ENTRADA",Movimientos!$R$2:$R$1998,0)),"-")</f>
        <v>-</v>
      </c>
      <c r="D989" s="2" t="str">
        <f>IFERROR(INDEX(Movimientos!$E$2:$E$1998,MATCH(A989&amp;"ENTRADA",Movimientos!$R$2:$R$1998,0)),"-")</f>
        <v>-</v>
      </c>
      <c r="E989" s="2" t="str">
        <f>IFERROR(INDEX(Movimientos!$F$2:$F$1998,MATCH(A989&amp;"ENTRADA",Movimientos!$R$2:$R$1998,0)),"-")</f>
        <v>-</v>
      </c>
      <c r="F989" s="2" t="str">
        <f>IFERROR(INDEX(Movimientos!$G$2:$G$1998,MATCH(A989&amp;"ENTRADA",Movimientos!$R$2:$R$1998,0)),"-")</f>
        <v>-</v>
      </c>
      <c r="G989" s="2" t="str">
        <f>IFERROR(INDEX(Movimientos!$L$2:$L$1998,MATCH(A989&amp;"ENTRADA",Movimientos!$R$2:$R$1998,0)),"-")</f>
        <v>-</v>
      </c>
      <c r="H989" s="17" t="str">
        <f>IFERROR(IF(INDEX(Movimientos!$M$2:$M$1998,MATCH(A989&amp;"ENTRADA",Movimientos!$R$2:$R$1998,0))=0,"S/D",INDEX(Movimientos!$M$2:$M$1998,MATCH(A989&amp;"ENTRADA",Movimientos!$R$2:$R$1998,0))),"S/D")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 ht="14.25">
      <c r="A990" s="16" t="s">
        <v>3155</v>
      </c>
      <c r="B990" s="2" t="str">
        <f>IFERROR(INDEX(Movimientos!$C$2:$C$1998,MATCH(A990&amp;"ENTRADA",Movimientos!$R$2:$R$1998,0)),"-")</f>
        <v>-</v>
      </c>
      <c r="C990" s="2" t="str">
        <f>IFERROR(INDEX(Movimientos!$D$2:$D$1998,MATCH(A990&amp;"ENTRADA",Movimientos!$R$2:$R$1998,0)),"-")</f>
        <v>-</v>
      </c>
      <c r="D990" s="2" t="str">
        <f>IFERROR(INDEX(Movimientos!$E$2:$E$1998,MATCH(A990&amp;"ENTRADA",Movimientos!$R$2:$R$1998,0)),"-")</f>
        <v>-</v>
      </c>
      <c r="E990" s="2" t="str">
        <f>IFERROR(INDEX(Movimientos!$F$2:$F$1998,MATCH(A990&amp;"ENTRADA",Movimientos!$R$2:$R$1998,0)),"-")</f>
        <v>-</v>
      </c>
      <c r="F990" s="2" t="str">
        <f>IFERROR(INDEX(Movimientos!$G$2:$G$1998,MATCH(A990&amp;"ENTRADA",Movimientos!$R$2:$R$1998,0)),"-")</f>
        <v>-</v>
      </c>
      <c r="G990" s="2" t="str">
        <f>IFERROR(INDEX(Movimientos!$L$2:$L$1998,MATCH(A990&amp;"ENTRADA",Movimientos!$R$2:$R$1998,0)),"-")</f>
        <v>-</v>
      </c>
      <c r="H990" s="17" t="str">
        <f>IFERROR(IF(INDEX(Movimientos!$M$2:$M$1998,MATCH(A990&amp;"ENTRADA",Movimientos!$R$2:$R$1998,0))=0,"S/D",INDEX(Movimientos!$M$2:$M$1998,MATCH(A990&amp;"ENTRADA",Movimientos!$R$2:$R$1998,0))),"S/D")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 ht="14.25">
      <c r="A991" s="16" t="s">
        <v>3156</v>
      </c>
      <c r="B991" s="2" t="str">
        <f>IFERROR(INDEX(Movimientos!$C$2:$C$1998,MATCH(A991&amp;"ENTRADA",Movimientos!$R$2:$R$1998,0)),"-")</f>
        <v>-</v>
      </c>
      <c r="C991" s="2" t="str">
        <f>IFERROR(INDEX(Movimientos!$D$2:$D$1998,MATCH(A991&amp;"ENTRADA",Movimientos!$R$2:$R$1998,0)),"-")</f>
        <v>-</v>
      </c>
      <c r="D991" s="2" t="str">
        <f>IFERROR(INDEX(Movimientos!$E$2:$E$1998,MATCH(A991&amp;"ENTRADA",Movimientos!$R$2:$R$1998,0)),"-")</f>
        <v>-</v>
      </c>
      <c r="E991" s="2" t="str">
        <f>IFERROR(INDEX(Movimientos!$F$2:$F$1998,MATCH(A991&amp;"ENTRADA",Movimientos!$R$2:$R$1998,0)),"-")</f>
        <v>-</v>
      </c>
      <c r="F991" s="2" t="str">
        <f>IFERROR(INDEX(Movimientos!$G$2:$G$1998,MATCH(A991&amp;"ENTRADA",Movimientos!$R$2:$R$1998,0)),"-")</f>
        <v>-</v>
      </c>
      <c r="G991" s="2" t="str">
        <f>IFERROR(INDEX(Movimientos!$L$2:$L$1998,MATCH(A991&amp;"ENTRADA",Movimientos!$R$2:$R$1998,0)),"-")</f>
        <v>-</v>
      </c>
      <c r="H991" s="17" t="str">
        <f>IFERROR(IF(INDEX(Movimientos!$M$2:$M$1998,MATCH(A991&amp;"ENTRADA",Movimientos!$R$2:$R$1998,0))=0,"S/D",INDEX(Movimientos!$M$2:$M$1998,MATCH(A991&amp;"ENTRADA",Movimientos!$R$2:$R$1998,0))),"S/D")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 ht="14.25">
      <c r="A992" s="16" t="s">
        <v>3157</v>
      </c>
      <c r="B992" s="2" t="str">
        <f>IFERROR(INDEX(Movimientos!$C$2:$C$1998,MATCH(A992&amp;"ENTRADA",Movimientos!$R$2:$R$1998,0)),"-")</f>
        <v>-</v>
      </c>
      <c r="C992" s="2" t="str">
        <f>IFERROR(INDEX(Movimientos!$D$2:$D$1998,MATCH(A992&amp;"ENTRADA",Movimientos!$R$2:$R$1998,0)),"-")</f>
        <v>-</v>
      </c>
      <c r="D992" s="2" t="str">
        <f>IFERROR(INDEX(Movimientos!$E$2:$E$1998,MATCH(A992&amp;"ENTRADA",Movimientos!$R$2:$R$1998,0)),"-")</f>
        <v>-</v>
      </c>
      <c r="E992" s="2" t="str">
        <f>IFERROR(INDEX(Movimientos!$F$2:$F$1998,MATCH(A992&amp;"ENTRADA",Movimientos!$R$2:$R$1998,0)),"-")</f>
        <v>-</v>
      </c>
      <c r="F992" s="2" t="str">
        <f>IFERROR(INDEX(Movimientos!$G$2:$G$1998,MATCH(A992&amp;"ENTRADA",Movimientos!$R$2:$R$1998,0)),"-")</f>
        <v>-</v>
      </c>
      <c r="G992" s="2" t="str">
        <f>IFERROR(INDEX(Movimientos!$L$2:$L$1998,MATCH(A992&amp;"ENTRADA",Movimientos!$R$2:$R$1998,0)),"-")</f>
        <v>-</v>
      </c>
      <c r="H992" s="17" t="str">
        <f>IFERROR(IF(INDEX(Movimientos!$M$2:$M$1998,MATCH(A992&amp;"ENTRADA",Movimientos!$R$2:$R$1998,0))=0,"S/D",INDEX(Movimientos!$M$2:$M$1998,MATCH(A992&amp;"ENTRADA",Movimientos!$R$2:$R$1998,0))),"S/D")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 ht="14.25">
      <c r="A993" s="16" t="s">
        <v>3158</v>
      </c>
      <c r="B993" s="2" t="str">
        <f>IFERROR(INDEX(Movimientos!$C$2:$C$1998,MATCH(A993&amp;"ENTRADA",Movimientos!$R$2:$R$1998,0)),"-")</f>
        <v>-</v>
      </c>
      <c r="C993" s="2" t="str">
        <f>IFERROR(INDEX(Movimientos!$D$2:$D$1998,MATCH(A993&amp;"ENTRADA",Movimientos!$R$2:$R$1998,0)),"-")</f>
        <v>-</v>
      </c>
      <c r="D993" s="2" t="str">
        <f>IFERROR(INDEX(Movimientos!$E$2:$E$1998,MATCH(A993&amp;"ENTRADA",Movimientos!$R$2:$R$1998,0)),"-")</f>
        <v>-</v>
      </c>
      <c r="E993" s="2" t="str">
        <f>IFERROR(INDEX(Movimientos!$F$2:$F$1998,MATCH(A993&amp;"ENTRADA",Movimientos!$R$2:$R$1998,0)),"-")</f>
        <v>-</v>
      </c>
      <c r="F993" s="2" t="str">
        <f>IFERROR(INDEX(Movimientos!$G$2:$G$1998,MATCH(A993&amp;"ENTRADA",Movimientos!$R$2:$R$1998,0)),"-")</f>
        <v>-</v>
      </c>
      <c r="G993" s="2" t="str">
        <f>IFERROR(INDEX(Movimientos!$L$2:$L$1998,MATCH(A993&amp;"ENTRADA",Movimientos!$R$2:$R$1998,0)),"-")</f>
        <v>-</v>
      </c>
      <c r="H993" s="17" t="str">
        <f>IFERROR(IF(INDEX(Movimientos!$M$2:$M$1998,MATCH(A993&amp;"ENTRADA",Movimientos!$R$2:$R$1998,0))=0,"S/D",INDEX(Movimientos!$M$2:$M$1998,MATCH(A993&amp;"ENTRADA",Movimientos!$R$2:$R$1998,0))),"S/D")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 ht="14.25">
      <c r="A994" s="16" t="s">
        <v>3159</v>
      </c>
      <c r="B994" s="2" t="str">
        <f>IFERROR(INDEX(Movimientos!$C$2:$C$1998,MATCH(A994&amp;"ENTRADA",Movimientos!$R$2:$R$1998,0)),"-")</f>
        <v>-</v>
      </c>
      <c r="C994" s="2" t="str">
        <f>IFERROR(INDEX(Movimientos!$D$2:$D$1998,MATCH(A994&amp;"ENTRADA",Movimientos!$R$2:$R$1998,0)),"-")</f>
        <v>-</v>
      </c>
      <c r="D994" s="2" t="str">
        <f>IFERROR(INDEX(Movimientos!$E$2:$E$1998,MATCH(A994&amp;"ENTRADA",Movimientos!$R$2:$R$1998,0)),"-")</f>
        <v>-</v>
      </c>
      <c r="E994" s="2" t="str">
        <f>IFERROR(INDEX(Movimientos!$F$2:$F$1998,MATCH(A994&amp;"ENTRADA",Movimientos!$R$2:$R$1998,0)),"-")</f>
        <v>-</v>
      </c>
      <c r="F994" s="2" t="str">
        <f>IFERROR(INDEX(Movimientos!$G$2:$G$1998,MATCH(A994&amp;"ENTRADA",Movimientos!$R$2:$R$1998,0)),"-")</f>
        <v>-</v>
      </c>
      <c r="G994" s="2" t="str">
        <f>IFERROR(INDEX(Movimientos!$L$2:$L$1998,MATCH(A994&amp;"ENTRADA",Movimientos!$R$2:$R$1998,0)),"-")</f>
        <v>-</v>
      </c>
      <c r="H994" s="17" t="str">
        <f>IFERROR(IF(INDEX(Movimientos!$M$2:$M$1998,MATCH(A994&amp;"ENTRADA",Movimientos!$R$2:$R$1998,0))=0,"S/D",INDEX(Movimientos!$M$2:$M$1998,MATCH(A994&amp;"ENTRADA",Movimientos!$R$2:$R$1998,0))),"S/D")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 ht="14.25">
      <c r="A995" s="16" t="s">
        <v>3160</v>
      </c>
      <c r="B995" s="2" t="str">
        <f>IFERROR(INDEX(Movimientos!$C$2:$C$1998,MATCH(A995&amp;"ENTRADA",Movimientos!$R$2:$R$1998,0)),"-")</f>
        <v>-</v>
      </c>
      <c r="C995" s="2" t="str">
        <f>IFERROR(INDEX(Movimientos!$D$2:$D$1998,MATCH(A995&amp;"ENTRADA",Movimientos!$R$2:$R$1998,0)),"-")</f>
        <v>-</v>
      </c>
      <c r="D995" s="2" t="str">
        <f>IFERROR(INDEX(Movimientos!$E$2:$E$1998,MATCH(A995&amp;"ENTRADA",Movimientos!$R$2:$R$1998,0)),"-")</f>
        <v>-</v>
      </c>
      <c r="E995" s="2" t="str">
        <f>IFERROR(INDEX(Movimientos!$F$2:$F$1998,MATCH(A995&amp;"ENTRADA",Movimientos!$R$2:$R$1998,0)),"-")</f>
        <v>-</v>
      </c>
      <c r="F995" s="2" t="str">
        <f>IFERROR(INDEX(Movimientos!$G$2:$G$1998,MATCH(A995&amp;"ENTRADA",Movimientos!$R$2:$R$1998,0)),"-")</f>
        <v>-</v>
      </c>
      <c r="G995" s="2" t="str">
        <f>IFERROR(INDEX(Movimientos!$L$2:$L$1998,MATCH(A995&amp;"ENTRADA",Movimientos!$R$2:$R$1998,0)),"-")</f>
        <v>-</v>
      </c>
      <c r="H995" s="17" t="str">
        <f>IFERROR(IF(INDEX(Movimientos!$M$2:$M$1998,MATCH(A995&amp;"ENTRADA",Movimientos!$R$2:$R$1998,0))=0,"S/D",INDEX(Movimientos!$M$2:$M$1998,MATCH(A995&amp;"ENTRADA",Movimientos!$R$2:$R$1998,0))),"S/D")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 ht="14.25">
      <c r="A996" s="16" t="s">
        <v>3161</v>
      </c>
      <c r="B996" s="2" t="str">
        <f>IFERROR(INDEX(Movimientos!$C$2:$C$1998,MATCH(A996&amp;"ENTRADA",Movimientos!$R$2:$R$1998,0)),"-")</f>
        <v>-</v>
      </c>
      <c r="C996" s="2" t="str">
        <f>IFERROR(INDEX(Movimientos!$D$2:$D$1998,MATCH(A996&amp;"ENTRADA",Movimientos!$R$2:$R$1998,0)),"-")</f>
        <v>-</v>
      </c>
      <c r="D996" s="2" t="str">
        <f>IFERROR(INDEX(Movimientos!$E$2:$E$1998,MATCH(A996&amp;"ENTRADA",Movimientos!$R$2:$R$1998,0)),"-")</f>
        <v>-</v>
      </c>
      <c r="E996" s="2" t="str">
        <f>IFERROR(INDEX(Movimientos!$F$2:$F$1998,MATCH(A996&amp;"ENTRADA",Movimientos!$R$2:$R$1998,0)),"-")</f>
        <v>-</v>
      </c>
      <c r="F996" s="2" t="str">
        <f>IFERROR(INDEX(Movimientos!$G$2:$G$1998,MATCH(A996&amp;"ENTRADA",Movimientos!$R$2:$R$1998,0)),"-")</f>
        <v>-</v>
      </c>
      <c r="G996" s="2" t="str">
        <f>IFERROR(INDEX(Movimientos!$L$2:$L$1998,MATCH(A996&amp;"ENTRADA",Movimientos!$R$2:$R$1998,0)),"-")</f>
        <v>-</v>
      </c>
      <c r="H996" s="17" t="str">
        <f>IFERROR(IF(INDEX(Movimientos!$M$2:$M$1998,MATCH(A996&amp;"ENTRADA",Movimientos!$R$2:$R$1998,0))=0,"S/D",INDEX(Movimientos!$M$2:$M$1998,MATCH(A996&amp;"ENTRADA",Movimientos!$R$2:$R$1998,0))),"S/D")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1">
      <formula>K2="OK"</formula>
    </cfRule>
    <cfRule type="expression" dxfId="4" priority="2">
      <formula>K2="PRÓXIMO A VENCER"</formula>
    </cfRule>
    <cfRule type="expression" dxfId="3" priority="3">
      <formula>K2="SIN STOCK"</formula>
    </cfRule>
    <cfRule type="expression" dxfId="2" priority="4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0" activePane="bottomLeft" state="frozen"/>
      <selection pane="bottomLeft" activeCell="B39" sqref="B39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5.5">
      <c r="A1" s="18" t="s">
        <v>2181</v>
      </c>
      <c r="B1" s="18" t="s">
        <v>3162</v>
      </c>
      <c r="C1" s="18" t="s">
        <v>4</v>
      </c>
      <c r="D1" s="18" t="s">
        <v>5</v>
      </c>
      <c r="E1" s="18" t="s">
        <v>11</v>
      </c>
      <c r="F1" s="18" t="s">
        <v>3163</v>
      </c>
      <c r="G1" s="18" t="s">
        <v>3164</v>
      </c>
      <c r="H1" s="18" t="s">
        <v>3165</v>
      </c>
    </row>
    <row r="2" spans="1:8">
      <c r="A2" s="7" t="s">
        <v>22</v>
      </c>
      <c r="B2" s="3" t="str">
        <f>IF(A2="","",IFERROR(INDEX(Movimientos!$D$2:$D$1998,MATCH(A2&amp;"ENTRADA",Movimientos!$S$2:$S$1998,0)),"-"))</f>
        <v>CURRY CL</v>
      </c>
      <c r="C2" s="3" t="str">
        <f>IF(A2="","",IFERROR(INDEX(Movimientos!$E$2:$E$1998,MATCH(A2&amp;"ENTRADA",Movimientos!$S$2:$S$1998,0)),"-"))</f>
        <v>Semilla</v>
      </c>
      <c r="D2" s="3" t="str">
        <f>IF(A2="","",IFERROR(INDEX(Movimientos!$F$2:$F$1998,MATCH(A2&amp;"ENTRADA",Movimientos!$S$2:$S$1998,0)),"-"))</f>
        <v>Colza</v>
      </c>
      <c r="E2" s="3" t="str">
        <f>IF(A2="","",IFERROR(INDEX(Movimientos!$L$2:$L$1998,MATCH(A2&amp;"ENTRADA",Movimientos!$S$2:$S$1998,0)),"-"))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IF(A3="","",IFERROR(INDEX(Movimientos!$D$2:$D$1998,MATCH(A3&amp;"ENTRADA",Movimientos!$S$2:$S$1998,0)),"-"))</f>
        <v xml:space="preserve">Clopyralid 12% + Halauxyfen methyl 0,51% </v>
      </c>
      <c r="C3" s="3" t="str">
        <f>IF(A3="","",IFERROR(INDEX(Movimientos!$E$2:$E$1998,MATCH(A3&amp;"ENTRADA",Movimientos!$S$2:$S$1998,0)),"-"))</f>
        <v>Herbicida</v>
      </c>
      <c r="D3" s="3" t="str">
        <f>IF(A3="","",IFERROR(INDEX(Movimientos!$F$2:$F$1998,MATCH(A3&amp;"ENTRADA",Movimientos!$S$2:$S$1998,0)),"-"))</f>
        <v>Postemergente</v>
      </c>
      <c r="E3" s="3" t="str">
        <f>IF(A3="","",IFERROR(INDEX(Movimientos!$L$2:$L$1998,MATCH(A3&amp;"ENTRADA",Movimientos!$S$2:$S$1998,0)),"-"))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IF(A4="","",IFERROR(INDEX(Movimientos!$D$2:$D$1998,MATCH(A4&amp;"ENTRADA",Movimientos!$S$2:$S$1998,0)),"-"))</f>
        <v>Clopyralid sal monoetanolamina 40.9%</v>
      </c>
      <c r="C4" s="3" t="str">
        <f>IF(A4="","",IFERROR(INDEX(Movimientos!$E$2:$E$1998,MATCH(A4&amp;"ENTRADA",Movimientos!$S$2:$S$1998,0)),"-"))</f>
        <v>Herbicida</v>
      </c>
      <c r="D4" s="3" t="str">
        <f>IF(A4="","",IFERROR(INDEX(Movimientos!$F$2:$F$1998,MATCH(A4&amp;"ENTRADA",Movimientos!$S$2:$S$1998,0)),"-"))</f>
        <v>Postemergente</v>
      </c>
      <c r="E4" s="3" t="str">
        <f>IF(A4="","",IFERROR(INDEX(Movimientos!$L$2:$L$1998,MATCH(A4&amp;"ENTRADA",Movimientos!$S$2:$S$1998,0)),"-"))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IF(A5="","",IFERROR(INDEX(Movimientos!$D$2:$D$1998,MATCH(A5&amp;"ENTRADA",Movimientos!$S$2:$S$1998,0)),"-"))</f>
        <v>Flumetsulam 11,35%</v>
      </c>
      <c r="C5" s="3" t="str">
        <f>IF(A5="","",IFERROR(INDEX(Movimientos!$E$2:$E$1998,MATCH(A5&amp;"ENTRADA",Movimientos!$S$2:$S$1998,0)),"-"))</f>
        <v>Herbicida</v>
      </c>
      <c r="D5" s="3" t="str">
        <f>IF(A5="","",IFERROR(INDEX(Movimientos!$F$2:$F$1998,MATCH(A5&amp;"ENTRADA",Movimientos!$S$2:$S$1998,0)),"-"))</f>
        <v>Preemergente</v>
      </c>
      <c r="E5" s="3" t="str">
        <f>IF(A5="","",IFERROR(INDEX(Movimientos!$L$2:$L$1998,MATCH(A5&amp;"ENTRADA",Movimientos!$S$2:$S$1998,0)),"-"))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2090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IF(A6="","",IFERROR(INDEX(Movimientos!$D$2:$D$1998,MATCH(A6&amp;"ENTRADA",Movimientos!$S$2:$S$1998,0)),"-"))</f>
        <v>Picloram 24,9%</v>
      </c>
      <c r="C6" s="3" t="str">
        <f>IF(A6="","",IFERROR(INDEX(Movimientos!$E$2:$E$1998,MATCH(A6&amp;"ENTRADA",Movimientos!$S$2:$S$1998,0)),"-"))</f>
        <v>Herbicida</v>
      </c>
      <c r="D6" s="3" t="str">
        <f>IF(A6="","",IFERROR(INDEX(Movimientos!$F$2:$F$1998,MATCH(A6&amp;"ENTRADA",Movimientos!$S$2:$S$1998,0)),"-"))</f>
        <v>Postemergente</v>
      </c>
      <c r="E6" s="3" t="str">
        <f>IF(A6="","",IFERROR(INDEX(Movimientos!$L$2:$L$1998,MATCH(A6&amp;"ENTRADA",Movimientos!$S$2:$S$1998,0)),"-"))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IF(A7="","",IFERROR(INDEX(Movimientos!$D$2:$D$1998,MATCH(A7&amp;"ENTRADA",Movimientos!$S$2:$S$1998,0)),"-"))</f>
        <v>Halauxifen metil 3.3% + Aminopyralid 2.7% + Metsulfuron metil 20%</v>
      </c>
      <c r="C7" s="3" t="str">
        <f>IF(A7="","",IFERROR(INDEX(Movimientos!$E$2:$E$1998,MATCH(A7&amp;"ENTRADA",Movimientos!$S$2:$S$1998,0)),"-"))</f>
        <v>Herbicida</v>
      </c>
      <c r="D7" s="3" t="str">
        <f>IF(A7="","",IFERROR(INDEX(Movimientos!$F$2:$F$1998,MATCH(A7&amp;"ENTRADA",Movimientos!$S$2:$S$1998,0)),"-"))</f>
        <v>Postemergente</v>
      </c>
      <c r="E7" s="3" t="str">
        <f>IF(A7="","",IFERROR(INDEX(Movimientos!$L$2:$L$1998,MATCH(A7&amp;"ENTRADA",Movimientos!$S$2:$S$1998,0)),"-"))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IF(A8="","",IFERROR(INDEX(Movimientos!$D$2:$D$1998,MATCH(A8&amp;"ENTRADA",Movimientos!$S$2:$S$1998,0)),"-"))</f>
        <v>2,4-Db-Butilo 93.1%</v>
      </c>
      <c r="C8" s="3" t="str">
        <f>IF(A8="","",IFERROR(INDEX(Movimientos!$E$2:$E$1998,MATCH(A8&amp;"ENTRADA",Movimientos!$S$2:$S$1998,0)),"-"))</f>
        <v>Herbicida</v>
      </c>
      <c r="D8" s="3" t="str">
        <f>IF(A8="","",IFERROR(INDEX(Movimientos!$F$2:$F$1998,MATCH(A8&amp;"ENTRADA",Movimientos!$S$2:$S$1998,0)),"-"))</f>
        <v>Postemergente</v>
      </c>
      <c r="E8" s="3" t="str">
        <f>IF(A8="","",IFERROR(INDEX(Movimientos!$L$2:$L$1998,MATCH(A8&amp;"ENTRADA",Movimientos!$S$2:$S$1998,0)),"-"))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IF(A9="","",IFERROR(INDEX(Movimientos!$D$2:$D$1998,MATCH(A9&amp;"ENTRADA",Movimientos!$S$2:$S$1998,0)),"-"))</f>
        <v>2,4 D Acido 27.2%</v>
      </c>
      <c r="C9" s="3" t="str">
        <f>IF(A9="","",IFERROR(INDEX(Movimientos!$E$2:$E$1998,MATCH(A9&amp;"ENTRADA",Movimientos!$S$2:$S$1998,0)),"-"))</f>
        <v>Herbicida</v>
      </c>
      <c r="D9" s="3" t="str">
        <f>IF(A9="","",IFERROR(INDEX(Movimientos!$F$2:$F$1998,MATCH(A9&amp;"ENTRADA",Movimientos!$S$2:$S$1998,0)),"-"))</f>
        <v>Postemergente</v>
      </c>
      <c r="E9" s="3" t="str">
        <f>IF(A9="","",IFERROR(INDEX(Movimientos!$L$2:$L$1998,MATCH(A9&amp;"ENTRADA",Movimientos!$S$2:$S$1998,0)),"-"))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IF(A10="","",IFERROR(INDEX(Movimientos!$D$2:$D$1998,MATCH(A10&amp;"ENTRADA",Movimientos!$S$2:$S$1998,0)),"-"))</f>
        <v>Silobolsa 9 pies</v>
      </c>
      <c r="C10" s="3" t="str">
        <f>IF(A10="","",IFERROR(INDEX(Movimientos!$E$2:$E$1998,MATCH(A10&amp;"ENTRADA",Movimientos!$S$2:$S$1998,0)),"-"))</f>
        <v>Silobolsa</v>
      </c>
      <c r="D10" s="3">
        <f>IF(A10="","",IFERROR(INDEX(Movimientos!$F$2:$F$1998,MATCH(A10&amp;"ENTRADA",Movimientos!$S$2:$S$1998,0)),"-"))</f>
        <v>0</v>
      </c>
      <c r="E10" s="3" t="str">
        <f>IF(A10="","",IFERROR(INDEX(Movimientos!$L$2:$L$1998,MATCH(A10&amp;"ENTRADA",Movimientos!$S$2:$S$1998,0)),"-"))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10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IF(A11="","",IFERROR(INDEX(Movimientos!$D$2:$D$1998,MATCH(A11&amp;"ENTRADA",Movimientos!$S$2:$S$1998,0)),"-"))</f>
        <v>Estanzuela 284</v>
      </c>
      <c r="C11" s="3" t="str">
        <f>IF(A11="","",IFERROR(INDEX(Movimientos!$E$2:$E$1998,MATCH(A11&amp;"ENTRADA",Movimientos!$S$2:$S$1998,0)),"-"))</f>
        <v>Semilla</v>
      </c>
      <c r="D11" s="3" t="str">
        <f>IF(A11="","",IFERROR(INDEX(Movimientos!$F$2:$F$1998,MATCH(A11&amp;"ENTRADA",Movimientos!$S$2:$S$1998,0)),"-"))</f>
        <v>Raigrás</v>
      </c>
      <c r="E11" s="3" t="str">
        <f>IF(A11="","",IFERROR(INDEX(Movimientos!$L$2:$L$1998,MATCH(A11&amp;"ENTRADA",Movimientos!$S$2:$S$1998,0)),"-"))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6425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IF(A12="","",IFERROR(INDEX(Movimientos!$D$2:$D$1998,MATCH(A12&amp;"ENTRADA",Movimientos!$S$2:$S$1998,0)),"-"))</f>
        <v>Fluroxypyr Meptil 45,52%</v>
      </c>
      <c r="C12" s="3" t="str">
        <f>IF(A12="","",IFERROR(INDEX(Movimientos!$E$2:$E$1998,MATCH(A12&amp;"ENTRADA",Movimientos!$S$2:$S$1998,0)),"-"))</f>
        <v>Herbicida</v>
      </c>
      <c r="D12" s="3" t="str">
        <f>IF(A12="","",IFERROR(INDEX(Movimientos!$F$2:$F$1998,MATCH(A12&amp;"ENTRADA",Movimientos!$S$2:$S$1998,0)),"-"))</f>
        <v>Postemergente</v>
      </c>
      <c r="E12" s="3" t="str">
        <f>IF(A12="","",IFERROR(INDEX(Movimientos!$L$2:$L$1998,MATCH(A12&amp;"ENTRADA",Movimientos!$S$2:$S$1998,0)),"-"))</f>
        <v>L</v>
      </c>
      <c r="F12" s="8">
        <f>IF(A12="","",COUNTIFS(Stock_por_Lote!$B:$B,A12,Stock_por_Lote!$J:$J,"&gt;0"))</f>
        <v>1</v>
      </c>
      <c r="G12" s="9">
        <f>IF(A12="","",SUMIFS(Movimientos!$K:$K,Movimientos!$C:$C,A12))</f>
        <v>280</v>
      </c>
      <c r="H12" s="14">
        <f>IF(A12="","",IFERROR(IF(_xlfn.MINIFS(Stock_por_Lote!$H:$H,Stock_por_Lote!$B:$B,A12,Stock_por_Lote!$J:$J,"&gt;0")=0,"S/D",_xlfn.MINIFS(Stock_por_Lote!$H:$H,Stock_por_Lote!$B:$B,A12,Stock_por_Lote!$J:$J,"&gt;0")),"S/D"))</f>
        <v>46509</v>
      </c>
    </row>
    <row r="13" spans="1:8">
      <c r="A13" t="s">
        <v>89</v>
      </c>
      <c r="B13" s="3" t="str">
        <f>IF(A13="","",IFERROR(INDEX(Movimientos!$D$2:$D$1998,MATCH(A13&amp;"ENTRADA",Movimientos!$S$2:$S$1998,0)),"-"))</f>
        <v>Fluroxypyr meptyl 34,91% + Halauxyfen methyl 1.64% + Cloquintocet mexyl 1.57%</v>
      </c>
      <c r="C13" s="3" t="str">
        <f>IF(A13="","",IFERROR(INDEX(Movimientos!$E$2:$E$1998,MATCH(A13&amp;"ENTRADA",Movimientos!$S$2:$S$1998,0)),"-"))</f>
        <v>Herbicida</v>
      </c>
      <c r="D13" s="3" t="str">
        <f>IF(A13="","",IFERROR(INDEX(Movimientos!$F$2:$F$1998,MATCH(A13&amp;"ENTRADA",Movimientos!$S$2:$S$1998,0)),"-"))</f>
        <v>Postemergente</v>
      </c>
      <c r="E13" s="3" t="str">
        <f>IF(A13="","",IFERROR(INDEX(Movimientos!$L$2:$L$1998,MATCH(A13&amp;"ENTRADA",Movimientos!$S$2:$S$1998,0)),"-"))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120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46397</v>
      </c>
    </row>
    <row r="14" spans="1:8">
      <c r="A14" t="s">
        <v>111</v>
      </c>
      <c r="B14" s="3" t="str">
        <f>IF(A14="","",IFERROR(INDEX(Movimientos!$D$2:$D$1998,MATCH(A14&amp;"ENTRADA",Movimientos!$S$2:$S$1998,0)),"-"))</f>
        <v>APOLO CL</v>
      </c>
      <c r="C14" s="3" t="str">
        <f>IF(A14="","",IFERROR(INDEX(Movimientos!$E$2:$E$1998,MATCH(A14&amp;"ENTRADA",Movimientos!$S$2:$S$1998,0)),"-"))</f>
        <v>Semilla</v>
      </c>
      <c r="D14" s="3" t="str">
        <f>IF(A14="","",IFERROR(INDEX(Movimientos!$F$2:$F$1998,MATCH(A14&amp;"ENTRADA",Movimientos!$S$2:$S$1998,0)),"-"))</f>
        <v>Colza</v>
      </c>
      <c r="E14" s="3" t="str">
        <f>IF(A14="","",IFERROR(INDEX(Movimientos!$L$2:$L$1998,MATCH(A14&amp;"ENTRADA",Movimientos!$S$2:$S$1998,0)),"-"))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IF(A15="","",IFERROR(INDEX(Movimientos!$D$2:$D$1998,MATCH(A15&amp;"ENTRADA",Movimientos!$S$2:$S$1998,0)),"-"))</f>
        <v>HYOLA 575 CL</v>
      </c>
      <c r="C15" s="3" t="str">
        <f>IF(A15="","",IFERROR(INDEX(Movimientos!$E$2:$E$1998,MATCH(A15&amp;"ENTRADA",Movimientos!$S$2:$S$1998,0)),"-"))</f>
        <v>Semilla</v>
      </c>
      <c r="D15" s="3" t="str">
        <f>IF(A15="","",IFERROR(INDEX(Movimientos!$F$2:$F$1998,MATCH(A15&amp;"ENTRADA",Movimientos!$S$2:$S$1998,0)),"-"))</f>
        <v>Colza</v>
      </c>
      <c r="E15" s="3" t="str">
        <f>IF(A15="","",IFERROR(INDEX(Movimientos!$L$2:$L$1998,MATCH(A15&amp;"ENTRADA",Movimientos!$S$2:$S$1998,0)),"-"))</f>
        <v>kg</v>
      </c>
      <c r="F15" s="8">
        <f>IF(A15="","",COUNTIFS(Stock_por_Lote!$B:$B,A15,Stock_por_Lote!$J:$J,"&gt;0"))</f>
        <v>1</v>
      </c>
      <c r="G15" s="9">
        <f>IF(A15="","",SUMIFS(Movimientos!$K:$K,Movimientos!$C:$C,A15))</f>
        <v>1860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IF(A16="","",IFERROR(INDEX(Movimientos!$D$2:$D$1998,MATCH(A16&amp;"ENTRADA",Movimientos!$S$2:$S$1998,0)),"-"))</f>
        <v>Glifosato Sal DMA 608 g/L. Equivalente en glifosato 480 g/L</v>
      </c>
      <c r="C16" s="3" t="str">
        <f>IF(A16="","",IFERROR(INDEX(Movimientos!$E$2:$E$1998,MATCH(A16&amp;"ENTRADA",Movimientos!$S$2:$S$1998,0)),"-"))</f>
        <v>Herbicida</v>
      </c>
      <c r="D16" s="3" t="str">
        <f>IF(A16="","",IFERROR(INDEX(Movimientos!$F$2:$F$1998,MATCH(A16&amp;"ENTRADA",Movimientos!$S$2:$S$1998,0)),"-"))</f>
        <v>Postemergente</v>
      </c>
      <c r="E16" s="3" t="str">
        <f>IF(A16="","",IFERROR(INDEX(Movimientos!$L$2:$L$1998,MATCH(A16&amp;"ENTRADA",Movimientos!$S$2:$S$1998,0)),"-"))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70620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IF(A17="","",IFERROR(INDEX(Movimientos!$D$2:$D$1998,MATCH(A17&amp;"ENTRADA",Movimientos!$S$2:$S$1998,0)),"-"))</f>
        <v>Clethodim 240 g/L</v>
      </c>
      <c r="C17" s="3" t="str">
        <f>IF(A17="","",IFERROR(INDEX(Movimientos!$E$2:$E$1998,MATCH(A17&amp;"ENTRADA",Movimientos!$S$2:$S$1998,0)),"-"))</f>
        <v>Herbicida</v>
      </c>
      <c r="D17" s="3" t="str">
        <f>IF(A17="","",IFERROR(INDEX(Movimientos!$F$2:$F$1998,MATCH(A17&amp;"ENTRADA",Movimientos!$S$2:$S$1998,0)),"-"))</f>
        <v>Postemergente</v>
      </c>
      <c r="E17" s="3" t="str">
        <f>IF(A17="","",IFERROR(INDEX(Movimientos!$L$2:$L$1998,MATCH(A17&amp;"ENTRADA",Movimientos!$S$2:$S$1998,0)),"-"))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16920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IF(A18="","",IFERROR(INDEX(Movimientos!$D$2:$D$1998,MATCH(A18&amp;"ENTRADA",Movimientos!$S$2:$S$1998,0)),"-"))</f>
        <v>ALCOHOL LINEAL ETOXILADO 32.7%</v>
      </c>
      <c r="C18" s="3" t="str">
        <f>IF(A18="","",IFERROR(INDEX(Movimientos!$E$2:$E$1998,MATCH(A18&amp;"ENTRADA",Movimientos!$S$2:$S$1998,0)),"-"))</f>
        <v>Coadyuvante</v>
      </c>
      <c r="D18" s="3">
        <f>IF(A18="","",IFERROR(INDEX(Movimientos!$F$2:$F$1998,MATCH(A18&amp;"ENTRADA",Movimientos!$S$2:$S$1998,0)),"-"))</f>
        <v>0</v>
      </c>
      <c r="E18" s="3" t="str">
        <f>IF(A18="","",IFERROR(INDEX(Movimientos!$L$2:$L$1998,MATCH(A18&amp;"ENTRADA",Movimientos!$S$2:$S$1998,0)),"-"))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5700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IF(A19="","",IFERROR(INDEX(Movimientos!$D$2:$D$1998,MATCH(A19&amp;"ENTRADA",Movimientos!$S$2:$S$1998,0)),"-"))</f>
        <v>ACIDO FOSFORICO 23 g</v>
      </c>
      <c r="C19" s="3" t="str">
        <f>IF(A19="","",IFERROR(INDEX(Movimientos!$E$2:$E$1998,MATCH(A19&amp;"ENTRADA",Movimientos!$S$2:$S$1998,0)),"-"))</f>
        <v>Coadyuvante</v>
      </c>
      <c r="D19" s="3">
        <f>IF(A19="","",IFERROR(INDEX(Movimientos!$F$2:$F$1998,MATCH(A19&amp;"ENTRADA",Movimientos!$S$2:$S$1998,0)),"-"))</f>
        <v>0</v>
      </c>
      <c r="E19" s="3" t="str">
        <f>IF(A19="","",IFERROR(INDEX(Movimientos!$L$2:$L$1998,MATCH(A19&amp;"ENTRADA",Movimientos!$S$2:$S$1998,0)),"-"))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1140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IF(A20="","",IFERROR(INDEX(Movimientos!$D$2:$D$1998,MATCH(A20&amp;"ENTRADA",Movimientos!$S$2:$S$1998,0)),"-"))</f>
        <v>ACEITE DE SOJA 48 g</v>
      </c>
      <c r="C20" s="3" t="str">
        <f>IF(A20="","",IFERROR(INDEX(Movimientos!$E$2:$E$1998,MATCH(A20&amp;"ENTRADA",Movimientos!$S$2:$S$1998,0)),"-"))</f>
        <v>Coadyuvante</v>
      </c>
      <c r="D20" s="3">
        <f>IF(A20="","",IFERROR(INDEX(Movimientos!$F$2:$F$1998,MATCH(A20&amp;"ENTRADA",Movimientos!$S$2:$S$1998,0)),"-"))</f>
        <v>0</v>
      </c>
      <c r="E20" s="3" t="str">
        <f>IF(A20="","",IFERROR(INDEX(Movimientos!$L$2:$L$1998,MATCH(A20&amp;"ENTRADA",Movimientos!$S$2:$S$1998,0)),"-"))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IF(A21="","",IFERROR(INDEX(Movimientos!$D$2:$D$1998,MATCH(A21&amp;"ENTRADA",Movimientos!$S$2:$S$1998,0)),"-"))</f>
        <v>PINOXADEN 5 GR + CLOQUINTOCET-MEXIL 1.25 GR</v>
      </c>
      <c r="C21" s="3" t="str">
        <f>IF(A21="","",IFERROR(INDEX(Movimientos!$E$2:$E$1998,MATCH(A21&amp;"ENTRADA",Movimientos!$S$2:$S$1998,0)),"-"))</f>
        <v>Herbicida</v>
      </c>
      <c r="D21" s="3" t="str">
        <f>IF(A21="","",IFERROR(INDEX(Movimientos!$F$2:$F$1998,MATCH(A21&amp;"ENTRADA",Movimientos!$S$2:$S$1998,0)),"-"))</f>
        <v>Postemergente</v>
      </c>
      <c r="E21" s="3" t="str">
        <f>IF(A21="","",IFERROR(INDEX(Movimientos!$L$2:$L$1998,MATCH(A21&amp;"ENTRADA",Movimientos!$S$2:$S$1998,0)),"-"))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154</v>
      </c>
      <c r="B22" s="3" t="str">
        <f>IF(A22="","",IFERROR(INDEX(Movimientos!$D$2:$D$1998,MATCH(A22&amp;"ENTRADA",Movimientos!$S$2:$S$1998,0)),"-"))</f>
        <v>Nuola 300</v>
      </c>
      <c r="C22" s="3" t="str">
        <f>IF(A22="","",IFERROR(INDEX(Movimientos!$E$2:$E$1998,MATCH(A22&amp;"ENTRADA",Movimientos!$S$2:$S$1998,0)),"-"))</f>
        <v>Semilla</v>
      </c>
      <c r="D22" s="3" t="str">
        <f>IF(A22="","",IFERROR(INDEX(Movimientos!$F$2:$F$1998,MATCH(A22&amp;"ENTRADA",Movimientos!$S$2:$S$1998,0)),"-"))</f>
        <v>Colza</v>
      </c>
      <c r="E22" s="3" t="str">
        <f>IF(A22="","",IFERROR(INDEX(Movimientos!$L$2:$L$1998,MATCH(A22&amp;"ENTRADA",Movimientos!$S$2:$S$1998,0)),"-"))</f>
        <v>kg</v>
      </c>
      <c r="F22" s="8">
        <f>IF(A22="","",COUNTIFS(Stock_por_Lote!$B:$B,A22,Stock_por_Lote!$J:$J,"&gt;0"))</f>
        <v>2</v>
      </c>
      <c r="G22" s="9">
        <f>IF(A22="","",SUMIFS(Movimientos!$K:$K,Movimientos!$C:$C,A22))</f>
        <v>4800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IF(A23="","",IFERROR(INDEX(Movimientos!$D$2:$D$1998,MATCH(A23&amp;"ENTRADA",Movimientos!$S$2:$S$1998,0)),"-"))</f>
        <v>Ceres IMI</v>
      </c>
      <c r="C23" s="3" t="str">
        <f>IF(A23="","",IFERROR(INDEX(Movimientos!$E$2:$E$1998,MATCH(A23&amp;"ENTRADA",Movimientos!$S$2:$S$1998,0)),"-"))</f>
        <v>Semilla</v>
      </c>
      <c r="D23" s="3" t="str">
        <f>IF(A23="","",IFERROR(INDEX(Movimientos!$F$2:$F$1998,MATCH(A23&amp;"ENTRADA",Movimientos!$S$2:$S$1998,0)),"-"))</f>
        <v>Colza</v>
      </c>
      <c r="E23" s="3" t="str">
        <f>IF(A23="","",IFERROR(INDEX(Movimientos!$L$2:$L$1998,MATCH(A23&amp;"ENTRADA",Movimientos!$S$2:$S$1998,0)),"-"))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688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IF(A24="","",IFERROR(INDEX(Movimientos!$D$2:$D$1998,MATCH(A24&amp;"ENTRADA",Movimientos!$S$2:$S$1998,0)),"-"))</f>
        <v>Festuca Carape</v>
      </c>
      <c r="C24" s="3" t="str">
        <f>IF(A24="","",IFERROR(INDEX(Movimientos!$E$2:$E$1998,MATCH(A24&amp;"ENTRADA",Movimientos!$S$2:$S$1998,0)),"-"))</f>
        <v>Semilla</v>
      </c>
      <c r="D24" s="3" t="str">
        <f>IF(A24="","",IFERROR(INDEX(Movimientos!$F$2:$F$1998,MATCH(A24&amp;"ENTRADA",Movimientos!$S$2:$S$1998,0)),"-"))</f>
        <v>Festuca</v>
      </c>
      <c r="E24" s="3" t="str">
        <f>IF(A24="","",IFERROR(INDEX(Movimientos!$L$2:$L$1998,MATCH(A24&amp;"ENTRADA",Movimientos!$S$2:$S$1998,0)),"-"))</f>
        <v>kg</v>
      </c>
      <c r="F24" s="8">
        <f>IF(A24="","",COUNTIFS(Stock_por_Lote!$B:$B,A24,Stock_por_Lote!$J:$J,"&gt;0"))</f>
        <v>1</v>
      </c>
      <c r="G24" s="9">
        <f>IF(A24="","",SUMIFS(Movimientos!$K:$K,Movimientos!$C:$C,A24))</f>
        <v>3400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IF(A25="","",IFERROR(INDEX(Movimientos!$D$2:$D$1998,MATCH(A25&amp;"ENTRADA",Movimientos!$S$2:$S$1998,0)),"-"))</f>
        <v>Alfalfa Verdor momla 384-2n-04</v>
      </c>
      <c r="C25" s="3" t="str">
        <f>IF(A25="","",IFERROR(INDEX(Movimientos!$E$2:$E$1998,MATCH(A25&amp;"ENTRADA",Movimientos!$S$2:$S$1998,0)),"-"))</f>
        <v>Semilla</v>
      </c>
      <c r="D25" s="3" t="str">
        <f>IF(A25="","",IFERROR(INDEX(Movimientos!$F$2:$F$1998,MATCH(A25&amp;"ENTRADA",Movimientos!$S$2:$S$1998,0)),"-"))</f>
        <v>Alfalfa</v>
      </c>
      <c r="E25" s="3" t="str">
        <f>IF(A25="","",IFERROR(INDEX(Movimientos!$L$2:$L$1998,MATCH(A25&amp;"ENTRADA",Movimientos!$S$2:$S$1998,0)),"-"))</f>
        <v>kg</v>
      </c>
      <c r="F25" s="8">
        <f>IF(A25="","",COUNTIFS(Stock_por_Lote!$B:$B,A25,Stock_por_Lote!$J:$J,"&gt;0"))</f>
        <v>1</v>
      </c>
      <c r="G25" s="9">
        <f>IF(A25="","",SUMIFS(Movimientos!$K:$K,Movimientos!$C:$C,A25))</f>
        <v>375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IF(A26="","",IFERROR(INDEX(Movimientos!$D$2:$D$1998,MATCH(A26&amp;"ENTRADA",Movimientos!$S$2:$S$1998,0)),"-"))</f>
        <v xml:space="preserve">Achicora inia nova </v>
      </c>
      <c r="C26" s="3" t="str">
        <f>IF(A26="","",IFERROR(INDEX(Movimientos!$E$2:$E$1998,MATCH(A26&amp;"ENTRADA",Movimientos!$S$2:$S$1998,0)),"-"))</f>
        <v>Semilla</v>
      </c>
      <c r="D26" s="3" t="str">
        <f>IF(A26="","",IFERROR(INDEX(Movimientos!$F$2:$F$1998,MATCH(A26&amp;"ENTRADA",Movimientos!$S$2:$S$1998,0)),"-"))</f>
        <v>Achicoria</v>
      </c>
      <c r="E26" s="3" t="str">
        <f>IF(A26="","",IFERROR(INDEX(Movimientos!$L$2:$L$1998,MATCH(A26&amp;"ENTRADA",Movimientos!$S$2:$S$1998,0)),"-"))</f>
        <v>kg</v>
      </c>
      <c r="F26" s="8">
        <f>IF(A26="","",COUNTIFS(Stock_por_Lote!$B:$B,A26,Stock_por_Lote!$J:$J,"&gt;0"))</f>
        <v>1</v>
      </c>
      <c r="G26" s="9">
        <f>IF(A26="","",SUMIFS(Movimientos!$K:$K,Movimientos!$C:$C,A26))</f>
        <v>750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IF(A27="","",IFERROR(INDEX(Movimientos!$D$2:$D$1998,MATCH(A27&amp;"ENTRADA",Movimientos!$S$2:$S$1998,0)),"-"))</f>
        <v>Festuca Sortija C2</v>
      </c>
      <c r="C27" s="3" t="str">
        <f>IF(A27="","",IFERROR(INDEX(Movimientos!$E$2:$E$1998,MATCH(A27&amp;"ENTRADA",Movimientos!$S$2:$S$1998,0)),"-"))</f>
        <v>Semilla</v>
      </c>
      <c r="D27" s="3" t="str">
        <f>IF(A27="","",IFERROR(INDEX(Movimientos!$F$2:$F$1998,MATCH(A27&amp;"ENTRADA",Movimientos!$S$2:$S$1998,0)),"-"))</f>
        <v>Festuca</v>
      </c>
      <c r="E27" s="3" t="str">
        <f>IF(A27="","",IFERROR(INDEX(Movimientos!$L$2:$L$1998,MATCH(A27&amp;"ENTRADA",Movimientos!$S$2:$S$1998,0)),"-"))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6800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IF(A28="","",IFERROR(INDEX(Movimientos!$D$2:$D$1998,MATCH(A28&amp;"ENTRADA",Movimientos!$S$2:$S$1998,0)),"-"))</f>
        <v>Dactylis Drover ecotec af gram c2</v>
      </c>
      <c r="C28" s="3" t="str">
        <f>IF(A28="","",IFERROR(INDEX(Movimientos!$E$2:$E$1998,MATCH(A28&amp;"ENTRADA",Movimientos!$S$2:$S$1998,0)),"-"))</f>
        <v>Semilla</v>
      </c>
      <c r="D28" s="3" t="str">
        <f>IF(A28="","",IFERROR(INDEX(Movimientos!$F$2:$F$1998,MATCH(A28&amp;"ENTRADA",Movimientos!$S$2:$S$1998,0)),"-"))</f>
        <v>Dactylis</v>
      </c>
      <c r="E28" s="3" t="str">
        <f>IF(A28="","",IFERROR(INDEX(Movimientos!$L$2:$L$1998,MATCH(A28&amp;"ENTRADA",Movimientos!$S$2:$S$1998,0)),"-"))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975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IF(A29="","",IFERROR(INDEX(Movimientos!$D$2:$D$1998,MATCH(A29&amp;"ENTRADA",Movimientos!$S$2:$S$1998,0)),"-"))</f>
        <v>Trebol Blanco E Zapican Ecotec AF</v>
      </c>
      <c r="C29" s="3" t="str">
        <f>IF(A29="","",IFERROR(INDEX(Movimientos!$E$2:$E$1998,MATCH(A29&amp;"ENTRADA",Movimientos!$S$2:$S$1998,0)),"-"))</f>
        <v>Semilla</v>
      </c>
      <c r="D29" s="3" t="str">
        <f>IF(A29="","",IFERROR(INDEX(Movimientos!$F$2:$F$1998,MATCH(A29&amp;"ENTRADA",Movimientos!$S$2:$S$1998,0)),"-"))</f>
        <v>Trebol Blanco</v>
      </c>
      <c r="E29" s="3" t="str">
        <f>IF(A29="","",IFERROR(INDEX(Movimientos!$L$2:$L$1998,MATCH(A29&amp;"ENTRADA",Movimientos!$S$2:$S$1998,0)),"-"))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1375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IF(A30="","",IFERROR(INDEX(Movimientos!$D$2:$D$1998,MATCH(A30&amp;"ENTRADA",Movimientos!$S$2:$S$1998,0)),"-"))</f>
        <v>Trebol Rojo E116 Ecotec AF</v>
      </c>
      <c r="C30" s="3" t="str">
        <f>IF(A30="","",IFERROR(INDEX(Movimientos!$E$2:$E$1998,MATCH(A30&amp;"ENTRADA",Movimientos!$S$2:$S$1998,0)),"-"))</f>
        <v>Semilla</v>
      </c>
      <c r="D30" s="3" t="str">
        <f>IF(A30="","",IFERROR(INDEX(Movimientos!$F$2:$F$1998,MATCH(A30&amp;"ENTRADA",Movimientos!$S$2:$S$1998,0)),"-"))</f>
        <v xml:space="preserve">Trebol Rojo </v>
      </c>
      <c r="E30" s="3" t="str">
        <f>IF(A30="","",IFERROR(INDEX(Movimientos!$L$2:$L$1998,MATCH(A30&amp;"ENTRADA",Movimientos!$S$2:$S$1998,0)),"-"))</f>
        <v>kg</v>
      </c>
      <c r="F30" s="8">
        <f>IF(A30="","",COUNTIFS(Stock_por_Lote!$B:$B,A30,Stock_por_Lote!$J:$J,"&gt;0"))</f>
        <v>1</v>
      </c>
      <c r="G30" s="9">
        <f>IF(A30="","",SUMIFS(Movimientos!$K:$K,Movimientos!$C:$C,A30))</f>
        <v>450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IF(A31="","",IFERROR(INDEX(Movimientos!$D$2:$D$1998,MATCH(A31&amp;"ENTRADA",Movimientos!$S$2:$S$1998,0)),"-"))</f>
        <v>Phalaris Stockman Comb</v>
      </c>
      <c r="C31" s="3" t="str">
        <f>IF(A31="","",IFERROR(INDEX(Movimientos!$E$2:$E$1998,MATCH(A31&amp;"ENTRADA",Movimientos!$S$2:$S$1998,0)),"-"))</f>
        <v>Semilla</v>
      </c>
      <c r="D31" s="3" t="str">
        <f>IF(A31="","",IFERROR(INDEX(Movimientos!$F$2:$F$1998,MATCH(A31&amp;"ENTRADA",Movimientos!$S$2:$S$1998,0)),"-"))</f>
        <v>Phalaris</v>
      </c>
      <c r="E31" s="3" t="str">
        <f>IF(A31="","",IFERROR(INDEX(Movimientos!$L$2:$L$1998,MATCH(A31&amp;"ENTRADA",Movimientos!$S$2:$S$1998,0)),"-"))</f>
        <v>kg</v>
      </c>
      <c r="F31" s="8">
        <f>IF(A31="","",COUNTIFS(Stock_por_Lote!$B:$B,A31,Stock_por_Lote!$J:$J,"&gt;0"))</f>
        <v>1</v>
      </c>
      <c r="G31" s="9">
        <f>IF(A31="","",SUMIFS(Movimientos!$K:$K,Movimientos!$C:$C,A31))</f>
        <v>275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224</v>
      </c>
      <c r="B32" s="3" t="str">
        <f>IF(A32="","",IFERROR(INDEX(Movimientos!$D$2:$D$1998,MATCH(A32&amp;"ENTRADA",Movimientos!$S$2:$S$1998,0)),"-"))</f>
        <v>Continuum CL</v>
      </c>
      <c r="C32" s="3" t="str">
        <f>IF(A32="","",IFERROR(INDEX(Movimientos!$E$2:$E$1998,MATCH(A32&amp;"ENTRADA",Movimientos!$S$2:$S$1998,0)),"-"))</f>
        <v>Semilla</v>
      </c>
      <c r="D32" s="3">
        <f>IF(A32="","",IFERROR(INDEX(Movimientos!$F$2:$F$1998,MATCH(A32&amp;"ENTRADA",Movimientos!$S$2:$S$1998,0)),"-"))</f>
        <v>0</v>
      </c>
      <c r="E32" s="3" t="str">
        <f>IF(A32="","",IFERROR(INDEX(Movimientos!$L$2:$L$1998,MATCH(A32&amp;"ENTRADA",Movimientos!$S$2:$S$1998,0)),"-"))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3000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227</v>
      </c>
      <c r="B33" s="3" t="str">
        <f>IF(A33="","",IFERROR(INDEX(Movimientos!$D$2:$D$1998,MATCH(A33&amp;"ENTRADA",Movimientos!$S$2:$S$1998,0)),"-"))</f>
        <v>Colza Hyola Solstice cl</v>
      </c>
      <c r="C33" s="3" t="str">
        <f>IF(A33="","",IFERROR(INDEX(Movimientos!$E$2:$E$1998,MATCH(A33&amp;"ENTRADA",Movimientos!$S$2:$S$1998,0)),"-"))</f>
        <v>Semilla</v>
      </c>
      <c r="D33" s="3">
        <f>IF(A33="","",IFERROR(INDEX(Movimientos!$F$2:$F$1998,MATCH(A33&amp;"ENTRADA",Movimientos!$S$2:$S$1998,0)),"-"))</f>
        <v>0</v>
      </c>
      <c r="E33" s="3" t="str">
        <f>IF(A33="","",IFERROR(INDEX(Movimientos!$L$2:$L$1998,MATCH(A33&amp;"ENTRADA",Movimientos!$S$2:$S$1998,0)),"-"))</f>
        <v>kg</v>
      </c>
      <c r="F33" s="8">
        <f>IF(A33="","",COUNTIFS(Stock_por_Lote!$B:$B,A33,Stock_por_Lote!$J:$J,"&gt;0"))</f>
        <v>1</v>
      </c>
      <c r="G33" s="9">
        <f>IF(A33="","",SUMIFS(Movimientos!$K:$K,Movimientos!$C:$C,A33))</f>
        <v>3200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IF(A34="","",IFERROR(INDEX(Movimientos!$D$2:$D$1998,MATCH(A34&amp;"ENTRADA",Movimientos!$S$2:$S$1998,0)),"-"))</f>
        <v xml:space="preserve">Avena propia </v>
      </c>
      <c r="C34" s="3" t="str">
        <f>IF(A34="","",IFERROR(INDEX(Movimientos!$E$2:$E$1998,MATCH(A34&amp;"ENTRADA",Movimientos!$S$2:$S$1998,0)),"-"))</f>
        <v>Semilla</v>
      </c>
      <c r="D34" s="3">
        <f>IF(A34="","",IFERROR(INDEX(Movimientos!$F$2:$F$1998,MATCH(A34&amp;"ENTRADA",Movimientos!$S$2:$S$1998,0)),"-"))</f>
        <v>0</v>
      </c>
      <c r="E34" s="3" t="str">
        <f>IF(A34="","",IFERROR(INDEX(Movimientos!$L$2:$L$1998,MATCH(A34&amp;"ENTRADA",Movimientos!$S$2:$S$1998,0)),"-"))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241</v>
      </c>
      <c r="B35" s="3" t="str">
        <f>IF(A35="","",IFERROR(INDEX(Movimientos!$D$2:$D$1998,MATCH(A35&amp;"ENTRADA",Movimientos!$S$2:$S$1998,0)),"-"))</f>
        <v>Imazapir sal isopropilamina 24,2%</v>
      </c>
      <c r="C35" s="3" t="str">
        <f>IF(A35="","",IFERROR(INDEX(Movimientos!$E$2:$E$1998,MATCH(A35&amp;"ENTRADA",Movimientos!$S$2:$S$1998,0)),"-"))</f>
        <v>Herbicida</v>
      </c>
      <c r="D35" s="3" t="str">
        <f>IF(A35="","",IFERROR(INDEX(Movimientos!$F$2:$F$1998,MATCH(A35&amp;"ENTRADA",Movimientos!$S$2:$S$1998,0)),"-"))</f>
        <v>Postemergente</v>
      </c>
      <c r="E35" s="3" t="str">
        <f>IF(A35="","",IFERROR(INDEX(Movimientos!$L$2:$L$1998,MATCH(A35&amp;"ENTRADA",Movimientos!$S$2:$S$1998,0)),"-"))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245</v>
      </c>
      <c r="B36" s="3" t="str">
        <f>IF(A36="","",IFERROR(INDEX(Movimientos!$D$2:$D$1998,MATCH(A36&amp;"ENTRADA",Movimientos!$S$2:$S$1998,0)),"-"))</f>
        <v>Esteres metílicos de aceite vegetal 42,5%</v>
      </c>
      <c r="C36" s="3" t="str">
        <f>IF(A36="","",IFERROR(INDEX(Movimientos!$E$2:$E$1998,MATCH(A36&amp;"ENTRADA",Movimientos!$S$2:$S$1998,0)),"-"))</f>
        <v>Coadyuvante</v>
      </c>
      <c r="D36" s="3">
        <f>IF(A36="","",IFERROR(INDEX(Movimientos!$F$2:$F$1998,MATCH(A36&amp;"ENTRADA",Movimientos!$S$2:$S$1998,0)),"-"))</f>
        <v>0</v>
      </c>
      <c r="E36" s="3" t="str">
        <f>IF(A36="","",IFERROR(INDEX(Movimientos!$L$2:$L$1998,MATCH(A36&amp;"ENTRADA",Movimientos!$S$2:$S$1998,0)),"-"))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 t="str">
        <f>IF(A36="","",IFERROR(IF(_xlfn.MINIFS(Stock_por_Lote!$H:$H,Stock_por_Lote!$B:$B,A36,Stock_por_Lote!$J:$J,"&gt;0")=0,"S/D",_xlfn.MINIFS(Stock_por_Lote!$H:$H,Stock_por_Lote!$B:$B,A36,Stock_por_Lote!$J:$J,"&gt;0")),"S/D"))</f>
        <v>S/D</v>
      </c>
    </row>
    <row r="37" spans="1:8">
      <c r="B37" s="3" t="str">
        <f>IF(A37="","",IFERROR(INDEX(Movimientos!$D$2:$D$1998,MATCH(A37&amp;"ENTRADA",Movimientos!$S$2:$S$1998,0)),"-"))</f>
        <v/>
      </c>
      <c r="C37" s="3" t="str">
        <f>IF(A37="","",IFERROR(INDEX(Movimientos!$E$2:$E$1998,MATCH(A37&amp;"ENTRADA",Movimientos!$S$2:$S$1998,0)),"-"))</f>
        <v/>
      </c>
      <c r="D37" s="3" t="str">
        <f>IF(A37="","",IFERROR(INDEX(Movimientos!$F$2:$F$1998,MATCH(A37&amp;"ENTRADA",Movimientos!$S$2:$S$1998,0)),"-"))</f>
        <v/>
      </c>
      <c r="E37" s="3" t="str">
        <f>IF(A37="","",IFERROR(INDEX(Movimientos!$L$2:$L$1998,MATCH(A37&amp;"ENTRADA",Movimientos!$S$2:$S$1998,0)),"-"))</f>
        <v/>
      </c>
      <c r="F37" s="8" t="str">
        <f>IF(A37="","",COUNTIFS(Stock_por_Lote!$B:$B,A37,Stock_por_Lote!$J:$J,"&gt;0"))</f>
        <v/>
      </c>
      <c r="G37" s="9" t="str">
        <f>IF(A37="","",SUMIFS(Movimientos!$K:$K,Movimientos!$C:$C,A37))</f>
        <v/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1:8">
      <c r="B38" s="3" t="str">
        <f>IF(A38="","",IFERROR(INDEX(Movimientos!$D$2:$D$1998,MATCH(A38&amp;"ENTRADA",Movimientos!$S$2:$S$1998,0)),"-"))</f>
        <v/>
      </c>
      <c r="C38" s="3" t="str">
        <f>IF(A38="","",IFERROR(INDEX(Movimientos!$E$2:$E$1998,MATCH(A38&amp;"ENTRADA",Movimientos!$S$2:$S$1998,0)),"-"))</f>
        <v/>
      </c>
      <c r="D38" s="3" t="str">
        <f>IF(A38="","",IFERROR(INDEX(Movimientos!$F$2:$F$1998,MATCH(A38&amp;"ENTRADA",Movimientos!$S$2:$S$1998,0)),"-"))</f>
        <v/>
      </c>
      <c r="E38" s="3" t="str">
        <f>IF(A38="","",IFERROR(INDEX(Movimientos!$L$2:$L$1998,MATCH(A38&amp;"ENTRADA",Movimientos!$S$2:$S$1998,0)),"-"))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IF(A39="","",IFERROR(INDEX(Movimientos!$D$2:$D$1998,MATCH(A39&amp;"ENTRADA",Movimientos!$S$2:$S$1998,0)),"-"))</f>
        <v/>
      </c>
      <c r="C39" s="3" t="str">
        <f>IF(A39="","",IFERROR(INDEX(Movimientos!$E$2:$E$1998,MATCH(A39&amp;"ENTRADA",Movimientos!$S$2:$S$1998,0)),"-"))</f>
        <v/>
      </c>
      <c r="D39" s="3" t="str">
        <f>IF(A39="","",IFERROR(INDEX(Movimientos!$F$2:$F$1998,MATCH(A39&amp;"ENTRADA",Movimientos!$S$2:$S$1998,0)),"-"))</f>
        <v/>
      </c>
      <c r="E39" s="3" t="str">
        <f>IF(A39="","",IFERROR(INDEX(Movimientos!$L$2:$L$1998,MATCH(A39&amp;"ENTRADA",Movimientos!$S$2:$S$1998,0)),"-"))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IF(A40="","",IFERROR(INDEX(Movimientos!$D$2:$D$1998,MATCH(A40&amp;"ENTRADA",Movimientos!$S$2:$S$1998,0)),"-"))</f>
        <v/>
      </c>
      <c r="C40" s="3" t="str">
        <f>IF(A40="","",IFERROR(INDEX(Movimientos!$E$2:$E$1998,MATCH(A40&amp;"ENTRADA",Movimientos!$S$2:$S$1998,0)),"-"))</f>
        <v/>
      </c>
      <c r="D40" s="3" t="str">
        <f>IF(A40="","",IFERROR(INDEX(Movimientos!$F$2:$F$1998,MATCH(A40&amp;"ENTRADA",Movimientos!$S$2:$S$1998,0)),"-"))</f>
        <v/>
      </c>
      <c r="E40" s="3" t="str">
        <f>IF(A40="","",IFERROR(INDEX(Movimientos!$L$2:$L$1998,MATCH(A40&amp;"ENTRADA",Movimientos!$S$2:$S$1998,0)),"-"))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IF(A41="","",IFERROR(INDEX(Movimientos!$D$2:$D$1998,MATCH(A41&amp;"ENTRADA",Movimientos!$S$2:$S$1998,0)),"-"))</f>
        <v/>
      </c>
      <c r="C41" s="3" t="str">
        <f>IF(A41="","",IFERROR(INDEX(Movimientos!$E$2:$E$1998,MATCH(A41&amp;"ENTRADA",Movimientos!$S$2:$S$1998,0)),"-"))</f>
        <v/>
      </c>
      <c r="D41" s="3" t="str">
        <f>IF(A41="","",IFERROR(INDEX(Movimientos!$F$2:$F$1998,MATCH(A41&amp;"ENTRADA",Movimientos!$S$2:$S$1998,0)),"-"))</f>
        <v/>
      </c>
      <c r="E41" s="3" t="str">
        <f>IF(A41="","",IFERROR(INDEX(Movimientos!$L$2:$L$1998,MATCH(A41&amp;"ENTRADA",Movimientos!$S$2:$S$1998,0)),"-"))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IF(A42="","",IFERROR(INDEX(Movimientos!$D$2:$D$1998,MATCH(A42&amp;"ENTRADA",Movimientos!$S$2:$S$1998,0)),"-"))</f>
        <v/>
      </c>
      <c r="C42" s="3" t="str">
        <f>IF(A42="","",IFERROR(INDEX(Movimientos!$E$2:$E$1998,MATCH(A42&amp;"ENTRADA",Movimientos!$S$2:$S$1998,0)),"-"))</f>
        <v/>
      </c>
      <c r="D42" s="3" t="str">
        <f>IF(A42="","",IFERROR(INDEX(Movimientos!$F$2:$F$1998,MATCH(A42&amp;"ENTRADA",Movimientos!$S$2:$S$1998,0)),"-"))</f>
        <v/>
      </c>
      <c r="E42" s="3" t="str">
        <f>IF(A42="","",IFERROR(INDEX(Movimientos!$L$2:$L$1998,MATCH(A42&amp;"ENTRADA",Movimientos!$S$2:$S$1998,0)),"-"))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IF(A43="","",IFERROR(INDEX(Movimientos!$D$2:$D$1998,MATCH(A43&amp;"ENTRADA",Movimientos!$S$2:$S$1998,0)),"-"))</f>
        <v/>
      </c>
      <c r="C43" s="3" t="str">
        <f>IF(A43="","",IFERROR(INDEX(Movimientos!$E$2:$E$1998,MATCH(A43&amp;"ENTRADA",Movimientos!$S$2:$S$1998,0)),"-"))</f>
        <v/>
      </c>
      <c r="D43" s="3" t="str">
        <f>IF(A43="","",IFERROR(INDEX(Movimientos!$F$2:$F$1998,MATCH(A43&amp;"ENTRADA",Movimientos!$S$2:$S$1998,0)),"-"))</f>
        <v/>
      </c>
      <c r="E43" s="3" t="str">
        <f>IF(A43="","",IFERROR(INDEX(Movimientos!$L$2:$L$1998,MATCH(A43&amp;"ENTRADA",Movimientos!$S$2:$S$1998,0)),"-"))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IF(A44="","",IFERROR(INDEX(Movimientos!$D$2:$D$1998,MATCH(A44&amp;"ENTRADA",Movimientos!$S$2:$S$1998,0)),"-"))</f>
        <v/>
      </c>
      <c r="C44" s="3" t="str">
        <f>IF(A44="","",IFERROR(INDEX(Movimientos!$E$2:$E$1998,MATCH(A44&amp;"ENTRADA",Movimientos!$S$2:$S$1998,0)),"-"))</f>
        <v/>
      </c>
      <c r="D44" s="3" t="str">
        <f>IF(A44="","",IFERROR(INDEX(Movimientos!$F$2:$F$1998,MATCH(A44&amp;"ENTRADA",Movimientos!$S$2:$S$1998,0)),"-"))</f>
        <v/>
      </c>
      <c r="E44" s="3" t="str">
        <f>IF(A44="","",IFERROR(INDEX(Movimientos!$L$2:$L$1998,MATCH(A44&amp;"ENTRADA",Movimientos!$S$2:$S$1998,0)),"-"))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IF(A45="","",IFERROR(INDEX(Movimientos!$D$2:$D$1998,MATCH(A45&amp;"ENTRADA",Movimientos!$S$2:$S$1998,0)),"-"))</f>
        <v/>
      </c>
      <c r="C45" s="3" t="str">
        <f>IF(A45="","",IFERROR(INDEX(Movimientos!$E$2:$E$1998,MATCH(A45&amp;"ENTRADA",Movimientos!$S$2:$S$1998,0)),"-"))</f>
        <v/>
      </c>
      <c r="D45" s="3" t="str">
        <f>IF(A45="","",IFERROR(INDEX(Movimientos!$F$2:$F$1998,MATCH(A45&amp;"ENTRADA",Movimientos!$S$2:$S$1998,0)),"-"))</f>
        <v/>
      </c>
      <c r="E45" s="3" t="str">
        <f>IF(A45="","",IFERROR(INDEX(Movimientos!$L$2:$L$1998,MATCH(A45&amp;"ENTRADA",Movimientos!$S$2:$S$1998,0)),"-"))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IF(A46="","",IFERROR(INDEX(Movimientos!$D$2:$D$1998,MATCH(A46&amp;"ENTRADA",Movimientos!$S$2:$S$1998,0)),"-"))</f>
        <v/>
      </c>
      <c r="C46" s="3" t="str">
        <f>IF(A46="","",IFERROR(INDEX(Movimientos!$E$2:$E$1998,MATCH(A46&amp;"ENTRADA",Movimientos!$S$2:$S$1998,0)),"-"))</f>
        <v/>
      </c>
      <c r="D46" s="3" t="str">
        <f>IF(A46="","",IFERROR(INDEX(Movimientos!$F$2:$F$1998,MATCH(A46&amp;"ENTRADA",Movimientos!$S$2:$S$1998,0)),"-"))</f>
        <v/>
      </c>
      <c r="E46" s="3" t="str">
        <f>IF(A46="","",IFERROR(INDEX(Movimientos!$L$2:$L$1998,MATCH(A46&amp;"ENTRADA",Movimientos!$S$2:$S$1998,0)),"-"))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IF(A47="","",IFERROR(INDEX(Movimientos!$D$2:$D$1998,MATCH(A47&amp;"ENTRADA",Movimientos!$S$2:$S$1998,0)),"-"))</f>
        <v/>
      </c>
      <c r="C47" s="3" t="str">
        <f>IF(A47="","",IFERROR(INDEX(Movimientos!$E$2:$E$1998,MATCH(A47&amp;"ENTRADA",Movimientos!$S$2:$S$1998,0)),"-"))</f>
        <v/>
      </c>
      <c r="D47" s="3" t="str">
        <f>IF(A47="","",IFERROR(INDEX(Movimientos!$F$2:$F$1998,MATCH(A47&amp;"ENTRADA",Movimientos!$S$2:$S$1998,0)),"-"))</f>
        <v/>
      </c>
      <c r="E47" s="3" t="str">
        <f>IF(A47="","",IFERROR(INDEX(Movimientos!$L$2:$L$1998,MATCH(A47&amp;"ENTRADA",Movimientos!$S$2:$S$1998,0)),"-"))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IF(A48="","",IFERROR(INDEX(Movimientos!$D$2:$D$1998,MATCH(A48&amp;"ENTRADA",Movimientos!$S$2:$S$1998,0)),"-"))</f>
        <v/>
      </c>
      <c r="C48" s="3" t="str">
        <f>IF(A48="","",IFERROR(INDEX(Movimientos!$E$2:$E$1998,MATCH(A48&amp;"ENTRADA",Movimientos!$S$2:$S$1998,0)),"-"))</f>
        <v/>
      </c>
      <c r="D48" s="3" t="str">
        <f>IF(A48="","",IFERROR(INDEX(Movimientos!$F$2:$F$1998,MATCH(A48&amp;"ENTRADA",Movimientos!$S$2:$S$1998,0)),"-"))</f>
        <v/>
      </c>
      <c r="E48" s="3" t="str">
        <f>IF(A48="","",IFERROR(INDEX(Movimientos!$L$2:$L$1998,MATCH(A48&amp;"ENTRADA",Movimientos!$S$2:$S$1998,0)),"-"))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IF(A49="","",IFERROR(INDEX(Movimientos!$D$2:$D$1998,MATCH(A49&amp;"ENTRADA",Movimientos!$S$2:$S$1998,0)),"-"))</f>
        <v/>
      </c>
      <c r="C49" s="3" t="str">
        <f>IF(A49="","",IFERROR(INDEX(Movimientos!$E$2:$E$1998,MATCH(A49&amp;"ENTRADA",Movimientos!$S$2:$S$1998,0)),"-"))</f>
        <v/>
      </c>
      <c r="D49" s="3" t="str">
        <f>IF(A49="","",IFERROR(INDEX(Movimientos!$F$2:$F$1998,MATCH(A49&amp;"ENTRADA",Movimientos!$S$2:$S$1998,0)),"-"))</f>
        <v/>
      </c>
      <c r="E49" s="3" t="str">
        <f>IF(A49="","",IFERROR(INDEX(Movimientos!$L$2:$L$1998,MATCH(A49&amp;"ENTRADA",Movimientos!$S$2:$S$1998,0)),"-"))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IF(A50="","",IFERROR(INDEX(Movimientos!$D$2:$D$1998,MATCH(A50&amp;"ENTRADA",Movimientos!$S$2:$S$1998,0)),"-"))</f>
        <v/>
      </c>
      <c r="C50" s="3" t="str">
        <f>IF(A50="","",IFERROR(INDEX(Movimientos!$E$2:$E$1998,MATCH(A50&amp;"ENTRADA",Movimientos!$S$2:$S$1998,0)),"-"))</f>
        <v/>
      </c>
      <c r="D50" s="3" t="str">
        <f>IF(A50="","",IFERROR(INDEX(Movimientos!$F$2:$F$1998,MATCH(A50&amp;"ENTRADA",Movimientos!$S$2:$S$1998,0)),"-"))</f>
        <v/>
      </c>
      <c r="E50" s="3" t="str">
        <f>IF(A50="","",IFERROR(INDEX(Movimientos!$L$2:$L$1998,MATCH(A50&amp;"ENTRADA",Movimientos!$S$2:$S$1998,0)),"-"))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IF(A51="","",IFERROR(INDEX(Movimientos!$D$2:$D$1998,MATCH(A51&amp;"ENTRADA",Movimientos!$S$2:$S$1998,0)),"-"))</f>
        <v/>
      </c>
      <c r="C51" s="3" t="str">
        <f>IF(A51="","",IFERROR(INDEX(Movimientos!$E$2:$E$1998,MATCH(A51&amp;"ENTRADA",Movimientos!$S$2:$S$1998,0)),"-"))</f>
        <v/>
      </c>
      <c r="D51" s="3" t="str">
        <f>IF(A51="","",IFERROR(INDEX(Movimientos!$F$2:$F$1998,MATCH(A51&amp;"ENTRADA",Movimientos!$S$2:$S$1998,0)),"-"))</f>
        <v/>
      </c>
      <c r="E51" s="3" t="str">
        <f>IF(A51="","",IFERROR(INDEX(Movimientos!$L$2:$L$1998,MATCH(A51&amp;"ENTRADA",Movimientos!$S$2:$S$1998,0)),"-"))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2"/>
  <sheetViews>
    <sheetView showGridLines="0" topLeftCell="A11" workbookViewId="0">
      <selection activeCell="D28" sqref="D28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3166</v>
      </c>
    </row>
    <row r="2" spans="1:8" ht="21.75" customHeight="1">
      <c r="A2" s="23" t="s">
        <v>2181</v>
      </c>
      <c r="B2" s="23" t="s">
        <v>3167</v>
      </c>
      <c r="C2" s="23" t="s">
        <v>4</v>
      </c>
      <c r="D2" s="23" t="s">
        <v>5</v>
      </c>
      <c r="E2" s="23" t="s">
        <v>6</v>
      </c>
      <c r="F2" s="23" t="s">
        <v>3168</v>
      </c>
      <c r="G2" s="23" t="s">
        <v>11</v>
      </c>
      <c r="H2" s="23" t="s">
        <v>3169</v>
      </c>
    </row>
    <row r="3" spans="1:8">
      <c r="A3" t="s">
        <v>22</v>
      </c>
      <c r="B3" t="s">
        <v>23</v>
      </c>
      <c r="C3" s="24" t="s">
        <v>3170</v>
      </c>
      <c r="D3" s="24" t="s">
        <v>3171</v>
      </c>
      <c r="E3" s="24" t="s">
        <v>35</v>
      </c>
      <c r="F3" s="24" t="s">
        <v>27</v>
      </c>
      <c r="G3" s="24" t="s">
        <v>36</v>
      </c>
      <c r="H3" s="10" t="s">
        <v>199</v>
      </c>
    </row>
    <row r="4" spans="1:8">
      <c r="A4" t="s">
        <v>31</v>
      </c>
      <c r="B4" t="s">
        <v>104</v>
      </c>
      <c r="C4" s="24" t="s">
        <v>3172</v>
      </c>
      <c r="D4" s="24" t="s">
        <v>3173</v>
      </c>
      <c r="E4" s="24" t="s">
        <v>71</v>
      </c>
      <c r="F4" s="24" t="s">
        <v>64</v>
      </c>
      <c r="G4" s="24" t="s">
        <v>28</v>
      </c>
      <c r="H4" s="10" t="s">
        <v>150</v>
      </c>
    </row>
    <row r="5" spans="1:8">
      <c r="A5" t="s">
        <v>39</v>
      </c>
      <c r="B5" t="s">
        <v>40</v>
      </c>
      <c r="C5" s="24" t="s">
        <v>33</v>
      </c>
      <c r="D5" s="24" t="s">
        <v>3174</v>
      </c>
      <c r="E5" s="24" t="s">
        <v>76</v>
      </c>
      <c r="G5" s="24" t="s">
        <v>3175</v>
      </c>
      <c r="H5" s="10" t="s">
        <v>65</v>
      </c>
    </row>
    <row r="6" spans="1:8">
      <c r="A6" t="s">
        <v>43</v>
      </c>
      <c r="B6" t="s">
        <v>62</v>
      </c>
      <c r="C6" s="24" t="s">
        <v>24</v>
      </c>
      <c r="D6" s="24" t="s">
        <v>3176</v>
      </c>
      <c r="E6" s="10" t="s">
        <v>26</v>
      </c>
      <c r="G6" s="24" t="s">
        <v>3177</v>
      </c>
      <c r="H6" s="10" t="s">
        <v>94</v>
      </c>
    </row>
    <row r="7" spans="1:8">
      <c r="A7" t="s">
        <v>49</v>
      </c>
      <c r="B7" t="s">
        <v>275</v>
      </c>
      <c r="C7" s="24" t="s">
        <v>3178</v>
      </c>
      <c r="D7" s="24" t="s">
        <v>45</v>
      </c>
      <c r="E7" s="24" t="s">
        <v>82</v>
      </c>
      <c r="G7" s="24" t="s">
        <v>72</v>
      </c>
      <c r="H7" s="10" t="s">
        <v>233</v>
      </c>
    </row>
    <row r="8" spans="1:8">
      <c r="A8" t="s">
        <v>53</v>
      </c>
      <c r="B8" t="s">
        <v>54</v>
      </c>
      <c r="C8" s="24" t="s">
        <v>280</v>
      </c>
      <c r="D8" s="24" t="s">
        <v>34</v>
      </c>
      <c r="E8" s="24" t="s">
        <v>116</v>
      </c>
      <c r="G8" s="24" t="s">
        <v>3179</v>
      </c>
    </row>
    <row r="9" spans="1:8">
      <c r="A9" t="s">
        <v>58</v>
      </c>
      <c r="B9" t="s">
        <v>59</v>
      </c>
      <c r="C9" s="24" t="s">
        <v>130</v>
      </c>
      <c r="D9" s="24" t="s">
        <v>3180</v>
      </c>
      <c r="E9" s="24" t="s">
        <v>131</v>
      </c>
      <c r="G9" s="24" t="s">
        <v>55</v>
      </c>
    </row>
    <row r="10" spans="1:8">
      <c r="A10" t="s">
        <v>74</v>
      </c>
      <c r="B10" t="s">
        <v>75</v>
      </c>
      <c r="C10" s="24" t="s">
        <v>69</v>
      </c>
      <c r="D10" s="24" t="s">
        <v>3181</v>
      </c>
      <c r="E10" s="24" t="s">
        <v>156</v>
      </c>
      <c r="G10" s="10" t="s">
        <v>3182</v>
      </c>
    </row>
    <row r="11" spans="1:8">
      <c r="A11" t="s">
        <v>69</v>
      </c>
      <c r="B11" t="s">
        <v>70</v>
      </c>
      <c r="C11" s="24"/>
      <c r="D11" s="24" t="s">
        <v>3183</v>
      </c>
      <c r="E11" s="24" t="s">
        <v>164</v>
      </c>
    </row>
    <row r="12" spans="1:8">
      <c r="A12" t="s">
        <v>79</v>
      </c>
      <c r="B12" t="s">
        <v>80</v>
      </c>
      <c r="C12" s="24"/>
      <c r="D12" s="24" t="s">
        <v>3184</v>
      </c>
      <c r="E12" s="24" t="s">
        <v>178</v>
      </c>
    </row>
    <row r="13" spans="1:8">
      <c r="A13" t="s">
        <v>85</v>
      </c>
      <c r="B13" t="s">
        <v>86</v>
      </c>
      <c r="C13" s="24"/>
      <c r="D13" s="24" t="s">
        <v>25</v>
      </c>
      <c r="E13" t="s">
        <v>174</v>
      </c>
    </row>
    <row r="14" spans="1:8">
      <c r="A14" t="s">
        <v>89</v>
      </c>
      <c r="B14" t="s">
        <v>90</v>
      </c>
      <c r="C14" s="24"/>
      <c r="D14" s="24" t="s">
        <v>3185</v>
      </c>
      <c r="E14" t="s">
        <v>254</v>
      </c>
    </row>
    <row r="15" spans="1:8">
      <c r="A15" t="s">
        <v>111</v>
      </c>
      <c r="B15" t="s">
        <v>112</v>
      </c>
      <c r="C15" s="24"/>
      <c r="D15" s="24" t="s">
        <v>3186</v>
      </c>
      <c r="E15" t="s">
        <v>3187</v>
      </c>
    </row>
    <row r="16" spans="1:8">
      <c r="A16" t="s">
        <v>107</v>
      </c>
      <c r="B16" t="s">
        <v>108</v>
      </c>
      <c r="C16" s="24"/>
      <c r="D16" s="24" t="s">
        <v>3188</v>
      </c>
    </row>
    <row r="17" spans="1:4">
      <c r="A17" t="s">
        <v>114</v>
      </c>
      <c r="B17" t="s">
        <v>115</v>
      </c>
      <c r="D17" s="24" t="s">
        <v>3189</v>
      </c>
    </row>
    <row r="18" spans="1:4">
      <c r="A18" t="s">
        <v>121</v>
      </c>
      <c r="B18" t="s">
        <v>122</v>
      </c>
      <c r="D18" t="s">
        <v>81</v>
      </c>
    </row>
    <row r="19" spans="1:4">
      <c r="A19" t="s">
        <v>128</v>
      </c>
      <c r="B19" t="s">
        <v>129</v>
      </c>
      <c r="D19" t="s">
        <v>3190</v>
      </c>
    </row>
    <row r="20" spans="1:4">
      <c r="A20" t="s">
        <v>135</v>
      </c>
      <c r="B20" t="s">
        <v>136</v>
      </c>
      <c r="D20" t="s">
        <v>163</v>
      </c>
    </row>
    <row r="21" spans="1:4">
      <c r="A21" t="s">
        <v>139</v>
      </c>
      <c r="B21" t="s">
        <v>140</v>
      </c>
      <c r="D21" t="s">
        <v>168</v>
      </c>
    </row>
    <row r="22" spans="1:4">
      <c r="A22" t="s">
        <v>145</v>
      </c>
      <c r="B22" t="s">
        <v>146</v>
      </c>
      <c r="D22" t="s">
        <v>172</v>
      </c>
    </row>
    <row r="23" spans="1:4">
      <c r="A23" t="s">
        <v>154</v>
      </c>
      <c r="B23" t="s">
        <v>155</v>
      </c>
      <c r="D23" t="s">
        <v>182</v>
      </c>
    </row>
    <row r="24" spans="1:4">
      <c r="A24" t="s">
        <v>158</v>
      </c>
      <c r="B24" t="s">
        <v>159</v>
      </c>
      <c r="D24" t="s">
        <v>186</v>
      </c>
    </row>
    <row r="25" spans="1:4">
      <c r="A25" t="s">
        <v>162</v>
      </c>
      <c r="B25" t="s">
        <v>162</v>
      </c>
      <c r="D25" t="s">
        <v>190</v>
      </c>
    </row>
    <row r="26" spans="1:4">
      <c r="A26" t="s">
        <v>166</v>
      </c>
      <c r="B26" t="s">
        <v>167</v>
      </c>
      <c r="D26" t="s">
        <v>193</v>
      </c>
    </row>
    <row r="27" spans="1:4">
      <c r="A27" t="s">
        <v>170</v>
      </c>
      <c r="B27" t="s">
        <v>171</v>
      </c>
      <c r="D27" t="s">
        <v>3191</v>
      </c>
    </row>
    <row r="28" spans="1:4">
      <c r="A28" t="s">
        <v>176</v>
      </c>
      <c r="B28" t="s">
        <v>177</v>
      </c>
      <c r="D28" t="s">
        <v>281</v>
      </c>
    </row>
    <row r="29" spans="1:4">
      <c r="A29" t="s">
        <v>180</v>
      </c>
      <c r="B29" t="s">
        <v>181</v>
      </c>
    </row>
    <row r="30" spans="1:4">
      <c r="A30" t="s">
        <v>184</v>
      </c>
      <c r="B30" t="s">
        <v>185</v>
      </c>
    </row>
    <row r="31" spans="1:4">
      <c r="A31" t="s">
        <v>188</v>
      </c>
      <c r="B31" t="s">
        <v>189</v>
      </c>
    </row>
    <row r="32" spans="1:4">
      <c r="A32" t="s">
        <v>192</v>
      </c>
      <c r="B32" t="s">
        <v>192</v>
      </c>
    </row>
    <row r="33" spans="1:2">
      <c r="A33" t="s">
        <v>224</v>
      </c>
      <c r="B33" t="s">
        <v>225</v>
      </c>
    </row>
    <row r="34" spans="1:2">
      <c r="A34" t="s">
        <v>227</v>
      </c>
      <c r="B34" t="s">
        <v>227</v>
      </c>
    </row>
    <row r="35" spans="1:2">
      <c r="A35" t="s">
        <v>125</v>
      </c>
      <c r="B35" t="s">
        <v>126</v>
      </c>
    </row>
    <row r="36" spans="1:2">
      <c r="A36" t="s">
        <v>241</v>
      </c>
      <c r="B36" t="s">
        <v>242</v>
      </c>
    </row>
    <row r="37" spans="1:2">
      <c r="A37" t="s">
        <v>245</v>
      </c>
      <c r="B37" t="s">
        <v>246</v>
      </c>
    </row>
    <row r="38" spans="1:2">
      <c r="A38" t="s">
        <v>252</v>
      </c>
      <c r="B38" t="s">
        <v>253</v>
      </c>
    </row>
    <row r="39" spans="1:2">
      <c r="A39" t="s">
        <v>256</v>
      </c>
      <c r="B39" t="s">
        <v>257</v>
      </c>
    </row>
    <row r="40" spans="1:2">
      <c r="A40" t="s">
        <v>259</v>
      </c>
      <c r="B40" t="s">
        <v>260</v>
      </c>
    </row>
    <row r="41" spans="1:2">
      <c r="A41" t="s">
        <v>262</v>
      </c>
      <c r="B41" t="s">
        <v>262</v>
      </c>
    </row>
    <row r="42" spans="1:2">
      <c r="A42" t="s">
        <v>278</v>
      </c>
      <c r="B42" t="s">
        <v>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3192</v>
      </c>
    </row>
    <row r="2" spans="1:2">
      <c r="B2" t="s">
        <v>3193</v>
      </c>
    </row>
    <row r="3" spans="1:2" ht="18" customHeight="1">
      <c r="A3" s="11" t="s">
        <v>3194</v>
      </c>
      <c r="B3" s="12"/>
    </row>
    <row r="4" spans="1:2" ht="30" customHeight="1">
      <c r="A4" s="25" t="s">
        <v>3195</v>
      </c>
      <c r="B4" s="26" t="s">
        <v>3196</v>
      </c>
    </row>
    <row r="5" spans="1:2" ht="30" customHeight="1">
      <c r="A5" s="25" t="s">
        <v>3197</v>
      </c>
      <c r="B5" s="26" t="s">
        <v>3198</v>
      </c>
    </row>
    <row r="6" spans="1:2" ht="30" customHeight="1">
      <c r="A6" s="25" t="s">
        <v>3199</v>
      </c>
      <c r="B6" s="26" t="s">
        <v>3200</v>
      </c>
    </row>
    <row r="7" spans="1:2" ht="18" customHeight="1">
      <c r="A7" s="27"/>
      <c r="B7" s="27"/>
    </row>
    <row r="8" spans="1:2" ht="18" customHeight="1">
      <c r="A8" s="11" t="s">
        <v>3201</v>
      </c>
      <c r="B8" s="12"/>
    </row>
    <row r="9" spans="1:2" ht="30" customHeight="1">
      <c r="A9" s="25" t="s">
        <v>3202</v>
      </c>
      <c r="B9" s="26" t="s">
        <v>3203</v>
      </c>
    </row>
    <row r="10" spans="1:2" ht="30" customHeight="1">
      <c r="A10" s="25" t="s">
        <v>3204</v>
      </c>
      <c r="B10" s="26" t="s">
        <v>3205</v>
      </c>
    </row>
    <row r="11" spans="1:2" ht="30" customHeight="1">
      <c r="A11" s="25" t="s">
        <v>3206</v>
      </c>
      <c r="B11" s="26" t="s">
        <v>3207</v>
      </c>
    </row>
    <row r="12" spans="1:2" ht="30" customHeight="1">
      <c r="A12" s="25" t="s">
        <v>3208</v>
      </c>
      <c r="B12" s="26" t="s">
        <v>3209</v>
      </c>
    </row>
    <row r="13" spans="1:2" ht="30" customHeight="1">
      <c r="A13" s="25" t="s">
        <v>3210</v>
      </c>
      <c r="B13" s="26" t="s">
        <v>3211</v>
      </c>
    </row>
    <row r="14" spans="1:2" ht="18" customHeight="1">
      <c r="A14" s="27"/>
      <c r="B14" s="27"/>
    </row>
    <row r="15" spans="1:2" ht="18" customHeight="1">
      <c r="A15" s="11" t="s">
        <v>3212</v>
      </c>
      <c r="B15" s="12"/>
    </row>
    <row r="16" spans="1:2" ht="30" customHeight="1">
      <c r="A16" s="25" t="s">
        <v>3213</v>
      </c>
      <c r="B16" s="26" t="s">
        <v>3214</v>
      </c>
    </row>
    <row r="17" spans="1:2" ht="18" customHeight="1">
      <c r="A17" s="27"/>
      <c r="B17" s="27"/>
    </row>
    <row r="18" spans="1:2" ht="18" customHeight="1">
      <c r="A18" s="11" t="s">
        <v>3215</v>
      </c>
      <c r="B18" s="12"/>
    </row>
    <row r="19" spans="1:2" ht="30" customHeight="1">
      <c r="A19" s="25" t="s">
        <v>3216</v>
      </c>
      <c r="B19" s="26" t="s">
        <v>3217</v>
      </c>
    </row>
    <row r="20" spans="1:2" ht="30" customHeight="1">
      <c r="A20" s="25" t="s">
        <v>3218</v>
      </c>
      <c r="B20" s="26" t="s">
        <v>3219</v>
      </c>
    </row>
    <row r="21" spans="1:2" ht="30" customHeight="1">
      <c r="A21" s="25" t="s">
        <v>3220</v>
      </c>
      <c r="B21" s="26" t="s">
        <v>3221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2026-04-29T13:17:45Z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