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67F27D36-7BA7-401E-B885-91AC8DEEA05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3" l="1"/>
  <c r="C57" i="3"/>
  <c r="D57" i="3"/>
  <c r="E57" i="3"/>
  <c r="F57" i="3"/>
  <c r="G57" i="3"/>
  <c r="H57" i="3"/>
  <c r="B58" i="3"/>
  <c r="C58" i="3"/>
  <c r="D58" i="3"/>
  <c r="E58" i="3"/>
  <c r="F58" i="3"/>
  <c r="G58" i="3"/>
  <c r="H58" i="3"/>
  <c r="B59" i="3"/>
  <c r="C59" i="3"/>
  <c r="D59" i="3"/>
  <c r="E59" i="3"/>
  <c r="F59" i="3"/>
  <c r="G59" i="3"/>
  <c r="H59" i="3"/>
  <c r="B60" i="3"/>
  <c r="C60" i="3"/>
  <c r="D60" i="3"/>
  <c r="E60" i="3"/>
  <c r="F60" i="3"/>
  <c r="G60" i="3"/>
  <c r="H60" i="3"/>
  <c r="B61" i="3"/>
  <c r="C61" i="3"/>
  <c r="D61" i="3"/>
  <c r="E61" i="3"/>
  <c r="F61" i="3"/>
  <c r="G61" i="3"/>
  <c r="H61" i="3"/>
  <c r="B62" i="3"/>
  <c r="C62" i="3"/>
  <c r="D62" i="3"/>
  <c r="E62" i="3"/>
  <c r="F62" i="3"/>
  <c r="G62" i="3"/>
  <c r="H62" i="3"/>
  <c r="B63" i="3"/>
  <c r="C63" i="3"/>
  <c r="D63" i="3"/>
  <c r="E63" i="3"/>
  <c r="F63" i="3"/>
  <c r="G63" i="3"/>
  <c r="H63" i="3"/>
  <c r="B64" i="3"/>
  <c r="C64" i="3"/>
  <c r="D64" i="3"/>
  <c r="E64" i="3"/>
  <c r="F64" i="3"/>
  <c r="G64" i="3"/>
  <c r="H64" i="3"/>
  <c r="B65" i="3"/>
  <c r="C65" i="3"/>
  <c r="D65" i="3"/>
  <c r="E65" i="3"/>
  <c r="F65" i="3"/>
  <c r="G65" i="3"/>
  <c r="H65" i="3"/>
  <c r="B66" i="3"/>
  <c r="C66" i="3"/>
  <c r="D66" i="3"/>
  <c r="E66" i="3"/>
  <c r="F66" i="3"/>
  <c r="G66" i="3"/>
  <c r="H66" i="3"/>
  <c r="B67" i="3"/>
  <c r="C67" i="3"/>
  <c r="D67" i="3"/>
  <c r="E67" i="3"/>
  <c r="F67" i="3"/>
  <c r="G67" i="3"/>
  <c r="H67" i="3"/>
  <c r="B68" i="3"/>
  <c r="C68" i="3"/>
  <c r="D68" i="3"/>
  <c r="E68" i="3"/>
  <c r="F68" i="3"/>
  <c r="G68" i="3"/>
  <c r="H68" i="3"/>
  <c r="B69" i="3"/>
  <c r="C69" i="3"/>
  <c r="D69" i="3"/>
  <c r="E69" i="3"/>
  <c r="F69" i="3"/>
  <c r="G69" i="3"/>
  <c r="H69" i="3"/>
  <c r="B70" i="3"/>
  <c r="C70" i="3"/>
  <c r="D70" i="3"/>
  <c r="E70" i="3"/>
  <c r="F70" i="3"/>
  <c r="G70" i="3"/>
  <c r="H70" i="3"/>
  <c r="B71" i="3"/>
  <c r="C71" i="3"/>
  <c r="D71" i="3"/>
  <c r="E71" i="3"/>
  <c r="F71" i="3"/>
  <c r="G71" i="3"/>
  <c r="H71" i="3"/>
  <c r="B72" i="3"/>
  <c r="C72" i="3"/>
  <c r="D72" i="3"/>
  <c r="E72" i="3"/>
  <c r="F72" i="3"/>
  <c r="G72" i="3"/>
  <c r="H72" i="3"/>
  <c r="B73" i="3"/>
  <c r="C73" i="3"/>
  <c r="D73" i="3"/>
  <c r="E73" i="3"/>
  <c r="F73" i="3"/>
  <c r="G73" i="3"/>
  <c r="H73" i="3"/>
  <c r="B74" i="3"/>
  <c r="C74" i="3"/>
  <c r="D74" i="3"/>
  <c r="E74" i="3"/>
  <c r="F74" i="3"/>
  <c r="G74" i="3"/>
  <c r="H74" i="3"/>
  <c r="B75" i="3"/>
  <c r="C75" i="3"/>
  <c r="D75" i="3"/>
  <c r="E75" i="3"/>
  <c r="F75" i="3"/>
  <c r="G75" i="3"/>
  <c r="H75" i="3"/>
  <c r="B76" i="3"/>
  <c r="C76" i="3"/>
  <c r="D76" i="3"/>
  <c r="E76" i="3"/>
  <c r="F76" i="3"/>
  <c r="G76" i="3"/>
  <c r="H76" i="3"/>
  <c r="B77" i="3"/>
  <c r="C77" i="3"/>
  <c r="D77" i="3"/>
  <c r="E77" i="3"/>
  <c r="F77" i="3"/>
  <c r="G77" i="3"/>
  <c r="H77" i="3"/>
  <c r="B78" i="3"/>
  <c r="C78" i="3"/>
  <c r="D78" i="3"/>
  <c r="E78" i="3"/>
  <c r="F78" i="3"/>
  <c r="G78" i="3"/>
  <c r="H78" i="3"/>
  <c r="B79" i="3"/>
  <c r="C79" i="3"/>
  <c r="D79" i="3"/>
  <c r="E79" i="3"/>
  <c r="F79" i="3"/>
  <c r="G79" i="3"/>
  <c r="H79" i="3"/>
  <c r="B80" i="3"/>
  <c r="C80" i="3"/>
  <c r="D80" i="3"/>
  <c r="E80" i="3"/>
  <c r="F80" i="3"/>
  <c r="G80" i="3"/>
  <c r="H80" i="3"/>
  <c r="B81" i="3"/>
  <c r="C81" i="3"/>
  <c r="D81" i="3"/>
  <c r="E81" i="3"/>
  <c r="F81" i="3"/>
  <c r="G81" i="3"/>
  <c r="H81" i="3"/>
  <c r="B82" i="3"/>
  <c r="C82" i="3"/>
  <c r="D82" i="3"/>
  <c r="E82" i="3"/>
  <c r="F82" i="3"/>
  <c r="G82" i="3"/>
  <c r="H82" i="3"/>
  <c r="B83" i="3"/>
  <c r="C83" i="3"/>
  <c r="D83" i="3"/>
  <c r="E83" i="3"/>
  <c r="F83" i="3"/>
  <c r="G83" i="3"/>
  <c r="H83" i="3"/>
  <c r="B84" i="3"/>
  <c r="C84" i="3"/>
  <c r="D84" i="3"/>
  <c r="E84" i="3"/>
  <c r="F84" i="3"/>
  <c r="G84" i="3"/>
  <c r="H84" i="3"/>
  <c r="B85" i="3"/>
  <c r="C85" i="3"/>
  <c r="D85" i="3"/>
  <c r="E85" i="3"/>
  <c r="F85" i="3"/>
  <c r="G85" i="3"/>
  <c r="H85" i="3"/>
  <c r="B86" i="3"/>
  <c r="C86" i="3"/>
  <c r="D86" i="3"/>
  <c r="E86" i="3"/>
  <c r="F86" i="3"/>
  <c r="G86" i="3"/>
  <c r="H86" i="3"/>
  <c r="B87" i="3"/>
  <c r="C87" i="3"/>
  <c r="D87" i="3"/>
  <c r="E87" i="3"/>
  <c r="F87" i="3"/>
  <c r="G87" i="3"/>
  <c r="H87" i="3"/>
  <c r="B88" i="3"/>
  <c r="C88" i="3"/>
  <c r="D88" i="3"/>
  <c r="E88" i="3"/>
  <c r="F88" i="3"/>
  <c r="G88" i="3"/>
  <c r="H88" i="3"/>
  <c r="B89" i="3"/>
  <c r="C89" i="3"/>
  <c r="D89" i="3"/>
  <c r="E89" i="3"/>
  <c r="F89" i="3"/>
  <c r="G89" i="3"/>
  <c r="H89" i="3"/>
  <c r="B90" i="3"/>
  <c r="C90" i="3"/>
  <c r="D90" i="3"/>
  <c r="E90" i="3"/>
  <c r="F90" i="3"/>
  <c r="G90" i="3"/>
  <c r="H90" i="3"/>
  <c r="B91" i="3"/>
  <c r="C91" i="3"/>
  <c r="D91" i="3"/>
  <c r="E91" i="3"/>
  <c r="F91" i="3"/>
  <c r="G91" i="3"/>
  <c r="H91" i="3"/>
  <c r="B92" i="3"/>
  <c r="C92" i="3"/>
  <c r="D92" i="3"/>
  <c r="E92" i="3"/>
  <c r="F92" i="3"/>
  <c r="G92" i="3"/>
  <c r="H92" i="3"/>
  <c r="B93" i="3"/>
  <c r="C93" i="3"/>
  <c r="D93" i="3"/>
  <c r="E93" i="3"/>
  <c r="F93" i="3"/>
  <c r="G93" i="3"/>
  <c r="H93" i="3"/>
  <c r="B94" i="3"/>
  <c r="C94" i="3"/>
  <c r="D94" i="3"/>
  <c r="E94" i="3"/>
  <c r="F94" i="3"/>
  <c r="G94" i="3"/>
  <c r="H94" i="3"/>
  <c r="B95" i="3"/>
  <c r="C95" i="3"/>
  <c r="D95" i="3"/>
  <c r="E95" i="3"/>
  <c r="F95" i="3"/>
  <c r="G95" i="3"/>
  <c r="H95" i="3"/>
  <c r="B96" i="3"/>
  <c r="C96" i="3"/>
  <c r="D96" i="3"/>
  <c r="E96" i="3"/>
  <c r="F96" i="3"/>
  <c r="G96" i="3"/>
  <c r="H96" i="3"/>
  <c r="B97" i="3"/>
  <c r="C97" i="3"/>
  <c r="D97" i="3"/>
  <c r="E97" i="3"/>
  <c r="F97" i="3"/>
  <c r="G97" i="3"/>
  <c r="H97" i="3"/>
  <c r="B98" i="3"/>
  <c r="C98" i="3"/>
  <c r="D98" i="3"/>
  <c r="E98" i="3"/>
  <c r="F98" i="3"/>
  <c r="G98" i="3"/>
  <c r="H98" i="3"/>
  <c r="B99" i="3"/>
  <c r="C99" i="3"/>
  <c r="D99" i="3"/>
  <c r="E99" i="3"/>
  <c r="F99" i="3"/>
  <c r="G99" i="3"/>
  <c r="H99" i="3"/>
  <c r="B100" i="3"/>
  <c r="C100" i="3"/>
  <c r="D100" i="3"/>
  <c r="E100" i="3"/>
  <c r="F100" i="3"/>
  <c r="G100" i="3"/>
  <c r="H100" i="3"/>
  <c r="B101" i="3"/>
  <c r="C101" i="3"/>
  <c r="D101" i="3"/>
  <c r="E101" i="3"/>
  <c r="F101" i="3"/>
  <c r="G101" i="3"/>
  <c r="H101" i="3"/>
  <c r="B102" i="3"/>
  <c r="C102" i="3"/>
  <c r="D102" i="3"/>
  <c r="E102" i="3"/>
  <c r="F102" i="3"/>
  <c r="G102" i="3"/>
  <c r="H102" i="3"/>
  <c r="B103" i="3"/>
  <c r="C103" i="3"/>
  <c r="D103" i="3"/>
  <c r="E103" i="3"/>
  <c r="F103" i="3"/>
  <c r="G103" i="3"/>
  <c r="H103" i="3"/>
  <c r="B104" i="3"/>
  <c r="C104" i="3"/>
  <c r="D104" i="3"/>
  <c r="E104" i="3"/>
  <c r="F104" i="3"/>
  <c r="G104" i="3"/>
  <c r="H104" i="3"/>
  <c r="B105" i="3"/>
  <c r="C105" i="3"/>
  <c r="D105" i="3"/>
  <c r="E105" i="3"/>
  <c r="F105" i="3"/>
  <c r="G105" i="3"/>
  <c r="H105" i="3"/>
  <c r="B106" i="3"/>
  <c r="C106" i="3"/>
  <c r="D106" i="3"/>
  <c r="E106" i="3"/>
  <c r="F106" i="3"/>
  <c r="G106" i="3"/>
  <c r="H106" i="3"/>
  <c r="B107" i="3"/>
  <c r="C107" i="3"/>
  <c r="D107" i="3"/>
  <c r="E107" i="3"/>
  <c r="F107" i="3"/>
  <c r="G107" i="3"/>
  <c r="H107" i="3"/>
  <c r="B108" i="3"/>
  <c r="C108" i="3"/>
  <c r="D108" i="3"/>
  <c r="E108" i="3"/>
  <c r="F108" i="3"/>
  <c r="G108" i="3"/>
  <c r="H108" i="3"/>
  <c r="B109" i="3"/>
  <c r="C109" i="3"/>
  <c r="D109" i="3"/>
  <c r="E109" i="3"/>
  <c r="F109" i="3"/>
  <c r="G109" i="3"/>
  <c r="H109" i="3"/>
  <c r="B110" i="3"/>
  <c r="C110" i="3"/>
  <c r="D110" i="3"/>
  <c r="E110" i="3"/>
  <c r="F110" i="3"/>
  <c r="G110" i="3"/>
  <c r="H110" i="3"/>
  <c r="B111" i="3"/>
  <c r="C111" i="3"/>
  <c r="D111" i="3"/>
  <c r="E111" i="3"/>
  <c r="F111" i="3"/>
  <c r="G111" i="3"/>
  <c r="H111" i="3"/>
  <c r="B112" i="3"/>
  <c r="C112" i="3"/>
  <c r="D112" i="3"/>
  <c r="E112" i="3"/>
  <c r="F112" i="3"/>
  <c r="G112" i="3"/>
  <c r="H112" i="3"/>
  <c r="T1199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G53" i="3" s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G54" i="3" s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6" i="1"/>
  <c r="T376" i="1"/>
  <c r="S377" i="1"/>
  <c r="T377" i="1"/>
  <c r="S378" i="1"/>
  <c r="T378" i="1"/>
  <c r="S379" i="1"/>
  <c r="T379" i="1"/>
  <c r="S380" i="1"/>
  <c r="T380" i="1"/>
  <c r="H380" i="1" s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R320" i="1"/>
  <c r="R331" i="1"/>
  <c r="R342" i="1"/>
  <c r="R353" i="1"/>
  <c r="R364" i="1"/>
  <c r="H375" i="1"/>
  <c r="R375" i="1"/>
  <c r="H386" i="1"/>
  <c r="R386" i="1"/>
  <c r="H397" i="1"/>
  <c r="R397" i="1"/>
  <c r="H408" i="1"/>
  <c r="R408" i="1"/>
  <c r="H419" i="1"/>
  <c r="R419" i="1"/>
  <c r="H430" i="1"/>
  <c r="R430" i="1"/>
  <c r="H441" i="1"/>
  <c r="R441" i="1"/>
  <c r="H452" i="1"/>
  <c r="R452" i="1"/>
  <c r="H463" i="1"/>
  <c r="R463" i="1"/>
  <c r="H474" i="1"/>
  <c r="R474" i="1"/>
  <c r="H485" i="1"/>
  <c r="R485" i="1"/>
  <c r="H496" i="1"/>
  <c r="R496" i="1"/>
  <c r="H507" i="1"/>
  <c r="R507" i="1"/>
  <c r="H518" i="1"/>
  <c r="R518" i="1"/>
  <c r="H529" i="1"/>
  <c r="R529" i="1"/>
  <c r="H540" i="1"/>
  <c r="R540" i="1"/>
  <c r="H551" i="1"/>
  <c r="R551" i="1"/>
  <c r="H562" i="1"/>
  <c r="R562" i="1"/>
  <c r="H573" i="1"/>
  <c r="R573" i="1"/>
  <c r="H584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1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R315" i="1"/>
  <c r="R316" i="1"/>
  <c r="R317" i="1"/>
  <c r="R318" i="1"/>
  <c r="R319" i="1"/>
  <c r="R321" i="1"/>
  <c r="R322" i="1"/>
  <c r="R323" i="1"/>
  <c r="R324" i="1"/>
  <c r="R325" i="1"/>
  <c r="R326" i="1"/>
  <c r="R327" i="1"/>
  <c r="H328" i="1"/>
  <c r="R328" i="1"/>
  <c r="H329" i="1"/>
  <c r="R329" i="1"/>
  <c r="R330" i="1"/>
  <c r="R332" i="1"/>
  <c r="R333" i="1"/>
  <c r="R334" i="1"/>
  <c r="R335" i="1"/>
  <c r="R336" i="1"/>
  <c r="R337" i="1"/>
  <c r="R338" i="1"/>
  <c r="R339" i="1"/>
  <c r="R340" i="1"/>
  <c r="R341" i="1"/>
  <c r="H343" i="1"/>
  <c r="R343" i="1"/>
  <c r="R344" i="1"/>
  <c r="R345" i="1"/>
  <c r="R346" i="1"/>
  <c r="R347" i="1"/>
  <c r="R348" i="1"/>
  <c r="R349" i="1"/>
  <c r="R350" i="1"/>
  <c r="R351" i="1"/>
  <c r="R352" i="1"/>
  <c r="R354" i="1"/>
  <c r="R355" i="1"/>
  <c r="R356" i="1"/>
  <c r="R357" i="1"/>
  <c r="R358" i="1"/>
  <c r="R359" i="1"/>
  <c r="R360" i="1"/>
  <c r="R361" i="1"/>
  <c r="R362" i="1"/>
  <c r="R363" i="1"/>
  <c r="R365" i="1"/>
  <c r="R366" i="1"/>
  <c r="R367" i="1"/>
  <c r="R368" i="1"/>
  <c r="R369" i="1"/>
  <c r="R370" i="1"/>
  <c r="R371" i="1"/>
  <c r="R372" i="1"/>
  <c r="H373" i="1"/>
  <c r="R373" i="1"/>
  <c r="H374" i="1"/>
  <c r="R374" i="1"/>
  <c r="R376" i="1"/>
  <c r="R377" i="1"/>
  <c r="R378" i="1"/>
  <c r="R379" i="1"/>
  <c r="R380" i="1"/>
  <c r="H381" i="1"/>
  <c r="R381" i="1"/>
  <c r="R382" i="1"/>
  <c r="H383" i="1"/>
  <c r="R383" i="1"/>
  <c r="H384" i="1"/>
  <c r="R384" i="1"/>
  <c r="H385" i="1"/>
  <c r="R385" i="1"/>
  <c r="H387" i="1"/>
  <c r="R387" i="1"/>
  <c r="H388" i="1"/>
  <c r="R388" i="1"/>
  <c r="H389" i="1"/>
  <c r="R389" i="1"/>
  <c r="H390" i="1"/>
  <c r="R390" i="1"/>
  <c r="H391" i="1"/>
  <c r="R391" i="1"/>
  <c r="H392" i="1"/>
  <c r="R392" i="1"/>
  <c r="H393" i="1"/>
  <c r="R393" i="1"/>
  <c r="H394" i="1"/>
  <c r="R394" i="1"/>
  <c r="H395" i="1"/>
  <c r="R395" i="1"/>
  <c r="H396" i="1"/>
  <c r="R396" i="1"/>
  <c r="H398" i="1"/>
  <c r="R398" i="1"/>
  <c r="H399" i="1"/>
  <c r="R399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9" i="1"/>
  <c r="R409" i="1"/>
  <c r="H410" i="1"/>
  <c r="R410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20" i="1"/>
  <c r="R420" i="1"/>
  <c r="H421" i="1"/>
  <c r="R421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1" i="1"/>
  <c r="R431" i="1"/>
  <c r="H432" i="1"/>
  <c r="R432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2" i="1"/>
  <c r="R442" i="1"/>
  <c r="H443" i="1"/>
  <c r="R443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3" i="1"/>
  <c r="R453" i="1"/>
  <c r="H454" i="1"/>
  <c r="R454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4" i="1"/>
  <c r="R464" i="1"/>
  <c r="H465" i="1"/>
  <c r="R465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5" i="1"/>
  <c r="R475" i="1"/>
  <c r="H476" i="1"/>
  <c r="R476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6" i="1"/>
  <c r="R486" i="1"/>
  <c r="H487" i="1"/>
  <c r="R487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7" i="1"/>
  <c r="R497" i="1"/>
  <c r="H498" i="1"/>
  <c r="R498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8" i="1"/>
  <c r="R508" i="1"/>
  <c r="H509" i="1"/>
  <c r="R509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9" i="1"/>
  <c r="R519" i="1"/>
  <c r="H520" i="1"/>
  <c r="R520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30" i="1"/>
  <c r="R530" i="1"/>
  <c r="H531" i="1"/>
  <c r="R531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1" i="1"/>
  <c r="R541" i="1"/>
  <c r="H542" i="1"/>
  <c r="R542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2" i="1"/>
  <c r="R552" i="1"/>
  <c r="H553" i="1"/>
  <c r="R553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3" i="1"/>
  <c r="R563" i="1"/>
  <c r="H564" i="1"/>
  <c r="R564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4" i="1"/>
  <c r="R574" i="1"/>
  <c r="H575" i="1"/>
  <c r="R575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5" i="1"/>
  <c r="R585" i="1"/>
  <c r="H586" i="1"/>
  <c r="R586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J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G55" i="3" l="1"/>
  <c r="F56" i="3"/>
  <c r="H56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G52" i="3"/>
  <c r="G56" i="3"/>
  <c r="G51" i="3"/>
  <c r="F51" i="3"/>
  <c r="H51" i="3"/>
  <c r="F52" i="3"/>
  <c r="H52" i="3"/>
  <c r="F53" i="3"/>
  <c r="H53" i="3"/>
  <c r="F54" i="3"/>
  <c r="H54" i="3"/>
  <c r="F55" i="3"/>
  <c r="H55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K56" i="2"/>
  <c r="K55" i="2"/>
  <c r="K51" i="2"/>
  <c r="K52" i="2"/>
  <c r="K50" i="2"/>
  <c r="J18" i="2"/>
  <c r="D49" i="2"/>
  <c r="K18" i="2" l="1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<sst xmlns="http://schemas.openxmlformats.org/spreadsheetml/2006/main" count="6470" uniqueCount="3270">
  <si>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</si>
  <si>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</si>
  <si>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</si>
  <si>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</si>
  <si>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</si>
  <si>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</si>
  <si>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</si>
  <si>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</si>
  <si>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</si>
  <si>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</si>
  <si>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</si>
  <si>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</si>
  <si>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</si>
  <si>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</si>
  <si>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</si>
  <si>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</si>
  <si>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</si>
  <si>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</si>
  <si>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</si>
  <si>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</si>
  <si>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</si>
  <si>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</si>
  <si>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</si>
  <si>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</si>
  <si>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</si>
  <si>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</si>
  <si>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</si>
  <si>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</si>
  <si>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</si>
  <si>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</si>
  <si>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</si>
  <si>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</si>
  <si>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</si>
  <si>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</si>
  <si>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</si>
  <si>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</si>
  <si>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</si>
  <si>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</si>
  <si>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</si>
  <si>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</si>
  <si>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</si>
  <si>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</si>
  <si>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</si>
  <si>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</si>
  <si>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</si>
  <si>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</si>
  <si>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</si>
  <si>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</si>
  <si>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</si>
  <si>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</si>
  <si>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</si>
  <si>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</si>
  <si>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</si>
  <si>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</si>
  <si>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</si>
  <si>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</si>
  <si>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</si>
  <si>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</si>
  <si>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</si>
  <si>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</si>
  <si>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</si>
  <si>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</si>
  <si>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</si>
  <si>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</si>
  <si>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</si>
  <si>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</si>
  <si>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</si>
  <si>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</si>
  <si>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</si>
  <si>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</si>
  <si>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</si>
  <si>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</si>
  <si>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</si>
  <si>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</si>
  <si>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</si>
  <si>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</si>
  <si>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</si>
  <si>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</si>
  <si>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</si>
  <si>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</si>
  <si>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</si>
  <si>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</si>
  <si>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</si>
  <si>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</si>
  <si>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</si>
  <si>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</si>
  <si>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</si>
  <si>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</si>
  <si>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</si>
  <si>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</si>
  <si>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</si>
  <si>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</si>
  <si>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</si>
  <si>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</si>
  <si>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</si>
  <si>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</si>
  <si>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</si>
  <si>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</si>
  <si>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</si>
  <si>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</si>
  <si>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</si>
  <si>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</si>
  <si>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</si>
  <si>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</si>
  <si>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</si>
  <si>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</si>
  <si>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</si>
  <si>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</si>
  <si>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</si>
  <si>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</si>
  <si>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</si>
  <si>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</si>
  <si>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</si>
  <si>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</si>
  <si>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</si>
  <si>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</si>
  <si>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</si>
  <si>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</si>
  <si>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</si>
  <si>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</si>
  <si>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</si>
  <si>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</si>
  <si>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</si>
  <si>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</si>
  <si>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</si>
  <si>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</si>
  <si>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</si>
  <si>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</si>
  <si>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</si>
  <si>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</si>
  <si>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</si>
  <si>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</si>
  <si>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</si>
  <si>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</si>
  <si>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</si>
  <si>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</si>
  <si>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</si>
  <si>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</si>
  <si>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</si>
  <si>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</si>
  <si>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</si>
  <si>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</si>
  <si>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</si>
  <si>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</si>
  <si>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</si>
  <si>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</si>
  <si>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</si>
  <si>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</si>
  <si>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</si>
  <si>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</si>
  <si>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</si>
  <si>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</si>
  <si>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</si>
  <si>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</si>
  <si>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</si>
  <si>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</si>
  <si>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</si>
  <si>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</si>
  <si>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</si>
  <si>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</si>
  <si>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</si>
  <si>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</si>
  <si>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</si>
  <si>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</si>
  <si>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</si>
  <si>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</si>
  <si>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</si>
  <si>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</si>
  <si>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</si>
  <si>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</si>
  <si>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</si>
  <si>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</si>
  <si>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</si>
  <si>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</si>
  <si>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</si>
  <si>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</si>
  <si>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</si>
  <si>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</si>
  <si>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</si>
  <si>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</si>
  <si>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</si>
  <si>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</si>
  <si>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</si>
  <si>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</si>
  <si>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</si>
  <si>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</si>
  <si>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</si>
  <si>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</si>
  <si>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</si>
  <si>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</si>
  <si>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</si>
  <si>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</si>
  <si>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</si>
  <si>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</si>
  <si>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</si>
  <si>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</si>
  <si>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</si>
  <si>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</si>
  <si>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</si>
  <si>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</si>
  <si>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</si>
  <si>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</si>
  <si>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</si>
  <si>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</si>
  <si>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</si>
  <si>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</si>
  <si>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</si>
  <si>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</si>
  <si>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</si>
  <si>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</si>
  <si>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</si>
  <si>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</si>
  <si>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</si>
  <si>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</si>
  <si>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</si>
  <si>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</si>
  <si>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</si>
  <si>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</si>
  <si>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</si>
  <si>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</si>
  <si>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</si>
  <si>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</si>
  <si>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</si>
  <si>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</si>
  <si>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</si>
  <si>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</si>
  <si>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</si>
  <si>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</si>
  <si>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</si>
  <si>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</si>
  <si>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</si>
  <si>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</si>
  <si>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</si>
  <si>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</si>
  <si>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</si>
  <si>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</si>
  <si>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</si>
  <si>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</si>
  <si>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</si>
  <si>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</si>
  <si>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</si>
  <si>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</si>
  <si>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</si>
  <si>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</si>
  <si>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</si>
  <si>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</si>
  <si>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</si>
  <si>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</si>
  <si>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</si>
  <si>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</si>
  <si>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</si>
  <si>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</si>
  <si>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</si>
  <si>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</si>
  <si>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</si>
  <si>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</si>
  <si>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</si>
  <si>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</si>
  <si>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</si>
  <si>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</si>
  <si>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</si>
  <si>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</si>
  <si>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</si>
  <si>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</si>
  <si>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</si>
  <si>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</si>
  <si>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</si>
  <si>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</si>
  <si>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</si>
  <si>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</si>
  <si>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</si>
  <si>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</si>
  <si>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</si>
  <si>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</si>
  <si>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</si>
  <si>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</si>
  <si>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</si>
  <si>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</si>
  <si>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</si>
  <si>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</si>
  <si>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</si>
  <si>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</si>
  <si>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</si>
  <si>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</si>
  <si>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</si>
  <si>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</si>
  <si>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</si>
  <si>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</si>
  <si>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</si>
  <si>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</si>
  <si>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</si>
  <si>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</si>
  <si>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</si>
  <si>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</si>
  <si>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</si>
  <si>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</si>
  <si>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</si>
  <si>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</si>
  <si>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</si>
  <si>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</si>
  <si>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</si>
  <si>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</si>
  <si>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</si>
  <si>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</si>
  <si>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</si>
  <si>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</si>
  <si>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</si>
  <si>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</si>
  <si>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</si>
  <si>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</si>
  <si>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</si>
  <si>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</si>
  <si>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</si>
  <si>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</si>
  <si>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</si>
  <si>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</si>
  <si>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</si>
  <si>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</si>
  <si>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</si>
  <si>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</si>
  <si>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</si>
  <si>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</si>
  <si>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</si>
  <si>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</si>
  <si>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</si>
  <si>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</si>
  <si>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</si>
  <si>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</si>
  <si>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</si>
  <si>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</si>
  <si>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</si>
  <si>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</si>
  <si>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</si>
  <si>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</si>
  <si>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</si>
  <si>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</si>
  <si>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</si>
  <si>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</si>
  <si>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</si>
  <si>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</si>
  <si>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</si>
  <si>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</si>
  <si>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</si>
  <si>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</si>
  <si>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</si>
  <si>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</si>
  <si>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</si>
  <si>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</si>
  <si>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</si>
  <si>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</si>
  <si>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</si>
  <si>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</si>
  <si>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</si>
  <si>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</si>
  <si>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</si>
  <si>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</si>
  <si>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</si>
  <si>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</si>
  <si>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</si>
  <si>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</si>
  <si>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</si>
  <si>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</si>
  <si>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</si>
  <si>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</si>
  <si>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</si>
  <si>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</si>
  <si>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</si>
  <si>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</si>
  <si>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</si>
  <si>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</si>
  <si>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</si>
  <si>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</si>
  <si>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</si>
  <si>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</si>
  <si>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</si>
  <si>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</si>
  <si>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</si>
  <si>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</si>
  <si>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</si>
  <si>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</si>
  <si>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</si>
  <si>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</si>
  <si>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</si>
  <si>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</si>
  <si>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</si>
  <si>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</si>
  <si>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</si>
  <si>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</si>
  <si>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</si>
  <si>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</si>
  <si>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</si>
  <si>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</si>
  <si>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</si>
  <si>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</si>
  <si>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</si>
  <si>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</si>
  <si>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</si>
  <si>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</si>
  <si>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</si>
  <si>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</si>
  <si>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</si>
  <si>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</si>
  <si>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</si>
  <si>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</si>
  <si>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</si>
  <si>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</si>
  <si>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</si>
  <si>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</si>
  <si>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</si>
  <si>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</si>
  <si>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</si>
  <si>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</si>
  <si>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</si>
  <si>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</si>
  <si>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</si>
  <si>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</si>
  <si>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</si>
  <si>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</si>
  <si>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</si>
  <si>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</si>
  <si>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</si>
  <si>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</si>
  <si>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</si>
  <si>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</si>
  <si>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</si>
  <si>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</si>
  <si>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</si>
  <si>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</si>
  <si>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</si>
  <si>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</si>
  <si>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</si>
  <si>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</si>
  <si>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</si>
  <si>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</si>
  <si>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</si>
  <si>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</si>
  <si>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</si>
  <si>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</si>
  <si>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</si>
  <si>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</si>
  <si>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</si>
  <si>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</si>
  <si>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</si>
  <si>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</si>
  <si>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</si>
  <si>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</si>
  <si>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</si>
  <si>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</si>
  <si>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</si>
  <si>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</si>
  <si>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n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</si>
  <si>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</si>
  <si>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</si>
  <si>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</si>
  <si>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</si>
  <si>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</si>
  <si>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</si>
  <si>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</si>
  <si>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</si>
  <si>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</si>
  <si>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</si>
  <si>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</si>
  <si>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</si>
  <si>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</si>
  <si>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</si>
  <si>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</si>
  <si>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</si>
  <si>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</si>
  <si>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</si>
  <si>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</si>
  <si>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</si>
  <si>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</si>
  <si>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</si>
  <si>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</si>
  <si>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</si>
  <si>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</si>
  <si>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</si>
  <si>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</si>
  <si>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</si>
  <si>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</si>
  <si>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</si>
  <si>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</si>
  <si>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</si>
  <si>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</si>
  <si>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</si>
  <si>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</si>
  <si>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</si>
  <si>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</si>
  <si>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</si>
  <si>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</si>
  <si>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</si>
  <si>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</si>
  <si>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</si>
  <si>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</si>
  <si>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</si>
  <si>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</si>
  <si>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</si>
  <si>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</si>
  <si>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</si>
  <si>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</si>
  <si>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</si>
  <si>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</si>
  <si>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</si>
  <si>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</si>
  <si>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</si>
  <si>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</si>
  <si>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</si>
  <si>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</si>
  <si>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</si>
  <si>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</si>
  <si>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</si>
  <si>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</si>
  <si>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</si>
  <si>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</si>
  <si>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</si>
  <si>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</si>
  <si>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</si>
  <si>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</si>
  <si>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</si>
  <si>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</si>
  <si>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</si>
  <si>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</si>
  <si>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</si>
  <si>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</si>
  <si>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</si>
  <si>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</si>
  <si>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</si>
  <si>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</si>
  <si>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</si>
  <si>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</si>
  <si>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</si>
  <si>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</si>
  <si>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</si>
  <si>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</si>
  <si>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</si>
  <si>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</si>
  <si>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</si>
  <si>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</si>
  <si>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</si>
  <si>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</si>
  <si>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</si>
  <si>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</si>
  <si>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</si>
  <si>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</si>
  <si>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</si>
  <si>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</si>
  <si>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</si>
  <si>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</si>
  <si>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</si>
  <si>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</si>
  <si>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</si>
  <si>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</si>
  <si>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</si>
  <si>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</si>
  <si>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</si>
  <si>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</si>
  <si>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MOV-314</t>
  </si>
  <si>
    <t>260623-295</t>
  </si>
  <si>
    <t>MOV-315</t>
  </si>
  <si>
    <t>MOV-316</t>
  </si>
  <si>
    <t>260415-032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</si>
  <si>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</si>
  <si>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</si>
  <si>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</si>
  <si>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</si>
  <si>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</si>
  <si>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</si>
  <si>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</si>
  <si>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</si>
  <si>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</si>
  <si>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</si>
  <si>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</si>
  <si>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</si>
  <si>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Acrecio</t>
  </si>
  <si>
    <t>Ácidos Húmicos / L-Triptofano puro / L- Metionina pura / Acreciactiv</t>
  </si>
  <si>
    <t xml:space="preserve">Bioestimulante </t>
  </si>
  <si>
    <t>MOV-329</t>
  </si>
  <si>
    <t xml:space="preserve">Bioavanza plus </t>
  </si>
  <si>
    <t>MOV-330</t>
  </si>
  <si>
    <t>MOV-331</t>
  </si>
  <si>
    <t>MOV-332</t>
  </si>
  <si>
    <t>MOV-333</t>
  </si>
  <si>
    <t>MOV-334</t>
  </si>
  <si>
    <t>MOV-335</t>
  </si>
  <si>
    <t>260618-283</t>
  </si>
  <si>
    <t>MOV-336</t>
  </si>
  <si>
    <t>260702-328</t>
  </si>
  <si>
    <t>Lit. Norte San Luis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</si>
  <si>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</si>
  <si>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</si>
  <si>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</si>
  <si>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</si>
  <si>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</si>
  <si>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</si>
  <si>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</si>
  <si>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</si>
  <si>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</si>
  <si>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</si>
  <si>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</si>
  <si>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</si>
  <si>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</si>
  <si>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</si>
  <si>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</si>
  <si>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</si>
  <si>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</si>
  <si>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</si>
  <si>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</si>
  <si>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</si>
  <si>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</si>
  <si>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</si>
  <si>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</si>
  <si>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</si>
  <si>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</si>
  <si>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</si>
  <si>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</si>
  <si>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260702-329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</si>
  <si>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</si>
  <si>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</si>
  <si>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</si>
  <si>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</si>
  <si>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</si>
  <si>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</si>
  <si>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</si>
  <si>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</si>
  <si>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</si>
  <si>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</si>
  <si>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DK 69-62 TRE</t>
  </si>
  <si>
    <t xml:space="preserve">semilla comprada maíz </t>
  </si>
  <si>
    <t>bolsa</t>
  </si>
  <si>
    <t>MOV-374</t>
  </si>
  <si>
    <t>DK 72-10 RR2C5</t>
  </si>
  <si>
    <t>MOV-375</t>
  </si>
  <si>
    <t>DK 73-03 TRE</t>
  </si>
  <si>
    <t>MOV-376</t>
  </si>
  <si>
    <t>MOV-377</t>
  </si>
  <si>
    <t>MOV-378</t>
  </si>
  <si>
    <t>MOV-379</t>
  </si>
  <si>
    <t>MOV-380</t>
  </si>
  <si>
    <t>MOV-381</t>
  </si>
  <si>
    <t>azuka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</si>
  <si>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</si>
  <si>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</si>
  <si>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</si>
  <si>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</si>
  <si>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</si>
  <si>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</si>
  <si>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</si>
  <si>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</si>
  <si>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</si>
  <si>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</si>
  <si>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</si>
  <si>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</si>
  <si>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</si>
  <si>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</si>
  <si>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</si>
  <si>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</si>
  <si>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</si>
  <si>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</si>
  <si>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</si>
  <si>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</si>
  <si>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</si>
  <si>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</si>
  <si>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</si>
  <si>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</si>
  <si>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</si>
  <si>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</si>
  <si>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</si>
  <si>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</si>
  <si>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</si>
  <si>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</si>
  <si>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</si>
  <si>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</si>
  <si>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</si>
  <si>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</si>
  <si>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</si>
  <si>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</si>
  <si>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</si>
  <si>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</si>
  <si>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</si>
  <si>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</si>
  <si>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</si>
  <si>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</si>
  <si>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</si>
  <si>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</si>
  <si>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</si>
  <si>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</si>
  <si>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</si>
  <si>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</si>
  <si>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</si>
  <si>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</si>
  <si>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</si>
  <si>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</si>
  <si>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</si>
  <si>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</si>
  <si>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</si>
  <si>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</si>
  <si>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</si>
  <si>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</si>
  <si>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</si>
  <si>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</si>
  <si>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</si>
  <si>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</si>
  <si>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</si>
  <si>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</si>
  <si>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</si>
  <si>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</si>
  <si>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</si>
  <si>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</si>
  <si>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</si>
  <si>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</si>
  <si>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</si>
  <si>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</si>
  <si>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</si>
  <si>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</si>
  <si>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</si>
  <si>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</si>
  <si>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</si>
  <si>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</si>
  <si>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</si>
  <si>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</si>
  <si>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</si>
  <si>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</si>
  <si>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</si>
  <si>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</si>
  <si>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</si>
  <si>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</si>
  <si>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</si>
  <si>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</si>
  <si>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</si>
  <si>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</si>
  <si>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</si>
  <si>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</si>
  <si>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</si>
  <si>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</si>
  <si>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</si>
  <si>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</si>
  <si>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</si>
  <si>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</si>
  <si>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</si>
  <si>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</si>
  <si>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</si>
  <si>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</si>
  <si>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</si>
  <si>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</si>
  <si>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</si>
  <si>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</si>
  <si>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</si>
  <si>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</si>
  <si>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</si>
  <si>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</si>
  <si>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</si>
  <si>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</si>
  <si>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</si>
  <si>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</si>
  <si>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</si>
  <si>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</si>
  <si>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</si>
  <si>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</si>
  <si>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</si>
  <si>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</si>
  <si>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</si>
  <si>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</si>
  <si>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</si>
  <si>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</si>
  <si>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</si>
  <si>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</si>
  <si>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</si>
  <si>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</si>
  <si>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</si>
  <si>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</si>
  <si>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</si>
  <si>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</si>
  <si>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</si>
  <si>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</si>
  <si>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</si>
  <si>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</si>
  <si>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</si>
  <si>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</si>
  <si>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</si>
  <si>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</si>
  <si>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</si>
  <si>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</si>
  <si>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</si>
  <si>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</si>
  <si>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</si>
  <si>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</si>
  <si>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</si>
  <si>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</si>
  <si>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</si>
  <si>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</si>
  <si>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</si>
  <si>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</si>
  <si>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</si>
  <si>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</si>
  <si>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</si>
  <si>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</si>
  <si>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</si>
  <si>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</si>
  <si>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</si>
  <si>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</si>
  <si>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</si>
  <si>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</si>
  <si>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</si>
  <si>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</si>
  <si>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</si>
  <si>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</si>
  <si>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</si>
  <si>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</si>
  <si>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</si>
  <si>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</si>
  <si>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</si>
  <si>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</si>
  <si>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</si>
  <si>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</si>
  <si>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</si>
  <si>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</si>
  <si>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</si>
  <si>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</si>
  <si>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</si>
  <si>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</si>
  <si>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</si>
  <si>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</si>
  <si>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</si>
  <si>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</si>
  <si>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</si>
  <si>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</si>
  <si>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</si>
  <si>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</si>
  <si>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</si>
  <si>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</si>
  <si>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</si>
  <si>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</si>
  <si>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</si>
  <si>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</si>
  <si>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</si>
  <si>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</si>
  <si>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</si>
  <si>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</si>
  <si>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</si>
  <si>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</si>
  <si>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</si>
  <si>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</si>
  <si>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</si>
  <si>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</si>
  <si>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</si>
  <si>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</si>
  <si>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</si>
  <si>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</si>
  <si>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</si>
  <si>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</si>
  <si>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</si>
  <si>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</si>
  <si>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</si>
  <si>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</si>
  <si>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</si>
  <si>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</si>
  <si>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</si>
  <si>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</si>
  <si>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</si>
  <si>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</si>
  <si>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</si>
  <si>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</si>
  <si>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</si>
  <si>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</si>
  <si>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</si>
  <si>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</si>
  <si>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</si>
  <si>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</si>
  <si>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</si>
  <si>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</si>
  <si>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</si>
  <si>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</si>
  <si>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</si>
  <si>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</si>
  <si>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</si>
  <si>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</si>
  <si>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</si>
  <si>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</si>
  <si>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</si>
  <si>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</si>
  <si>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</si>
  <si>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</si>
  <si>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</si>
  <si>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</si>
  <si>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</si>
  <si>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</si>
  <si>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</si>
  <si>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</si>
  <si>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</si>
  <si>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</si>
  <si>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</si>
  <si>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</si>
  <si>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</si>
  <si>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</si>
  <si>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</si>
  <si>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</si>
  <si>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</si>
  <si>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</si>
  <si>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</si>
  <si>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</si>
  <si>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</si>
  <si>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</si>
  <si>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</si>
  <si>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</si>
  <si>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</si>
  <si>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</si>
  <si>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</si>
  <si>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</si>
  <si>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</si>
  <si>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</si>
  <si>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</si>
  <si>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</si>
  <si>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</si>
  <si>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</si>
  <si>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</si>
  <si>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</si>
  <si>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</si>
  <si>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</si>
  <si>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</si>
  <si>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</si>
  <si>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</si>
  <si>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</si>
  <si>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</si>
  <si>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</si>
  <si>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</si>
  <si>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</si>
  <si>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</si>
  <si>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</si>
  <si>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</si>
  <si>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</si>
  <si>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</si>
  <si>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</si>
  <si>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</si>
  <si>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</si>
  <si>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</si>
  <si>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</si>
  <si>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</si>
  <si>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</si>
  <si>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</si>
  <si>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</si>
  <si>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</si>
  <si>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</si>
  <si>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</si>
  <si>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</si>
  <si>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</si>
  <si>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</si>
  <si>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</si>
  <si>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</si>
  <si>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</si>
  <si>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</si>
  <si>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</si>
  <si>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</si>
  <si>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</si>
  <si>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</si>
  <si>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</si>
  <si>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</si>
  <si>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</si>
  <si>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</si>
  <si>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</si>
  <si>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</si>
  <si>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</si>
  <si>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</si>
  <si>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</si>
  <si>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</si>
  <si>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</si>
  <si>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</si>
  <si>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</si>
  <si>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</si>
  <si>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</si>
  <si>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</si>
  <si>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</si>
  <si>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</si>
  <si>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</si>
  <si>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</si>
  <si>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</si>
  <si>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</si>
  <si>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</si>
  <si>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</si>
  <si>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</si>
  <si>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</si>
  <si>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</si>
  <si>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</si>
  <si>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</si>
  <si>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</si>
  <si>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</si>
  <si>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</si>
  <si>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</si>
  <si>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</si>
  <si>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</si>
  <si>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</si>
  <si>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</si>
  <si>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</si>
  <si>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</si>
  <si>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</si>
  <si>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</si>
  <si>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</si>
  <si>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</si>
  <si>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</si>
  <si>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</si>
  <si>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</si>
  <si>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</si>
  <si>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</si>
  <si>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</si>
  <si>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</si>
  <si>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</si>
  <si>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</si>
  <si>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</si>
  <si>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</si>
  <si>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</si>
  <si>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</si>
  <si>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</si>
  <si>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</si>
  <si>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</si>
  <si>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</si>
  <si>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</si>
  <si>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</si>
  <si>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</si>
  <si>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</si>
  <si>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</si>
  <si>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</si>
  <si>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</si>
  <si>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</si>
  <si>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</si>
  <si>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</si>
  <si>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</si>
  <si>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</si>
  <si>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</si>
  <si>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</si>
  <si>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</si>
  <si>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</si>
  <si>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</si>
  <si>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</si>
  <si>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</si>
  <si>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</si>
  <si>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</si>
  <si>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</si>
  <si>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</si>
  <si>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</si>
  <si>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</si>
  <si>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</si>
  <si>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</si>
  <si>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</si>
  <si>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</si>
  <si>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</si>
  <si>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</si>
  <si>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</si>
  <si>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</si>
  <si>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</si>
  <si>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</si>
  <si>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</si>
  <si>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</si>
  <si>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</si>
  <si>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</si>
  <si>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</si>
  <si>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</si>
  <si>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</si>
  <si>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</si>
  <si>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</si>
  <si>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</si>
  <si>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</si>
  <si>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</si>
  <si>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</si>
  <si>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</si>
  <si>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</si>
  <si>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</si>
  <si>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</si>
  <si>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</si>
  <si>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</si>
  <si>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</si>
  <si>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</si>
  <si>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</si>
  <si>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</si>
  <si>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</si>
  <si>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</si>
  <si>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</si>
  <si>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</si>
  <si>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</si>
  <si>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</si>
  <si>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</si>
  <si>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</si>
  <si>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</si>
  <si>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</si>
  <si>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</si>
  <si>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</si>
  <si>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</si>
  <si>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</si>
  <si>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</si>
  <si>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</si>
  <si>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</si>
  <si>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</si>
  <si>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</si>
  <si>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</si>
  <si>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</si>
  <si>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</si>
  <si>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</si>
  <si>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</si>
  <si>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</si>
  <si>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</si>
  <si>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</si>
  <si>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</si>
  <si>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</si>
  <si>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</si>
  <si>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</si>
  <si>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</si>
  <si>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</si>
  <si>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</si>
  <si>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</si>
  <si>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</si>
  <si>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</si>
  <si>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</si>
  <si>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</si>
  <si>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</si>
  <si>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</si>
  <si>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</si>
  <si>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</si>
  <si>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</si>
  <si>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</si>
  <si>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</si>
  <si>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</si>
  <si>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</si>
  <si>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</si>
  <si>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</si>
  <si>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</si>
  <si>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</si>
  <si>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</si>
  <si>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</si>
  <si>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</si>
  <si>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</si>
  <si>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</si>
  <si>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</si>
  <si>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</si>
  <si>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</si>
  <si>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</si>
  <si>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</si>
  <si>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</si>
  <si>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</si>
  <si>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</si>
  <si>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</si>
  <si>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</si>
  <si>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</si>
  <si>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</si>
  <si>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</si>
  <si>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</si>
  <si>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</si>
  <si>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</si>
  <si>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</si>
  <si>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</si>
  <si>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</si>
  <si>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</si>
  <si>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</si>
  <si>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</si>
  <si>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</si>
  <si>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</si>
  <si>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</si>
  <si>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</si>
  <si>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</si>
  <si>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</si>
  <si>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</si>
  <si>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</si>
  <si>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</si>
  <si>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</si>
  <si>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</si>
  <si>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</si>
  <si>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</si>
  <si>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</si>
  <si>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</si>
  <si>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</si>
  <si>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</si>
  <si>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</si>
  <si>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</si>
  <si>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</si>
  <si>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</si>
  <si>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</si>
  <si>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</si>
  <si>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</si>
  <si>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</si>
  <si>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</si>
  <si>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</si>
  <si>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</si>
  <si>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</si>
  <si>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</si>
  <si>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</si>
  <si>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</si>
  <si>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</si>
  <si>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</si>
  <si>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</si>
  <si>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</si>
  <si>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</si>
  <si>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</si>
  <si>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</si>
  <si>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</si>
  <si>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</si>
  <si>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</si>
  <si>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</si>
  <si>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</si>
  <si>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</si>
  <si>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</si>
  <si>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</si>
  <si>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</si>
  <si>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</si>
  <si>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</si>
  <si>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</si>
  <si>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</si>
  <si>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</si>
  <si>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</si>
  <si>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</si>
  <si>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</si>
  <si>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</si>
  <si>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</si>
  <si>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</si>
  <si>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</si>
  <si>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</si>
  <si>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</si>
  <si>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</si>
  <si>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</si>
  <si>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</si>
  <si>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</si>
  <si>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</si>
  <si>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</si>
  <si>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</si>
  <si>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</si>
  <si>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</si>
  <si>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</si>
  <si>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</si>
  <si>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</si>
  <si>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</si>
  <si>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</si>
  <si>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</si>
  <si>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</si>
  <si>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</si>
  <si>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</si>
  <si>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</si>
  <si>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</si>
  <si>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</si>
  <si>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</si>
  <si>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</si>
  <si>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</si>
  <si>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</si>
  <si>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</si>
  <si>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</si>
  <si>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</si>
  <si>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</si>
  <si>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</si>
  <si>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</si>
  <si>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</si>
  <si>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</si>
  <si>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</si>
  <si>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</si>
  <si>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</si>
  <si>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</si>
  <si>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</si>
  <si>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</si>
  <si>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</si>
  <si>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</si>
  <si>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</si>
  <si>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</si>
  <si>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</si>
  <si>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</si>
  <si>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</si>
  <si>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</si>
  <si>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</si>
  <si>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</si>
  <si>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</si>
  <si>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</si>
  <si>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</si>
  <si>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</si>
  <si>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</si>
  <si>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</si>
  <si>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</si>
  <si>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</si>
  <si>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</si>
  <si>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</si>
  <si>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</si>
  <si>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</si>
  <si>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</si>
  <si>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</si>
  <si>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</si>
  <si>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</si>
  <si>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</si>
  <si>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</si>
  <si>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</si>
  <si>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</si>
  <si>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</si>
  <si>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</si>
  <si>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</si>
  <si>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</si>
  <si>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</si>
  <si>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</si>
  <si>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</si>
  <si>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</si>
  <si>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</si>
  <si>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</si>
  <si>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</si>
  <si>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</si>
  <si>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</si>
  <si>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</si>
  <si>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</si>
  <si>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</si>
  <si>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</si>
  <si>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</si>
  <si>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</si>
  <si>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</si>
  <si>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</si>
  <si>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</si>
  <si>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</si>
  <si>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</si>
  <si>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</si>
  <si>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</si>
  <si>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</si>
  <si>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</si>
  <si>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</si>
  <si>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</si>
  <si>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</si>
  <si>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</si>
  <si>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</si>
  <si>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</si>
  <si>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</si>
  <si>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</si>
  <si>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</si>
  <si>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</si>
  <si>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</si>
  <si>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</si>
  <si>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</si>
  <si>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</si>
  <si>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</si>
  <si>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</si>
  <si>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</si>
  <si>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</si>
  <si>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</si>
  <si>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</si>
  <si>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</si>
  <si>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</si>
  <si>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</si>
  <si>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</si>
  <si>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</si>
  <si>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</si>
  <si>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</si>
  <si>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</si>
  <si>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</si>
  <si>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</si>
  <si>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</si>
  <si>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</si>
  <si>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</si>
  <si>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</si>
  <si>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</si>
  <si>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</si>
  <si>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</si>
  <si>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</si>
  <si>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</si>
  <si>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</si>
  <si>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</si>
  <si>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</si>
  <si>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</si>
  <si>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</si>
  <si>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</si>
  <si>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</si>
  <si>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</si>
  <si>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</si>
  <si>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</si>
  <si>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</si>
  <si>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</si>
  <si>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</si>
  <si>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</si>
  <si>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</si>
  <si>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</si>
  <si>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</si>
  <si>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</si>
  <si>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</si>
  <si>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</si>
  <si>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</si>
  <si>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</si>
  <si>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</si>
  <si>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</si>
  <si>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</si>
  <si>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</si>
  <si>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</si>
  <si>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</si>
  <si>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</si>
  <si>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</si>
  <si>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</si>
  <si>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</si>
  <si>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</si>
  <si>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</si>
  <si>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</si>
  <si>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</si>
  <si>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</si>
  <si>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</si>
  <si>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</si>
  <si>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</si>
  <si>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</si>
  <si>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</si>
  <si>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</si>
  <si>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</si>
  <si>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</si>
  <si>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</si>
  <si>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</si>
  <si>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</si>
  <si>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</si>
  <si>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</si>
  <si>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</si>
  <si>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</si>
  <si>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</si>
  <si>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</si>
  <si>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</si>
  <si>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</si>
  <si>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</si>
  <si>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</si>
  <si>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</si>
  <si>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</si>
  <si>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</si>
  <si>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</si>
  <si>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</si>
  <si>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</si>
  <si>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</si>
  <si>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</si>
  <si>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</si>
  <si>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</si>
  <si>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</si>
  <si>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</si>
  <si>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</si>
  <si>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</si>
  <si>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</si>
  <si>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</si>
  <si>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</si>
  <si>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</si>
  <si>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</si>
  <si>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</si>
  <si>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</si>
  <si>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</si>
  <si>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</si>
  <si>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</si>
  <si>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</si>
  <si>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</si>
  <si>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</si>
  <si>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</si>
  <si>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</si>
  <si>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</si>
  <si>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</si>
  <si>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</si>
  <si>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</si>
  <si>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</si>
  <si>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</si>
  <si>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</si>
  <si>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</si>
  <si>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</si>
  <si>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</si>
  <si>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</si>
  <si>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</si>
  <si>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</si>
  <si>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</si>
  <si>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</si>
  <si>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</si>
  <si>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</si>
  <si>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</si>
  <si>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</si>
  <si>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</si>
  <si>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</si>
  <si>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</si>
  <si>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</si>
  <si>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</si>
  <si>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</si>
  <si>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</si>
  <si>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</si>
  <si>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</si>
  <si>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</si>
  <si>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</si>
  <si>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</si>
  <si>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</si>
  <si>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</si>
  <si>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</si>
  <si>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</si>
  <si>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</si>
  <si>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</si>
  <si>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</si>
  <si>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</si>
  <si>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</si>
  <si>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</si>
  <si>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</si>
  <si>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</si>
  <si>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</si>
  <si>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</si>
  <si>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</si>
  <si>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</si>
  <si>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</si>
  <si>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</si>
  <si>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</si>
  <si>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</si>
  <si>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</si>
  <si>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</si>
  <si>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</si>
  <si>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</si>
  <si>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</si>
  <si>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</si>
  <si>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</si>
  <si>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</si>
  <si>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</si>
  <si>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</si>
  <si>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</si>
  <si>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</si>
  <si>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</si>
  <si>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</si>
  <si>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</si>
  <si>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</si>
  <si>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</si>
  <si>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</si>
  <si>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</si>
  <si>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</si>
  <si>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</si>
  <si>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</si>
  <si>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</si>
  <si>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</si>
  <si>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</si>
  <si>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</si>
  <si>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</si>
  <si>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</si>
  <si>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</si>
  <si>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</si>
  <si>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</si>
  <si>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</si>
  <si>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</si>
  <si>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</si>
  <si>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</si>
  <si>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</si>
  <si>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</si>
  <si>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</si>
  <si>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</si>
  <si>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</si>
  <si>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</si>
  <si>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</si>
  <si>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</si>
  <si>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</si>
  <si>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</si>
  <si>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</si>
  <si>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</si>
  <si>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</si>
  <si>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</si>
  <si>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</si>
  <si>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</si>
  <si>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</si>
  <si>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</si>
  <si>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</si>
  <si>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</si>
  <si>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</si>
  <si>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</si>
  <si>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</si>
  <si>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</si>
  <si>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</si>
  <si>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</si>
  <si>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</si>
  <si>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</si>
  <si>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</si>
  <si>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</si>
  <si>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</si>
  <si>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</si>
  <si>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</si>
  <si>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</si>
  <si>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</si>
  <si>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</si>
  <si>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</si>
  <si>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</si>
  <si>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</si>
  <si>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</si>
  <si>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</si>
  <si>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</si>
  <si>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</si>
  <si>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</si>
  <si>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</si>
  <si>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</si>
  <si>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</si>
  <si>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</si>
  <si>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</si>
  <si>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</si>
  <si>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</si>
  <si>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</si>
  <si>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</si>
  <si>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</si>
  <si>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</si>
  <si>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</si>
  <si>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</si>
  <si>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</si>
  <si>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</si>
  <si>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</si>
  <si>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</si>
  <si>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</si>
  <si>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</si>
  <si>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</si>
  <si>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</si>
  <si>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</si>
  <si>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</si>
  <si>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</si>
  <si>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</si>
  <si>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</si>
  <si>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</si>
  <si>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</si>
  <si>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</si>
  <si>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</si>
  <si>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</si>
  <si>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</si>
  <si>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</si>
  <si>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</si>
  <si>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</si>
  <si>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</si>
  <si>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</si>
  <si>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</si>
  <si>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</si>
  <si>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</si>
  <si>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</si>
  <si>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</si>
  <si>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</si>
  <si>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</si>
  <si>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</si>
  <si>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</si>
  <si>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</si>
  <si>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</si>
  <si>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</si>
  <si>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</si>
  <si>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</si>
  <si>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</si>
  <si>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</si>
  <si>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</si>
  <si>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</si>
  <si>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</si>
  <si>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</si>
  <si>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</si>
  <si>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</si>
  <si>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</si>
  <si>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</si>
  <si>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</si>
  <si>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</si>
  <si>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</si>
  <si>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</si>
  <si>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</si>
  <si>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</si>
  <si>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</si>
  <si>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</si>
  <si>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</si>
  <si>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</si>
  <si>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</si>
  <si>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</si>
  <si>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</si>
  <si>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</si>
  <si>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</si>
  <si>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</si>
  <si>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</si>
  <si>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</si>
  <si>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</si>
  <si>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</si>
  <si>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</si>
  <si>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</si>
  <si>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</si>
  <si>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</si>
  <si>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</si>
  <si>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</si>
  <si>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</si>
  <si>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</si>
  <si>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</si>
  <si>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</si>
  <si>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</si>
  <si>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</si>
  <si>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</si>
  <si>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</si>
  <si>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</si>
  <si>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</si>
  <si>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</si>
  <si>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</si>
  <si>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</si>
  <si>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</si>
  <si>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</si>
  <si>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</si>
  <si>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</si>
  <si>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</si>
  <si>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</si>
  <si>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</si>
  <si>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</si>
  <si>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</si>
  <si>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</si>
  <si>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</si>
  <si>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</si>
  <si>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</si>
  <si>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</si>
  <si>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</si>
  <si>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</si>
  <si>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</si>
  <si>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</si>
  <si>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</si>
  <si>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</si>
  <si>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</si>
  <si>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</si>
  <si>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</si>
  <si>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</si>
  <si>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</si>
  <si>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</si>
  <si>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</si>
  <si>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</si>
  <si>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</si>
  <si>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</si>
  <si>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</si>
  <si>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</si>
  <si>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</si>
  <si>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</si>
  <si>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</si>
  <si>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</si>
  <si>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</si>
  <si>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</si>
  <si>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</si>
  <si>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</si>
  <si>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</si>
  <si>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</si>
  <si>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</si>
  <si>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</si>
  <si>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</si>
  <si>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</si>
  <si>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</si>
  <si>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</si>
  <si>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</si>
  <si>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</si>
  <si>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</si>
  <si>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</si>
  <si>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</si>
  <si>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</si>
  <si>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</si>
  <si>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</si>
  <si>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</si>
  <si>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</si>
  <si>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</si>
  <si>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</si>
  <si>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</si>
  <si>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</si>
  <si>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</si>
  <si>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</si>
  <si>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</si>
  <si>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</si>
  <si>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</si>
  <si>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</si>
  <si>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</si>
  <si>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</si>
  <si>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</si>
  <si>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</si>
  <si>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</si>
  <si>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</si>
  <si>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</si>
  <si>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</si>
  <si>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</si>
  <si>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</si>
  <si>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</si>
  <si>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</si>
  <si>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</si>
  <si>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</si>
  <si>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</si>
  <si>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</si>
  <si>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</si>
  <si>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</si>
  <si>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</si>
  <si>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</si>
  <si>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</si>
  <si>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</si>
  <si>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</si>
  <si>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</si>
  <si>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</si>
  <si>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</si>
  <si>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</si>
  <si>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</si>
  <si>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</si>
  <si>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</si>
  <si>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</si>
  <si>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</si>
  <si>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</si>
  <si>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</si>
  <si>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</si>
  <si>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</si>
  <si>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</si>
  <si>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</si>
  <si>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</si>
  <si>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</si>
  <si>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</si>
  <si>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</si>
  <si>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</si>
  <si>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</si>
  <si>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</si>
  <si>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</si>
  <si>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</si>
  <si>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</si>
  <si>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</si>
  <si>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</si>
  <si>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</si>
  <si>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</si>
  <si>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</si>
  <si>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</si>
  <si>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</si>
  <si>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</si>
  <si>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</si>
  <si>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</si>
  <si>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</si>
  <si>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</si>
  <si>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</si>
  <si>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</si>
  <si>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</si>
  <si>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</si>
  <si>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</si>
  <si>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</si>
  <si>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</si>
  <si>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</si>
  <si>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</si>
  <si>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</si>
  <si>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</si>
  <si>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</si>
  <si>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</si>
  <si>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</si>
  <si>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</si>
  <si>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</si>
  <si>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</si>
  <si>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</si>
  <si>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</si>
  <si>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</si>
  <si>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</si>
  <si>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</si>
  <si>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</si>
  <si>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</si>
  <si>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</si>
  <si>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</si>
  <si>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</si>
  <si>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</si>
  <si>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</si>
  <si>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</si>
  <si>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</si>
  <si>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</si>
  <si>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</si>
  <si>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</si>
  <si>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</si>
  <si>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</si>
  <si>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</si>
  <si>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</si>
  <si>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</si>
  <si>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</si>
  <si>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</si>
  <si>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</si>
  <si>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</si>
  <si>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</si>
  <si>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</si>
  <si>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</si>
  <si>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</si>
  <si>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</si>
  <si>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</si>
  <si>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</si>
  <si>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</si>
  <si>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</si>
  <si>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</si>
  <si>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</si>
  <si>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</si>
  <si>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</si>
  <si>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</si>
  <si>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</si>
  <si>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</si>
  <si>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</si>
  <si>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</si>
  <si>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</si>
  <si>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</si>
  <si>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</si>
  <si>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</si>
  <si>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</si>
  <si>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</si>
  <si>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</si>
  <si>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</si>
  <si>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</si>
  <si>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</si>
  <si>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</si>
  <si>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</si>
  <si>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</si>
  <si>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</si>
  <si>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</si>
  <si>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</si>
  <si>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</si>
  <si>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</si>
  <si>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</si>
  <si>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</si>
  <si>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</si>
  <si>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</si>
  <si>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</si>
  <si>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</si>
  <si>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</si>
  <si>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</si>
  <si>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</si>
  <si>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</si>
  <si>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</si>
  <si>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</si>
  <si>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</si>
  <si>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</si>
  <si>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</si>
  <si>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</si>
  <si>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</si>
  <si>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</si>
  <si>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</si>
  <si>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</si>
  <si>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</si>
  <si>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</si>
  <si>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</si>
  <si>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</si>
  <si>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</si>
  <si>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</si>
  <si>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</si>
  <si>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</si>
  <si>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</si>
  <si>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</si>
  <si>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</si>
  <si>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</si>
  <si>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</si>
  <si>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</si>
  <si>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</si>
  <si>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</si>
  <si>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</si>
  <si>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</si>
  <si>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</si>
  <si>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</si>
  <si>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</si>
  <si>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</si>
  <si>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</si>
  <si>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</si>
  <si>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</si>
  <si>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</si>
  <si>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</si>
  <si>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</si>
  <si>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</si>
  <si>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</si>
  <si>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</si>
  <si>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</si>
  <si>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</si>
  <si>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</si>
  <si>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</si>
  <si>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</si>
  <si>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</si>
  <si>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</si>
  <si>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</si>
  <si>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</si>
  <si>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</si>
  <si>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</si>
  <si>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</si>
  <si>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</si>
  <si>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</si>
  <si>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</si>
  <si>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</si>
  <si>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</si>
  <si>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</si>
  <si>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</si>
  <si>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</si>
  <si>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</si>
  <si>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</si>
  <si>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</si>
  <si>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</si>
  <si>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</si>
  <si>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</si>
  <si>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</si>
  <si>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</si>
  <si>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</si>
  <si>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</si>
  <si>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</si>
  <si>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</si>
  <si>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</si>
  <si>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</si>
  <si>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</si>
  <si>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</si>
  <si>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</si>
  <si>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</si>
  <si>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</si>
  <si>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</si>
  <si>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</si>
  <si>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</si>
  <si>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</si>
  <si>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</si>
  <si>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</si>
  <si>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</si>
  <si>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</si>
  <si>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</si>
  <si>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</si>
  <si>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</si>
  <si>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</si>
  <si>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</si>
  <si>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</si>
  <si>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</si>
  <si>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</si>
  <si>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</si>
  <si>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</si>
  <si>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</si>
  <si>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</si>
  <si>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</si>
  <si>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</si>
  <si>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</si>
  <si>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</si>
  <si>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</si>
  <si>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</si>
  <si>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</si>
  <si>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</si>
  <si>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</si>
  <si>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</si>
  <si>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</si>
  <si>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</si>
  <si>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</si>
  <si>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</si>
  <si>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</si>
  <si>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</si>
  <si>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</si>
  <si>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</si>
  <si>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</si>
  <si>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</si>
  <si>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</si>
  <si>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</si>
  <si>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</si>
  <si>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</si>
  <si>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</si>
  <si>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</si>
  <si>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</si>
  <si>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</si>
  <si>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</si>
  <si>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</si>
  <si>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</si>
  <si>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</si>
  <si>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</si>
  <si>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</si>
  <si>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</si>
  <si>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</si>
  <si>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</si>
  <si>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</si>
  <si>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</si>
  <si>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</si>
  <si>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</si>
  <si>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</si>
  <si>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</si>
  <si>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</si>
  <si>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</si>
  <si>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</si>
  <si>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</si>
  <si>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</si>
  <si>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</si>
  <si>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</si>
  <si>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</si>
  <si>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</si>
  <si>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</si>
  <si>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</si>
  <si>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</si>
  <si>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</si>
  <si>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</si>
  <si>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</si>
  <si>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</si>
  <si>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</si>
  <si>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</si>
  <si>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</si>
  <si>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</si>
  <si>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</si>
  <si>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</si>
  <si>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</si>
  <si>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</si>
  <si>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</si>
  <si>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</si>
  <si>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</si>
  <si>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</si>
  <si>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</si>
  <si>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</si>
  <si>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</si>
  <si>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</si>
  <si>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</si>
  <si>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</si>
  <si>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</si>
  <si>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</si>
  <si>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</si>
  <si>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</si>
  <si>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</si>
  <si>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</si>
  <si>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</si>
  <si>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</si>
  <si>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</si>
  <si>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</si>
  <si>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</si>
  <si>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</si>
  <si>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</si>
  <si>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</si>
  <si>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</si>
  <si>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</si>
  <si>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</si>
  <si>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</si>
  <si>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</si>
  <si>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</si>
  <si>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</si>
  <si>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</si>
  <si>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</si>
  <si>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</si>
  <si>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</si>
  <si>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</si>
  <si>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</si>
  <si>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</si>
  <si>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</si>
  <si>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</si>
  <si>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</si>
  <si>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</si>
  <si>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</si>
  <si>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</si>
  <si>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</si>
  <si>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</si>
  <si>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</si>
  <si>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</si>
  <si>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</si>
  <si>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</si>
  <si>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</si>
  <si>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</si>
  <si>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</si>
  <si>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</si>
  <si>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</si>
  <si>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</si>
  <si>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</si>
  <si>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</si>
  <si>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</si>
  <si>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</si>
  <si>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</si>
  <si>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</si>
  <si>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</si>
  <si>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</si>
  <si>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</si>
  <si>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</si>
  <si>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</si>
  <si>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</si>
  <si>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</si>
  <si>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</si>
  <si>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</si>
  <si>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</si>
  <si>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</si>
  <si>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</si>
  <si>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</si>
  <si>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</si>
  <si>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</si>
  <si>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</si>
  <si>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</si>
  <si>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</si>
  <si>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</si>
  <si>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</si>
  <si>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</si>
  <si>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</si>
  <si>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</si>
  <si>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</si>
  <si>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</si>
  <si>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</si>
  <si>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</si>
  <si>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</si>
  <si>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</si>
  <si>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</si>
  <si>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</si>
  <si>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</si>
  <si>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</si>
  <si>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</si>
  <si>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</si>
  <si>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</si>
  <si>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</si>
  <si>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</si>
  <si>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</si>
  <si>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</si>
  <si>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</si>
  <si>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</si>
  <si>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</si>
  <si>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</si>
  <si>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</si>
  <si>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</si>
  <si>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</si>
  <si>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</si>
  <si>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</si>
  <si>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</si>
  <si>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</si>
  <si>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</si>
  <si>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</si>
  <si>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</si>
  <si>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</si>
  <si>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</si>
  <si>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</si>
  <si>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</si>
  <si>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</si>
  <si>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</si>
  <si>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</si>
  <si>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</si>
  <si>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</si>
  <si>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</si>
  <si>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</si>
  <si>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</si>
  <si>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</si>
  <si>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</si>
  <si>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</si>
  <si>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</si>
  <si>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</si>
  <si>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</si>
  <si>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</si>
  <si>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</si>
  <si>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</si>
  <si>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</si>
  <si>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</si>
  <si>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</si>
  <si>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</si>
  <si>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</si>
  <si>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</si>
  <si>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</si>
  <si>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</si>
  <si>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</si>
  <si>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</si>
  <si>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</si>
  <si>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</si>
  <si>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</si>
  <si>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</si>
  <si>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</si>
  <si>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</si>
  <si>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</si>
  <si>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</si>
  <si>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</si>
  <si>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</si>
  <si>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</si>
  <si>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</si>
  <si>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</si>
  <si>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</si>
  <si>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</si>
  <si>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</si>
  <si>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</si>
  <si>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</si>
  <si>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</si>
  <si>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</si>
  <si>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</si>
  <si>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</si>
  <si>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</si>
  <si>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</si>
  <si>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</si>
  <si>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</si>
  <si>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</si>
  <si>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</si>
  <si>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</si>
  <si>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</si>
  <si>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</si>
  <si>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</si>
  <si>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</si>
  <si>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</si>
  <si>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</si>
  <si>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</si>
  <si>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</si>
  <si>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</si>
  <si>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</si>
  <si>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</si>
  <si>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</si>
  <si>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</si>
  <si>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</si>
  <si>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</si>
  <si>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</si>
  <si>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</si>
  <si>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</si>
  <si>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</si>
  <si>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</si>
  <si>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</si>
  <si>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</si>
  <si>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</si>
  <si>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</si>
  <si>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</si>
  <si>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</si>
  <si>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</si>
  <si>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</si>
  <si>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</si>
  <si>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</si>
  <si>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</si>
  <si>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</si>
  <si>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</si>
  <si>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</si>
  <si>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</si>
  <si>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</si>
  <si>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</si>
  <si>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</si>
  <si>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</si>
  <si>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</si>
  <si>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260401-005</t>
  </si>
  <si>
    <t>260423-083</t>
  </si>
  <si>
    <t>260521-206</t>
  </si>
  <si>
    <t>260626-313</t>
  </si>
  <si>
    <t>260706-343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</si>
  <si>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</si>
  <si>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</si>
  <si>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</si>
  <si>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</si>
  <si>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</si>
  <si>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</si>
  <si>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</si>
  <si>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</si>
  <si>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</si>
  <si>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</si>
  <si>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</si>
  <si>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</si>
  <si>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</si>
  <si>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</si>
  <si>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</si>
  <si>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</si>
  <si>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</si>
  <si>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</si>
  <si>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</si>
  <si>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</si>
  <si>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</si>
  <si>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</si>
  <si>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</si>
  <si>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</si>
  <si>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</si>
  <si>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</si>
  <si>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</si>
  <si>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</si>
  <si>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</si>
  <si>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</si>
  <si>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</si>
  <si>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</si>
  <si>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</si>
  <si>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</si>
  <si>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</si>
  <si>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</si>
  <si>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</si>
  <si>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</si>
  <si>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</si>
  <si>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</si>
  <si>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</si>
  <si>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</si>
  <si>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</si>
  <si>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</si>
  <si>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</si>
  <si>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</si>
  <si>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</si>
  <si>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</si>
  <si>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</si>
  <si>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</si>
  <si>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</si>
  <si>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</si>
  <si>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</si>
  <si>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</si>
  <si>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</si>
  <si>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</si>
  <si>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</si>
  <si>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</si>
  <si>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</si>
  <si>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</si>
  <si>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</si>
  <si>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</si>
  <si>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</si>
  <si>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</si>
  <si>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</si>
  <si>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</si>
  <si>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</si>
  <si>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</si>
  <si>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</si>
  <si>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</si>
  <si>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</si>
  <si>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</si>
  <si>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</si>
  <si>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</si>
  <si>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</si>
  <si>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</si>
  <si>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</si>
  <si>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</si>
  <si>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</si>
  <si>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</si>
  <si>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</si>
  <si>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</si>
  <si>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</si>
  <si>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</si>
  <si>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</si>
  <si>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</si>
  <si>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</si>
  <si>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</si>
  <si>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</si>
  <si>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</si>
  <si>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</si>
  <si>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</si>
  <si>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</si>
  <si>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</si>
  <si>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</si>
  <si>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</si>
  <si>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</si>
  <si>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</si>
  <si>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</si>
  <si>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</si>
  <si>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</si>
  <si>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</si>
  <si>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</si>
  <si>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</si>
  <si>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</si>
  <si>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</si>
  <si>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</si>
  <si>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</si>
  <si>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</si>
  <si>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</si>
  <si>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</si>
  <si>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</si>
  <si>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</si>
  <si>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</si>
  <si>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</si>
  <si>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</si>
  <si>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</si>
  <si>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</si>
  <si>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</si>
  <si>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</si>
  <si>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</si>
  <si>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</si>
  <si>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</si>
  <si>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</si>
  <si>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</si>
  <si>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</si>
  <si>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</si>
  <si>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</si>
  <si>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</si>
  <si>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</si>
  <si>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</si>
  <si>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</si>
  <si>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</si>
  <si>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</si>
  <si>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</si>
  <si>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</si>
  <si>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</si>
  <si>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</si>
  <si>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</si>
  <si>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</si>
  <si>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</si>
  <si>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</si>
  <si>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</si>
  <si>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</si>
  <si>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</si>
  <si>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</si>
  <si>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</si>
  <si>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</si>
  <si>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</si>
  <si>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</si>
  <si>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</si>
  <si>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</si>
  <si>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</si>
  <si>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</si>
  <si>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</si>
  <si>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</si>
  <si>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</si>
  <si>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</si>
  <si>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</si>
  <si>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</si>
  <si>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</si>
  <si>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</si>
  <si>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</si>
  <si>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</si>
  <si>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</si>
  <si>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</si>
  <si>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</si>
  <si>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</si>
  <si>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</si>
  <si>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</si>
  <si>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</si>
  <si>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</si>
  <si>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</si>
  <si>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</si>
  <si>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</si>
  <si>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</si>
  <si>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</si>
  <si>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</si>
  <si>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</si>
  <si>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</si>
  <si>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</si>
  <si>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</si>
  <si>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</si>
  <si>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</si>
  <si>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</si>
  <si>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</si>
  <si>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</si>
  <si>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</si>
  <si>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</si>
  <si>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</si>
  <si>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</si>
  <si>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</si>
  <si>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</si>
  <si>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</si>
  <si>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</si>
  <si>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</si>
  <si>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</si>
  <si>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</si>
  <si>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</si>
  <si>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</si>
  <si>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</si>
  <si>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</si>
  <si>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</si>
  <si>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</si>
  <si>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</si>
  <si>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</si>
  <si>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</si>
  <si>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</si>
  <si>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</si>
  <si>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</si>
  <si>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</si>
  <si>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</si>
  <si>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</si>
  <si>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</si>
  <si>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</si>
  <si>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</si>
  <si>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</si>
  <si>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</si>
  <si>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</si>
  <si>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</si>
  <si>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</si>
  <si>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</si>
  <si>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</si>
  <si>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</si>
  <si>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</si>
  <si>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</si>
  <si>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</si>
  <si>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</si>
  <si>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</si>
  <si>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</si>
  <si>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</si>
  <si>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</si>
  <si>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</si>
  <si>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</si>
  <si>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</si>
  <si>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</si>
  <si>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</si>
  <si>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</si>
  <si>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</si>
  <si>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</si>
  <si>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</si>
  <si>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</si>
  <si>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</si>
  <si>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</si>
  <si>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</si>
  <si>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</si>
  <si>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</si>
  <si>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</si>
  <si>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</si>
  <si>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</si>
  <si>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</si>
  <si>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</si>
  <si>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</si>
  <si>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</si>
  <si>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</si>
  <si>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</si>
  <si>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</si>
  <si>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</si>
  <si>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</si>
  <si>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</si>
  <si>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</si>
  <si>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</si>
  <si>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</si>
  <si>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</si>
  <si>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</si>
  <si>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</si>
  <si>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</si>
  <si>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</si>
  <si>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</si>
  <si>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</si>
  <si>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</si>
  <si>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</si>
  <si>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</si>
  <si>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</si>
  <si>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</si>
  <si>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</si>
  <si>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</si>
  <si>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</si>
  <si>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</si>
  <si>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</si>
  <si>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</si>
  <si>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</si>
  <si>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</si>
  <si>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</si>
  <si>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</si>
  <si>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</si>
  <si>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</si>
  <si>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</si>
  <si>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</si>
  <si>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</si>
  <si>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</si>
  <si>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</si>
  <si>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</si>
  <si>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</si>
  <si>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</si>
  <si>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</si>
  <si>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</si>
  <si>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</si>
  <si>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</si>
  <si>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</si>
  <si>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</si>
  <si>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</si>
  <si>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</si>
  <si>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</si>
  <si>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</si>
  <si>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</si>
  <si>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</si>
  <si>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</si>
  <si>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</si>
  <si>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</si>
  <si>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</si>
  <si>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</si>
  <si>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</si>
  <si>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</si>
  <si>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</si>
  <si>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</si>
  <si>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</si>
  <si>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</si>
  <si>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</si>
  <si>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</si>
  <si>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</si>
  <si>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</si>
  <si>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</si>
  <si>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</si>
  <si>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</si>
  <si>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</si>
  <si>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</si>
  <si>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</si>
  <si>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</si>
  <si>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</si>
  <si>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</si>
  <si>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</si>
  <si>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</si>
  <si>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</si>
  <si>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</si>
  <si>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</si>
  <si>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</si>
  <si>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</si>
  <si>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</si>
  <si>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</si>
  <si>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</si>
  <si>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</si>
  <si>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</si>
  <si>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</si>
  <si>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</si>
  <si>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</si>
  <si>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</si>
  <si>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</si>
  <si>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</si>
  <si>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</si>
  <si>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</si>
  <si>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</si>
  <si>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</si>
  <si>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</si>
  <si>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</si>
  <si>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</si>
  <si>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</si>
  <si>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</si>
  <si>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</si>
  <si>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</si>
  <si>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</si>
  <si>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</si>
  <si>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</si>
  <si>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</si>
  <si>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</si>
  <si>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</si>
  <si>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</si>
  <si>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</si>
  <si>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</si>
  <si>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</si>
  <si>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</si>
  <si>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</si>
  <si>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</si>
  <si>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</si>
  <si>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</si>
  <si>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</si>
  <si>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</si>
  <si>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</si>
  <si>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</si>
  <si>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</si>
  <si>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</si>
  <si>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</si>
  <si>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</si>
  <si>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</si>
  <si>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</si>
  <si>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</si>
  <si>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</si>
  <si>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</si>
  <si>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</si>
  <si>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</si>
  <si>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</si>
  <si>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</si>
  <si>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</si>
  <si>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</si>
  <si>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</si>
  <si>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</si>
  <si>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</si>
  <si>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</si>
  <si>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</si>
  <si>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</si>
  <si>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</si>
  <si>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</si>
  <si>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</si>
  <si>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</si>
  <si>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</si>
  <si>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</si>
  <si>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</si>
  <si>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</si>
  <si>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</si>
  <si>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</si>
  <si>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</si>
  <si>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</si>
  <si>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</si>
  <si>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</si>
  <si>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</si>
  <si>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</si>
  <si>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</si>
  <si>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</si>
  <si>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</si>
  <si>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</si>
  <si>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</si>
  <si>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</si>
  <si>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</si>
  <si>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</si>
  <si>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</si>
  <si>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</si>
  <si>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</si>
  <si>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</si>
  <si>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</si>
  <si>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</si>
  <si>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</si>
  <si>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</si>
  <si>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</si>
  <si>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</si>
  <si>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</si>
  <si>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</si>
  <si>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</si>
  <si>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</si>
  <si>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</si>
  <si>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</si>
  <si>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</si>
  <si>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</si>
  <si>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</si>
  <si>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</si>
  <si>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</si>
  <si>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</si>
  <si>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</si>
  <si>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</si>
  <si>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</si>
  <si>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</si>
  <si>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</si>
  <si>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</si>
  <si>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</si>
  <si>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</si>
  <si>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</si>
  <si>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</si>
  <si>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</si>
  <si>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</si>
  <si>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</si>
  <si>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</si>
  <si>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</si>
  <si>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</si>
  <si>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</si>
  <si>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</si>
  <si>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</si>
  <si>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</si>
  <si>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</si>
  <si>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</si>
  <si>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</si>
  <si>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</si>
  <si>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</si>
  <si>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</si>
  <si>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</si>
  <si>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</si>
  <si>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</si>
  <si>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</si>
  <si>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</si>
  <si>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</si>
  <si>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</si>
  <si>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</si>
  <si>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</si>
  <si>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</si>
  <si>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</si>
  <si>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</si>
  <si>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</si>
  <si>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</si>
  <si>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</si>
  <si>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</si>
  <si>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</si>
  <si>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</si>
  <si>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</si>
  <si>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</si>
  <si>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</si>
  <si>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</si>
  <si>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</si>
  <si>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</si>
  <si>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</si>
  <si>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</si>
  <si>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</si>
  <si>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</si>
  <si>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</si>
  <si>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</si>
  <si>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</si>
  <si>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</si>
  <si>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</si>
  <si>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</si>
  <si>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</si>
  <si>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</si>
  <si>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</si>
  <si>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</si>
  <si>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</si>
  <si>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</si>
  <si>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</si>
  <si>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</si>
  <si>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</si>
  <si>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</si>
  <si>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</si>
  <si>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</si>
  <si>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</si>
  <si>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</si>
  <si>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</si>
  <si>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</si>
  <si>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</si>
  <si>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</si>
  <si>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</si>
  <si>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</si>
  <si>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</si>
  <si>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</si>
  <si>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</si>
  <si>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</si>
  <si>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</si>
  <si>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</si>
  <si>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</si>
  <si>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</si>
  <si>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</si>
  <si>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</si>
  <si>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</si>
  <si>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</si>
  <si>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</si>
  <si>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</si>
  <si>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</si>
  <si>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</si>
  <si>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</si>
  <si>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</si>
  <si>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</si>
  <si>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</si>
  <si>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</si>
  <si>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</si>
  <si>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</si>
  <si>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</si>
  <si>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</si>
  <si>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</si>
  <si>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</si>
  <si>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</si>
  <si>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</si>
  <si>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</si>
  <si>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</si>
  <si>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</si>
  <si>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</si>
  <si>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</si>
  <si>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</si>
  <si>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</si>
  <si>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</si>
  <si>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</si>
  <si>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</si>
  <si>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</si>
  <si>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</si>
  <si>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</si>
  <si>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</si>
  <si>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</si>
  <si>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</si>
  <si>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</si>
  <si>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</si>
  <si>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</si>
  <si>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</si>
  <si>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</si>
  <si>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</si>
  <si>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</si>
  <si>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</si>
  <si>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</si>
  <si>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</si>
  <si>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</si>
  <si>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</si>
  <si>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</si>
  <si>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</si>
  <si>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</si>
  <si>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</si>
  <si>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</si>
  <si>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</si>
  <si>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</si>
  <si>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</si>
  <si>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</si>
  <si>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</si>
  <si>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</si>
  <si>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</si>
  <si>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</si>
  <si>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</si>
  <si>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</si>
  <si>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</si>
  <si>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</si>
  <si>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</si>
  <si>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</si>
  <si>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</si>
  <si>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</si>
  <si>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</si>
  <si>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</si>
  <si>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</si>
  <si>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</si>
  <si>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</si>
  <si>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</si>
  <si>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</si>
  <si>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</si>
  <si>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</si>
  <si>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</si>
  <si>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</si>
  <si>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</si>
  <si>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</si>
  <si>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</si>
  <si>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</si>
  <si>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</si>
  <si>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</si>
  <si>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</si>
  <si>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</si>
  <si>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</si>
  <si>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</si>
  <si>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</si>
  <si>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</si>
  <si>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</si>
  <si>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</si>
  <si>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</si>
  <si>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</si>
  <si>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</si>
  <si>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</si>
  <si>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</si>
  <si>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</si>
  <si>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</si>
  <si>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</si>
  <si>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</si>
  <si>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</si>
  <si>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</si>
  <si>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</si>
  <si>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</si>
  <si>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</si>
  <si>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</si>
  <si>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</si>
  <si>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</si>
  <si>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</si>
  <si>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</si>
  <si>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</si>
  <si>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</si>
  <si>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</si>
  <si>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</si>
  <si>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</si>
  <si>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</si>
  <si>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</si>
  <si>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</si>
  <si>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</si>
  <si>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</si>
  <si>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</si>
  <si>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</si>
  <si>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</si>
  <si>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</si>
  <si>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</si>
  <si>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</si>
  <si>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</si>
  <si>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</si>
  <si>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</si>
  <si>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</si>
  <si>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</si>
  <si>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</si>
  <si>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</si>
  <si>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</si>
  <si>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</si>
  <si>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</si>
  <si>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</si>
  <si>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</si>
  <si>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</si>
  <si>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</si>
  <si>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</si>
  <si>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</si>
  <si>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</si>
  <si>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</si>
  <si>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</si>
  <si>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</si>
  <si>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</si>
  <si>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</si>
  <si>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</si>
  <si>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</si>
  <si>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</si>
  <si>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</si>
  <si>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</si>
  <si>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</si>
  <si>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</si>
  <si>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</si>
  <si>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</si>
  <si>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</si>
  <si>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</si>
  <si>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</si>
  <si>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</si>
  <si>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</si>
  <si>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</si>
  <si>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</si>
  <si>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</si>
  <si>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</si>
  <si>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</si>
  <si>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</si>
  <si>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</si>
  <si>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</si>
  <si>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</si>
  <si>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</si>
  <si>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</si>
  <si>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</si>
  <si>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</si>
  <si>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</si>
  <si>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</si>
  <si>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</si>
  <si>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</si>
  <si>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</si>
  <si>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</si>
  <si>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</si>
  <si>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</si>
  <si>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</si>
  <si>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</si>
  <si>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</si>
  <si>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</si>
  <si>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</si>
  <si>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</si>
  <si>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</si>
  <si>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</si>
  <si>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</si>
  <si>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</si>
  <si>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</si>
  <si>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</si>
  <si>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</si>
  <si>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</si>
  <si>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</si>
  <si>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</si>
  <si>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</si>
  <si>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</si>
  <si>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</si>
  <si>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</si>
  <si>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</si>
  <si>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</si>
  <si>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</si>
  <si>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</si>
  <si>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</si>
  <si>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</si>
  <si>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</si>
  <si>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</si>
  <si>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</si>
  <si>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</si>
  <si>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</si>
  <si>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</si>
  <si>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</si>
  <si>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</si>
  <si>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</si>
  <si>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</si>
  <si>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</si>
  <si>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</si>
  <si>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</si>
  <si>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</si>
  <si>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</si>
  <si>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</si>
  <si>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</si>
  <si>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</si>
  <si>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</si>
  <si>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</si>
  <si>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</si>
  <si>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</si>
  <si>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</si>
  <si>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</si>
  <si>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</si>
  <si>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</si>
  <si>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</si>
  <si>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</si>
  <si>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</si>
  <si>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</si>
  <si>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</si>
  <si>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</si>
  <si>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</si>
  <si>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</si>
  <si>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</si>
  <si>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</si>
  <si>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</si>
  <si>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</si>
  <si>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</si>
  <si>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</si>
  <si>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</si>
  <si>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</si>
  <si>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</si>
  <si>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</si>
  <si>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</si>
  <si>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</si>
  <si>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</si>
  <si>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</si>
  <si>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</si>
  <si>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</si>
  <si>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</si>
  <si>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</si>
  <si>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</si>
  <si>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</si>
  <si>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</si>
  <si>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</si>
  <si>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</si>
  <si>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</si>
  <si>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</si>
  <si>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</si>
  <si>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</si>
  <si>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</si>
  <si>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</si>
  <si>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</si>
  <si>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</si>
  <si>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</si>
  <si>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</si>
  <si>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</si>
  <si>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</si>
  <si>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</si>
  <si>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</si>
  <si>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</si>
  <si>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</si>
  <si>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</si>
  <si>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</si>
  <si>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</si>
  <si>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</si>
  <si>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</si>
  <si>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</si>
  <si>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</si>
  <si>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</si>
  <si>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</si>
  <si>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</si>
  <si>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</si>
  <si>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</si>
  <si>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</si>
  <si>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</si>
  <si>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</si>
  <si>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</si>
  <si>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</si>
  <si>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</si>
  <si>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</si>
  <si>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</si>
  <si>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</si>
  <si>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</si>
  <si>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</si>
  <si>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</si>
  <si>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</si>
  <si>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</si>
  <si>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</si>
  <si>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</si>
  <si>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</si>
  <si>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</si>
  <si>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</si>
  <si>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</si>
  <si>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</si>
  <si>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</si>
  <si>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</si>
  <si>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</si>
  <si>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</si>
  <si>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</si>
  <si>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</si>
  <si>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</si>
  <si>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</si>
  <si>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</si>
  <si>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</si>
  <si>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</si>
  <si>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</si>
  <si>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</si>
  <si>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</si>
  <si>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</si>
  <si>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</si>
  <si>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</si>
  <si>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</si>
  <si>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</si>
  <si>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</si>
  <si>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</si>
  <si>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</si>
  <si>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</si>
  <si>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</si>
  <si>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</si>
  <si>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</si>
  <si>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</si>
  <si>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</si>
  <si>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</si>
  <si>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</si>
  <si>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</si>
  <si>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</si>
  <si>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</si>
  <si>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</si>
  <si>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</si>
  <si>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</si>
  <si>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</si>
  <si>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</si>
  <si>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</si>
  <si>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</si>
  <si>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</si>
  <si>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</si>
  <si>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</si>
  <si>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</si>
  <si>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</si>
  <si>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</si>
  <si>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</si>
  <si>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</si>
  <si>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</si>
  <si>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</si>
  <si>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</si>
  <si>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</si>
  <si>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</si>
  <si>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</si>
  <si>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</si>
  <si>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</si>
  <si>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</si>
  <si>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</si>
  <si>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</si>
  <si>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</si>
  <si>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</si>
  <si>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</si>
  <si>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</si>
  <si>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</si>
  <si>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</si>
  <si>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</si>
  <si>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</si>
  <si>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</si>
  <si>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</si>
  <si>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</si>
  <si>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</si>
  <si>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</si>
  <si>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</si>
  <si>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</si>
  <si>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</si>
  <si>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</si>
  <si>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</si>
  <si>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</si>
  <si>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</si>
  <si>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</si>
  <si>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</si>
  <si>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</si>
  <si>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</si>
  <si>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</si>
  <si>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</si>
  <si>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</si>
  <si>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</si>
  <si>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</si>
  <si>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</si>
  <si>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</si>
  <si>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</si>
  <si>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</si>
  <si>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</si>
  <si>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</si>
  <si>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</si>
  <si>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</si>
  <si>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</si>
  <si>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</si>
  <si>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</si>
  <si>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</si>
  <si>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</si>
  <si>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</si>
  <si>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</si>
  <si>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</si>
  <si>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</si>
  <si>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</si>
  <si>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</si>
  <si>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</si>
  <si>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</si>
  <si>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</si>
  <si>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</si>
  <si>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</si>
  <si>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</si>
  <si>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 xml:space="preserve">tipa </t>
  </si>
  <si>
    <t>aromo</t>
  </si>
  <si>
    <t xml:space="preserve">Semilla comprada trigo tipa 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</si>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</sst>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  <xf numFmtId="2" fontId="5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11" borderId="0" xfId="0" applyFill="1"/>
    <xf numFmtId="2" fontId="0" fillId="11" borderId="0" xfId="0" applyNumberFormat="1" applyFill="1" applyAlignment="1">
      <alignment horizont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13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8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topLeftCell="A228" workbookViewId="0">
      <selection activeCell="C12007" sqref="C12007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2.71093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6.140625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>
      <c r="A40" s="20" t="s">
        <v>161</v>
      </c>
      <c r="B40" s="44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175</v>
      </c>
      <c r="B44" s="44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50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211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212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213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211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214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215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216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217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218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218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219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220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50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221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222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223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219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224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50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225</v>
      </c>
      <c r="B72" s="33">
        <v>46133</v>
      </c>
      <c r="C72" s="4" t="s">
        <v>226</v>
      </c>
      <c r="D72" s="4" t="s">
        <v>227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228</v>
      </c>
      <c r="B73" s="33">
        <v>46133</v>
      </c>
      <c r="C73" s="4" t="s">
        <v>229</v>
      </c>
      <c r="D73" s="4" t="s">
        <v>229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230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231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232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233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234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235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236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237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235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238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235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239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235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240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235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241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235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242</v>
      </c>
      <c r="B84" s="33">
        <v>46135</v>
      </c>
      <c r="C84" s="4" t="s">
        <v>243</v>
      </c>
      <c r="D84" s="4" t="s">
        <v>244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245</v>
      </c>
    </row>
    <row r="85" spans="1:21">
      <c r="A85" s="20" t="s">
        <v>246</v>
      </c>
      <c r="B85" s="33">
        <v>46135</v>
      </c>
      <c r="C85" s="4" t="s">
        <v>247</v>
      </c>
      <c r="D85" s="4" t="s">
        <v>248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245</v>
      </c>
    </row>
    <row r="86" spans="1:21">
      <c r="A86" s="20" t="s">
        <v>249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250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251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219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252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50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253</v>
      </c>
      <c r="B90" s="33">
        <v>46136</v>
      </c>
      <c r="C90" s="4" t="s">
        <v>254</v>
      </c>
      <c r="D90" s="4" t="s">
        <v>255</v>
      </c>
      <c r="E90" s="4" t="s">
        <v>24</v>
      </c>
      <c r="F90" s="4" t="s">
        <v>256</v>
      </c>
      <c r="G90" s="4" t="s">
        <v>257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258</v>
      </c>
      <c r="B91" s="33">
        <v>46136</v>
      </c>
      <c r="C91" s="4" t="s">
        <v>259</v>
      </c>
      <c r="D91" s="4" t="s">
        <v>260</v>
      </c>
      <c r="E91" s="4" t="s">
        <v>24</v>
      </c>
      <c r="F91" s="4"/>
      <c r="G91" s="4" t="s">
        <v>257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261</v>
      </c>
      <c r="B92" s="33">
        <v>46136</v>
      </c>
      <c r="C92" s="4" t="s">
        <v>262</v>
      </c>
      <c r="D92" s="4" t="s">
        <v>263</v>
      </c>
      <c r="E92" s="4" t="s">
        <v>24</v>
      </c>
      <c r="F92" s="4" t="s">
        <v>168</v>
      </c>
      <c r="G92" s="4" t="s">
        <v>257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264</v>
      </c>
      <c r="B93" s="33">
        <v>46136</v>
      </c>
      <c r="C93" s="4" t="s">
        <v>265</v>
      </c>
      <c r="D93" s="4" t="s">
        <v>265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266</v>
      </c>
    </row>
    <row r="94" spans="1:21">
      <c r="A94" s="20" t="s">
        <v>267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268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269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270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271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272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273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219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274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275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276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235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277</v>
      </c>
      <c r="B103" s="33">
        <v>46141</v>
      </c>
      <c r="C103" s="4" t="s">
        <v>49</v>
      </c>
      <c r="D103" s="4" t="s">
        <v>278</v>
      </c>
      <c r="E103" s="4" t="s">
        <v>33</v>
      </c>
      <c r="F103" s="4" t="s">
        <v>34</v>
      </c>
      <c r="G103" s="4" t="s">
        <v>35</v>
      </c>
      <c r="H103" s="20" t="s">
        <v>279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235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280</v>
      </c>
      <c r="B104" s="33">
        <v>46141</v>
      </c>
      <c r="C104" s="4" t="s">
        <v>281</v>
      </c>
      <c r="D104" s="4" t="s">
        <v>282</v>
      </c>
      <c r="E104" s="4" t="s">
        <v>283</v>
      </c>
      <c r="F104" s="4" t="s">
        <v>284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285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286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276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287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288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289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290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219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291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51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292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293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294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295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296</v>
      </c>
      <c r="B114" s="45">
        <v>46141</v>
      </c>
      <c r="C114" s="34" t="s">
        <v>297</v>
      </c>
      <c r="D114" s="34" t="s">
        <v>298</v>
      </c>
      <c r="E114" s="34" t="s">
        <v>24</v>
      </c>
      <c r="F114" s="34" t="s">
        <v>163</v>
      </c>
      <c r="G114" s="34" t="s">
        <v>299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300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301</v>
      </c>
      <c r="B115" s="43">
        <v>46141</v>
      </c>
      <c r="C115" s="34" t="s">
        <v>302</v>
      </c>
      <c r="D115" s="34" t="s">
        <v>303</v>
      </c>
      <c r="E115" s="34" t="s">
        <v>24</v>
      </c>
      <c r="F115" s="34" t="s">
        <v>186</v>
      </c>
      <c r="G115" s="34" t="s">
        <v>299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300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304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276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305</v>
      </c>
      <c r="B117" s="45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306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307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308</v>
      </c>
      <c r="B118" s="45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306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309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310</v>
      </c>
      <c r="B119" s="43">
        <v>46146</v>
      </c>
      <c r="C119" s="34" t="s">
        <v>254</v>
      </c>
      <c r="D119" s="34" t="s">
        <v>255</v>
      </c>
      <c r="E119" s="34" t="s">
        <v>24</v>
      </c>
      <c r="F119" s="34" t="s">
        <v>256</v>
      </c>
      <c r="G119" s="34" t="s">
        <v>257</v>
      </c>
      <c r="H119" s="20" t="s">
        <v>311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307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312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313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307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314</v>
      </c>
      <c r="B121" s="45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315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309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316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317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307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318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319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307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320</v>
      </c>
      <c r="B124" s="43">
        <v>46146</v>
      </c>
      <c r="C124" s="34" t="s">
        <v>259</v>
      </c>
      <c r="D124" s="34" t="s">
        <v>260</v>
      </c>
      <c r="E124" s="34" t="s">
        <v>24</v>
      </c>
      <c r="F124" s="34"/>
      <c r="G124" s="34" t="s">
        <v>257</v>
      </c>
      <c r="H124" s="20" t="s">
        <v>321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307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322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323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307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324</v>
      </c>
      <c r="B126" s="43">
        <v>46146</v>
      </c>
      <c r="C126" s="34" t="s">
        <v>226</v>
      </c>
      <c r="D126" s="34" t="s">
        <v>227</v>
      </c>
      <c r="E126" s="34" t="s">
        <v>24</v>
      </c>
      <c r="F126" s="34" t="s">
        <v>25</v>
      </c>
      <c r="G126" s="34" t="s">
        <v>26</v>
      </c>
      <c r="H126" s="20" t="s">
        <v>325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307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326</v>
      </c>
      <c r="B127" s="43">
        <v>46146</v>
      </c>
      <c r="C127" s="34" t="s">
        <v>229</v>
      </c>
      <c r="D127" s="34" t="s">
        <v>229</v>
      </c>
      <c r="E127" s="34" t="s">
        <v>24</v>
      </c>
      <c r="F127" s="34" t="s">
        <v>25</v>
      </c>
      <c r="G127" s="34" t="s">
        <v>26</v>
      </c>
      <c r="H127" s="20" t="s">
        <v>327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307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328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276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329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330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331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211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332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211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333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211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334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276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335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336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219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313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309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317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309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293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329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237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329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211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346</v>
      </c>
      <c r="B144" s="43">
        <v>46154</v>
      </c>
      <c r="C144" s="34" t="s">
        <v>262</v>
      </c>
      <c r="D144" s="34" t="s">
        <v>263</v>
      </c>
      <c r="E144" s="34" t="s">
        <v>24</v>
      </c>
      <c r="F144" s="34" t="s">
        <v>168</v>
      </c>
      <c r="G144" s="34" t="s">
        <v>257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211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800</v>
      </c>
      <c r="K145" s="22">
        <f>IF(I145="","",IF(I145="ENTRADA",ABS(J145),-ABS(J145)))</f>
        <v>-800</v>
      </c>
      <c r="L145" s="34" t="s">
        <v>28</v>
      </c>
      <c r="M145" s="34"/>
      <c r="N145" s="34">
        <v>59343</v>
      </c>
      <c r="O145" s="34" t="s">
        <v>211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350</v>
      </c>
      <c r="B146" s="43">
        <v>46154</v>
      </c>
      <c r="C146" s="34" t="s">
        <v>229</v>
      </c>
      <c r="D146" s="34" t="s">
        <v>229</v>
      </c>
      <c r="E146" s="34" t="s">
        <v>24</v>
      </c>
      <c r="F146" s="34" t="s">
        <v>25</v>
      </c>
      <c r="G146" s="34" t="s">
        <v>26</v>
      </c>
      <c r="H146" s="20" t="s">
        <v>327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211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293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150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211</v>
      </c>
      <c r="P149" s="34">
        <v>1674</v>
      </c>
      <c r="Q149" s="43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216</v>
      </c>
      <c r="P150" s="34">
        <v>1675</v>
      </c>
      <c r="Q150" s="43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355</v>
      </c>
      <c r="B151" s="43">
        <v>46155</v>
      </c>
      <c r="C151" s="34" t="s">
        <v>128</v>
      </c>
      <c r="D151" s="34" t="s">
        <v>129</v>
      </c>
      <c r="E151" s="34" t="s">
        <v>130</v>
      </c>
      <c r="F151" s="34"/>
      <c r="G151" s="34" t="s">
        <v>131</v>
      </c>
      <c r="H151" s="20" t="s">
        <v>219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216</v>
      </c>
      <c r="P151" s="34">
        <v>1675</v>
      </c>
      <c r="Q151" s="43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216</v>
      </c>
      <c r="P152" s="34">
        <v>1675</v>
      </c>
      <c r="Q152" s="43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51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216</v>
      </c>
      <c r="P153" s="34">
        <v>1675</v>
      </c>
      <c r="Q153" s="43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216</v>
      </c>
      <c r="P154" s="34">
        <v>1675</v>
      </c>
      <c r="Q154" s="43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359</v>
      </c>
      <c r="B155" s="43">
        <v>46155</v>
      </c>
      <c r="C155" s="34" t="s">
        <v>254</v>
      </c>
      <c r="D155" s="34" t="s">
        <v>255</v>
      </c>
      <c r="E155" s="34" t="s">
        <v>24</v>
      </c>
      <c r="F155" s="34" t="s">
        <v>256</v>
      </c>
      <c r="G155" s="34" t="s">
        <v>257</v>
      </c>
      <c r="H155" s="20" t="s">
        <v>311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216</v>
      </c>
      <c r="P155" s="34">
        <v>1676</v>
      </c>
      <c r="Q155" s="43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360</v>
      </c>
      <c r="B156" s="43">
        <v>46155</v>
      </c>
      <c r="C156" s="34" t="s">
        <v>184</v>
      </c>
      <c r="D156" s="34" t="s">
        <v>185</v>
      </c>
      <c r="E156" s="34" t="s">
        <v>24</v>
      </c>
      <c r="F156" s="34" t="s">
        <v>186</v>
      </c>
      <c r="G156" s="34" t="s">
        <v>178</v>
      </c>
      <c r="H156" s="20" t="s">
        <v>317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216</v>
      </c>
      <c r="P156" s="34">
        <v>1676</v>
      </c>
      <c r="Q156" s="43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361</v>
      </c>
      <c r="B157" s="45">
        <v>46155</v>
      </c>
      <c r="C157" s="34" t="s">
        <v>176</v>
      </c>
      <c r="D157" s="34" t="s">
        <v>177</v>
      </c>
      <c r="E157" s="34" t="s">
        <v>24</v>
      </c>
      <c r="F157" s="34" t="s">
        <v>163</v>
      </c>
      <c r="G157" s="34" t="s">
        <v>178</v>
      </c>
      <c r="H157" s="20" t="s">
        <v>306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216</v>
      </c>
      <c r="P157" s="34">
        <v>1676</v>
      </c>
      <c r="Q157" s="43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362</v>
      </c>
      <c r="B158" s="45">
        <v>46155</v>
      </c>
      <c r="C158" s="34" t="s">
        <v>297</v>
      </c>
      <c r="D158" s="34" t="s">
        <v>298</v>
      </c>
      <c r="E158" s="34" t="s">
        <v>24</v>
      </c>
      <c r="F158" s="34" t="s">
        <v>163</v>
      </c>
      <c r="G158" s="34" t="s">
        <v>299</v>
      </c>
      <c r="H158" s="20" t="s">
        <v>363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216</v>
      </c>
      <c r="P158" s="34">
        <v>1676</v>
      </c>
      <c r="Q158" s="43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364</v>
      </c>
      <c r="B159" s="43">
        <v>46155</v>
      </c>
      <c r="C159" s="34" t="s">
        <v>154</v>
      </c>
      <c r="D159" s="34" t="s">
        <v>155</v>
      </c>
      <c r="E159" s="34" t="s">
        <v>24</v>
      </c>
      <c r="F159" s="34" t="s">
        <v>25</v>
      </c>
      <c r="G159" s="34" t="s">
        <v>156</v>
      </c>
      <c r="H159" s="20" t="s">
        <v>365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211</v>
      </c>
      <c r="P159" s="34">
        <v>1677</v>
      </c>
      <c r="Q159" s="43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366</v>
      </c>
      <c r="B160" s="43">
        <v>46155</v>
      </c>
      <c r="C160" s="34" t="s">
        <v>154</v>
      </c>
      <c r="D160" s="34" t="s">
        <v>155</v>
      </c>
      <c r="E160" s="34" t="s">
        <v>24</v>
      </c>
      <c r="F160" s="34" t="s">
        <v>25</v>
      </c>
      <c r="G160" s="34" t="s">
        <v>174</v>
      </c>
      <c r="H160" s="20" t="s">
        <v>365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211</v>
      </c>
      <c r="P160" s="34">
        <v>1678</v>
      </c>
      <c r="Q160" s="43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367</v>
      </c>
      <c r="B161" s="43">
        <v>46155</v>
      </c>
      <c r="C161" s="34" t="s">
        <v>226</v>
      </c>
      <c r="D161" s="34" t="s">
        <v>227</v>
      </c>
      <c r="E161" s="34" t="s">
        <v>24</v>
      </c>
      <c r="F161" s="34" t="s">
        <v>25</v>
      </c>
      <c r="G161" s="34" t="s">
        <v>26</v>
      </c>
      <c r="H161" s="20" t="s">
        <v>325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211</v>
      </c>
      <c r="P161" s="34">
        <v>1679</v>
      </c>
      <c r="Q161" s="43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368</v>
      </c>
      <c r="B162" s="43">
        <v>46155</v>
      </c>
      <c r="C162" s="34" t="s">
        <v>154</v>
      </c>
      <c r="D162" s="34" t="s">
        <v>155</v>
      </c>
      <c r="E162" s="34" t="s">
        <v>24</v>
      </c>
      <c r="F162" s="34" t="s">
        <v>25</v>
      </c>
      <c r="G162" s="34" t="s">
        <v>174</v>
      </c>
      <c r="H162" s="20" t="s">
        <v>365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211</v>
      </c>
      <c r="P162" s="34">
        <v>1679</v>
      </c>
      <c r="Q162" s="43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369</v>
      </c>
      <c r="B163" s="43">
        <v>46155</v>
      </c>
      <c r="C163" s="34" t="s">
        <v>229</v>
      </c>
      <c r="D163" s="34" t="s">
        <v>229</v>
      </c>
      <c r="E163" s="34" t="s">
        <v>24</v>
      </c>
      <c r="F163" s="34" t="s">
        <v>25</v>
      </c>
      <c r="G163" s="34" t="s">
        <v>26</v>
      </c>
      <c r="H163" s="20" t="s">
        <v>327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211</v>
      </c>
      <c r="P163" s="34">
        <v>1679</v>
      </c>
      <c r="Q163" s="43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370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216</v>
      </c>
      <c r="P164" s="34">
        <v>1680</v>
      </c>
      <c r="Q164" s="43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371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201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216</v>
      </c>
      <c r="P165" s="34">
        <v>1680</v>
      </c>
      <c r="Q165" s="43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372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373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216</v>
      </c>
      <c r="P166" s="34">
        <v>1680</v>
      </c>
      <c r="Q166" s="43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374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216</v>
      </c>
      <c r="P167" s="34">
        <v>1681</v>
      </c>
      <c r="Q167" s="43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375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201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216</v>
      </c>
      <c r="P168" s="34">
        <v>1681</v>
      </c>
      <c r="Q168" s="43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376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216</v>
      </c>
      <c r="P169" s="34">
        <v>1681</v>
      </c>
      <c r="Q169" s="43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377</v>
      </c>
      <c r="B170" s="43">
        <v>46156</v>
      </c>
      <c r="C170" s="34" t="s">
        <v>128</v>
      </c>
      <c r="D170" s="34" t="s">
        <v>129</v>
      </c>
      <c r="E170" s="34" t="s">
        <v>130</v>
      </c>
      <c r="F170" s="34"/>
      <c r="G170" s="34" t="s">
        <v>131</v>
      </c>
      <c r="H170" s="20" t="s">
        <v>207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216</v>
      </c>
      <c r="P170" s="34">
        <v>1681</v>
      </c>
      <c r="Q170" s="43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378</v>
      </c>
      <c r="B171" s="43">
        <v>46156</v>
      </c>
      <c r="C171" s="34" t="s">
        <v>135</v>
      </c>
      <c r="D171" s="34" t="s">
        <v>136</v>
      </c>
      <c r="E171" s="34" t="s">
        <v>130</v>
      </c>
      <c r="F171" s="34"/>
      <c r="G171" s="34" t="s">
        <v>131</v>
      </c>
      <c r="H171" s="20" t="s">
        <v>209</v>
      </c>
      <c r="I171" s="34" t="s">
        <v>64</v>
      </c>
      <c r="J171" s="51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216</v>
      </c>
      <c r="P171" s="34">
        <v>1681</v>
      </c>
      <c r="Q171" s="43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379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380</v>
      </c>
      <c r="P172" s="34">
        <v>1682</v>
      </c>
      <c r="Q172" s="43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381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201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380</v>
      </c>
      <c r="P173" s="34">
        <v>1682</v>
      </c>
      <c r="Q173" s="43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382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373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383</v>
      </c>
      <c r="M174" s="34"/>
      <c r="N174" s="34">
        <v>65054</v>
      </c>
      <c r="O174" s="34" t="s">
        <v>235</v>
      </c>
      <c r="P174" s="34">
        <v>1684</v>
      </c>
      <c r="Q174" s="43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384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385</v>
      </c>
      <c r="P175" s="34">
        <v>1685</v>
      </c>
      <c r="Q175" s="43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386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201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385</v>
      </c>
      <c r="P176" s="34">
        <v>1685</v>
      </c>
      <c r="Q176" s="43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387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216</v>
      </c>
      <c r="P177" s="34">
        <v>1686</v>
      </c>
      <c r="Q177" s="43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388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201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216</v>
      </c>
      <c r="P178" s="34">
        <v>1686</v>
      </c>
      <c r="Q178" s="43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389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276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385</v>
      </c>
      <c r="P179" s="46">
        <v>1683</v>
      </c>
      <c r="Q179" s="43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390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211</v>
      </c>
      <c r="P180" s="34">
        <v>1688</v>
      </c>
      <c r="Q180" s="43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391</v>
      </c>
      <c r="B181" s="43">
        <v>46158</v>
      </c>
      <c r="C181" s="34" t="s">
        <v>128</v>
      </c>
      <c r="D181" s="34" t="s">
        <v>129</v>
      </c>
      <c r="E181" s="34" t="s">
        <v>130</v>
      </c>
      <c r="F181" s="34"/>
      <c r="G181" s="34" t="s">
        <v>131</v>
      </c>
      <c r="H181" s="20" t="s">
        <v>207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216</v>
      </c>
      <c r="P181" s="34">
        <v>1687</v>
      </c>
      <c r="Q181" s="43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392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216</v>
      </c>
      <c r="P182" s="34">
        <v>1687</v>
      </c>
      <c r="Q182" s="43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393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216</v>
      </c>
      <c r="P183" s="34">
        <v>1687</v>
      </c>
      <c r="Q183" s="43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394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/>
      <c r="G184" s="34" t="s">
        <v>82</v>
      </c>
      <c r="H184" s="20" t="s">
        <v>149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385</v>
      </c>
      <c r="P184" s="34">
        <v>1689</v>
      </c>
      <c r="Q184" s="43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395</v>
      </c>
      <c r="B185" s="43">
        <v>46158</v>
      </c>
      <c r="C185" s="34" t="s">
        <v>154</v>
      </c>
      <c r="D185" s="34" t="s">
        <v>155</v>
      </c>
      <c r="E185" s="34" t="s">
        <v>24</v>
      </c>
      <c r="F185" s="34" t="s">
        <v>25</v>
      </c>
      <c r="G185" s="34" t="s">
        <v>156</v>
      </c>
      <c r="H185" s="20" t="s">
        <v>293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385</v>
      </c>
      <c r="P185" s="34">
        <v>1689</v>
      </c>
      <c r="Q185" s="43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396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211</v>
      </c>
      <c r="P186" s="34">
        <v>1690</v>
      </c>
      <c r="Q186" s="43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397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373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211</v>
      </c>
      <c r="P187" s="34">
        <v>1690</v>
      </c>
      <c r="Q187" s="43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398</v>
      </c>
      <c r="B188" s="43">
        <v>46160</v>
      </c>
      <c r="C188" s="34" t="s">
        <v>114</v>
      </c>
      <c r="D188" s="34" t="s">
        <v>115</v>
      </c>
      <c r="E188" s="34" t="s">
        <v>33</v>
      </c>
      <c r="F188" s="34" t="s">
        <v>34</v>
      </c>
      <c r="G188" s="34" t="s">
        <v>116</v>
      </c>
      <c r="H188" s="20" t="s">
        <v>119</v>
      </c>
      <c r="I188" s="34" t="s">
        <v>64</v>
      </c>
      <c r="J188" s="38">
        <v>960</v>
      </c>
      <c r="K188" s="22">
        <f>IF(I188="","",IF(I188="ENTRADA",ABS(J188),-ABS(J188)))</f>
        <v>-960</v>
      </c>
      <c r="L188" s="34" t="s">
        <v>36</v>
      </c>
      <c r="M188" s="34"/>
      <c r="N188" s="34">
        <v>65063</v>
      </c>
      <c r="O188" s="34" t="s">
        <v>235</v>
      </c>
      <c r="P188" s="34">
        <v>1691</v>
      </c>
      <c r="Q188" s="43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399</v>
      </c>
      <c r="B189" s="43">
        <v>46160</v>
      </c>
      <c r="C189" s="34" t="s">
        <v>89</v>
      </c>
      <c r="D189" s="34" t="s">
        <v>90</v>
      </c>
      <c r="E189" s="34" t="s">
        <v>33</v>
      </c>
      <c r="F189" s="34" t="s">
        <v>34</v>
      </c>
      <c r="G189" s="34" t="s">
        <v>35</v>
      </c>
      <c r="H189" s="20" t="s">
        <v>373</v>
      </c>
      <c r="I189" s="34" t="s">
        <v>64</v>
      </c>
      <c r="J189" s="38">
        <v>40</v>
      </c>
      <c r="K189" s="22">
        <f>IF(I189="","",IF(I189="ENTRADA",ABS(J189),-ABS(J189)))</f>
        <v>-40</v>
      </c>
      <c r="L189" s="34" t="s">
        <v>36</v>
      </c>
      <c r="M189" s="34"/>
      <c r="N189" s="34">
        <v>65063</v>
      </c>
      <c r="O189" s="34" t="s">
        <v>235</v>
      </c>
      <c r="P189" s="34">
        <v>1691</v>
      </c>
      <c r="Q189" s="43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400</v>
      </c>
      <c r="B190" s="43">
        <v>46160</v>
      </c>
      <c r="C190" s="4" t="s">
        <v>154</v>
      </c>
      <c r="D190" s="4" t="s">
        <v>155</v>
      </c>
      <c r="E190" s="4" t="s">
        <v>24</v>
      </c>
      <c r="F190" s="4" t="s">
        <v>25</v>
      </c>
      <c r="G190" s="4" t="s">
        <v>156</v>
      </c>
      <c r="H190" s="20" t="s">
        <v>293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385</v>
      </c>
      <c r="P190" s="46">
        <v>1692</v>
      </c>
      <c r="Q190" s="43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401</v>
      </c>
      <c r="B191" s="43">
        <v>46160</v>
      </c>
      <c r="C191" s="34" t="s">
        <v>114</v>
      </c>
      <c r="D191" s="34" t="s">
        <v>115</v>
      </c>
      <c r="E191" s="34" t="s">
        <v>33</v>
      </c>
      <c r="F191" s="34" t="s">
        <v>34</v>
      </c>
      <c r="G191" s="34" t="s">
        <v>116</v>
      </c>
      <c r="H191" s="20" t="s">
        <v>119</v>
      </c>
      <c r="I191" s="34" t="s">
        <v>64</v>
      </c>
      <c r="J191" s="38">
        <v>3340</v>
      </c>
      <c r="K191" s="22">
        <f>IF(I191="","",IF(I191="ENTRADA",ABS(J191),-ABS(J191)))</f>
        <v>-3340</v>
      </c>
      <c r="L191" s="34" t="s">
        <v>36</v>
      </c>
      <c r="M191" s="34"/>
      <c r="N191" s="34">
        <v>65065</v>
      </c>
      <c r="O191" s="34" t="s">
        <v>380</v>
      </c>
      <c r="P191" s="34">
        <v>1693</v>
      </c>
      <c r="Q191" s="43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402</v>
      </c>
      <c r="B192" s="43">
        <v>46160</v>
      </c>
      <c r="C192" s="34" t="s">
        <v>89</v>
      </c>
      <c r="D192" s="34" t="s">
        <v>90</v>
      </c>
      <c r="E192" s="34" t="s">
        <v>33</v>
      </c>
      <c r="F192" s="34" t="s">
        <v>34</v>
      </c>
      <c r="G192" s="34" t="s">
        <v>35</v>
      </c>
      <c r="H192" s="20" t="s">
        <v>373</v>
      </c>
      <c r="I192" s="34" t="s">
        <v>64</v>
      </c>
      <c r="J192" s="38">
        <v>380</v>
      </c>
      <c r="K192" s="22">
        <f>IF(I192="","",IF(I192="ENTRADA",ABS(J192),-ABS(J192)))</f>
        <v>-380</v>
      </c>
      <c r="L192" s="34" t="s">
        <v>36</v>
      </c>
      <c r="M192" s="34"/>
      <c r="N192" s="34">
        <v>65065</v>
      </c>
      <c r="O192" s="34" t="s">
        <v>380</v>
      </c>
      <c r="P192" s="34">
        <v>1693</v>
      </c>
      <c r="Q192" s="43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403</v>
      </c>
      <c r="B193" s="43">
        <v>46160</v>
      </c>
      <c r="C193" s="34" t="s">
        <v>128</v>
      </c>
      <c r="D193" s="34" t="s">
        <v>129</v>
      </c>
      <c r="E193" s="34" t="s">
        <v>130</v>
      </c>
      <c r="F193" s="34"/>
      <c r="G193" s="34" t="s">
        <v>131</v>
      </c>
      <c r="H193" s="20" t="s">
        <v>207</v>
      </c>
      <c r="I193" s="34" t="s">
        <v>64</v>
      </c>
      <c r="J193" s="38">
        <v>120</v>
      </c>
      <c r="K193" s="22">
        <f>IF(I193="","",IF(I193="ENTRADA",ABS(J193),-ABS(J193)))</f>
        <v>-120</v>
      </c>
      <c r="L193" s="34" t="s">
        <v>36</v>
      </c>
      <c r="M193" s="34"/>
      <c r="N193" s="34">
        <v>65065</v>
      </c>
      <c r="O193" s="34" t="s">
        <v>380</v>
      </c>
      <c r="P193" s="34">
        <v>1693</v>
      </c>
      <c r="Q193" s="43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404</v>
      </c>
      <c r="B194" s="43">
        <v>46160</v>
      </c>
      <c r="C194" s="34" t="s">
        <v>135</v>
      </c>
      <c r="D194" s="34" t="s">
        <v>136</v>
      </c>
      <c r="E194" s="34" t="s">
        <v>130</v>
      </c>
      <c r="F194" s="34"/>
      <c r="G194" s="34" t="s">
        <v>131</v>
      </c>
      <c r="H194" s="20" t="s">
        <v>209</v>
      </c>
      <c r="I194" s="34" t="s">
        <v>64</v>
      </c>
      <c r="J194" s="51">
        <v>15</v>
      </c>
      <c r="K194" s="22">
        <f>IF(I194="","",IF(I194="ENTRADA",ABS(J194),-ABS(J194)))</f>
        <v>-15</v>
      </c>
      <c r="L194" s="34" t="s">
        <v>36</v>
      </c>
      <c r="M194" s="34"/>
      <c r="N194" s="34">
        <v>65065</v>
      </c>
      <c r="O194" s="34" t="s">
        <v>380</v>
      </c>
      <c r="P194" s="34">
        <v>1693</v>
      </c>
      <c r="Q194" s="43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405</v>
      </c>
      <c r="B195" s="43">
        <v>46160</v>
      </c>
      <c r="C195" s="34" t="s">
        <v>184</v>
      </c>
      <c r="D195" s="34" t="s">
        <v>185</v>
      </c>
      <c r="E195" s="34" t="s">
        <v>24</v>
      </c>
      <c r="F195" s="34" t="s">
        <v>186</v>
      </c>
      <c r="G195" s="34" t="s">
        <v>178</v>
      </c>
      <c r="H195" s="20" t="s">
        <v>317</v>
      </c>
      <c r="I195" s="34" t="s">
        <v>64</v>
      </c>
      <c r="J195" s="38">
        <v>300</v>
      </c>
      <c r="K195" s="22">
        <f>IF(I195="","",IF(I195="ENTRADA",ABS(J195),-ABS(J195)))</f>
        <v>-300</v>
      </c>
      <c r="L195" s="34" t="s">
        <v>28</v>
      </c>
      <c r="M195" s="34"/>
      <c r="N195" s="34">
        <v>65066</v>
      </c>
      <c r="O195" s="34" t="s">
        <v>216</v>
      </c>
      <c r="P195" s="34">
        <v>1694</v>
      </c>
      <c r="Q195" s="43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406</v>
      </c>
      <c r="B196" s="43">
        <v>46160</v>
      </c>
      <c r="C196" s="34" t="s">
        <v>302</v>
      </c>
      <c r="D196" s="34" t="s">
        <v>303</v>
      </c>
      <c r="E196" s="34" t="s">
        <v>24</v>
      </c>
      <c r="F196" s="34" t="s">
        <v>186</v>
      </c>
      <c r="G196" s="34" t="s">
        <v>299</v>
      </c>
      <c r="H196" s="20" t="s">
        <v>407</v>
      </c>
      <c r="I196" s="34" t="s">
        <v>64</v>
      </c>
      <c r="J196" s="38">
        <v>25</v>
      </c>
      <c r="K196" s="22">
        <f>IF(I196="","",IF(I196="ENTRADA",ABS(J196),-ABS(J196)))</f>
        <v>-25</v>
      </c>
      <c r="L196" s="34" t="s">
        <v>28</v>
      </c>
      <c r="M196" s="34"/>
      <c r="N196" s="34">
        <v>65066</v>
      </c>
      <c r="O196" s="34" t="s">
        <v>216</v>
      </c>
      <c r="P196" s="34">
        <v>1694</v>
      </c>
      <c r="Q196" s="43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408</v>
      </c>
      <c r="B197" s="43">
        <v>46160</v>
      </c>
      <c r="C197" s="34" t="s">
        <v>158</v>
      </c>
      <c r="D197" s="34" t="s">
        <v>159</v>
      </c>
      <c r="E197" s="34" t="s">
        <v>24</v>
      </c>
      <c r="F197" s="34" t="s">
        <v>25</v>
      </c>
      <c r="G197" s="34" t="s">
        <v>156</v>
      </c>
      <c r="H197" s="20" t="s">
        <v>237</v>
      </c>
      <c r="I197" s="34" t="s">
        <v>64</v>
      </c>
      <c r="J197" s="38">
        <v>448</v>
      </c>
      <c r="K197" s="22">
        <f>IF(I197="","",IF(I197="ENTRADA",ABS(J197),-ABS(J197)))</f>
        <v>-448</v>
      </c>
      <c r="L197" s="34" t="s">
        <v>28</v>
      </c>
      <c r="M197" s="34"/>
      <c r="N197" s="34">
        <v>65068</v>
      </c>
      <c r="O197" s="34" t="s">
        <v>211</v>
      </c>
      <c r="P197" s="34">
        <v>1695</v>
      </c>
      <c r="Q197" s="43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409</v>
      </c>
      <c r="B198" s="43">
        <v>46160</v>
      </c>
      <c r="C198" s="34" t="s">
        <v>154</v>
      </c>
      <c r="D198" s="34" t="s">
        <v>155</v>
      </c>
      <c r="E198" s="34" t="s">
        <v>24</v>
      </c>
      <c r="F198" s="34" t="s">
        <v>25</v>
      </c>
      <c r="G198" s="34" t="s">
        <v>156</v>
      </c>
      <c r="H198" s="20" t="s">
        <v>293</v>
      </c>
      <c r="I198" s="34" t="s">
        <v>64</v>
      </c>
      <c r="J198" s="38">
        <v>200</v>
      </c>
      <c r="K198" s="22">
        <f>IF(I198="","",IF(I198="ENTRADA",ABS(J198),-ABS(J198)))</f>
        <v>-200</v>
      </c>
      <c r="L198" s="34" t="s">
        <v>28</v>
      </c>
      <c r="M198" s="34"/>
      <c r="N198" s="34">
        <v>65068</v>
      </c>
      <c r="O198" s="34" t="s">
        <v>211</v>
      </c>
      <c r="P198" s="34">
        <v>1695</v>
      </c>
      <c r="Q198" s="43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410</v>
      </c>
      <c r="B199" s="43">
        <v>46160</v>
      </c>
      <c r="C199" s="34" t="s">
        <v>135</v>
      </c>
      <c r="D199" s="34" t="s">
        <v>136</v>
      </c>
      <c r="E199" s="34" t="s">
        <v>130</v>
      </c>
      <c r="F199" s="34"/>
      <c r="G199" s="34" t="s">
        <v>131</v>
      </c>
      <c r="H199" s="20" t="s">
        <v>209</v>
      </c>
      <c r="I199" s="34" t="s">
        <v>64</v>
      </c>
      <c r="J199" s="51">
        <v>15</v>
      </c>
      <c r="K199" s="22">
        <f>IF(I199="","",IF(I199="ENTRADA",ABS(J199),-ABS(J199)))</f>
        <v>-15</v>
      </c>
      <c r="L199" s="34" t="s">
        <v>36</v>
      </c>
      <c r="M199" s="34"/>
      <c r="N199" s="34">
        <v>65067</v>
      </c>
      <c r="O199" s="34" t="s">
        <v>380</v>
      </c>
      <c r="P199" s="34">
        <v>1696</v>
      </c>
      <c r="Q199" s="43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411</v>
      </c>
      <c r="B200" s="43">
        <v>46160</v>
      </c>
      <c r="C200" s="34" t="s">
        <v>114</v>
      </c>
      <c r="D200" s="34" t="s">
        <v>115</v>
      </c>
      <c r="E200" s="34" t="s">
        <v>33</v>
      </c>
      <c r="F200" s="34" t="s">
        <v>34</v>
      </c>
      <c r="G200" s="34" t="s">
        <v>116</v>
      </c>
      <c r="H200" s="20" t="s">
        <v>119</v>
      </c>
      <c r="I200" s="34" t="s">
        <v>64</v>
      </c>
      <c r="J200" s="38">
        <v>600</v>
      </c>
      <c r="K200" s="22">
        <f>IF(I200="","",IF(I200="ENTRADA",ABS(J200),-ABS(J200)))</f>
        <v>-600</v>
      </c>
      <c r="L200" s="34" t="s">
        <v>36</v>
      </c>
      <c r="M200" s="34"/>
      <c r="N200" s="34">
        <v>65067</v>
      </c>
      <c r="O200" s="34" t="s">
        <v>380</v>
      </c>
      <c r="P200" s="34">
        <v>1696</v>
      </c>
      <c r="Q200" s="43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412</v>
      </c>
      <c r="B201" s="43">
        <v>46160</v>
      </c>
      <c r="C201" s="35" t="s">
        <v>89</v>
      </c>
      <c r="D201" s="35" t="s">
        <v>90</v>
      </c>
      <c r="E201" s="35" t="s">
        <v>33</v>
      </c>
      <c r="F201" s="35" t="s">
        <v>34</v>
      </c>
      <c r="G201" s="35" t="s">
        <v>35</v>
      </c>
      <c r="H201" s="20" t="s">
        <v>373</v>
      </c>
      <c r="I201" s="35" t="s">
        <v>64</v>
      </c>
      <c r="J201" s="37">
        <v>80</v>
      </c>
      <c r="K201" s="22">
        <f>IF(I201="","",IF(I201="ENTRADA",ABS(J201),-ABS(J201)))</f>
        <v>-80</v>
      </c>
      <c r="L201" s="35" t="s">
        <v>36</v>
      </c>
      <c r="M201" s="35"/>
      <c r="N201" s="35">
        <v>65067</v>
      </c>
      <c r="O201" s="35" t="s">
        <v>380</v>
      </c>
      <c r="P201" s="47">
        <v>1696</v>
      </c>
      <c r="Q201" s="43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413</v>
      </c>
      <c r="B202" s="43">
        <v>46160</v>
      </c>
      <c r="C202" t="s">
        <v>128</v>
      </c>
      <c r="D202" t="s">
        <v>129</v>
      </c>
      <c r="E202" t="s">
        <v>130</v>
      </c>
      <c r="G202" t="s">
        <v>131</v>
      </c>
      <c r="H202" s="20" t="s">
        <v>219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380</v>
      </c>
      <c r="P202">
        <v>1696</v>
      </c>
      <c r="Q202" s="43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414</v>
      </c>
      <c r="B203" s="43">
        <v>46160</v>
      </c>
      <c r="C203" t="s">
        <v>297</v>
      </c>
      <c r="D203" t="s">
        <v>298</v>
      </c>
      <c r="E203" t="s">
        <v>24</v>
      </c>
      <c r="F203" t="s">
        <v>163</v>
      </c>
      <c r="G203" t="s">
        <v>299</v>
      </c>
      <c r="H203" s="20" t="s">
        <v>363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216</v>
      </c>
      <c r="P203">
        <v>1697</v>
      </c>
      <c r="Q203" s="43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415</v>
      </c>
      <c r="B204" s="43">
        <v>46160</v>
      </c>
      <c r="C204" t="s">
        <v>254</v>
      </c>
      <c r="D204" t="s">
        <v>255</v>
      </c>
      <c r="E204" t="s">
        <v>24</v>
      </c>
      <c r="F204" t="s">
        <v>256</v>
      </c>
      <c r="G204" t="s">
        <v>257</v>
      </c>
      <c r="H204" s="20" t="s">
        <v>311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216</v>
      </c>
      <c r="P204">
        <v>1697</v>
      </c>
      <c r="Q204" s="43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416</v>
      </c>
      <c r="B205" s="43">
        <v>46160</v>
      </c>
      <c r="C205" t="s">
        <v>226</v>
      </c>
      <c r="D205" t="s">
        <v>227</v>
      </c>
      <c r="E205" t="s">
        <v>24</v>
      </c>
      <c r="F205" t="s">
        <v>25</v>
      </c>
      <c r="G205" t="s">
        <v>26</v>
      </c>
      <c r="H205" s="20" t="s">
        <v>325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O205" t="s">
        <v>216</v>
      </c>
      <c r="P205">
        <v>1698</v>
      </c>
      <c r="Q205" s="43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417</v>
      </c>
      <c r="B206" s="43">
        <v>46160</v>
      </c>
      <c r="C206" t="s">
        <v>154</v>
      </c>
      <c r="D206" t="s">
        <v>155</v>
      </c>
      <c r="E206" t="s">
        <v>24</v>
      </c>
      <c r="F206" t="s">
        <v>25</v>
      </c>
      <c r="G206" t="s">
        <v>156</v>
      </c>
      <c r="H206" s="20" t="s">
        <v>293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O206" t="s">
        <v>216</v>
      </c>
      <c r="P206">
        <v>1698</v>
      </c>
      <c r="Q206" s="43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418</v>
      </c>
      <c r="B207" s="43">
        <v>46160</v>
      </c>
      <c r="C207" t="s">
        <v>154</v>
      </c>
      <c r="D207" t="s">
        <v>155</v>
      </c>
      <c r="E207" t="s">
        <v>24</v>
      </c>
      <c r="F207" t="s">
        <v>25</v>
      </c>
      <c r="G207" t="s">
        <v>156</v>
      </c>
      <c r="H207" s="20" t="s">
        <v>293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O207" t="s">
        <v>65</v>
      </c>
      <c r="P207">
        <v>1699</v>
      </c>
      <c r="Q207" s="43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419</v>
      </c>
      <c r="B208" s="48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380</v>
      </c>
      <c r="P208">
        <v>1701</v>
      </c>
      <c r="Q208" s="43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420</v>
      </c>
      <c r="B209" s="48">
        <v>46164</v>
      </c>
      <c r="C209" t="s">
        <v>135</v>
      </c>
      <c r="D209" t="s">
        <v>136</v>
      </c>
      <c r="E209" t="s">
        <v>130</v>
      </c>
      <c r="G209" t="s">
        <v>131</v>
      </c>
      <c r="H209" s="20" t="s">
        <v>209</v>
      </c>
      <c r="I209" t="s">
        <v>64</v>
      </c>
      <c r="J209" s="52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380</v>
      </c>
      <c r="P209">
        <v>1701</v>
      </c>
      <c r="Q209" s="43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421</v>
      </c>
      <c r="B210" s="48">
        <v>46164</v>
      </c>
      <c r="C210" t="s">
        <v>128</v>
      </c>
      <c r="D210" t="s">
        <v>129</v>
      </c>
      <c r="E210" t="s">
        <v>130</v>
      </c>
      <c r="G210" t="s">
        <v>131</v>
      </c>
      <c r="H210" s="20" t="s">
        <v>219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380</v>
      </c>
      <c r="P210">
        <v>1701</v>
      </c>
      <c r="Q210" s="43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422</v>
      </c>
      <c r="B211" s="48">
        <v>46164</v>
      </c>
      <c r="C211" s="35" t="s">
        <v>423</v>
      </c>
      <c r="D211" s="35" t="s">
        <v>424</v>
      </c>
      <c r="E211" s="35" t="s">
        <v>24</v>
      </c>
      <c r="F211" s="35"/>
      <c r="G211" s="35" t="s">
        <v>26</v>
      </c>
      <c r="H211" s="20" t="str">
        <f>+T211</f>
        <v>260522-210</v>
      </c>
      <c r="I211" s="35" t="s">
        <v>27</v>
      </c>
      <c r="J211" s="37">
        <v>12000</v>
      </c>
      <c r="K211" s="22">
        <f>IF(I211="","",IF(I211="ENTRADA",ABS(J211),-ABS(J211)))</f>
        <v>12000</v>
      </c>
      <c r="L211" s="35" t="s">
        <v>28</v>
      </c>
      <c r="M211" s="35"/>
      <c r="N211" s="35">
        <v>48489</v>
      </c>
      <c r="O211" s="35"/>
      <c r="P211" s="35">
        <v>14559</v>
      </c>
      <c r="Q211" s="21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425</v>
      </c>
      <c r="B212" s="48">
        <v>46164</v>
      </c>
      <c r="C212" t="s">
        <v>426</v>
      </c>
      <c r="D212" t="s">
        <v>427</v>
      </c>
      <c r="E212" t="s">
        <v>24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5">
        <v>48489</v>
      </c>
      <c r="P212">
        <v>14559</v>
      </c>
      <c r="Q212" s="21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428</v>
      </c>
      <c r="B213" s="48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201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216</v>
      </c>
      <c r="P213">
        <v>1702</v>
      </c>
      <c r="Q213" s="43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429</v>
      </c>
      <c r="B214" s="48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216</v>
      </c>
      <c r="P214">
        <v>1702</v>
      </c>
      <c r="Q214" s="43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430</v>
      </c>
      <c r="B215" s="48">
        <v>46164</v>
      </c>
      <c r="C215" t="s">
        <v>135</v>
      </c>
      <c r="D215" t="s">
        <v>136</v>
      </c>
      <c r="E215" t="s">
        <v>130</v>
      </c>
      <c r="G215" t="s">
        <v>131</v>
      </c>
      <c r="H215" s="20" t="s">
        <v>209</v>
      </c>
      <c r="I215" t="s">
        <v>64</v>
      </c>
      <c r="J215" s="52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216</v>
      </c>
      <c r="P215">
        <v>1702</v>
      </c>
      <c r="Q215" s="43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431</v>
      </c>
      <c r="B216" s="48">
        <v>46164</v>
      </c>
      <c r="C216" t="s">
        <v>128</v>
      </c>
      <c r="D216" t="s">
        <v>129</v>
      </c>
      <c r="E216" t="s">
        <v>130</v>
      </c>
      <c r="G216" t="s">
        <v>131</v>
      </c>
      <c r="H216" s="20" t="s">
        <v>219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216</v>
      </c>
      <c r="P216">
        <v>1702</v>
      </c>
      <c r="Q216" s="43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432</v>
      </c>
      <c r="B217" s="48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373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329</v>
      </c>
      <c r="P217">
        <v>1704</v>
      </c>
      <c r="Q217" s="43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433</v>
      </c>
      <c r="B218" s="48">
        <v>46103</v>
      </c>
      <c r="C218" t="s">
        <v>79</v>
      </c>
      <c r="D218" t="s">
        <v>80</v>
      </c>
      <c r="E218" t="s">
        <v>24</v>
      </c>
      <c r="G218" t="s">
        <v>82</v>
      </c>
      <c r="H218" s="20" t="s">
        <v>149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385</v>
      </c>
      <c r="P218">
        <v>1703</v>
      </c>
      <c r="Q218" s="43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434</v>
      </c>
      <c r="B219" s="48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373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380</v>
      </c>
      <c r="P219">
        <v>1708</v>
      </c>
      <c r="Q219" s="43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435</v>
      </c>
      <c r="B220" s="48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373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235</v>
      </c>
      <c r="P220">
        <v>1709</v>
      </c>
      <c r="Q220" s="43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436</v>
      </c>
      <c r="B221" s="48">
        <v>46167</v>
      </c>
      <c r="C221" s="35" t="s">
        <v>89</v>
      </c>
      <c r="D221" s="35" t="s">
        <v>90</v>
      </c>
      <c r="E221" s="35" t="s">
        <v>33</v>
      </c>
      <c r="F221" s="35" t="s">
        <v>34</v>
      </c>
      <c r="G221" s="35" t="s">
        <v>35</v>
      </c>
      <c r="H221" s="20" t="s">
        <v>373</v>
      </c>
      <c r="I221" s="35" t="s">
        <v>64</v>
      </c>
      <c r="J221" s="37">
        <v>80</v>
      </c>
      <c r="K221" s="22">
        <f>IF(I221="","",IF(I221="ENTRADA",ABS(J221),-ABS(J221)))</f>
        <v>-80</v>
      </c>
      <c r="L221" s="35" t="s">
        <v>36</v>
      </c>
      <c r="M221" s="35"/>
      <c r="N221" s="35">
        <v>65079</v>
      </c>
      <c r="O221" s="35" t="s">
        <v>216</v>
      </c>
      <c r="P221" s="35">
        <v>1711</v>
      </c>
      <c r="Q221" s="43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437</v>
      </c>
      <c r="B222" s="48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216</v>
      </c>
      <c r="P222">
        <v>1711</v>
      </c>
      <c r="Q222" s="43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438</v>
      </c>
      <c r="B223" s="48">
        <v>46167</v>
      </c>
      <c r="C223" t="s">
        <v>135</v>
      </c>
      <c r="D223" t="s">
        <v>136</v>
      </c>
      <c r="E223" t="s">
        <v>130</v>
      </c>
      <c r="G223" t="s">
        <v>131</v>
      </c>
      <c r="H223" s="20" t="s">
        <v>209</v>
      </c>
      <c r="I223" t="s">
        <v>64</v>
      </c>
      <c r="J223" s="52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216</v>
      </c>
      <c r="P223">
        <v>1711</v>
      </c>
      <c r="Q223" s="43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439</v>
      </c>
      <c r="B224" s="48">
        <v>46167</v>
      </c>
      <c r="C224" t="s">
        <v>128</v>
      </c>
      <c r="D224" t="s">
        <v>129</v>
      </c>
      <c r="E224" t="s">
        <v>130</v>
      </c>
      <c r="G224" t="s">
        <v>131</v>
      </c>
      <c r="H224" s="20" t="s">
        <v>219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216</v>
      </c>
      <c r="P224">
        <v>1711</v>
      </c>
      <c r="Q224" s="43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440</v>
      </c>
      <c r="B225" s="48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>IF(I225="","",IF(I225="ENTRADA",ABS(J225),-ABS(J225)))</f>
        <v>-2880</v>
      </c>
      <c r="L225" t="s">
        <v>36</v>
      </c>
      <c r="N225">
        <v>65080</v>
      </c>
      <c r="O225" t="s">
        <v>211</v>
      </c>
      <c r="P225">
        <v>1712</v>
      </c>
      <c r="Q225" s="43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441</v>
      </c>
      <c r="B226" s="48">
        <v>46168</v>
      </c>
      <c r="C226" t="s">
        <v>154</v>
      </c>
      <c r="D226" t="s">
        <v>155</v>
      </c>
      <c r="E226" t="s">
        <v>24</v>
      </c>
      <c r="F226" t="s">
        <v>25</v>
      </c>
      <c r="G226" t="s">
        <v>299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3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442</v>
      </c>
      <c r="B227" s="48">
        <v>46170</v>
      </c>
      <c r="C227" t="s">
        <v>154</v>
      </c>
      <c r="D227" t="s">
        <v>155</v>
      </c>
      <c r="E227" t="s">
        <v>24</v>
      </c>
      <c r="F227" t="s">
        <v>25</v>
      </c>
      <c r="G227" t="s">
        <v>299</v>
      </c>
      <c r="H227" s="20" t="s">
        <v>443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307</v>
      </c>
      <c r="P227">
        <v>1707</v>
      </c>
      <c r="Q227" s="43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444</v>
      </c>
      <c r="B228" s="48">
        <v>46171</v>
      </c>
      <c r="C228" t="s">
        <v>265</v>
      </c>
      <c r="D228" t="s">
        <v>265</v>
      </c>
      <c r="E228" t="s">
        <v>24</v>
      </c>
      <c r="G228" t="s">
        <v>35</v>
      </c>
      <c r="H228" s="20" t="s">
        <v>445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385</v>
      </c>
      <c r="P228">
        <v>1716</v>
      </c>
      <c r="Q228" s="43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446</v>
      </c>
      <c r="B229" s="48">
        <v>46171</v>
      </c>
      <c r="C229" t="s">
        <v>154</v>
      </c>
      <c r="D229" t="s">
        <v>155</v>
      </c>
      <c r="E229" t="s">
        <v>24</v>
      </c>
      <c r="F229" t="s">
        <v>25</v>
      </c>
      <c r="G229" t="s">
        <v>299</v>
      </c>
      <c r="H229" s="20" t="s">
        <v>443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385</v>
      </c>
      <c r="P229">
        <v>1716</v>
      </c>
      <c r="Q229" s="43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447</v>
      </c>
      <c r="B230" s="48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380</v>
      </c>
      <c r="P230">
        <v>1717</v>
      </c>
      <c r="Q230" s="43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448</v>
      </c>
      <c r="B231" s="48">
        <v>46171</v>
      </c>
      <c r="C231" t="s">
        <v>135</v>
      </c>
      <c r="D231" t="s">
        <v>136</v>
      </c>
      <c r="E231" t="s">
        <v>130</v>
      </c>
      <c r="G231" t="s">
        <v>131</v>
      </c>
      <c r="H231" s="20" t="s">
        <v>209</v>
      </c>
      <c r="I231" t="s">
        <v>64</v>
      </c>
      <c r="J231" s="52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380</v>
      </c>
      <c r="P231">
        <v>1717</v>
      </c>
      <c r="Q231" s="43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449</v>
      </c>
      <c r="B232" s="48">
        <v>46171</v>
      </c>
      <c r="C232" s="35" t="s">
        <v>128</v>
      </c>
      <c r="D232" s="35" t="s">
        <v>129</v>
      </c>
      <c r="E232" s="35" t="s">
        <v>130</v>
      </c>
      <c r="F232" s="35"/>
      <c r="G232" s="35" t="s">
        <v>131</v>
      </c>
      <c r="H232" s="20" t="s">
        <v>219</v>
      </c>
      <c r="I232" s="35" t="s">
        <v>64</v>
      </c>
      <c r="J232" s="37">
        <v>60</v>
      </c>
      <c r="K232" s="22">
        <f>IF(I232="","",IF(I232="ENTRADA",ABS(J232),-ABS(J232)))</f>
        <v>-60</v>
      </c>
      <c r="L232" s="35" t="s">
        <v>36</v>
      </c>
      <c r="M232" s="35"/>
      <c r="N232" s="35">
        <v>65084</v>
      </c>
      <c r="O232" s="35" t="s">
        <v>380</v>
      </c>
      <c r="P232">
        <v>1717</v>
      </c>
      <c r="Q232" s="43" t="s">
        <v>450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451</v>
      </c>
      <c r="B233" s="48">
        <v>46171</v>
      </c>
      <c r="C233" t="s">
        <v>154</v>
      </c>
      <c r="D233" t="s">
        <v>155</v>
      </c>
      <c r="E233" t="s">
        <v>24</v>
      </c>
      <c r="F233" t="s">
        <v>25</v>
      </c>
      <c r="G233" t="s">
        <v>299</v>
      </c>
      <c r="H233" s="20" t="s">
        <v>443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380</v>
      </c>
      <c r="P233">
        <v>1718</v>
      </c>
      <c r="Q233" s="43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452</v>
      </c>
      <c r="B234" s="48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385</v>
      </c>
      <c r="P234">
        <v>1719</v>
      </c>
      <c r="Q234" s="43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453</v>
      </c>
      <c r="B235" s="48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373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385</v>
      </c>
      <c r="P235">
        <v>1719</v>
      </c>
      <c r="Q235" s="43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454</v>
      </c>
      <c r="B236" s="48">
        <v>46171</v>
      </c>
      <c r="C236" t="s">
        <v>154</v>
      </c>
      <c r="D236" t="s">
        <v>155</v>
      </c>
      <c r="E236" t="s">
        <v>24</v>
      </c>
      <c r="F236" t="s">
        <v>25</v>
      </c>
      <c r="G236" t="s">
        <v>299</v>
      </c>
      <c r="H236" s="20" t="s">
        <v>443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385</v>
      </c>
      <c r="P236">
        <v>1719</v>
      </c>
      <c r="Q236" s="43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455</v>
      </c>
      <c r="B237" s="48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216</v>
      </c>
      <c r="P237">
        <v>1720</v>
      </c>
      <c r="Q237" s="43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456</v>
      </c>
      <c r="B238" s="48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373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216</v>
      </c>
      <c r="P238">
        <v>1720</v>
      </c>
      <c r="Q238" s="43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457</v>
      </c>
      <c r="B239" s="48">
        <v>46174</v>
      </c>
      <c r="C239" t="s">
        <v>79</v>
      </c>
      <c r="D239" t="s">
        <v>80</v>
      </c>
      <c r="E239" t="s">
        <v>24</v>
      </c>
      <c r="G239" t="s">
        <v>82</v>
      </c>
      <c r="H239" s="20" t="s">
        <v>149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385</v>
      </c>
      <c r="P239">
        <v>1721</v>
      </c>
      <c r="Q239" s="43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458</v>
      </c>
      <c r="B240" s="48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201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211</v>
      </c>
      <c r="P240">
        <v>1722</v>
      </c>
      <c r="Q240" s="43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459</v>
      </c>
      <c r="B241" s="48">
        <v>46174</v>
      </c>
      <c r="C241" t="s">
        <v>128</v>
      </c>
      <c r="D241" t="s">
        <v>129</v>
      </c>
      <c r="E241" t="s">
        <v>130</v>
      </c>
      <c r="G241" t="s">
        <v>131</v>
      </c>
      <c r="H241" s="20" t="s">
        <v>219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211</v>
      </c>
      <c r="P241">
        <v>1722</v>
      </c>
      <c r="Q241" s="43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460</v>
      </c>
      <c r="B242" s="48">
        <v>46174</v>
      </c>
      <c r="C242" t="s">
        <v>243</v>
      </c>
      <c r="D242" t="s">
        <v>244</v>
      </c>
      <c r="E242" t="s">
        <v>33</v>
      </c>
      <c r="F242" t="s">
        <v>34</v>
      </c>
      <c r="G242" t="s">
        <v>26</v>
      </c>
      <c r="H242" s="20" t="s">
        <v>461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211</v>
      </c>
      <c r="P242">
        <v>1722</v>
      </c>
      <c r="Q242" s="43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462</v>
      </c>
      <c r="B243" s="48">
        <v>46174</v>
      </c>
      <c r="C243" s="35" t="s">
        <v>121</v>
      </c>
      <c r="D243" s="35" t="s">
        <v>122</v>
      </c>
      <c r="E243" s="35" t="s">
        <v>33</v>
      </c>
      <c r="F243" s="35" t="s">
        <v>34</v>
      </c>
      <c r="G243" s="35" t="s">
        <v>116</v>
      </c>
      <c r="H243" s="20" t="s">
        <v>201</v>
      </c>
      <c r="I243" s="35" t="s">
        <v>64</v>
      </c>
      <c r="J243" s="37">
        <v>20</v>
      </c>
      <c r="K243" s="22">
        <f>IF(I243="","",IF(I243="ENTRADA",ABS(J243),-ABS(J243)))</f>
        <v>-20</v>
      </c>
      <c r="L243" s="35" t="s">
        <v>36</v>
      </c>
      <c r="M243" s="35"/>
      <c r="N243" s="35">
        <v>65093</v>
      </c>
      <c r="O243" s="35" t="s">
        <v>380</v>
      </c>
      <c r="P243" s="35">
        <v>1723</v>
      </c>
      <c r="Q243" s="43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463</v>
      </c>
      <c r="B244" s="48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216</v>
      </c>
      <c r="P244">
        <v>1724</v>
      </c>
      <c r="Q244" s="43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464</v>
      </c>
      <c r="B245" s="48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373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216</v>
      </c>
      <c r="P245">
        <v>1729</v>
      </c>
      <c r="Q245" s="43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465</v>
      </c>
      <c r="B246" s="48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216</v>
      </c>
      <c r="P246">
        <v>1729</v>
      </c>
      <c r="Q246" s="43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466</v>
      </c>
      <c r="B247" s="48">
        <v>46176</v>
      </c>
      <c r="C247" t="s">
        <v>139</v>
      </c>
      <c r="D247" t="s">
        <v>140</v>
      </c>
      <c r="E247" t="s">
        <v>130</v>
      </c>
      <c r="G247" t="s">
        <v>131</v>
      </c>
      <c r="H247" s="20" t="s">
        <v>467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216</v>
      </c>
      <c r="P247">
        <v>1729</v>
      </c>
      <c r="Q247" s="43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468</v>
      </c>
      <c r="B248" s="48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469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216</v>
      </c>
      <c r="P248">
        <v>1729</v>
      </c>
      <c r="Q248" s="43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470</v>
      </c>
      <c r="B249" s="48">
        <v>46176</v>
      </c>
      <c r="C249" t="s">
        <v>49</v>
      </c>
      <c r="D249" t="s">
        <v>278</v>
      </c>
      <c r="E249" t="s">
        <v>33</v>
      </c>
      <c r="F249" t="s">
        <v>34</v>
      </c>
      <c r="G249" t="s">
        <v>35</v>
      </c>
      <c r="H249" s="20" t="s">
        <v>279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216</v>
      </c>
      <c r="P249">
        <v>1729</v>
      </c>
      <c r="Q249" s="43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471</v>
      </c>
      <c r="B250" s="48">
        <v>46176</v>
      </c>
      <c r="C250" t="s">
        <v>128</v>
      </c>
      <c r="D250" t="s">
        <v>129</v>
      </c>
      <c r="E250" t="s">
        <v>130</v>
      </c>
      <c r="G250" t="s">
        <v>131</v>
      </c>
      <c r="H250" s="20" t="s">
        <v>219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216</v>
      </c>
      <c r="P250">
        <v>1729</v>
      </c>
      <c r="Q250" s="43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472</v>
      </c>
      <c r="B251" s="48">
        <v>46176</v>
      </c>
      <c r="C251" t="s">
        <v>302</v>
      </c>
      <c r="D251" t="s">
        <v>303</v>
      </c>
      <c r="E251" t="s">
        <v>24</v>
      </c>
      <c r="F251" t="s">
        <v>186</v>
      </c>
      <c r="G251" t="s">
        <v>299</v>
      </c>
      <c r="H251" s="20" t="s">
        <v>407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307</v>
      </c>
      <c r="P251">
        <v>1730</v>
      </c>
      <c r="Q251" s="43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473</v>
      </c>
      <c r="B252" s="48">
        <v>46176</v>
      </c>
      <c r="C252" t="s">
        <v>135</v>
      </c>
      <c r="D252" t="s">
        <v>136</v>
      </c>
      <c r="E252" t="s">
        <v>130</v>
      </c>
      <c r="G252" t="s">
        <v>131</v>
      </c>
      <c r="H252" s="20" t="s">
        <v>209</v>
      </c>
      <c r="I252" s="53" t="s">
        <v>64</v>
      </c>
      <c r="J252" s="54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307</v>
      </c>
      <c r="P252">
        <v>1730</v>
      </c>
      <c r="Q252" s="43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474</v>
      </c>
      <c r="B253" s="48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235</v>
      </c>
      <c r="P253">
        <v>1738</v>
      </c>
      <c r="Q253" s="43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475</v>
      </c>
      <c r="B254" s="48">
        <v>46177</v>
      </c>
      <c r="C254" s="35" t="s">
        <v>114</v>
      </c>
      <c r="D254" s="35" t="s">
        <v>115</v>
      </c>
      <c r="E254" s="35" t="s">
        <v>33</v>
      </c>
      <c r="F254" s="35" t="s">
        <v>34</v>
      </c>
      <c r="G254" s="35" t="s">
        <v>116</v>
      </c>
      <c r="H254" s="20" t="s">
        <v>119</v>
      </c>
      <c r="I254" s="35" t="s">
        <v>64</v>
      </c>
      <c r="J254" s="37">
        <v>520</v>
      </c>
      <c r="K254" s="22">
        <f>IF(I254="","",IF(I254="ENTRADA",ABS(J254),-ABS(J254)))</f>
        <v>-520</v>
      </c>
      <c r="L254" s="35" t="s">
        <v>36</v>
      </c>
      <c r="M254" s="35"/>
      <c r="N254" s="35">
        <v>65099</v>
      </c>
      <c r="O254" s="35" t="s">
        <v>216</v>
      </c>
      <c r="P254">
        <v>1732</v>
      </c>
      <c r="Q254" s="43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476</v>
      </c>
      <c r="B255" s="48">
        <v>46177</v>
      </c>
      <c r="C255" t="s">
        <v>135</v>
      </c>
      <c r="D255" t="s">
        <v>136</v>
      </c>
      <c r="E255" t="s">
        <v>130</v>
      </c>
      <c r="G255" t="s">
        <v>131</v>
      </c>
      <c r="H255" s="20" t="s">
        <v>209</v>
      </c>
      <c r="I255" t="s">
        <v>64</v>
      </c>
      <c r="J255" s="52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216</v>
      </c>
      <c r="P255">
        <v>1732</v>
      </c>
      <c r="Q255" s="43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477</v>
      </c>
      <c r="B256" s="48">
        <v>46177</v>
      </c>
      <c r="C256" t="s">
        <v>128</v>
      </c>
      <c r="D256" t="s">
        <v>129</v>
      </c>
      <c r="E256" t="s">
        <v>130</v>
      </c>
      <c r="G256" t="s">
        <v>131</v>
      </c>
      <c r="H256" s="20" t="s">
        <v>219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216</v>
      </c>
      <c r="P256">
        <v>1732</v>
      </c>
      <c r="Q256" s="43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478</v>
      </c>
      <c r="B257" s="48">
        <v>46178</v>
      </c>
      <c r="C257" t="s">
        <v>423</v>
      </c>
      <c r="D257" t="s">
        <v>424</v>
      </c>
      <c r="E257" t="s">
        <v>24</v>
      </c>
      <c r="G257" t="s">
        <v>26</v>
      </c>
      <c r="H257" s="20" t="s">
        <v>479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216</v>
      </c>
      <c r="P257">
        <v>1733</v>
      </c>
      <c r="Q257" s="43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480</v>
      </c>
      <c r="B258" s="48">
        <v>46178</v>
      </c>
      <c r="C258" t="s">
        <v>423</v>
      </c>
      <c r="D258" t="s">
        <v>424</v>
      </c>
      <c r="E258" t="s">
        <v>24</v>
      </c>
      <c r="G258" t="s">
        <v>26</v>
      </c>
      <c r="H258" s="20" t="s">
        <v>479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216</v>
      </c>
      <c r="P258">
        <v>1734</v>
      </c>
      <c r="Q258" s="43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481</v>
      </c>
      <c r="B259" s="48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216</v>
      </c>
      <c r="P259">
        <v>1735</v>
      </c>
      <c r="Q259" s="43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482</v>
      </c>
      <c r="B260" s="48">
        <v>46178</v>
      </c>
      <c r="C260" t="s">
        <v>128</v>
      </c>
      <c r="D260" t="s">
        <v>129</v>
      </c>
      <c r="E260" t="s">
        <v>130</v>
      </c>
      <c r="G260" t="s">
        <v>131</v>
      </c>
      <c r="H260" s="20" t="s">
        <v>219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216</v>
      </c>
      <c r="P260">
        <v>1735</v>
      </c>
      <c r="Q260" s="43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483</v>
      </c>
      <c r="B261" s="48">
        <v>46178</v>
      </c>
      <c r="C261" t="s">
        <v>135</v>
      </c>
      <c r="D261" t="s">
        <v>136</v>
      </c>
      <c r="E261" t="s">
        <v>130</v>
      </c>
      <c r="G261" t="s">
        <v>131</v>
      </c>
      <c r="H261" s="20" t="s">
        <v>209</v>
      </c>
      <c r="I261" t="s">
        <v>64</v>
      </c>
      <c r="J261" s="52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216</v>
      </c>
      <c r="P261">
        <v>1735</v>
      </c>
      <c r="Q261" s="43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484</v>
      </c>
      <c r="B262" s="48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373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216</v>
      </c>
      <c r="P262">
        <v>1735</v>
      </c>
      <c r="Q262" s="43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485</v>
      </c>
      <c r="B263" s="48">
        <v>46178</v>
      </c>
      <c r="C263" t="s">
        <v>423</v>
      </c>
      <c r="D263" t="s">
        <v>424</v>
      </c>
      <c r="E263" t="s">
        <v>24</v>
      </c>
      <c r="G263" t="s">
        <v>26</v>
      </c>
      <c r="H263" s="20" t="s">
        <v>479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216</v>
      </c>
      <c r="P263">
        <v>1736</v>
      </c>
      <c r="Q263" s="43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486</v>
      </c>
      <c r="B264" s="48">
        <v>46178</v>
      </c>
      <c r="C264" t="s">
        <v>426</v>
      </c>
      <c r="D264" t="s">
        <v>427</v>
      </c>
      <c r="E264" t="s">
        <v>24</v>
      </c>
      <c r="G264" t="s">
        <v>26</v>
      </c>
      <c r="H264" s="20" t="s">
        <v>487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216</v>
      </c>
      <c r="P264">
        <v>1736</v>
      </c>
      <c r="Q264" s="43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488</v>
      </c>
      <c r="B265" s="48">
        <v>46183</v>
      </c>
      <c r="C265" s="35" t="s">
        <v>489</v>
      </c>
      <c r="D265" s="35" t="s">
        <v>490</v>
      </c>
      <c r="E265" s="35" t="s">
        <v>491</v>
      </c>
      <c r="F265" s="35"/>
      <c r="G265" s="35" t="s">
        <v>35</v>
      </c>
      <c r="H265" s="20" t="str">
        <f>+T265</f>
        <v>260610-265</v>
      </c>
      <c r="I265" s="35" t="s">
        <v>27</v>
      </c>
      <c r="J265" s="37">
        <v>21120</v>
      </c>
      <c r="K265" s="22">
        <f>IF(I265="","",IF(I265="ENTRADA",ABS(J265),-ABS(J265)))</f>
        <v>21120</v>
      </c>
      <c r="L265" s="35" t="s">
        <v>36</v>
      </c>
      <c r="M265" s="35"/>
      <c r="N265" s="35">
        <v>13080</v>
      </c>
      <c r="O265" s="35"/>
      <c r="P265">
        <v>14750</v>
      </c>
      <c r="Q265" s="43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492</v>
      </c>
      <c r="B266" s="48">
        <v>46183</v>
      </c>
      <c r="C266" t="s">
        <v>489</v>
      </c>
      <c r="D266" t="s">
        <v>490</v>
      </c>
      <c r="E266" t="s">
        <v>491</v>
      </c>
      <c r="G266" t="s">
        <v>35</v>
      </c>
      <c r="H266" s="20" t="s">
        <v>493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307</v>
      </c>
      <c r="P266">
        <v>1783</v>
      </c>
      <c r="Q266" s="43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494</v>
      </c>
      <c r="B267" s="48">
        <v>46183</v>
      </c>
      <c r="C267" t="s">
        <v>281</v>
      </c>
      <c r="D267" t="s">
        <v>282</v>
      </c>
      <c r="E267" t="s">
        <v>283</v>
      </c>
      <c r="F267" t="s">
        <v>284</v>
      </c>
      <c r="G267" t="s">
        <v>82</v>
      </c>
      <c r="H267" s="20" t="s">
        <v>495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307</v>
      </c>
      <c r="P267">
        <v>1783</v>
      </c>
      <c r="Q267" s="43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496</v>
      </c>
      <c r="B268" s="48">
        <v>46184</v>
      </c>
      <c r="C268" t="s">
        <v>281</v>
      </c>
      <c r="D268" t="s">
        <v>282</v>
      </c>
      <c r="E268" t="s">
        <v>283</v>
      </c>
      <c r="F268" t="s">
        <v>284</v>
      </c>
      <c r="G268" t="s">
        <v>82</v>
      </c>
      <c r="H268" s="20" t="s">
        <v>495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P268">
        <v>1784</v>
      </c>
      <c r="Q268" s="43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497</v>
      </c>
      <c r="B269" s="48">
        <v>46184</v>
      </c>
      <c r="C269" t="s">
        <v>489</v>
      </c>
      <c r="D269" t="s">
        <v>490</v>
      </c>
      <c r="E269" t="s">
        <v>491</v>
      </c>
      <c r="G269" t="s">
        <v>35</v>
      </c>
      <c r="H269" s="20" t="s">
        <v>493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P269">
        <v>1784</v>
      </c>
      <c r="Q269" s="43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498</v>
      </c>
      <c r="B270" s="48">
        <v>46184</v>
      </c>
      <c r="C270" t="s">
        <v>49</v>
      </c>
      <c r="D270" t="s">
        <v>278</v>
      </c>
      <c r="E270" t="s">
        <v>33</v>
      </c>
      <c r="F270" t="s">
        <v>34</v>
      </c>
      <c r="G270" t="s">
        <v>35</v>
      </c>
      <c r="H270" s="20" t="s">
        <v>279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P270">
        <v>1784</v>
      </c>
      <c r="Q270" s="43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499</v>
      </c>
      <c r="B271" s="48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373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235</v>
      </c>
      <c r="P271">
        <v>1785</v>
      </c>
      <c r="Q271" s="43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500</v>
      </c>
      <c r="B272" s="48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235</v>
      </c>
      <c r="P272">
        <v>1785</v>
      </c>
      <c r="Q272" s="43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501</v>
      </c>
      <c r="B273" s="48">
        <v>46185</v>
      </c>
      <c r="C273" t="s">
        <v>128</v>
      </c>
      <c r="D273" t="s">
        <v>129</v>
      </c>
      <c r="E273" t="s">
        <v>130</v>
      </c>
      <c r="G273" t="s">
        <v>131</v>
      </c>
      <c r="H273" s="20" t="s">
        <v>219</v>
      </c>
      <c r="I273" t="s">
        <v>64</v>
      </c>
      <c r="J273" s="30">
        <v>180</v>
      </c>
      <c r="K273" s="22">
        <f>IF(I273="","",IF(I273="ENTRADA",ABS(J273),-ABS(J273)))</f>
        <v>-180</v>
      </c>
      <c r="L273" t="s">
        <v>36</v>
      </c>
      <c r="N273">
        <v>65107</v>
      </c>
      <c r="O273" t="s">
        <v>235</v>
      </c>
      <c r="P273">
        <v>1785</v>
      </c>
      <c r="Q273" s="43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502</v>
      </c>
      <c r="B274" s="48">
        <v>46188</v>
      </c>
      <c r="C274" t="s">
        <v>489</v>
      </c>
      <c r="D274" t="s">
        <v>490</v>
      </c>
      <c r="E274" t="s">
        <v>491</v>
      </c>
      <c r="G274" t="s">
        <v>35</v>
      </c>
      <c r="H274" s="20" t="s">
        <v>493</v>
      </c>
      <c r="I274" t="s">
        <v>27</v>
      </c>
      <c r="J274" s="30">
        <v>10560</v>
      </c>
      <c r="K274" s="22">
        <f>IF(I274="","",IF(I274="ENTRADA",ABS(J274),-ABS(J274)))</f>
        <v>10560</v>
      </c>
      <c r="L274" t="s">
        <v>36</v>
      </c>
      <c r="N274">
        <v>13100</v>
      </c>
      <c r="P274">
        <v>14751</v>
      </c>
      <c r="Q274" s="43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503</v>
      </c>
      <c r="B275" s="48">
        <v>46189</v>
      </c>
      <c r="C275" t="s">
        <v>281</v>
      </c>
      <c r="D275" t="s">
        <v>282</v>
      </c>
      <c r="E275" t="s">
        <v>283</v>
      </c>
      <c r="F275" t="s">
        <v>284</v>
      </c>
      <c r="G275" t="s">
        <v>82</v>
      </c>
      <c r="H275" s="20" t="s">
        <v>495</v>
      </c>
      <c r="I275" t="s">
        <v>64</v>
      </c>
      <c r="J275" s="30">
        <v>1000</v>
      </c>
      <c r="K275" s="22">
        <f>IF(I275="","",IF(I275="ENTRADA",ABS(J275),-ABS(J275)))</f>
        <v>-1000</v>
      </c>
      <c r="L275" t="s">
        <v>36</v>
      </c>
      <c r="N275">
        <v>65108</v>
      </c>
      <c r="O275" t="s">
        <v>380</v>
      </c>
      <c r="P275">
        <v>1786</v>
      </c>
      <c r="Q275" s="43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504</v>
      </c>
      <c r="B276" s="48">
        <v>46189</v>
      </c>
      <c r="C276" s="35" t="s">
        <v>128</v>
      </c>
      <c r="D276" s="35" t="s">
        <v>129</v>
      </c>
      <c r="E276" s="35" t="s">
        <v>130</v>
      </c>
      <c r="F276" s="35"/>
      <c r="G276" s="35" t="s">
        <v>131</v>
      </c>
      <c r="H276" s="20" t="s">
        <v>219</v>
      </c>
      <c r="I276" s="35" t="s">
        <v>64</v>
      </c>
      <c r="J276" s="37">
        <v>40</v>
      </c>
      <c r="K276" s="22">
        <f>IF(I276="","",IF(I276="ENTRADA",ABS(J276),-ABS(J276)))</f>
        <v>-40</v>
      </c>
      <c r="L276" s="35" t="s">
        <v>36</v>
      </c>
      <c r="M276" s="35"/>
      <c r="N276" s="35">
        <v>65108</v>
      </c>
      <c r="O276" s="35" t="s">
        <v>380</v>
      </c>
      <c r="P276">
        <v>1786</v>
      </c>
      <c r="Q276" s="43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505</v>
      </c>
      <c r="B277" s="48">
        <v>46189</v>
      </c>
      <c r="C277" t="s">
        <v>121</v>
      </c>
      <c r="D277" t="s">
        <v>122</v>
      </c>
      <c r="E277" t="s">
        <v>33</v>
      </c>
      <c r="F277" t="s">
        <v>34</v>
      </c>
      <c r="G277" t="s">
        <v>116</v>
      </c>
      <c r="H277" s="20" t="s">
        <v>201</v>
      </c>
      <c r="I277" t="s">
        <v>64</v>
      </c>
      <c r="J277" s="30">
        <v>100</v>
      </c>
      <c r="K277" s="22">
        <f>IF(I277="","",IF(I277="ENTRADA",ABS(J277),-ABS(J277)))</f>
        <v>-100</v>
      </c>
      <c r="L277" t="s">
        <v>36</v>
      </c>
      <c r="N277">
        <v>65108</v>
      </c>
      <c r="O277" t="s">
        <v>380</v>
      </c>
      <c r="P277">
        <v>1786</v>
      </c>
      <c r="Q277" s="43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506</v>
      </c>
      <c r="B278" s="48">
        <v>46189</v>
      </c>
      <c r="C278" t="s">
        <v>281</v>
      </c>
      <c r="D278" t="s">
        <v>282</v>
      </c>
      <c r="E278" t="s">
        <v>283</v>
      </c>
      <c r="F278" t="s">
        <v>284</v>
      </c>
      <c r="G278" t="s">
        <v>82</v>
      </c>
      <c r="H278" s="20" t="s">
        <v>495</v>
      </c>
      <c r="I278" t="s">
        <v>64</v>
      </c>
      <c r="J278" s="30">
        <v>3500</v>
      </c>
      <c r="K278" s="22">
        <f>IF(I278="","",IF(I278="ENTRADA",ABS(J278),-ABS(J278)))</f>
        <v>-3500</v>
      </c>
      <c r="L278" t="s">
        <v>36</v>
      </c>
      <c r="N278">
        <v>65109</v>
      </c>
      <c r="O278" t="s">
        <v>380</v>
      </c>
      <c r="P278">
        <v>1782</v>
      </c>
      <c r="Q278" s="43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507</v>
      </c>
      <c r="B279" s="48">
        <v>46189</v>
      </c>
      <c r="C279" t="s">
        <v>128</v>
      </c>
      <c r="D279" t="s">
        <v>129</v>
      </c>
      <c r="E279" t="s">
        <v>130</v>
      </c>
      <c r="G279" t="s">
        <v>131</v>
      </c>
      <c r="H279" s="20" t="s">
        <v>219</v>
      </c>
      <c r="I279" t="s">
        <v>64</v>
      </c>
      <c r="J279" s="30">
        <v>60</v>
      </c>
      <c r="K279" s="22">
        <f>IF(I279="","",IF(I279="ENTRADA",ABS(J279),-ABS(J279)))</f>
        <v>-60</v>
      </c>
      <c r="L279" t="s">
        <v>36</v>
      </c>
      <c r="N279">
        <v>65109</v>
      </c>
      <c r="O279" t="s">
        <v>380</v>
      </c>
      <c r="P279">
        <v>1782</v>
      </c>
      <c r="Q279" s="43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508</v>
      </c>
      <c r="B280" s="48">
        <v>46189</v>
      </c>
      <c r="C280" t="s">
        <v>121</v>
      </c>
      <c r="D280" t="s">
        <v>122</v>
      </c>
      <c r="E280" t="s">
        <v>33</v>
      </c>
      <c r="F280" t="s">
        <v>34</v>
      </c>
      <c r="G280" t="s">
        <v>116</v>
      </c>
      <c r="H280" s="20" t="s">
        <v>201</v>
      </c>
      <c r="I280" t="s">
        <v>64</v>
      </c>
      <c r="J280" s="30">
        <v>100</v>
      </c>
      <c r="K280" s="22">
        <f>IF(I280="","",IF(I280="ENTRADA",ABS(J280),-ABS(J280)))</f>
        <v>-100</v>
      </c>
      <c r="L280" t="s">
        <v>36</v>
      </c>
      <c r="N280">
        <v>65109</v>
      </c>
      <c r="O280" t="s">
        <v>380</v>
      </c>
      <c r="P280">
        <v>1782</v>
      </c>
      <c r="Q280" s="43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509</v>
      </c>
      <c r="B281" s="48">
        <v>46189</v>
      </c>
      <c r="C281" t="s">
        <v>281</v>
      </c>
      <c r="D281" t="s">
        <v>282</v>
      </c>
      <c r="E281" t="s">
        <v>283</v>
      </c>
      <c r="F281" t="s">
        <v>284</v>
      </c>
      <c r="G281" t="s">
        <v>82</v>
      </c>
      <c r="H281" s="20" t="s">
        <v>495</v>
      </c>
      <c r="I281" t="s">
        <v>64</v>
      </c>
      <c r="J281" s="30">
        <v>2260</v>
      </c>
      <c r="K281" s="22">
        <f>IF(I281="","",IF(I281="ENTRADA",ABS(J281),-ABS(J281)))</f>
        <v>-2260</v>
      </c>
      <c r="L281" t="s">
        <v>36</v>
      </c>
      <c r="N281">
        <v>65110</v>
      </c>
      <c r="O281" t="s">
        <v>216</v>
      </c>
      <c r="P281">
        <v>1780</v>
      </c>
      <c r="Q281" s="43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510</v>
      </c>
      <c r="B282" s="48">
        <v>46190</v>
      </c>
      <c r="C282" t="s">
        <v>53</v>
      </c>
      <c r="D282" t="s">
        <v>54</v>
      </c>
      <c r="E282" t="s">
        <v>33</v>
      </c>
      <c r="F282" t="s">
        <v>34</v>
      </c>
      <c r="G282" t="s">
        <v>35</v>
      </c>
      <c r="H282" s="20" t="s">
        <v>96</v>
      </c>
      <c r="I282" t="s">
        <v>64</v>
      </c>
      <c r="J282" s="30">
        <v>11</v>
      </c>
      <c r="K282" s="22">
        <f>IF(I282="","",IF(I282="ENTRADA",ABS(J282),-ABS(J282)))</f>
        <v>-11</v>
      </c>
      <c r="L282" t="s">
        <v>55</v>
      </c>
      <c r="N282">
        <v>65111</v>
      </c>
      <c r="O282" t="s">
        <v>65</v>
      </c>
      <c r="P282">
        <v>1781</v>
      </c>
      <c r="Q282" s="43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511</v>
      </c>
      <c r="B283" s="48">
        <v>46191</v>
      </c>
      <c r="C283" t="s">
        <v>512</v>
      </c>
      <c r="D283" t="s">
        <v>513</v>
      </c>
      <c r="E283" t="s">
        <v>514</v>
      </c>
      <c r="G283" t="s">
        <v>116</v>
      </c>
      <c r="H283" s="20" t="str">
        <f>+T283</f>
        <v>260618-283</v>
      </c>
      <c r="I283" t="s">
        <v>27</v>
      </c>
      <c r="J283" s="30">
        <v>3000</v>
      </c>
      <c r="K283" s="22">
        <f>IF(I283="","",IF(I283="ENTRADA",ABS(J283),-ABS(J283)))</f>
        <v>3000</v>
      </c>
      <c r="L283" t="s">
        <v>36</v>
      </c>
      <c r="M283" s="48">
        <v>46569</v>
      </c>
      <c r="P283">
        <v>14809</v>
      </c>
      <c r="Q283" s="43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>
      <c r="A284" s="20" t="s">
        <v>515</v>
      </c>
      <c r="B284" s="48">
        <v>46189</v>
      </c>
      <c r="C284" t="s">
        <v>180</v>
      </c>
      <c r="D284" t="s">
        <v>181</v>
      </c>
      <c r="E284" t="s">
        <v>24</v>
      </c>
      <c r="F284" t="s">
        <v>182</v>
      </c>
      <c r="G284" t="s">
        <v>178</v>
      </c>
      <c r="H284" s="20" t="s">
        <v>349</v>
      </c>
      <c r="I284" t="s">
        <v>64</v>
      </c>
      <c r="J284" s="30">
        <v>125</v>
      </c>
      <c r="K284" s="22">
        <f>IF(I284="","",IF(I284="ENTRADA",ABS(J284),-ABS(J284)))</f>
        <v>-125</v>
      </c>
      <c r="L284" t="s">
        <v>28</v>
      </c>
      <c r="O284" t="s">
        <v>380</v>
      </c>
      <c r="P284">
        <v>1791</v>
      </c>
      <c r="Q284" s="43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516</v>
      </c>
      <c r="B285" s="48">
        <v>46189</v>
      </c>
      <c r="C285" t="s">
        <v>302</v>
      </c>
      <c r="D285" t="s">
        <v>303</v>
      </c>
      <c r="E285" t="s">
        <v>24</v>
      </c>
      <c r="F285" t="s">
        <v>186</v>
      </c>
      <c r="G285" t="s">
        <v>299</v>
      </c>
      <c r="H285" s="20" t="s">
        <v>407</v>
      </c>
      <c r="I285" t="s">
        <v>64</v>
      </c>
      <c r="J285" s="30">
        <v>50</v>
      </c>
      <c r="K285" s="22">
        <f>IF(I285="","",IF(I285="ENTRADA",ABS(J285),-ABS(J285)))</f>
        <v>-50</v>
      </c>
      <c r="L285" t="s">
        <v>517</v>
      </c>
      <c r="O285" t="s">
        <v>380</v>
      </c>
      <c r="P285">
        <v>1791</v>
      </c>
      <c r="Q285" s="43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518</v>
      </c>
      <c r="B286" s="48">
        <v>46195</v>
      </c>
      <c r="C286" t="s">
        <v>176</v>
      </c>
      <c r="D286" t="s">
        <v>177</v>
      </c>
      <c r="E286" t="s">
        <v>24</v>
      </c>
      <c r="F286" t="s">
        <v>163</v>
      </c>
      <c r="G286" t="s">
        <v>178</v>
      </c>
      <c r="H286" s="20" t="s">
        <v>306</v>
      </c>
      <c r="I286" t="s">
        <v>64</v>
      </c>
      <c r="J286" s="30">
        <v>450</v>
      </c>
      <c r="K286" s="22">
        <f>IF(I286="","",IF(I286="ENTRADA",ABS(J286),-ABS(J286)))</f>
        <v>-450</v>
      </c>
      <c r="L286" t="s">
        <v>28</v>
      </c>
      <c r="O286" t="s">
        <v>307</v>
      </c>
      <c r="P286">
        <v>1789</v>
      </c>
      <c r="Q286" s="43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519</v>
      </c>
      <c r="B287" s="48">
        <v>46195</v>
      </c>
      <c r="C287" s="35" t="s">
        <v>53</v>
      </c>
      <c r="D287" s="35" t="s">
        <v>54</v>
      </c>
      <c r="E287" s="35" t="s">
        <v>33</v>
      </c>
      <c r="F287" s="35" t="s">
        <v>34</v>
      </c>
      <c r="G287" s="35" t="s">
        <v>35</v>
      </c>
      <c r="H287" s="20" t="s">
        <v>96</v>
      </c>
      <c r="I287" s="35" t="s">
        <v>64</v>
      </c>
      <c r="J287" s="37">
        <v>4</v>
      </c>
      <c r="K287" s="22">
        <f>IF(I287="","",IF(I287="ENTRADA",ABS(J287),-ABS(J287)))</f>
        <v>-4</v>
      </c>
      <c r="L287" s="35" t="s">
        <v>55</v>
      </c>
      <c r="M287" s="35"/>
      <c r="N287" s="35">
        <v>65114</v>
      </c>
      <c r="O287" s="35" t="s">
        <v>65</v>
      </c>
      <c r="P287" s="35">
        <v>1792</v>
      </c>
      <c r="Q287" s="43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520</v>
      </c>
      <c r="B288" s="48">
        <v>46195</v>
      </c>
      <c r="C288" t="s">
        <v>53</v>
      </c>
      <c r="D288" t="s">
        <v>54</v>
      </c>
      <c r="E288" t="s">
        <v>33</v>
      </c>
      <c r="F288" t="s">
        <v>34</v>
      </c>
      <c r="G288" t="s">
        <v>35</v>
      </c>
      <c r="H288" s="20" t="s">
        <v>96</v>
      </c>
      <c r="I288" t="s">
        <v>64</v>
      </c>
      <c r="J288" s="30">
        <v>8</v>
      </c>
      <c r="K288" s="22">
        <f>IF(I288="","",IF(I288="ENTRADA",ABS(J288),-ABS(J288)))</f>
        <v>-8</v>
      </c>
      <c r="L288" t="s">
        <v>55</v>
      </c>
      <c r="N288">
        <v>65115</v>
      </c>
      <c r="O288" t="s">
        <v>65</v>
      </c>
      <c r="P288">
        <v>1793</v>
      </c>
      <c r="Q288" s="43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521</v>
      </c>
      <c r="B289" s="48">
        <v>46196</v>
      </c>
      <c r="C289" t="s">
        <v>522</v>
      </c>
      <c r="D289" t="s">
        <v>523</v>
      </c>
      <c r="E289" t="s">
        <v>514</v>
      </c>
      <c r="G289" t="s">
        <v>76</v>
      </c>
      <c r="H289" s="20" t="str">
        <f>+T289</f>
        <v>260623-289</v>
      </c>
      <c r="I289" t="s">
        <v>27</v>
      </c>
      <c r="J289" s="30">
        <v>1500</v>
      </c>
      <c r="K289" s="22">
        <f>IF(I289="","",IF(I289="ENTRADA",ABS(J289),-ABS(J289)))</f>
        <v>1500</v>
      </c>
      <c r="L289" t="s">
        <v>36</v>
      </c>
      <c r="M289" s="48">
        <v>46476</v>
      </c>
      <c r="N289">
        <v>69990</v>
      </c>
      <c r="P289">
        <v>14808</v>
      </c>
      <c r="Q289" s="43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>
      <c r="A290" s="20" t="s">
        <v>524</v>
      </c>
      <c r="B290" s="48">
        <v>46196</v>
      </c>
      <c r="C290" t="s">
        <v>525</v>
      </c>
      <c r="D290" t="s">
        <v>526</v>
      </c>
      <c r="E290" t="s">
        <v>491</v>
      </c>
      <c r="G290" t="s">
        <v>76</v>
      </c>
      <c r="H290" s="20" t="str">
        <f>+T290</f>
        <v>260623-290</v>
      </c>
      <c r="I290" t="s">
        <v>27</v>
      </c>
      <c r="J290" s="30">
        <v>150</v>
      </c>
      <c r="K290" s="22">
        <f>IF(I290="","",IF(I290="ENTRADA",ABS(J290),-ABS(J290)))</f>
        <v>150</v>
      </c>
      <c r="L290" t="s">
        <v>28</v>
      </c>
      <c r="M290" s="48">
        <v>47098</v>
      </c>
      <c r="N290">
        <v>69990</v>
      </c>
      <c r="P290">
        <v>14808</v>
      </c>
      <c r="Q290" s="43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>
      <c r="A291" s="20" t="s">
        <v>527</v>
      </c>
      <c r="B291" s="48">
        <v>46196</v>
      </c>
      <c r="C291" t="s">
        <v>489</v>
      </c>
      <c r="D291" t="s">
        <v>490</v>
      </c>
      <c r="E291" t="s">
        <v>491</v>
      </c>
      <c r="G291" t="s">
        <v>35</v>
      </c>
      <c r="H291" s="20" t="s">
        <v>493</v>
      </c>
      <c r="I291" t="s">
        <v>64</v>
      </c>
      <c r="J291" s="30">
        <v>2100</v>
      </c>
      <c r="K291" s="22">
        <f>IF(I291="","",IF(I291="ENTRADA",ABS(J291),-ABS(J291)))</f>
        <v>-2100</v>
      </c>
      <c r="L291" t="s">
        <v>36</v>
      </c>
      <c r="N291">
        <v>65116</v>
      </c>
      <c r="O291" t="s">
        <v>235</v>
      </c>
      <c r="P291">
        <v>1794</v>
      </c>
      <c r="Q291" s="43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528</v>
      </c>
      <c r="B292" s="48">
        <v>46196</v>
      </c>
      <c r="C292" t="s">
        <v>281</v>
      </c>
      <c r="D292" t="s">
        <v>282</v>
      </c>
      <c r="E292" t="s">
        <v>283</v>
      </c>
      <c r="F292" t="s">
        <v>284</v>
      </c>
      <c r="G292" t="s">
        <v>82</v>
      </c>
      <c r="H292" s="20" t="s">
        <v>495</v>
      </c>
      <c r="I292" t="s">
        <v>64</v>
      </c>
      <c r="J292" s="30">
        <v>1100</v>
      </c>
      <c r="K292" s="22">
        <f>IF(I292="","",IF(I292="ENTRADA",ABS(J292),-ABS(J292)))</f>
        <v>-1100</v>
      </c>
      <c r="L292" t="s">
        <v>36</v>
      </c>
      <c r="N292">
        <v>65116</v>
      </c>
      <c r="O292" t="s">
        <v>235</v>
      </c>
      <c r="P292">
        <v>1794</v>
      </c>
      <c r="Q292" s="43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529</v>
      </c>
      <c r="B293" s="48">
        <v>46196</v>
      </c>
      <c r="C293" t="s">
        <v>243</v>
      </c>
      <c r="D293" t="s">
        <v>244</v>
      </c>
      <c r="E293" t="s">
        <v>33</v>
      </c>
      <c r="F293" t="s">
        <v>34</v>
      </c>
      <c r="G293" t="s">
        <v>26</v>
      </c>
      <c r="H293" s="20" t="s">
        <v>461</v>
      </c>
      <c r="I293" t="s">
        <v>64</v>
      </c>
      <c r="J293" s="30">
        <v>140</v>
      </c>
      <c r="K293" s="22">
        <f>IF(I293="","",IF(I293="ENTRADA",ABS(J293),-ABS(J293)))</f>
        <v>-140</v>
      </c>
      <c r="L293" t="s">
        <v>36</v>
      </c>
      <c r="N293">
        <v>65116</v>
      </c>
      <c r="O293" t="s">
        <v>235</v>
      </c>
      <c r="P293">
        <v>1794</v>
      </c>
      <c r="Q293" s="43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530</v>
      </c>
      <c r="B294" s="48">
        <v>46196</v>
      </c>
      <c r="C294" t="s">
        <v>39</v>
      </c>
      <c r="D294" t="s">
        <v>40</v>
      </c>
      <c r="E294" t="s">
        <v>33</v>
      </c>
      <c r="F294" t="s">
        <v>34</v>
      </c>
      <c r="G294" t="s">
        <v>35</v>
      </c>
      <c r="H294" s="20" t="s">
        <v>469</v>
      </c>
      <c r="I294" t="s">
        <v>64</v>
      </c>
      <c r="J294" s="30">
        <v>80</v>
      </c>
      <c r="K294" s="22">
        <f>IF(I294="","",IF(I294="ENTRADA",ABS(J294),-ABS(J294)))</f>
        <v>-80</v>
      </c>
      <c r="L294" t="s">
        <v>36</v>
      </c>
      <c r="N294">
        <v>65116</v>
      </c>
      <c r="O294" t="s">
        <v>235</v>
      </c>
      <c r="P294">
        <v>1794</v>
      </c>
      <c r="Q294" s="43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531</v>
      </c>
      <c r="B295" s="48">
        <v>46196</v>
      </c>
      <c r="C295" t="s">
        <v>532</v>
      </c>
      <c r="D295" t="s">
        <v>533</v>
      </c>
      <c r="E295" t="s">
        <v>33</v>
      </c>
      <c r="F295" t="s">
        <v>34</v>
      </c>
      <c r="G295" t="s">
        <v>35</v>
      </c>
      <c r="H295" s="20" t="str">
        <f>+T295</f>
        <v>260623-295</v>
      </c>
      <c r="I295" t="s">
        <v>27</v>
      </c>
      <c r="J295" s="30">
        <v>11</v>
      </c>
      <c r="K295" s="22">
        <f>IF(I295="","",IF(I295="ENTRADA",ABS(J295),-ABS(J295)))</f>
        <v>11</v>
      </c>
      <c r="L295" t="s">
        <v>28</v>
      </c>
      <c r="N295">
        <v>13154</v>
      </c>
      <c r="P295">
        <v>14871</v>
      </c>
      <c r="Q295" s="43">
        <v>46202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>
      <c r="A296" s="20" t="s">
        <v>534</v>
      </c>
      <c r="B296" s="48">
        <v>46197</v>
      </c>
      <c r="C296" s="48" t="s">
        <v>281</v>
      </c>
      <c r="D296" t="s">
        <v>282</v>
      </c>
      <c r="E296" t="s">
        <v>283</v>
      </c>
      <c r="F296" t="s">
        <v>284</v>
      </c>
      <c r="G296" t="s">
        <v>82</v>
      </c>
      <c r="H296" s="20" t="s">
        <v>495</v>
      </c>
      <c r="I296" t="s">
        <v>64</v>
      </c>
      <c r="J296" s="30">
        <v>260</v>
      </c>
      <c r="K296" s="22">
        <f>IF(I296="","",IF(I296="ENTRADA",ABS(J296),-ABS(J296)))</f>
        <v>-260</v>
      </c>
      <c r="L296" t="s">
        <v>36</v>
      </c>
      <c r="N296">
        <v>65117</v>
      </c>
      <c r="O296" t="s">
        <v>380</v>
      </c>
      <c r="P296">
        <v>1796</v>
      </c>
      <c r="Q296" s="43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535</v>
      </c>
      <c r="B297" s="48">
        <v>46197</v>
      </c>
      <c r="C297" t="s">
        <v>74</v>
      </c>
      <c r="D297" t="s">
        <v>75</v>
      </c>
      <c r="E297" t="s">
        <v>33</v>
      </c>
      <c r="F297" t="s">
        <v>34</v>
      </c>
      <c r="H297" s="20" t="s">
        <v>93</v>
      </c>
      <c r="I297" t="s">
        <v>64</v>
      </c>
      <c r="J297" s="30">
        <v>580</v>
      </c>
      <c r="K297" s="22">
        <f>IF(I297="","",IF(I297="ENTRADA",ABS(J297),-ABS(J297)))</f>
        <v>-580</v>
      </c>
      <c r="L297" t="s">
        <v>36</v>
      </c>
      <c r="N297">
        <v>65117</v>
      </c>
      <c r="O297" t="s">
        <v>380</v>
      </c>
      <c r="P297">
        <v>1796</v>
      </c>
      <c r="Q297" s="43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536</v>
      </c>
      <c r="B298" s="48">
        <v>46197</v>
      </c>
      <c r="C298" s="35" t="s">
        <v>49</v>
      </c>
      <c r="D298" s="35" t="s">
        <v>278</v>
      </c>
      <c r="E298" s="35" t="s">
        <v>33</v>
      </c>
      <c r="F298" s="35" t="s">
        <v>34</v>
      </c>
      <c r="G298" s="35" t="s">
        <v>35</v>
      </c>
      <c r="H298" s="20" t="s">
        <v>279</v>
      </c>
      <c r="I298" s="35" t="s">
        <v>64</v>
      </c>
      <c r="J298" s="37">
        <v>80</v>
      </c>
      <c r="K298" s="22">
        <f>IF(I298="","",IF(I298="ENTRADA",ABS(J298),-ABS(J298)))</f>
        <v>-80</v>
      </c>
      <c r="L298" s="35" t="s">
        <v>36</v>
      </c>
      <c r="M298" s="35"/>
      <c r="N298">
        <v>65117</v>
      </c>
      <c r="O298" t="s">
        <v>380</v>
      </c>
      <c r="P298">
        <v>1796</v>
      </c>
      <c r="Q298" s="43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537</v>
      </c>
      <c r="B299" s="48">
        <v>46197</v>
      </c>
      <c r="C299" t="s">
        <v>128</v>
      </c>
      <c r="D299" t="s">
        <v>129</v>
      </c>
      <c r="E299" t="s">
        <v>130</v>
      </c>
      <c r="G299" t="s">
        <v>131</v>
      </c>
      <c r="H299" s="20" t="s">
        <v>219</v>
      </c>
      <c r="I299" t="s">
        <v>64</v>
      </c>
      <c r="J299" s="30">
        <v>120</v>
      </c>
      <c r="K299" s="22">
        <f>IF(I299="","",IF(I299="ENTRADA",ABS(J299),-ABS(J299)))</f>
        <v>-120</v>
      </c>
      <c r="L299" t="s">
        <v>36</v>
      </c>
      <c r="N299">
        <v>65117</v>
      </c>
      <c r="O299" t="s">
        <v>380</v>
      </c>
      <c r="P299">
        <v>1796</v>
      </c>
      <c r="Q299" s="43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538</v>
      </c>
      <c r="B300" s="48">
        <v>46197</v>
      </c>
      <c r="C300" t="s">
        <v>135</v>
      </c>
      <c r="D300" t="s">
        <v>136</v>
      </c>
      <c r="E300" t="s">
        <v>130</v>
      </c>
      <c r="G300" t="s">
        <v>131</v>
      </c>
      <c r="H300" s="20" t="s">
        <v>209</v>
      </c>
      <c r="I300" t="s">
        <v>64</v>
      </c>
      <c r="J300" s="52">
        <v>15</v>
      </c>
      <c r="K300" s="22">
        <f>IF(I300="","",IF(I300="ENTRADA",ABS(J300),-ABS(J300)))</f>
        <v>-15</v>
      </c>
      <c r="L300" t="s">
        <v>36</v>
      </c>
      <c r="N300">
        <v>65117</v>
      </c>
      <c r="O300" t="s">
        <v>380</v>
      </c>
      <c r="P300">
        <v>1796</v>
      </c>
      <c r="Q300" s="43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539</v>
      </c>
      <c r="B301" s="48">
        <v>46197</v>
      </c>
      <c r="C301" t="s">
        <v>53</v>
      </c>
      <c r="D301" t="s">
        <v>54</v>
      </c>
      <c r="E301" t="s">
        <v>33</v>
      </c>
      <c r="F301" t="s">
        <v>34</v>
      </c>
      <c r="G301" t="s">
        <v>35</v>
      </c>
      <c r="H301" s="20" t="s">
        <v>96</v>
      </c>
      <c r="I301" t="s">
        <v>64</v>
      </c>
      <c r="J301" s="30">
        <v>12</v>
      </c>
      <c r="K301" s="22">
        <f>IF(I301="","",IF(I301="ENTRADA",ABS(J301),-ABS(J301)))</f>
        <v>-12</v>
      </c>
      <c r="L301" t="s">
        <v>55</v>
      </c>
      <c r="N301">
        <v>65117</v>
      </c>
      <c r="O301" t="s">
        <v>380</v>
      </c>
      <c r="P301">
        <v>1796</v>
      </c>
      <c r="Q301" s="43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540</v>
      </c>
      <c r="B302" s="48">
        <v>46197</v>
      </c>
      <c r="C302" t="s">
        <v>489</v>
      </c>
      <c r="D302" t="s">
        <v>490</v>
      </c>
      <c r="E302" t="s">
        <v>491</v>
      </c>
      <c r="G302" t="s">
        <v>35</v>
      </c>
      <c r="H302" s="20" t="s">
        <v>493</v>
      </c>
      <c r="I302" t="s">
        <v>64</v>
      </c>
      <c r="J302" s="30">
        <v>460</v>
      </c>
      <c r="K302" s="22">
        <f>IF(I302="","",IF(I302="ENTRADA",ABS(J302),-ABS(J302)))</f>
        <v>-460</v>
      </c>
      <c r="L302" t="s">
        <v>36</v>
      </c>
      <c r="N302">
        <v>65118</v>
      </c>
      <c r="O302" t="s">
        <v>211</v>
      </c>
      <c r="P302">
        <v>1797</v>
      </c>
      <c r="Q302" s="43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541</v>
      </c>
      <c r="B303" s="48">
        <v>46198</v>
      </c>
      <c r="C303" t="s">
        <v>281</v>
      </c>
      <c r="D303" t="s">
        <v>282</v>
      </c>
      <c r="E303" t="s">
        <v>283</v>
      </c>
      <c r="F303" t="s">
        <v>284</v>
      </c>
      <c r="G303" t="s">
        <v>82</v>
      </c>
      <c r="H303" s="20" t="s">
        <v>495</v>
      </c>
      <c r="I303" t="s">
        <v>64</v>
      </c>
      <c r="J303" s="30">
        <v>540</v>
      </c>
      <c r="K303" s="22">
        <f>IF(I303="","",IF(I303="ENTRADA",ABS(J303),-ABS(J303)))</f>
        <v>-540</v>
      </c>
      <c r="L303" t="s">
        <v>36</v>
      </c>
      <c r="N303">
        <v>65119</v>
      </c>
      <c r="O303" t="s">
        <v>380</v>
      </c>
      <c r="P303">
        <v>1798</v>
      </c>
      <c r="Q303" s="43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542</v>
      </c>
      <c r="B304" s="48">
        <v>46198</v>
      </c>
      <c r="C304" t="s">
        <v>53</v>
      </c>
      <c r="D304" t="s">
        <v>54</v>
      </c>
      <c r="E304" t="s">
        <v>33</v>
      </c>
      <c r="F304" t="s">
        <v>34</v>
      </c>
      <c r="G304" t="s">
        <v>35</v>
      </c>
      <c r="H304" s="20" t="s">
        <v>96</v>
      </c>
      <c r="I304" t="s">
        <v>64</v>
      </c>
      <c r="J304" s="30">
        <v>7</v>
      </c>
      <c r="K304" s="22">
        <f>IF(I304="","",IF(I304="ENTRADA",ABS(J304),-ABS(J304)))</f>
        <v>-7</v>
      </c>
      <c r="L304" t="s">
        <v>55</v>
      </c>
      <c r="N304">
        <v>65119</v>
      </c>
      <c r="O304" t="s">
        <v>380</v>
      </c>
      <c r="P304">
        <v>1798</v>
      </c>
      <c r="Q304" s="43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543</v>
      </c>
      <c r="B305" s="48">
        <v>46198</v>
      </c>
      <c r="C305" t="s">
        <v>31</v>
      </c>
      <c r="D305" t="s">
        <v>104</v>
      </c>
      <c r="E305" t="s">
        <v>33</v>
      </c>
      <c r="F305" t="s">
        <v>34</v>
      </c>
      <c r="H305" s="20" t="s">
        <v>105</v>
      </c>
      <c r="I305" t="s">
        <v>64</v>
      </c>
      <c r="J305" s="30">
        <v>25</v>
      </c>
      <c r="K305" s="22">
        <f>IF(I305="","",IF(I305="ENTRADA",ABS(J305),-ABS(J305)))</f>
        <v>-25</v>
      </c>
      <c r="L305" t="s">
        <v>36</v>
      </c>
      <c r="N305">
        <v>65119</v>
      </c>
      <c r="O305" t="s">
        <v>380</v>
      </c>
      <c r="P305">
        <v>1798</v>
      </c>
      <c r="Q305" s="43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544</v>
      </c>
      <c r="B306" s="48">
        <v>46198</v>
      </c>
      <c r="C306" t="s">
        <v>128</v>
      </c>
      <c r="D306" t="s">
        <v>129</v>
      </c>
      <c r="E306" t="s">
        <v>130</v>
      </c>
      <c r="G306" t="s">
        <v>131</v>
      </c>
      <c r="H306" s="20" t="s">
        <v>219</v>
      </c>
      <c r="I306" t="s">
        <v>64</v>
      </c>
      <c r="J306" s="30">
        <v>40</v>
      </c>
      <c r="K306" s="22">
        <f>IF(I306="","",IF(I306="ENTRADA",ABS(J306),-ABS(J306)))</f>
        <v>-40</v>
      </c>
      <c r="L306" t="s">
        <v>36</v>
      </c>
      <c r="N306">
        <v>65119</v>
      </c>
      <c r="O306" t="s">
        <v>380</v>
      </c>
      <c r="P306">
        <v>1798</v>
      </c>
      <c r="Q306" s="43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545</v>
      </c>
      <c r="B307" s="48">
        <v>46198</v>
      </c>
      <c r="C307" t="s">
        <v>53</v>
      </c>
      <c r="D307" t="s">
        <v>54</v>
      </c>
      <c r="E307" t="s">
        <v>33</v>
      </c>
      <c r="F307" t="s">
        <v>34</v>
      </c>
      <c r="G307" t="s">
        <v>35</v>
      </c>
      <c r="H307" s="20" t="s">
        <v>96</v>
      </c>
      <c r="I307" t="s">
        <v>64</v>
      </c>
      <c r="J307" s="30">
        <v>31</v>
      </c>
      <c r="K307" s="22">
        <f>IF(I307="","",IF(I307="ENTRADA",ABS(J307),-ABS(J307)))</f>
        <v>-31</v>
      </c>
      <c r="L307" t="s">
        <v>55</v>
      </c>
      <c r="N307">
        <v>65122</v>
      </c>
      <c r="O307" t="s">
        <v>385</v>
      </c>
      <c r="P307">
        <v>1799</v>
      </c>
      <c r="Q307" s="43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546</v>
      </c>
      <c r="B308" s="48">
        <v>46198</v>
      </c>
      <c r="C308" t="s">
        <v>121</v>
      </c>
      <c r="D308" t="s">
        <v>122</v>
      </c>
      <c r="E308" t="s">
        <v>33</v>
      </c>
      <c r="F308" t="s">
        <v>34</v>
      </c>
      <c r="G308" t="s">
        <v>116</v>
      </c>
      <c r="H308" s="20" t="s">
        <v>201</v>
      </c>
      <c r="I308" t="s">
        <v>64</v>
      </c>
      <c r="J308" s="30">
        <v>160</v>
      </c>
      <c r="K308" s="22">
        <f>IF(I308="","",IF(I308="ENTRADA",ABS(J308),-ABS(J308)))</f>
        <v>-160</v>
      </c>
      <c r="L308" t="s">
        <v>36</v>
      </c>
      <c r="N308">
        <v>65122</v>
      </c>
      <c r="O308" t="s">
        <v>385</v>
      </c>
      <c r="P308">
        <v>1799</v>
      </c>
      <c r="Q308" s="43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547</v>
      </c>
      <c r="B309" s="48">
        <v>46198</v>
      </c>
      <c r="C309" s="35" t="s">
        <v>281</v>
      </c>
      <c r="D309" s="35" t="s">
        <v>282</v>
      </c>
      <c r="E309" s="35" t="s">
        <v>283</v>
      </c>
      <c r="F309" s="35" t="s">
        <v>284</v>
      </c>
      <c r="G309" s="35" t="s">
        <v>82</v>
      </c>
      <c r="H309" s="20" t="s">
        <v>495</v>
      </c>
      <c r="I309" s="35" t="s">
        <v>64</v>
      </c>
      <c r="J309" s="37">
        <v>160</v>
      </c>
      <c r="K309" s="22">
        <f>IF(I309="","",IF(I309="ENTRADA",ABS(J309),-ABS(J309)))</f>
        <v>-160</v>
      </c>
      <c r="L309" s="35" t="s">
        <v>36</v>
      </c>
      <c r="M309" s="35"/>
      <c r="N309">
        <v>65122</v>
      </c>
      <c r="O309" t="s">
        <v>385</v>
      </c>
      <c r="P309">
        <v>1799</v>
      </c>
      <c r="Q309" s="43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548</v>
      </c>
      <c r="B310" s="48">
        <v>46198</v>
      </c>
      <c r="C310" t="s">
        <v>525</v>
      </c>
      <c r="D310" t="s">
        <v>526</v>
      </c>
      <c r="E310" t="s">
        <v>491</v>
      </c>
      <c r="G310" t="s">
        <v>76</v>
      </c>
      <c r="H310" s="20" t="s">
        <v>549</v>
      </c>
      <c r="I310" t="s">
        <v>64</v>
      </c>
      <c r="J310" s="30">
        <v>30</v>
      </c>
      <c r="K310" s="22">
        <f>IF(I310="","",IF(I310="ENTRADA",ABS(J310),-ABS(J310)))</f>
        <v>-30</v>
      </c>
      <c r="L310" t="s">
        <v>28</v>
      </c>
      <c r="N310">
        <v>65122</v>
      </c>
      <c r="O310" t="s">
        <v>385</v>
      </c>
      <c r="P310">
        <v>1799</v>
      </c>
      <c r="Q310" s="43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550</v>
      </c>
      <c r="B311" s="48">
        <v>46199</v>
      </c>
      <c r="C311" t="s">
        <v>522</v>
      </c>
      <c r="D311" t="s">
        <v>523</v>
      </c>
      <c r="E311" t="s">
        <v>514</v>
      </c>
      <c r="G311" t="s">
        <v>76</v>
      </c>
      <c r="H311" s="20" t="s">
        <v>551</v>
      </c>
      <c r="I311" t="s">
        <v>64</v>
      </c>
      <c r="J311" s="30">
        <v>70</v>
      </c>
      <c r="K311" s="22">
        <f>IF(I311="","",IF(I311="ENTRADA",ABS(J311),-ABS(J311)))</f>
        <v>-70</v>
      </c>
      <c r="L311" t="s">
        <v>36</v>
      </c>
      <c r="N311">
        <v>65123</v>
      </c>
      <c r="O311" t="s">
        <v>216</v>
      </c>
      <c r="P311">
        <v>1800</v>
      </c>
      <c r="Q311" s="43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552</v>
      </c>
      <c r="B312" s="48">
        <v>46199</v>
      </c>
      <c r="C312" t="s">
        <v>135</v>
      </c>
      <c r="D312" t="s">
        <v>136</v>
      </c>
      <c r="E312" t="s">
        <v>130</v>
      </c>
      <c r="G312" t="s">
        <v>131</v>
      </c>
      <c r="H312" s="20" t="s">
        <v>209</v>
      </c>
      <c r="I312" t="s">
        <v>64</v>
      </c>
      <c r="J312" s="52">
        <v>1</v>
      </c>
      <c r="K312" s="22">
        <f>IF(I312="","",IF(I312="ENTRADA",ABS(J312),-ABS(J312)))</f>
        <v>-1</v>
      </c>
      <c r="L312" t="s">
        <v>36</v>
      </c>
      <c r="N312">
        <v>65123</v>
      </c>
      <c r="O312" t="s">
        <v>216</v>
      </c>
      <c r="P312">
        <v>1800</v>
      </c>
      <c r="Q312" s="43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553</v>
      </c>
      <c r="B313" s="48">
        <v>46199</v>
      </c>
      <c r="C313" t="s">
        <v>554</v>
      </c>
      <c r="D313" t="s">
        <v>555</v>
      </c>
      <c r="E313" t="s">
        <v>24</v>
      </c>
      <c r="H313" s="20" t="str">
        <f>+T313</f>
        <v>260626-313</v>
      </c>
      <c r="I313" t="s">
        <v>27</v>
      </c>
      <c r="J313" s="30">
        <v>1700</v>
      </c>
      <c r="K313" s="22">
        <f>IF(I313="","",IF(I313="ENTRADA",ABS(J313),-ABS(J313)))</f>
        <v>1700</v>
      </c>
      <c r="L313" t="s">
        <v>28</v>
      </c>
      <c r="N313">
        <v>65125</v>
      </c>
      <c r="Q313" s="34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>
      <c r="A314" s="20" t="s">
        <v>556</v>
      </c>
      <c r="B314" s="48">
        <v>46198</v>
      </c>
      <c r="C314" t="s">
        <v>532</v>
      </c>
      <c r="D314" t="s">
        <v>533</v>
      </c>
      <c r="E314" t="s">
        <v>33</v>
      </c>
      <c r="F314" t="s">
        <v>34</v>
      </c>
      <c r="G314" t="s">
        <v>35</v>
      </c>
      <c r="H314" s="20" t="s">
        <v>557</v>
      </c>
      <c r="I314" t="s">
        <v>64</v>
      </c>
      <c r="J314" s="30">
        <v>8</v>
      </c>
      <c r="K314" s="22">
        <f>IF(I314="","",IF(I314="ENTRADA",ABS(J314),-ABS(J314)))</f>
        <v>-8</v>
      </c>
      <c r="L314" t="s">
        <v>28</v>
      </c>
      <c r="N314">
        <v>65124</v>
      </c>
      <c r="O314" t="s">
        <v>307</v>
      </c>
      <c r="P314">
        <v>1806</v>
      </c>
      <c r="Q314" s="43">
        <v>46202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558</v>
      </c>
      <c r="B315" s="48">
        <v>46204</v>
      </c>
      <c r="C315" t="s">
        <v>53</v>
      </c>
      <c r="D315" t="s">
        <v>54</v>
      </c>
      <c r="E315" t="s">
        <v>33</v>
      </c>
      <c r="F315" t="s">
        <v>34</v>
      </c>
      <c r="G315" t="s">
        <v>35</v>
      </c>
      <c r="H315" s="20" t="s">
        <v>96</v>
      </c>
      <c r="I315" t="s">
        <v>64</v>
      </c>
      <c r="J315" s="30">
        <v>50</v>
      </c>
      <c r="K315" s="22">
        <f>IF(I315="","",IF(I315="ENTRADA",ABS(J315),-ABS(J315)))</f>
        <v>-50</v>
      </c>
      <c r="L315" t="s">
        <v>55</v>
      </c>
      <c r="N315">
        <v>65127</v>
      </c>
      <c r="O315" t="s">
        <v>380</v>
      </c>
      <c r="P315">
        <v>1814</v>
      </c>
      <c r="Q315" s="34"/>
      <c r="R315" s="22" t="str">
        <f>IF(H315="","",H315&amp;I315)</f>
        <v>260401-007SALIDA</v>
      </c>
      <c r="S315" s="22" t="str">
        <f>IF(C315="","",C315&amp;I315)</f>
        <v>TronadorSALIDA</v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559</v>
      </c>
      <c r="B316" s="48">
        <v>46204</v>
      </c>
      <c r="C316" t="s">
        <v>145</v>
      </c>
      <c r="D316" t="s">
        <v>146</v>
      </c>
      <c r="E316" t="s">
        <v>33</v>
      </c>
      <c r="F316" t="s">
        <v>34</v>
      </c>
      <c r="G316" t="s">
        <v>35</v>
      </c>
      <c r="H316" s="20" t="s">
        <v>560</v>
      </c>
      <c r="I316" t="s">
        <v>64</v>
      </c>
      <c r="J316" s="30">
        <v>810</v>
      </c>
      <c r="K316" s="22">
        <f>IF(I316="","",IF(I316="ENTRADA",ABS(J316),-ABS(J316)))</f>
        <v>-810</v>
      </c>
      <c r="L316" t="s">
        <v>36</v>
      </c>
      <c r="N316">
        <v>65127</v>
      </c>
      <c r="O316" t="s">
        <v>380</v>
      </c>
      <c r="P316">
        <v>1814</v>
      </c>
      <c r="Q316" s="34"/>
      <c r="R316" s="22" t="str">
        <f>IF(H316="","",H316&amp;I316)</f>
        <v>260415-032SALIDA</v>
      </c>
      <c r="S316" s="22" t="str">
        <f>IF(C316="","",C316&amp;I316)</f>
        <v>AxialSALIDA</v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561</v>
      </c>
      <c r="B317" s="48">
        <v>46204</v>
      </c>
      <c r="C317" t="s">
        <v>128</v>
      </c>
      <c r="D317" t="s">
        <v>129</v>
      </c>
      <c r="E317" t="s">
        <v>130</v>
      </c>
      <c r="G317" t="s">
        <v>131</v>
      </c>
      <c r="H317" s="20" t="s">
        <v>219</v>
      </c>
      <c r="I317" t="s">
        <v>64</v>
      </c>
      <c r="J317" s="30">
        <v>110</v>
      </c>
      <c r="K317" s="22">
        <f>IF(I317="","",IF(I317="ENTRADA",ABS(J317),-ABS(J317)))</f>
        <v>-110</v>
      </c>
      <c r="L317" t="s">
        <v>36</v>
      </c>
      <c r="N317">
        <v>65127</v>
      </c>
      <c r="O317" t="s">
        <v>380</v>
      </c>
      <c r="P317">
        <v>1814</v>
      </c>
      <c r="Q317" s="34"/>
      <c r="R317" s="22" t="str">
        <f>IF(H317="","",H317&amp;I317)</f>
        <v>260414-029SALIDA</v>
      </c>
      <c r="S317" s="22" t="str">
        <f>IF(C317="","",C317&amp;I317)</f>
        <v>HarrierSALIDA</v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562</v>
      </c>
      <c r="B318" s="48">
        <v>46204</v>
      </c>
      <c r="C318" t="s">
        <v>135</v>
      </c>
      <c r="D318" t="s">
        <v>136</v>
      </c>
      <c r="E318" t="s">
        <v>130</v>
      </c>
      <c r="G318" t="s">
        <v>131</v>
      </c>
      <c r="H318" s="20" t="s">
        <v>209</v>
      </c>
      <c r="I318" t="s">
        <v>64</v>
      </c>
      <c r="J318" s="30">
        <v>15</v>
      </c>
      <c r="K318" s="22">
        <f>IF(I318="","",IF(I318="ENTRADA",ABS(J318),-ABS(J318)))</f>
        <v>-15</v>
      </c>
      <c r="L318" t="s">
        <v>36</v>
      </c>
      <c r="N318">
        <v>65127</v>
      </c>
      <c r="O318" t="s">
        <v>380</v>
      </c>
      <c r="P318">
        <v>1814</v>
      </c>
      <c r="Q318" s="34"/>
      <c r="R318" s="22" t="str">
        <f>IF(H318="","",H318&amp;I318)</f>
        <v>260414-030SALIDA</v>
      </c>
      <c r="S318" s="22" t="str">
        <f>IF(C318="","",C318&amp;I318)</f>
        <v>Full controlSALIDA</v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563</v>
      </c>
      <c r="B319" s="48">
        <v>46204</v>
      </c>
      <c r="C319" t="s">
        <v>31</v>
      </c>
      <c r="D319" t="s">
        <v>104</v>
      </c>
      <c r="E319" t="s">
        <v>33</v>
      </c>
      <c r="F319" t="s">
        <v>34</v>
      </c>
      <c r="H319" s="20" t="s">
        <v>105</v>
      </c>
      <c r="I319" t="s">
        <v>64</v>
      </c>
      <c r="J319" s="30">
        <v>150</v>
      </c>
      <c r="K319" s="22">
        <f>IF(I319="","",IF(I319="ENTRADA",ABS(J319),-ABS(J319)))</f>
        <v>-150</v>
      </c>
      <c r="L319" t="s">
        <v>36</v>
      </c>
      <c r="N319">
        <v>65128</v>
      </c>
      <c r="O319" t="s">
        <v>211</v>
      </c>
      <c r="P319">
        <v>1815</v>
      </c>
      <c r="Q319" s="34"/>
      <c r="R319" s="22" t="str">
        <f>IF(H319="","",H319&amp;I319)</f>
        <v>260401-002SALIDA</v>
      </c>
      <c r="S319" s="22" t="str">
        <f>IF(C319="","",C319&amp;I319)</f>
        <v>KorvettoSALIDA</v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564</v>
      </c>
      <c r="B320" s="48">
        <v>46204</v>
      </c>
      <c r="C320" s="35" t="s">
        <v>128</v>
      </c>
      <c r="D320" s="35" t="s">
        <v>129</v>
      </c>
      <c r="E320" s="35" t="s">
        <v>130</v>
      </c>
      <c r="F320" s="35"/>
      <c r="G320" s="35" t="s">
        <v>131</v>
      </c>
      <c r="H320" s="20" t="s">
        <v>219</v>
      </c>
      <c r="I320" s="35" t="s">
        <v>64</v>
      </c>
      <c r="J320" s="37">
        <v>400</v>
      </c>
      <c r="K320" s="22">
        <f>IF(I320="","",IF(I320="ENTRADA",ABS(J320),-ABS(J320)))</f>
        <v>-400</v>
      </c>
      <c r="L320" s="35" t="s">
        <v>36</v>
      </c>
      <c r="M320" s="35"/>
      <c r="N320">
        <v>65128</v>
      </c>
      <c r="O320" s="35" t="s">
        <v>211</v>
      </c>
      <c r="P320">
        <v>1815</v>
      </c>
      <c r="Q320" s="21"/>
      <c r="R320" s="22" t="str">
        <f>IF(H320="","",H320&amp;I320)</f>
        <v>260414-029SALIDA</v>
      </c>
      <c r="S320" s="22" t="str">
        <f>IF(C320="","",C320&amp;I320)</f>
        <v>HarrierSALIDA</v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565</v>
      </c>
      <c r="B321" s="48">
        <v>46204</v>
      </c>
      <c r="C321" t="s">
        <v>89</v>
      </c>
      <c r="D321" t="s">
        <v>90</v>
      </c>
      <c r="E321" t="s">
        <v>33</v>
      </c>
      <c r="F321" t="s">
        <v>34</v>
      </c>
      <c r="G321" t="s">
        <v>35</v>
      </c>
      <c r="H321" s="20" t="s">
        <v>373</v>
      </c>
      <c r="I321" t="s">
        <v>64</v>
      </c>
      <c r="J321" s="30">
        <v>300</v>
      </c>
      <c r="K321" s="22">
        <f>IF(I321="","",IF(I321="ENTRADA",ABS(J321),-ABS(J321)))</f>
        <v>-300</v>
      </c>
      <c r="L321" t="s">
        <v>36</v>
      </c>
      <c r="N321">
        <v>65128</v>
      </c>
      <c r="O321" t="s">
        <v>211</v>
      </c>
      <c r="P321">
        <v>1815</v>
      </c>
      <c r="Q321" s="34"/>
      <c r="R321" s="22" t="str">
        <f>IF(H321="","",H321&amp;I321)</f>
        <v>260405-132SALIDA</v>
      </c>
      <c r="S321" s="22" t="str">
        <f>IF(C321="","",C321&amp;I321)</f>
        <v>PixxaroSALIDA</v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566</v>
      </c>
      <c r="B322" s="48">
        <v>46204</v>
      </c>
      <c r="C322" t="s">
        <v>145</v>
      </c>
      <c r="D322" t="s">
        <v>146</v>
      </c>
      <c r="E322" t="s">
        <v>33</v>
      </c>
      <c r="F322" t="s">
        <v>34</v>
      </c>
      <c r="G322" t="s">
        <v>35</v>
      </c>
      <c r="H322" s="20" t="s">
        <v>560</v>
      </c>
      <c r="I322" t="s">
        <v>64</v>
      </c>
      <c r="J322" s="30">
        <v>500</v>
      </c>
      <c r="K322" s="22">
        <f>IF(I322="","",IF(I322="ENTRADA",ABS(J322),-ABS(J322)))</f>
        <v>-500</v>
      </c>
      <c r="L322" t="s">
        <v>36</v>
      </c>
      <c r="N322">
        <v>65128</v>
      </c>
      <c r="O322" t="s">
        <v>211</v>
      </c>
      <c r="P322">
        <v>1815</v>
      </c>
      <c r="Q322" s="34"/>
      <c r="R322" s="22" t="str">
        <f>IF(H322="","",H322&amp;I322)</f>
        <v>260415-032SALIDA</v>
      </c>
      <c r="S322" s="22" t="str">
        <f>IF(C322="","",C322&amp;I322)</f>
        <v>AxialSALIDA</v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567</v>
      </c>
      <c r="B323" s="48">
        <v>46204</v>
      </c>
      <c r="C323" t="s">
        <v>53</v>
      </c>
      <c r="D323" t="s">
        <v>54</v>
      </c>
      <c r="E323" t="s">
        <v>33</v>
      </c>
      <c r="F323" t="s">
        <v>34</v>
      </c>
      <c r="G323" t="s">
        <v>35</v>
      </c>
      <c r="H323" s="20" t="s">
        <v>96</v>
      </c>
      <c r="I323" t="s">
        <v>64</v>
      </c>
      <c r="J323" s="30">
        <v>30</v>
      </c>
      <c r="K323" s="22">
        <f>IF(I323="","",IF(I323="ENTRADA",ABS(J323),-ABS(J323)))</f>
        <v>-30</v>
      </c>
      <c r="L323" t="s">
        <v>55</v>
      </c>
      <c r="N323">
        <v>65128</v>
      </c>
      <c r="O323" t="s">
        <v>211</v>
      </c>
      <c r="P323">
        <v>1815</v>
      </c>
      <c r="Q323" s="34"/>
      <c r="R323" s="22" t="str">
        <f>IF(H323="","",H323&amp;I323)</f>
        <v>260401-007SALIDA</v>
      </c>
      <c r="S323" s="22" t="str">
        <f>IF(C323="","",C323&amp;I323)</f>
        <v>TronadorSALIDA</v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568</v>
      </c>
      <c r="B324" s="48">
        <v>46204</v>
      </c>
      <c r="C324" t="s">
        <v>525</v>
      </c>
      <c r="D324" t="s">
        <v>526</v>
      </c>
      <c r="E324" t="s">
        <v>491</v>
      </c>
      <c r="G324" t="s">
        <v>76</v>
      </c>
      <c r="H324" s="20" t="s">
        <v>549</v>
      </c>
      <c r="I324" t="s">
        <v>64</v>
      </c>
      <c r="J324" s="30">
        <v>60</v>
      </c>
      <c r="K324" s="22">
        <f>IF(I324="","",IF(I324="ENTRADA",ABS(J324),-ABS(J324)))</f>
        <v>-60</v>
      </c>
      <c r="L324" t="s">
        <v>28</v>
      </c>
      <c r="N324">
        <v>65128</v>
      </c>
      <c r="O324" t="s">
        <v>211</v>
      </c>
      <c r="P324">
        <v>1815</v>
      </c>
      <c r="Q324" s="34"/>
      <c r="R324" s="22" t="str">
        <f>IF(H324="","",H324&amp;I324)</f>
        <v>260623-290SALIDA</v>
      </c>
      <c r="S324" s="22" t="str">
        <f>IF(C324="","",C324&amp;I324)</f>
        <v>vitagrowSALIDA</v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569</v>
      </c>
      <c r="B325" s="48">
        <v>46204</v>
      </c>
      <c r="C325" t="s">
        <v>281</v>
      </c>
      <c r="D325" t="s">
        <v>282</v>
      </c>
      <c r="E325" t="s">
        <v>283</v>
      </c>
      <c r="F325" t="s">
        <v>284</v>
      </c>
      <c r="G325" t="s">
        <v>82</v>
      </c>
      <c r="H325" s="20" t="s">
        <v>495</v>
      </c>
      <c r="I325" t="s">
        <v>64</v>
      </c>
      <c r="J325" s="30">
        <v>660</v>
      </c>
      <c r="K325" s="22">
        <f>IF(I325="","",IF(I325="ENTRADA",ABS(J325),-ABS(J325)))</f>
        <v>-660</v>
      </c>
      <c r="L325" t="s">
        <v>36</v>
      </c>
      <c r="N325">
        <v>65129</v>
      </c>
      <c r="O325" t="s">
        <v>385</v>
      </c>
      <c r="P325">
        <v>1816</v>
      </c>
      <c r="Q325" s="34"/>
      <c r="R325" s="22" t="str">
        <f>IF(H325="","",H325&amp;I325)</f>
        <v>260429-102SALIDA</v>
      </c>
      <c r="S325" s="22" t="str">
        <f>IF(C325="","",C325&amp;I325)</f>
        <v>Hydra HumeSALIDA</v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570</v>
      </c>
      <c r="B326" s="48">
        <v>46205</v>
      </c>
      <c r="C326" t="s">
        <v>489</v>
      </c>
      <c r="D326" t="s">
        <v>490</v>
      </c>
      <c r="E326" t="s">
        <v>491</v>
      </c>
      <c r="G326" t="s">
        <v>35</v>
      </c>
      <c r="H326" s="20" t="s">
        <v>493</v>
      </c>
      <c r="I326" t="s">
        <v>64</v>
      </c>
      <c r="J326" s="30">
        <v>2620</v>
      </c>
      <c r="K326" s="22">
        <f>IF(I326="","",IF(I326="ENTRADA",ABS(J326),-ABS(J326)))</f>
        <v>-2620</v>
      </c>
      <c r="L326" t="s">
        <v>36</v>
      </c>
      <c r="N326">
        <v>65130</v>
      </c>
      <c r="O326" t="s">
        <v>211</v>
      </c>
      <c r="P326">
        <v>1817</v>
      </c>
      <c r="Q326" s="34"/>
      <c r="R326" s="22" t="str">
        <f>IF(H326="","",H326&amp;I326)</f>
        <v>260610-265SALIDA</v>
      </c>
      <c r="S326" s="22" t="str">
        <f>IF(C326="","",C326&amp;I326)</f>
        <v>Zinc Plus SALIDA</v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571</v>
      </c>
      <c r="B327" s="48">
        <v>46205</v>
      </c>
      <c r="C327" t="s">
        <v>522</v>
      </c>
      <c r="D327" t="s">
        <v>523</v>
      </c>
      <c r="E327" t="s">
        <v>514</v>
      </c>
      <c r="G327" t="s">
        <v>156</v>
      </c>
      <c r="H327" s="20" t="s">
        <v>551</v>
      </c>
      <c r="I327" t="s">
        <v>27</v>
      </c>
      <c r="J327" s="30">
        <v>500</v>
      </c>
      <c r="K327" s="22">
        <f>IF(I327="","",IF(I327="ENTRADA",ABS(J327),-ABS(J327)))</f>
        <v>500</v>
      </c>
      <c r="L327" t="s">
        <v>36</v>
      </c>
      <c r="M327" s="48">
        <v>46476</v>
      </c>
      <c r="N327">
        <v>33080</v>
      </c>
      <c r="P327">
        <v>14891</v>
      </c>
      <c r="Q327" s="43">
        <v>46209</v>
      </c>
      <c r="R327" s="22" t="str">
        <f>IF(H327="","",H327&amp;I327)</f>
        <v>260623-289ENTRADA</v>
      </c>
      <c r="S327" s="22" t="str">
        <f>IF(C327="","",C327&amp;I327)</f>
        <v>cripton xpro ENTRADA</v>
      </c>
      <c r="T327" t="str">
        <f>IF(OR(C327="",I327&lt;&gt;"ENTRADA"),"",TEXT(B327,"AAMMDD")&amp;"-"&amp;TEXT(VALUE(SUBSTITUTE(A327,"MOV-","")),"000"))</f>
        <v>260702-327</v>
      </c>
    </row>
    <row r="328" spans="1:20">
      <c r="A328" s="20" t="s">
        <v>572</v>
      </c>
      <c r="B328" s="48">
        <v>46205</v>
      </c>
      <c r="C328" t="s">
        <v>573</v>
      </c>
      <c r="D328" t="s">
        <v>574</v>
      </c>
      <c r="E328" t="s">
        <v>575</v>
      </c>
      <c r="G328" t="s">
        <v>156</v>
      </c>
      <c r="H328" s="20" t="str">
        <f>+T328</f>
        <v>260702-328</v>
      </c>
      <c r="I328" t="s">
        <v>27</v>
      </c>
      <c r="J328" s="30">
        <v>500</v>
      </c>
      <c r="K328" s="22">
        <f>IF(I328="","",IF(I328="ENTRADA",ABS(J328),-ABS(J328)))</f>
        <v>500</v>
      </c>
      <c r="L328" t="s">
        <v>36</v>
      </c>
      <c r="M328" s="48">
        <v>47119</v>
      </c>
      <c r="N328">
        <v>33080</v>
      </c>
      <c r="P328">
        <v>14891</v>
      </c>
      <c r="Q328" s="43">
        <v>46209</v>
      </c>
      <c r="R328" s="22" t="str">
        <f>IF(H328="","",H328&amp;I328)</f>
        <v>260702-328ENTRADA</v>
      </c>
      <c r="S328" s="22" t="str">
        <f>IF(C328="","",C328&amp;I328)</f>
        <v>AcrecioENTRADA</v>
      </c>
      <c r="T328" t="str">
        <f>IF(OR(C328="",I328&lt;&gt;"ENTRADA"),"",TEXT(B328,"AAMMDD")&amp;"-"&amp;TEXT(VALUE(SUBSTITUTE(A328,"MOV-","")),"000"))</f>
        <v>260702-328</v>
      </c>
    </row>
    <row r="329" spans="1:20">
      <c r="A329" s="20" t="s">
        <v>576</v>
      </c>
      <c r="B329" s="48">
        <v>46205</v>
      </c>
      <c r="C329" t="s">
        <v>577</v>
      </c>
      <c r="G329" t="s">
        <v>156</v>
      </c>
      <c r="H329" s="20" t="str">
        <f>+T329</f>
        <v>260702-329</v>
      </c>
      <c r="I329" t="s">
        <v>27</v>
      </c>
      <c r="J329" s="30">
        <v>12</v>
      </c>
      <c r="K329" s="22">
        <f>IF(I329="","",IF(I329="ENTRADA",ABS(J329),-ABS(J329)))</f>
        <v>12</v>
      </c>
      <c r="L329" t="s">
        <v>36</v>
      </c>
      <c r="M329" s="48">
        <v>47146</v>
      </c>
      <c r="N329">
        <v>33080</v>
      </c>
      <c r="P329">
        <v>14891</v>
      </c>
      <c r="Q329" s="43">
        <v>46209</v>
      </c>
      <c r="R329" s="22" t="str">
        <f>IF(H329="","",H329&amp;I329)</f>
        <v>260702-329ENTRADA</v>
      </c>
      <c r="S329" s="22" t="str">
        <f>IF(C329="","",C329&amp;I329)</f>
        <v>Bioavanza plus ENTRADA</v>
      </c>
      <c r="T329" t="str">
        <f>IF(OR(C329="",I329&lt;&gt;"ENTRADA"),"",TEXT(B329,"AAMMDD")&amp;"-"&amp;TEXT(VALUE(SUBSTITUTE(A329,"MOV-","")),"000"))</f>
        <v>260702-329</v>
      </c>
    </row>
    <row r="330" spans="1:20">
      <c r="A330" s="20" t="s">
        <v>578</v>
      </c>
      <c r="B330" s="48">
        <v>46206</v>
      </c>
      <c r="C330" t="s">
        <v>525</v>
      </c>
      <c r="D330" t="s">
        <v>526</v>
      </c>
      <c r="E330" t="s">
        <v>491</v>
      </c>
      <c r="G330" t="s">
        <v>76</v>
      </c>
      <c r="H330" s="20" t="s">
        <v>549</v>
      </c>
      <c r="I330" t="s">
        <v>64</v>
      </c>
      <c r="J330" s="30">
        <v>60</v>
      </c>
      <c r="K330" s="22">
        <f>IF(I330="","",IF(I330="ENTRADA",ABS(J330),-ABS(J330)))</f>
        <v>-60</v>
      </c>
      <c r="L330" t="s">
        <v>28</v>
      </c>
      <c r="N330">
        <v>65131</v>
      </c>
      <c r="O330" t="s">
        <v>216</v>
      </c>
      <c r="P330">
        <v>1822</v>
      </c>
      <c r="Q330" s="43">
        <v>46209</v>
      </c>
      <c r="R330" s="22" t="str">
        <f>IF(H330="","",H330&amp;I330)</f>
        <v>260623-290SALIDA</v>
      </c>
      <c r="S330" s="22" t="str">
        <f>IF(C330="","",C330&amp;I330)</f>
        <v>vitagrowSALIDA</v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579</v>
      </c>
      <c r="B331" s="48">
        <v>46206</v>
      </c>
      <c r="C331" s="35" t="s">
        <v>128</v>
      </c>
      <c r="D331" s="35" t="s">
        <v>129</v>
      </c>
      <c r="E331" s="35" t="s">
        <v>130</v>
      </c>
      <c r="F331" s="35"/>
      <c r="G331" s="35" t="s">
        <v>131</v>
      </c>
      <c r="H331" s="20" t="s">
        <v>219</v>
      </c>
      <c r="I331" s="35" t="s">
        <v>64</v>
      </c>
      <c r="J331" s="37">
        <v>50</v>
      </c>
      <c r="K331" s="22">
        <f>IF(I331="","",IF(I331="ENTRADA",ABS(J331),-ABS(J331)))</f>
        <v>-50</v>
      </c>
      <c r="L331" s="35" t="s">
        <v>36</v>
      </c>
      <c r="M331" s="35"/>
      <c r="N331" s="35">
        <v>65131</v>
      </c>
      <c r="O331" s="35" t="s">
        <v>216</v>
      </c>
      <c r="P331">
        <v>1822</v>
      </c>
      <c r="Q331" s="43">
        <v>46209</v>
      </c>
      <c r="R331" s="22" t="str">
        <f>IF(H331="","",H331&amp;I331)</f>
        <v>260414-029SALIDA</v>
      </c>
      <c r="S331" s="22" t="str">
        <f>IF(C331="","",C331&amp;I331)</f>
        <v>HarrierSALIDA</v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580</v>
      </c>
      <c r="B332" s="48">
        <v>46206</v>
      </c>
      <c r="C332" t="s">
        <v>53</v>
      </c>
      <c r="D332" t="s">
        <v>54</v>
      </c>
      <c r="E332" t="s">
        <v>33</v>
      </c>
      <c r="F332" t="s">
        <v>34</v>
      </c>
      <c r="G332" t="s">
        <v>35</v>
      </c>
      <c r="H332" s="20" t="s">
        <v>96</v>
      </c>
      <c r="I332" t="s">
        <v>64</v>
      </c>
      <c r="J332" s="30">
        <v>15</v>
      </c>
      <c r="K332" s="22">
        <f>IF(I332="","",IF(I332="ENTRADA",ABS(J332),-ABS(J332)))</f>
        <v>-15</v>
      </c>
      <c r="L332" t="s">
        <v>55</v>
      </c>
      <c r="N332">
        <v>65131</v>
      </c>
      <c r="O332" t="s">
        <v>216</v>
      </c>
      <c r="P332">
        <v>1822</v>
      </c>
      <c r="Q332" s="43">
        <v>46209</v>
      </c>
      <c r="R332" s="22" t="str">
        <f>IF(H332="","",H332&amp;I332)</f>
        <v>260401-007SALIDA</v>
      </c>
      <c r="S332" s="22" t="str">
        <f>IF(C332="","",C332&amp;I332)</f>
        <v>TronadorSALIDA</v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581</v>
      </c>
      <c r="B333" s="48">
        <v>46206</v>
      </c>
      <c r="C333" t="s">
        <v>135</v>
      </c>
      <c r="D333" t="s">
        <v>136</v>
      </c>
      <c r="E333" t="s">
        <v>130</v>
      </c>
      <c r="G333" t="s">
        <v>131</v>
      </c>
      <c r="H333" s="20" t="s">
        <v>209</v>
      </c>
      <c r="I333" t="s">
        <v>64</v>
      </c>
      <c r="J333" s="30">
        <v>10</v>
      </c>
      <c r="K333" s="22">
        <f>IF(I333="","",IF(I333="ENTRADA",ABS(J333),-ABS(J333)))</f>
        <v>-10</v>
      </c>
      <c r="L333" t="s">
        <v>36</v>
      </c>
      <c r="N333">
        <v>65131</v>
      </c>
      <c r="O333" t="s">
        <v>216</v>
      </c>
      <c r="P333">
        <v>1822</v>
      </c>
      <c r="Q333" s="43">
        <v>46209</v>
      </c>
      <c r="R333" s="22" t="str">
        <f>IF(H333="","",H333&amp;I333)</f>
        <v>260414-030SALIDA</v>
      </c>
      <c r="S333" s="22" t="str">
        <f>IF(C333="","",C333&amp;I333)</f>
        <v>Full controlSALIDA</v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582</v>
      </c>
      <c r="B334" s="48">
        <v>46206</v>
      </c>
      <c r="C334" t="s">
        <v>145</v>
      </c>
      <c r="D334" t="s">
        <v>146</v>
      </c>
      <c r="E334" t="s">
        <v>33</v>
      </c>
      <c r="F334" t="s">
        <v>34</v>
      </c>
      <c r="G334" t="s">
        <v>35</v>
      </c>
      <c r="H334" s="20" t="s">
        <v>560</v>
      </c>
      <c r="I334" t="s">
        <v>64</v>
      </c>
      <c r="J334" s="30">
        <v>450</v>
      </c>
      <c r="K334" s="22">
        <f>IF(I334="","",IF(I334="ENTRADA",ABS(J334),-ABS(J334)))</f>
        <v>-450</v>
      </c>
      <c r="L334" t="s">
        <v>36</v>
      </c>
      <c r="N334">
        <v>65131</v>
      </c>
      <c r="O334" t="s">
        <v>216</v>
      </c>
      <c r="P334">
        <v>1822</v>
      </c>
      <c r="Q334" s="43">
        <v>46209</v>
      </c>
      <c r="R334" s="22" t="str">
        <f>IF(H334="","",H334&amp;I334)</f>
        <v>260415-032SALIDA</v>
      </c>
      <c r="S334" s="22" t="str">
        <f>IF(C334="","",C334&amp;I334)</f>
        <v>AxialSALIDA</v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583</v>
      </c>
      <c r="B335" s="48">
        <v>46206</v>
      </c>
      <c r="C335" t="s">
        <v>512</v>
      </c>
      <c r="D335" t="s">
        <v>523</v>
      </c>
      <c r="E335" t="s">
        <v>514</v>
      </c>
      <c r="G335" t="s">
        <v>116</v>
      </c>
      <c r="H335" s="20" t="s">
        <v>584</v>
      </c>
      <c r="I335" t="s">
        <v>64</v>
      </c>
      <c r="J335" s="30">
        <v>95</v>
      </c>
      <c r="K335" s="22">
        <f>IF(I335="","",IF(I335="ENTRADA",ABS(J335),-ABS(J335)))</f>
        <v>-95</v>
      </c>
      <c r="L335" t="s">
        <v>36</v>
      </c>
      <c r="N335">
        <v>65131</v>
      </c>
      <c r="O335" t="s">
        <v>216</v>
      </c>
      <c r="P335">
        <v>1822</v>
      </c>
      <c r="Q335" s="43">
        <v>46209</v>
      </c>
      <c r="R335" s="22" t="str">
        <f>IF(H335="","",H335&amp;I335)</f>
        <v>260618-283SALIDA</v>
      </c>
      <c r="S335" s="22" t="str">
        <f>IF(C335="","",C335&amp;I335)</f>
        <v>Unico MaxSALIDA</v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585</v>
      </c>
      <c r="B336" s="48">
        <v>46209</v>
      </c>
      <c r="C336" t="s">
        <v>573</v>
      </c>
      <c r="D336" t="s">
        <v>574</v>
      </c>
      <c r="E336" t="s">
        <v>575</v>
      </c>
      <c r="G336" t="s">
        <v>156</v>
      </c>
      <c r="H336" s="20" t="s">
        <v>586</v>
      </c>
      <c r="I336" t="s">
        <v>64</v>
      </c>
      <c r="J336" s="30">
        <v>160</v>
      </c>
      <c r="K336" s="22">
        <f>IF(I336="","",IF(I336="ENTRADA",ABS(J336),-ABS(J336)))</f>
        <v>-160</v>
      </c>
      <c r="L336" t="s">
        <v>36</v>
      </c>
      <c r="N336">
        <v>65132</v>
      </c>
      <c r="O336" t="s">
        <v>587</v>
      </c>
      <c r="P336">
        <v>1823</v>
      </c>
      <c r="Q336" s="43">
        <v>46209</v>
      </c>
      <c r="R336" s="22" t="str">
        <f>IF(H336="","",H336&amp;I336)</f>
        <v>260702-328SALIDA</v>
      </c>
      <c r="S336" s="22" t="str">
        <f>IF(C336="","",C336&amp;I336)</f>
        <v>AcrecioSALIDA</v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588</v>
      </c>
      <c r="B337" s="48">
        <v>46209</v>
      </c>
      <c r="C337" t="s">
        <v>121</v>
      </c>
      <c r="D337" t="s">
        <v>122</v>
      </c>
      <c r="E337" t="s">
        <v>33</v>
      </c>
      <c r="F337" t="s">
        <v>34</v>
      </c>
      <c r="G337" t="s">
        <v>116</v>
      </c>
      <c r="H337" s="20" t="s">
        <v>201</v>
      </c>
      <c r="I337" t="s">
        <v>64</v>
      </c>
      <c r="J337" s="30">
        <v>160</v>
      </c>
      <c r="K337" s="22">
        <f>IF(I337="","",IF(I337="ENTRADA",ABS(J337),-ABS(J337)))</f>
        <v>-160</v>
      </c>
      <c r="L337" t="s">
        <v>36</v>
      </c>
      <c r="N337">
        <v>65132</v>
      </c>
      <c r="O337" t="s">
        <v>587</v>
      </c>
      <c r="P337">
        <v>1823</v>
      </c>
      <c r="Q337" s="43">
        <v>46209</v>
      </c>
      <c r="R337" s="22" t="str">
        <f>IF(H337="","",H337&amp;I337)</f>
        <v>260410-027SALIDA</v>
      </c>
      <c r="S337" s="22" t="str">
        <f>IF(C337="","",C337&amp;I337)</f>
        <v>PardoSALIDA</v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589</v>
      </c>
      <c r="B338" s="48">
        <v>46209</v>
      </c>
      <c r="C338" t="s">
        <v>31</v>
      </c>
      <c r="D338" t="s">
        <v>104</v>
      </c>
      <c r="E338" t="s">
        <v>33</v>
      </c>
      <c r="F338" t="s">
        <v>34</v>
      </c>
      <c r="H338" s="20" t="s">
        <v>105</v>
      </c>
      <c r="I338" t="s">
        <v>64</v>
      </c>
      <c r="J338" s="30">
        <v>80</v>
      </c>
      <c r="K338" s="22">
        <f>IF(I338="","",IF(I338="ENTRADA",ABS(J338),-ABS(J338)))</f>
        <v>-80</v>
      </c>
      <c r="L338" t="s">
        <v>36</v>
      </c>
      <c r="N338">
        <v>65132</v>
      </c>
      <c r="O338" t="s">
        <v>587</v>
      </c>
      <c r="P338">
        <v>1823</v>
      </c>
      <c r="Q338" s="43">
        <v>46209</v>
      </c>
      <c r="R338" s="22" t="str">
        <f>IF(H338="","",H338&amp;I338)</f>
        <v>260401-002SALIDA</v>
      </c>
      <c r="S338" s="22" t="str">
        <f>IF(C338="","",C338&amp;I338)</f>
        <v>KorvettoSALIDA</v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590</v>
      </c>
      <c r="B339" s="48">
        <v>46209</v>
      </c>
      <c r="C339" t="s">
        <v>128</v>
      </c>
      <c r="D339" t="s">
        <v>129</v>
      </c>
      <c r="E339" t="s">
        <v>130</v>
      </c>
      <c r="G339" t="s">
        <v>131</v>
      </c>
      <c r="H339" s="20" t="s">
        <v>219</v>
      </c>
      <c r="I339" t="s">
        <v>64</v>
      </c>
      <c r="J339" s="30">
        <v>40</v>
      </c>
      <c r="K339" s="22">
        <f>IF(I339="","",IF(I339="ENTRADA",ABS(J339),-ABS(J339)))</f>
        <v>-40</v>
      </c>
      <c r="L339" t="s">
        <v>36</v>
      </c>
      <c r="N339">
        <v>65132</v>
      </c>
      <c r="O339" t="s">
        <v>587</v>
      </c>
      <c r="P339">
        <v>1823</v>
      </c>
      <c r="Q339" s="43">
        <v>46209</v>
      </c>
      <c r="R339" s="22" t="str">
        <f>IF(H339="","",H339&amp;I339)</f>
        <v>260414-029SALIDA</v>
      </c>
      <c r="S339" s="22" t="str">
        <f>IF(C339="","",C339&amp;I339)</f>
        <v>HarrierSALIDA</v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591</v>
      </c>
      <c r="B340" s="48">
        <v>46209</v>
      </c>
      <c r="C340" t="s">
        <v>135</v>
      </c>
      <c r="D340" t="s">
        <v>136</v>
      </c>
      <c r="E340" t="s">
        <v>130</v>
      </c>
      <c r="G340" t="s">
        <v>131</v>
      </c>
      <c r="H340" s="20" t="s">
        <v>209</v>
      </c>
      <c r="I340" t="s">
        <v>64</v>
      </c>
      <c r="J340" s="30">
        <v>8</v>
      </c>
      <c r="K340" s="22">
        <f>IF(I340="","",IF(I340="ENTRADA",ABS(J340),-ABS(J340)))</f>
        <v>-8</v>
      </c>
      <c r="L340" t="s">
        <v>36</v>
      </c>
      <c r="N340">
        <v>65132</v>
      </c>
      <c r="O340" t="s">
        <v>587</v>
      </c>
      <c r="P340">
        <v>1823</v>
      </c>
      <c r="Q340" s="43">
        <v>46209</v>
      </c>
      <c r="R340" s="22" t="str">
        <f>IF(H340="","",H340&amp;I340)</f>
        <v>260414-030SALIDA</v>
      </c>
      <c r="S340" s="22" t="str">
        <f>IF(C340="","",C340&amp;I340)</f>
        <v>Full controlSALIDA</v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592</v>
      </c>
      <c r="B341" s="48">
        <v>46209</v>
      </c>
      <c r="C341" t="s">
        <v>49</v>
      </c>
      <c r="D341" t="s">
        <v>278</v>
      </c>
      <c r="E341" t="s">
        <v>33</v>
      </c>
      <c r="F341" t="s">
        <v>34</v>
      </c>
      <c r="G341" t="s">
        <v>35</v>
      </c>
      <c r="H341" s="20" t="s">
        <v>279</v>
      </c>
      <c r="I341" t="s">
        <v>64</v>
      </c>
      <c r="J341" s="30">
        <v>20</v>
      </c>
      <c r="K341" s="22">
        <f>IF(I341="","",IF(I341="ENTRADA",ABS(J341),-ABS(J341)))</f>
        <v>-20</v>
      </c>
      <c r="L341" t="s">
        <v>36</v>
      </c>
      <c r="N341">
        <v>65132</v>
      </c>
      <c r="O341" t="s">
        <v>587</v>
      </c>
      <c r="P341">
        <v>1823</v>
      </c>
      <c r="Q341" s="43">
        <v>46209</v>
      </c>
      <c r="R341" s="22" t="str">
        <f>IF(H341="","",H341&amp;I341)</f>
        <v>260401-006SALIDA</v>
      </c>
      <c r="S341" s="22" t="str">
        <f>IF(C341="","",C341&amp;I341)</f>
        <v>Tordon 24KSALIDA</v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593</v>
      </c>
      <c r="B342" s="48">
        <v>46209</v>
      </c>
      <c r="C342" s="35" t="s">
        <v>74</v>
      </c>
      <c r="D342" s="35" t="s">
        <v>75</v>
      </c>
      <c r="E342" s="35" t="s">
        <v>33</v>
      </c>
      <c r="F342" s="35" t="s">
        <v>34</v>
      </c>
      <c r="G342" s="35"/>
      <c r="H342" s="20" t="s">
        <v>93</v>
      </c>
      <c r="I342" s="35" t="s">
        <v>64</v>
      </c>
      <c r="J342" s="37">
        <v>140</v>
      </c>
      <c r="K342" s="22">
        <f>IF(I342="","",IF(I342="ENTRADA",ABS(J342),-ABS(J342)))</f>
        <v>-140</v>
      </c>
      <c r="L342" s="35" t="s">
        <v>36</v>
      </c>
      <c r="M342" s="35"/>
      <c r="N342">
        <v>65132</v>
      </c>
      <c r="O342" t="s">
        <v>587</v>
      </c>
      <c r="P342">
        <v>1823</v>
      </c>
      <c r="Q342" s="43">
        <v>46209</v>
      </c>
      <c r="R342" s="22" t="str">
        <f>IF(H342="","",H342&amp;I342)</f>
        <v>260407-012SALIDA</v>
      </c>
      <c r="S342" s="22" t="str">
        <f>IF(C342="","",C342&amp;I342)</f>
        <v>Dedalo eliteSALIDA</v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594</v>
      </c>
      <c r="B343" s="48">
        <v>46209</v>
      </c>
      <c r="C343" t="s">
        <v>522</v>
      </c>
      <c r="D343" t="s">
        <v>523</v>
      </c>
      <c r="E343" t="s">
        <v>514</v>
      </c>
      <c r="G343" t="s">
        <v>156</v>
      </c>
      <c r="H343" s="20" t="str">
        <f>+T343</f>
        <v>260706-343</v>
      </c>
      <c r="I343" t="s">
        <v>27</v>
      </c>
      <c r="J343" s="30">
        <v>1000</v>
      </c>
      <c r="K343" s="22">
        <f>IF(I343="","",IF(I343="ENTRADA",ABS(J343),-ABS(J343)))</f>
        <v>1000</v>
      </c>
      <c r="L343" t="s">
        <v>36</v>
      </c>
      <c r="M343" s="48">
        <v>46584</v>
      </c>
      <c r="N343">
        <v>33146</v>
      </c>
      <c r="P343">
        <v>14892</v>
      </c>
      <c r="Q343" s="43">
        <v>46209</v>
      </c>
      <c r="R343" s="22" t="str">
        <f>IF(H343="","",H343&amp;I343)</f>
        <v>260706-343ENTRADA</v>
      </c>
      <c r="S343" s="22" t="str">
        <f>IF(C343="","",C343&amp;I343)</f>
        <v>cripton xpro ENTRADA</v>
      </c>
      <c r="T343" t="str">
        <f>IF(OR(C343="",I343&lt;&gt;"ENTRADA"),"",TEXT(B343,"AAMMDD")&amp;"-"&amp;TEXT(VALUE(SUBSTITUTE(A343,"MOV-","")),"000"))</f>
        <v>260706-343</v>
      </c>
    </row>
    <row r="344" spans="1:20">
      <c r="A344" s="20" t="s">
        <v>595</v>
      </c>
      <c r="B344" s="48">
        <v>46209</v>
      </c>
      <c r="C344" t="s">
        <v>281</v>
      </c>
      <c r="D344" t="s">
        <v>282</v>
      </c>
      <c r="E344" t="s">
        <v>283</v>
      </c>
      <c r="F344" t="s">
        <v>284</v>
      </c>
      <c r="G344" t="s">
        <v>82</v>
      </c>
      <c r="H344" s="20" t="s">
        <v>495</v>
      </c>
      <c r="I344" t="s">
        <v>64</v>
      </c>
      <c r="J344" s="30">
        <v>520</v>
      </c>
      <c r="K344" s="22">
        <f>IF(I344="","",IF(I344="ENTRADA",ABS(J344),-ABS(J344)))</f>
        <v>-520</v>
      </c>
      <c r="L344" t="s">
        <v>36</v>
      </c>
      <c r="N344">
        <v>65133</v>
      </c>
      <c r="O344" t="s">
        <v>385</v>
      </c>
      <c r="P344">
        <v>1824</v>
      </c>
      <c r="Q344" s="43">
        <v>45480</v>
      </c>
      <c r="R344" s="22" t="str">
        <f>IF(H344="","",H344&amp;I344)</f>
        <v>260429-102SALIDA</v>
      </c>
      <c r="S344" s="22" t="str">
        <f>IF(C344="","",C344&amp;I344)</f>
        <v>Hydra HumeSALIDA</v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596</v>
      </c>
      <c r="B345" s="48">
        <v>46209</v>
      </c>
      <c r="C345" t="s">
        <v>53</v>
      </c>
      <c r="D345" t="s">
        <v>54</v>
      </c>
      <c r="E345" t="s">
        <v>33</v>
      </c>
      <c r="F345" t="s">
        <v>34</v>
      </c>
      <c r="G345" t="s">
        <v>35</v>
      </c>
      <c r="H345" s="20" t="s">
        <v>96</v>
      </c>
      <c r="I345" t="s">
        <v>64</v>
      </c>
      <c r="J345" s="30">
        <v>13</v>
      </c>
      <c r="K345" s="22">
        <f>IF(I345="","",IF(I345="ENTRADA",ABS(J345),-ABS(J345)))</f>
        <v>-13</v>
      </c>
      <c r="L345" t="s">
        <v>55</v>
      </c>
      <c r="N345">
        <v>65133</v>
      </c>
      <c r="O345" t="s">
        <v>385</v>
      </c>
      <c r="P345">
        <v>1824</v>
      </c>
      <c r="Q345" s="43">
        <v>46210</v>
      </c>
      <c r="R345" s="22" t="str">
        <f>IF(H345="","",H345&amp;I345)</f>
        <v>260401-007SALIDA</v>
      </c>
      <c r="S345" s="22" t="str">
        <f>IF(C345="","",C345&amp;I345)</f>
        <v>TronadorSALIDA</v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597</v>
      </c>
      <c r="B346" s="48">
        <v>46210</v>
      </c>
      <c r="C346" t="s">
        <v>114</v>
      </c>
      <c r="D346" t="s">
        <v>115</v>
      </c>
      <c r="E346" t="s">
        <v>33</v>
      </c>
      <c r="F346" t="s">
        <v>34</v>
      </c>
      <c r="G346" t="s">
        <v>116</v>
      </c>
      <c r="H346" s="20" t="s">
        <v>119</v>
      </c>
      <c r="I346" t="s">
        <v>64</v>
      </c>
      <c r="J346" s="30">
        <v>260</v>
      </c>
      <c r="K346" s="22">
        <f>IF(I346="","",IF(I346="ENTRADA",ABS(J346),-ABS(J346)))</f>
        <v>-260</v>
      </c>
      <c r="L346" t="s">
        <v>36</v>
      </c>
      <c r="N346">
        <v>65135</v>
      </c>
      <c r="O346" t="s">
        <v>216</v>
      </c>
      <c r="P346">
        <v>1832</v>
      </c>
      <c r="Q346" s="43">
        <v>46218</v>
      </c>
      <c r="R346" s="22" t="str">
        <f>IF(H346="","",H346&amp;I346)</f>
        <v>260410-025SALIDA</v>
      </c>
      <c r="S346" s="22" t="str">
        <f>IF(C346="","",C346&amp;I346)</f>
        <v>AzukaSALIDA</v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598</v>
      </c>
      <c r="B347" s="48">
        <v>46210</v>
      </c>
      <c r="C347" t="s">
        <v>135</v>
      </c>
      <c r="D347" t="s">
        <v>136</v>
      </c>
      <c r="E347" t="s">
        <v>130</v>
      </c>
      <c r="G347" t="s">
        <v>131</v>
      </c>
      <c r="H347" s="20" t="s">
        <v>209</v>
      </c>
      <c r="I347" t="s">
        <v>64</v>
      </c>
      <c r="J347" s="30">
        <v>2</v>
      </c>
      <c r="K347" s="22">
        <f>IF(I347="","",IF(I347="ENTRADA",ABS(J347),-ABS(J347)))</f>
        <v>-2</v>
      </c>
      <c r="L347" t="s">
        <v>36</v>
      </c>
      <c r="N347">
        <v>65135</v>
      </c>
      <c r="O347" t="s">
        <v>216</v>
      </c>
      <c r="P347">
        <v>1832</v>
      </c>
      <c r="Q347" s="43">
        <v>46218</v>
      </c>
      <c r="R347" s="22" t="str">
        <f>IF(H347="","",H347&amp;I347)</f>
        <v>260414-030SALIDA</v>
      </c>
      <c r="S347" s="22" t="str">
        <f>IF(C347="","",C347&amp;I347)</f>
        <v>Full controlSALIDA</v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599</v>
      </c>
      <c r="B348" s="48">
        <v>46210</v>
      </c>
      <c r="C348" t="s">
        <v>128</v>
      </c>
      <c r="D348" t="s">
        <v>129</v>
      </c>
      <c r="E348" t="s">
        <v>130</v>
      </c>
      <c r="G348" t="s">
        <v>131</v>
      </c>
      <c r="H348" s="20" t="s">
        <v>219</v>
      </c>
      <c r="I348" t="s">
        <v>64</v>
      </c>
      <c r="J348" s="30">
        <v>10</v>
      </c>
      <c r="K348" s="22">
        <f>IF(I348="","",IF(I348="ENTRADA",ABS(J348),-ABS(J348)))</f>
        <v>-10</v>
      </c>
      <c r="L348" t="s">
        <v>36</v>
      </c>
      <c r="N348">
        <v>65135</v>
      </c>
      <c r="O348" t="s">
        <v>216</v>
      </c>
      <c r="P348">
        <v>1832</v>
      </c>
      <c r="Q348" s="43">
        <v>46218</v>
      </c>
      <c r="R348" s="22" t="str">
        <f>IF(H348="","",H348&amp;I348)</f>
        <v>260414-029SALIDA</v>
      </c>
      <c r="S348" s="22" t="str">
        <f>IF(C348="","",C348&amp;I348)</f>
        <v>HarrierSALIDA</v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600</v>
      </c>
      <c r="B349" s="48">
        <v>46210</v>
      </c>
      <c r="C349" t="s">
        <v>128</v>
      </c>
      <c r="D349" t="s">
        <v>129</v>
      </c>
      <c r="E349" t="s">
        <v>130</v>
      </c>
      <c r="G349" t="s">
        <v>131</v>
      </c>
      <c r="H349" s="20" t="s">
        <v>219</v>
      </c>
      <c r="I349" t="s">
        <v>64</v>
      </c>
      <c r="J349" s="30">
        <v>35</v>
      </c>
      <c r="K349" s="22">
        <f>IF(I349="","",IF(I349="ENTRADA",ABS(J349),-ABS(J349)))</f>
        <v>-35</v>
      </c>
      <c r="L349" t="s">
        <v>36</v>
      </c>
      <c r="N349">
        <v>65136</v>
      </c>
      <c r="O349" t="s">
        <v>211</v>
      </c>
      <c r="P349">
        <v>1833</v>
      </c>
      <c r="Q349" s="43">
        <v>46218</v>
      </c>
      <c r="R349" s="22" t="str">
        <f>IF(H349="","",H349&amp;I349)</f>
        <v>260414-029SALIDA</v>
      </c>
      <c r="S349" s="22" t="str">
        <f>IF(C349="","",C349&amp;I349)</f>
        <v>HarrierSALIDA</v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601</v>
      </c>
      <c r="B350" s="48">
        <v>46210</v>
      </c>
      <c r="C350" t="s">
        <v>135</v>
      </c>
      <c r="D350" t="s">
        <v>136</v>
      </c>
      <c r="E350" t="s">
        <v>130</v>
      </c>
      <c r="G350" t="s">
        <v>131</v>
      </c>
      <c r="H350" s="20" t="s">
        <v>209</v>
      </c>
      <c r="I350" t="s">
        <v>64</v>
      </c>
      <c r="J350" s="30">
        <v>7</v>
      </c>
      <c r="K350" s="22">
        <f>IF(I350="","",IF(I350="ENTRADA",ABS(J350),-ABS(J350)))</f>
        <v>-7</v>
      </c>
      <c r="L350" t="s">
        <v>36</v>
      </c>
      <c r="N350">
        <v>65136</v>
      </c>
      <c r="O350" t="s">
        <v>211</v>
      </c>
      <c r="P350">
        <v>1833</v>
      </c>
      <c r="Q350" s="43">
        <v>46218</v>
      </c>
      <c r="R350" s="22" t="str">
        <f>IF(H350="","",H350&amp;I350)</f>
        <v>260414-030SALIDA</v>
      </c>
      <c r="S350" s="22" t="str">
        <f>IF(C350="","",C350&amp;I350)</f>
        <v>Full controlSALIDA</v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602</v>
      </c>
      <c r="B351" s="48">
        <v>46210</v>
      </c>
      <c r="C351" t="s">
        <v>89</v>
      </c>
      <c r="D351" t="s">
        <v>90</v>
      </c>
      <c r="E351" t="s">
        <v>33</v>
      </c>
      <c r="F351" t="s">
        <v>34</v>
      </c>
      <c r="G351" t="s">
        <v>35</v>
      </c>
      <c r="H351" s="20" t="s">
        <v>373</v>
      </c>
      <c r="I351" t="s">
        <v>64</v>
      </c>
      <c r="J351" s="30">
        <v>135</v>
      </c>
      <c r="K351" s="22">
        <f>IF(I351="","",IF(I351="ENTRADA",ABS(J351),-ABS(J351)))</f>
        <v>-135</v>
      </c>
      <c r="L351" t="s">
        <v>36</v>
      </c>
      <c r="N351">
        <v>65136</v>
      </c>
      <c r="O351" t="s">
        <v>211</v>
      </c>
      <c r="P351">
        <v>1833</v>
      </c>
      <c r="Q351" s="43">
        <v>46218</v>
      </c>
      <c r="R351" s="22" t="str">
        <f>IF(H351="","",H351&amp;I351)</f>
        <v>260405-132SALIDA</v>
      </c>
      <c r="S351" s="22" t="str">
        <f>IF(C351="","",C351&amp;I351)</f>
        <v>PixxaroSALIDA</v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603</v>
      </c>
      <c r="B352" s="48">
        <v>46211</v>
      </c>
      <c r="C352" t="s">
        <v>89</v>
      </c>
      <c r="D352" t="s">
        <v>90</v>
      </c>
      <c r="E352" t="s">
        <v>33</v>
      </c>
      <c r="F352" t="s">
        <v>34</v>
      </c>
      <c r="G352" t="s">
        <v>35</v>
      </c>
      <c r="H352" s="20" t="s">
        <v>373</v>
      </c>
      <c r="I352" t="s">
        <v>64</v>
      </c>
      <c r="J352" s="30">
        <v>100</v>
      </c>
      <c r="K352" s="22">
        <f>IF(I352="","",IF(I352="ENTRADA",ABS(J352),-ABS(J352)))</f>
        <v>-100</v>
      </c>
      <c r="L352" t="s">
        <v>36</v>
      </c>
      <c r="N352">
        <v>65137</v>
      </c>
      <c r="O352" t="s">
        <v>211</v>
      </c>
      <c r="P352">
        <v>1834</v>
      </c>
      <c r="Q352" s="43">
        <v>46218</v>
      </c>
      <c r="R352" s="22" t="str">
        <f>IF(H352="","",H352&amp;I352)</f>
        <v>260405-132SALIDA</v>
      </c>
      <c r="S352" s="22" t="str">
        <f>IF(C352="","",C352&amp;I352)</f>
        <v>PixxaroSALIDA</v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604</v>
      </c>
      <c r="B353" s="48">
        <v>46211</v>
      </c>
      <c r="C353" s="35" t="s">
        <v>128</v>
      </c>
      <c r="D353" s="35" t="s">
        <v>129</v>
      </c>
      <c r="E353" s="35" t="s">
        <v>130</v>
      </c>
      <c r="F353" s="35"/>
      <c r="G353" s="35" t="s">
        <v>131</v>
      </c>
      <c r="H353" s="20" t="s">
        <v>219</v>
      </c>
      <c r="I353" s="35" t="s">
        <v>64</v>
      </c>
      <c r="J353" s="37">
        <v>30</v>
      </c>
      <c r="K353" s="22">
        <f>IF(I353="","",IF(I353="ENTRADA",ABS(J353),-ABS(J353)))</f>
        <v>-30</v>
      </c>
      <c r="L353" s="35" t="s">
        <v>36</v>
      </c>
      <c r="M353" s="35"/>
      <c r="N353">
        <v>65137</v>
      </c>
      <c r="O353" t="s">
        <v>211</v>
      </c>
      <c r="P353">
        <v>1834</v>
      </c>
      <c r="Q353" s="43">
        <v>46218</v>
      </c>
      <c r="R353" s="22" t="str">
        <f>IF(H353="","",H353&amp;I353)</f>
        <v>260414-029SALIDA</v>
      </c>
      <c r="S353" s="22" t="str">
        <f>IF(C353="","",C353&amp;I353)</f>
        <v>HarrierSALIDA</v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605</v>
      </c>
      <c r="B354" s="48">
        <v>46211</v>
      </c>
      <c r="C354" t="s">
        <v>135</v>
      </c>
      <c r="D354" t="s">
        <v>136</v>
      </c>
      <c r="E354" t="s">
        <v>130</v>
      </c>
      <c r="G354" t="s">
        <v>131</v>
      </c>
      <c r="H354" s="20" t="s">
        <v>209</v>
      </c>
      <c r="I354" t="s">
        <v>64</v>
      </c>
      <c r="J354" s="30">
        <v>5</v>
      </c>
      <c r="K354" s="22">
        <f>IF(I354="","",IF(I354="ENTRADA",ABS(J354),-ABS(J354)))</f>
        <v>-5</v>
      </c>
      <c r="L354" t="s">
        <v>36</v>
      </c>
      <c r="N354">
        <v>65137</v>
      </c>
      <c r="O354" t="s">
        <v>211</v>
      </c>
      <c r="P354">
        <v>1834</v>
      </c>
      <c r="Q354" s="43">
        <v>46218</v>
      </c>
      <c r="R354" s="22" t="str">
        <f>IF(H354="","",H354&amp;I354)</f>
        <v>260414-030SALIDA</v>
      </c>
      <c r="S354" s="22" t="str">
        <f>IF(C354="","",C354&amp;I354)</f>
        <v>Full controlSALIDA</v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606</v>
      </c>
      <c r="B355" s="48">
        <v>46217</v>
      </c>
      <c r="C355" t="s">
        <v>74</v>
      </c>
      <c r="D355" t="s">
        <v>75</v>
      </c>
      <c r="E355" t="s">
        <v>33</v>
      </c>
      <c r="F355" t="s">
        <v>34</v>
      </c>
      <c r="H355" s="20" t="s">
        <v>93</v>
      </c>
      <c r="I355" t="s">
        <v>64</v>
      </c>
      <c r="J355" s="30">
        <v>140</v>
      </c>
      <c r="K355" s="22">
        <f>IF(I355="","",IF(I355="ENTRADA",ABS(J355),-ABS(J355)))</f>
        <v>-140</v>
      </c>
      <c r="L355" t="s">
        <v>36</v>
      </c>
      <c r="N355">
        <v>65138</v>
      </c>
      <c r="O355" t="s">
        <v>216</v>
      </c>
      <c r="P355">
        <v>1835</v>
      </c>
      <c r="Q355" s="43">
        <v>46218</v>
      </c>
      <c r="R355" s="22" t="str">
        <f>IF(H355="","",H355&amp;I355)</f>
        <v>260407-012SALIDA</v>
      </c>
      <c r="S355" s="22" t="str">
        <f>IF(C355="","",C355&amp;I355)</f>
        <v>Dedalo eliteSALIDA</v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607</v>
      </c>
      <c r="B356" s="48">
        <v>46217</v>
      </c>
      <c r="C356" t="s">
        <v>128</v>
      </c>
      <c r="D356" t="s">
        <v>129</v>
      </c>
      <c r="E356" t="s">
        <v>130</v>
      </c>
      <c r="G356" t="s">
        <v>131</v>
      </c>
      <c r="H356" s="20" t="s">
        <v>219</v>
      </c>
      <c r="I356" t="s">
        <v>64</v>
      </c>
      <c r="J356" s="30">
        <v>25</v>
      </c>
      <c r="K356" s="22">
        <f>IF(I356="","",IF(I356="ENTRADA",ABS(J356),-ABS(J356)))</f>
        <v>-25</v>
      </c>
      <c r="L356" t="s">
        <v>36</v>
      </c>
      <c r="N356">
        <v>65138</v>
      </c>
      <c r="O356" t="s">
        <v>216</v>
      </c>
      <c r="P356">
        <v>1835</v>
      </c>
      <c r="Q356" s="43">
        <v>46218</v>
      </c>
      <c r="R356" s="22" t="str">
        <f>IF(H356="","",H356&amp;I356)</f>
        <v>260414-029SALIDA</v>
      </c>
      <c r="S356" s="22" t="str">
        <f>IF(C356="","",C356&amp;I356)</f>
        <v>HarrierSALIDA</v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608</v>
      </c>
      <c r="B357" s="48">
        <v>46217</v>
      </c>
      <c r="C357" t="s">
        <v>135</v>
      </c>
      <c r="D357" t="s">
        <v>136</v>
      </c>
      <c r="E357" t="s">
        <v>130</v>
      </c>
      <c r="G357" t="s">
        <v>131</v>
      </c>
      <c r="H357" s="20" t="s">
        <v>209</v>
      </c>
      <c r="I357" t="s">
        <v>64</v>
      </c>
      <c r="J357" s="30">
        <v>5</v>
      </c>
      <c r="K357" s="22">
        <f>IF(I357="","",IF(I357="ENTRADA",ABS(J357),-ABS(J357)))</f>
        <v>-5</v>
      </c>
      <c r="L357" t="s">
        <v>36</v>
      </c>
      <c r="N357">
        <v>65138</v>
      </c>
      <c r="O357" t="s">
        <v>216</v>
      </c>
      <c r="P357">
        <v>1835</v>
      </c>
      <c r="Q357" s="43">
        <v>46218</v>
      </c>
      <c r="R357" s="22" t="str">
        <f>IF(H357="","",H357&amp;I357)</f>
        <v>260414-030SALIDA</v>
      </c>
      <c r="S357" s="22" t="str">
        <f>IF(C357="","",C357&amp;I357)</f>
        <v>Full controlSALIDA</v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609</v>
      </c>
      <c r="B358" s="48">
        <v>46217</v>
      </c>
      <c r="C358" t="s">
        <v>489</v>
      </c>
      <c r="D358" t="s">
        <v>490</v>
      </c>
      <c r="E358" t="s">
        <v>491</v>
      </c>
      <c r="G358" t="s">
        <v>35</v>
      </c>
      <c r="H358" s="20" t="s">
        <v>493</v>
      </c>
      <c r="I358" t="s">
        <v>64</v>
      </c>
      <c r="J358" s="30">
        <v>240</v>
      </c>
      <c r="K358" s="22">
        <f>IF(I358="","",IF(I358="ENTRADA",ABS(J358),-ABS(J358)))</f>
        <v>-240</v>
      </c>
      <c r="L358" t="s">
        <v>36</v>
      </c>
      <c r="N358">
        <v>65138</v>
      </c>
      <c r="O358" t="s">
        <v>216</v>
      </c>
      <c r="P358">
        <v>1835</v>
      </c>
      <c r="Q358" s="43">
        <v>46218</v>
      </c>
      <c r="R358" s="22" t="str">
        <f>IF(H358="","",H358&amp;I358)</f>
        <v>260610-265SALIDA</v>
      </c>
      <c r="S358" s="22" t="str">
        <f>IF(C358="","",C358&amp;I358)</f>
        <v>Zinc Plus SALIDA</v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610</v>
      </c>
      <c r="B359" s="48">
        <v>46209</v>
      </c>
      <c r="C359" t="s">
        <v>121</v>
      </c>
      <c r="D359" t="s">
        <v>122</v>
      </c>
      <c r="E359" t="s">
        <v>33</v>
      </c>
      <c r="F359" t="s">
        <v>34</v>
      </c>
      <c r="G359" t="s">
        <v>116</v>
      </c>
      <c r="H359" s="20" t="s">
        <v>201</v>
      </c>
      <c r="I359" t="s">
        <v>64</v>
      </c>
      <c r="J359" s="30">
        <v>560</v>
      </c>
      <c r="K359" s="22">
        <f>IF(I359="","",IF(I359="ENTRADA",ABS(J359),-ABS(J359)))</f>
        <v>-560</v>
      </c>
      <c r="L359" t="s">
        <v>36</v>
      </c>
      <c r="N359">
        <v>65134</v>
      </c>
      <c r="O359" t="s">
        <v>380</v>
      </c>
      <c r="P359">
        <v>1836</v>
      </c>
      <c r="Q359" s="43">
        <v>46218</v>
      </c>
      <c r="R359" s="22" t="str">
        <f>IF(H359="","",H359&amp;I359)</f>
        <v>260410-027SALIDA</v>
      </c>
      <c r="S359" s="22" t="str">
        <f>IF(C359="","",C359&amp;I359)</f>
        <v>PardoSALIDA</v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611</v>
      </c>
      <c r="B360" s="48">
        <v>46209</v>
      </c>
      <c r="C360" t="s">
        <v>573</v>
      </c>
      <c r="D360" t="s">
        <v>574</v>
      </c>
      <c r="E360" t="s">
        <v>575</v>
      </c>
      <c r="G360" t="s">
        <v>156</v>
      </c>
      <c r="H360" s="20" t="s">
        <v>586</v>
      </c>
      <c r="I360" t="s">
        <v>64</v>
      </c>
      <c r="J360" s="30">
        <v>340</v>
      </c>
      <c r="K360" s="22">
        <f>IF(I360="","",IF(I360="ENTRADA",ABS(J360),-ABS(J360)))</f>
        <v>-340</v>
      </c>
      <c r="L360" t="s">
        <v>36</v>
      </c>
      <c r="N360">
        <v>65134</v>
      </c>
      <c r="O360" t="s">
        <v>380</v>
      </c>
      <c r="P360">
        <v>1836</v>
      </c>
      <c r="Q360" s="43">
        <v>46218</v>
      </c>
      <c r="R360" s="22" t="str">
        <f>IF(H360="","",H360&amp;I360)</f>
        <v>260702-328SALIDA</v>
      </c>
      <c r="S360" s="22" t="str">
        <f>IF(C360="","",C360&amp;I360)</f>
        <v>AcrecioSALIDA</v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612</v>
      </c>
      <c r="B361" s="48">
        <v>46209</v>
      </c>
      <c r="C361" t="s">
        <v>128</v>
      </c>
      <c r="D361" t="s">
        <v>129</v>
      </c>
      <c r="E361" t="s">
        <v>130</v>
      </c>
      <c r="G361" t="s">
        <v>131</v>
      </c>
      <c r="H361" s="20" t="s">
        <v>219</v>
      </c>
      <c r="I361" t="s">
        <v>64</v>
      </c>
      <c r="J361" s="30">
        <v>90</v>
      </c>
      <c r="K361" s="22">
        <f>IF(I361="","",IF(I361="ENTRADA",ABS(J361),-ABS(J361)))</f>
        <v>-90</v>
      </c>
      <c r="L361" t="s">
        <v>36</v>
      </c>
      <c r="N361">
        <v>65134</v>
      </c>
      <c r="O361" t="s">
        <v>380</v>
      </c>
      <c r="P361">
        <v>1836</v>
      </c>
      <c r="Q361" s="43">
        <v>46218</v>
      </c>
      <c r="R361" s="22" t="str">
        <f>IF(H361="","",H361&amp;I361)</f>
        <v>260414-029SALIDA</v>
      </c>
      <c r="S361" s="22" t="str">
        <f>IF(C361="","",C361&amp;I361)</f>
        <v>HarrierSALIDA</v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613</v>
      </c>
      <c r="B362" s="48">
        <v>46209</v>
      </c>
      <c r="C362" t="s">
        <v>135</v>
      </c>
      <c r="D362" t="s">
        <v>136</v>
      </c>
      <c r="E362" t="s">
        <v>130</v>
      </c>
      <c r="G362" t="s">
        <v>131</v>
      </c>
      <c r="H362" s="20" t="s">
        <v>209</v>
      </c>
      <c r="I362" t="s">
        <v>64</v>
      </c>
      <c r="J362" s="30">
        <v>15</v>
      </c>
      <c r="K362" s="22">
        <f>IF(I362="","",IF(I362="ENTRADA",ABS(J362),-ABS(J362)))</f>
        <v>-15</v>
      </c>
      <c r="L362" t="s">
        <v>36</v>
      </c>
      <c r="N362">
        <v>65134</v>
      </c>
      <c r="O362" t="s">
        <v>380</v>
      </c>
      <c r="P362">
        <v>1836</v>
      </c>
      <c r="Q362" s="43">
        <v>46218</v>
      </c>
      <c r="R362" s="22" t="str">
        <f>IF(H362="","",H362&amp;I362)</f>
        <v>260414-030SALIDA</v>
      </c>
      <c r="S362" s="22" t="str">
        <f>IF(C362="","",C362&amp;I362)</f>
        <v>Full controlSALIDA</v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614</v>
      </c>
      <c r="B363" s="48">
        <v>46209</v>
      </c>
      <c r="C363" t="s">
        <v>577</v>
      </c>
      <c r="G363" t="s">
        <v>156</v>
      </c>
      <c r="H363" s="20" t="s">
        <v>615</v>
      </c>
      <c r="I363" t="s">
        <v>64</v>
      </c>
      <c r="J363" s="30">
        <v>10</v>
      </c>
      <c r="K363" s="22">
        <f>IF(I363="","",IF(I363="ENTRADA",ABS(J363),-ABS(J363)))</f>
        <v>-10</v>
      </c>
      <c r="L363" t="s">
        <v>36</v>
      </c>
      <c r="M363" s="48">
        <v>47146</v>
      </c>
      <c r="N363">
        <v>65134</v>
      </c>
      <c r="O363" t="s">
        <v>380</v>
      </c>
      <c r="P363">
        <v>1836</v>
      </c>
      <c r="Q363" s="43">
        <v>46218</v>
      </c>
      <c r="R363" s="22" t="str">
        <f>IF(H363="","",H363&amp;I363)</f>
        <v>260702-329SALIDA</v>
      </c>
      <c r="S363" s="22" t="str">
        <f>IF(C363="","",C363&amp;I363)</f>
        <v>Bioavanza plus SALIDA</v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616</v>
      </c>
      <c r="B364" s="48">
        <v>46209</v>
      </c>
      <c r="C364" s="35" t="s">
        <v>31</v>
      </c>
      <c r="D364" s="35" t="s">
        <v>104</v>
      </c>
      <c r="E364" s="35" t="s">
        <v>33</v>
      </c>
      <c r="F364" s="35" t="s">
        <v>34</v>
      </c>
      <c r="G364" s="35"/>
      <c r="H364" s="20" t="s">
        <v>105</v>
      </c>
      <c r="I364" s="35" t="s">
        <v>64</v>
      </c>
      <c r="J364" s="37">
        <v>235</v>
      </c>
      <c r="K364" s="22">
        <f>IF(I364="","",IF(I364="ENTRADA",ABS(J364),-ABS(J364)))</f>
        <v>-235</v>
      </c>
      <c r="L364" s="35" t="s">
        <v>36</v>
      </c>
      <c r="M364" s="35"/>
      <c r="N364">
        <v>65134</v>
      </c>
      <c r="O364" t="s">
        <v>380</v>
      </c>
      <c r="P364">
        <v>1836</v>
      </c>
      <c r="Q364" s="43">
        <v>46218</v>
      </c>
      <c r="R364" s="22" t="str">
        <f>IF(H364="","",H364&amp;I364)</f>
        <v>260401-002SALIDA</v>
      </c>
      <c r="S364" s="22" t="str">
        <f>IF(C364="","",C364&amp;I364)</f>
        <v>KorvettoSALIDA</v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617</v>
      </c>
      <c r="B365" s="48">
        <v>46209</v>
      </c>
      <c r="C365" t="s">
        <v>577</v>
      </c>
      <c r="G365" t="s">
        <v>156</v>
      </c>
      <c r="H365" s="20" t="s">
        <v>615</v>
      </c>
      <c r="I365" t="s">
        <v>64</v>
      </c>
      <c r="J365" s="30">
        <v>2</v>
      </c>
      <c r="K365" s="22">
        <f>IF(I365="","",IF(I365="ENTRADA",ABS(J365),-ABS(J365)))</f>
        <v>-2</v>
      </c>
      <c r="L365" t="s">
        <v>36</v>
      </c>
      <c r="N365">
        <v>65132</v>
      </c>
      <c r="O365" t="s">
        <v>587</v>
      </c>
      <c r="P365">
        <v>1823</v>
      </c>
      <c r="Q365" s="43">
        <v>46209</v>
      </c>
      <c r="R365" s="22" t="str">
        <f>IF(H365="","",H365&amp;I365)</f>
        <v>260702-329SALIDA</v>
      </c>
      <c r="S365" s="22" t="str">
        <f>IF(C365="","",C365&amp;I365)</f>
        <v>Bioavanza plus SALIDA</v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618</v>
      </c>
      <c r="B366" s="48">
        <v>46218</v>
      </c>
      <c r="C366" t="s">
        <v>145</v>
      </c>
      <c r="D366" t="s">
        <v>146</v>
      </c>
      <c r="E366" t="s">
        <v>33</v>
      </c>
      <c r="F366" t="s">
        <v>34</v>
      </c>
      <c r="G366" t="s">
        <v>35</v>
      </c>
      <c r="H366" s="20" t="s">
        <v>560</v>
      </c>
      <c r="I366" t="s">
        <v>64</v>
      </c>
      <c r="J366" s="30">
        <v>60</v>
      </c>
      <c r="K366" s="22">
        <f>IF(I366="","",IF(I366="ENTRADA",ABS(J366),-ABS(J366)))</f>
        <v>-60</v>
      </c>
      <c r="L366" t="s">
        <v>36</v>
      </c>
      <c r="N366">
        <v>65139</v>
      </c>
      <c r="O366" t="s">
        <v>216</v>
      </c>
      <c r="P366">
        <v>1837</v>
      </c>
      <c r="Q366" s="43">
        <v>46219</v>
      </c>
      <c r="R366" s="22" t="str">
        <f>IF(H366="","",H366&amp;I366)</f>
        <v>260415-032SALIDA</v>
      </c>
      <c r="S366" s="22" t="str">
        <f>IF(C366="","",C366&amp;I366)</f>
        <v>AxialSALIDA</v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619</v>
      </c>
      <c r="B367" s="48">
        <v>46218</v>
      </c>
      <c r="C367" t="s">
        <v>74</v>
      </c>
      <c r="D367" t="s">
        <v>59</v>
      </c>
      <c r="E367" t="s">
        <v>33</v>
      </c>
      <c r="F367" t="s">
        <v>34</v>
      </c>
      <c r="H367" s="20" t="s">
        <v>93</v>
      </c>
      <c r="I367" t="s">
        <v>64</v>
      </c>
      <c r="J367" s="30">
        <v>120</v>
      </c>
      <c r="K367" s="22">
        <f>IF(I367="","",IF(I367="ENTRADA",ABS(J367),-ABS(J367)))</f>
        <v>-120</v>
      </c>
      <c r="L367" t="s">
        <v>36</v>
      </c>
      <c r="N367">
        <v>65139</v>
      </c>
      <c r="O367" t="s">
        <v>216</v>
      </c>
      <c r="P367">
        <v>1837</v>
      </c>
      <c r="Q367" s="43">
        <v>46219</v>
      </c>
      <c r="R367" s="22" t="str">
        <f>IF(H367="","",H367&amp;I367)</f>
        <v>260407-012SALIDA</v>
      </c>
      <c r="S367" s="22" t="str">
        <f>IF(C367="","",C367&amp;I367)</f>
        <v>Dedalo eliteSALIDA</v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620</v>
      </c>
      <c r="B368" s="48">
        <v>46218</v>
      </c>
      <c r="C368" t="s">
        <v>128</v>
      </c>
      <c r="D368" t="s">
        <v>129</v>
      </c>
      <c r="E368" t="s">
        <v>130</v>
      </c>
      <c r="G368" t="s">
        <v>131</v>
      </c>
      <c r="H368" s="20" t="s">
        <v>219</v>
      </c>
      <c r="I368" t="s">
        <v>64</v>
      </c>
      <c r="J368" s="30">
        <v>60</v>
      </c>
      <c r="K368" s="22">
        <f>IF(I368="","",IF(I368="ENTRADA",ABS(J368),-ABS(J368)))</f>
        <v>-60</v>
      </c>
      <c r="L368" t="s">
        <v>36</v>
      </c>
      <c r="N368">
        <v>65139</v>
      </c>
      <c r="O368" t="s">
        <v>216</v>
      </c>
      <c r="P368">
        <v>1837</v>
      </c>
      <c r="Q368" s="43">
        <v>46219</v>
      </c>
      <c r="R368" s="22" t="str">
        <f>IF(H368="","",H368&amp;I368)</f>
        <v>260414-029SALIDA</v>
      </c>
      <c r="S368" s="22" t="str">
        <f>IF(C368="","",C368&amp;I368)</f>
        <v>HarrierSALIDA</v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621</v>
      </c>
      <c r="B369" s="48">
        <v>46218</v>
      </c>
      <c r="C369" t="s">
        <v>135</v>
      </c>
      <c r="D369" t="s">
        <v>136</v>
      </c>
      <c r="E369" t="s">
        <v>130</v>
      </c>
      <c r="G369" t="s">
        <v>131</v>
      </c>
      <c r="H369" s="20" t="s">
        <v>209</v>
      </c>
      <c r="I369" t="s">
        <v>64</v>
      </c>
      <c r="J369" s="30">
        <v>12</v>
      </c>
      <c r="K369" s="22">
        <f>IF(I369="","",IF(I369="ENTRADA",ABS(J369),-ABS(J369)))</f>
        <v>-12</v>
      </c>
      <c r="L369" t="s">
        <v>36</v>
      </c>
      <c r="N369">
        <v>65139</v>
      </c>
      <c r="O369" t="s">
        <v>216</v>
      </c>
      <c r="P369">
        <v>1837</v>
      </c>
      <c r="Q369" s="43">
        <v>46219</v>
      </c>
      <c r="R369" s="22" t="str">
        <f>IF(H369="","",H369&amp;I369)</f>
        <v>260414-030SALIDA</v>
      </c>
      <c r="S369" s="22" t="str">
        <f>IF(C369="","",C369&amp;I369)</f>
        <v>Full controlSALIDA</v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622</v>
      </c>
      <c r="B370" s="48">
        <v>46218</v>
      </c>
      <c r="C370" t="s">
        <v>53</v>
      </c>
      <c r="D370" t="s">
        <v>54</v>
      </c>
      <c r="E370" t="s">
        <v>33</v>
      </c>
      <c r="F370" t="s">
        <v>34</v>
      </c>
      <c r="G370" t="s">
        <v>35</v>
      </c>
      <c r="H370" s="20" t="s">
        <v>96</v>
      </c>
      <c r="I370" t="s">
        <v>64</v>
      </c>
      <c r="J370" s="30">
        <v>8</v>
      </c>
      <c r="K370" s="22">
        <f>IF(I370="","",IF(I370="ENTRADA",ABS(J370),-ABS(J370)))</f>
        <v>-8</v>
      </c>
      <c r="L370" t="s">
        <v>55</v>
      </c>
      <c r="N370">
        <v>65139</v>
      </c>
      <c r="O370" t="s">
        <v>216</v>
      </c>
      <c r="P370">
        <v>1837</v>
      </c>
      <c r="Q370" s="43">
        <v>46219</v>
      </c>
      <c r="R370" s="22" t="str">
        <f>IF(H370="","",H370&amp;I370)</f>
        <v>260401-007SALIDA</v>
      </c>
      <c r="S370" s="22" t="str">
        <f>IF(C370="","",C370&amp;I370)</f>
        <v>TronadorSALIDA</v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623</v>
      </c>
      <c r="B371" s="48">
        <v>46219</v>
      </c>
      <c r="C371" t="s">
        <v>489</v>
      </c>
      <c r="D371" t="s">
        <v>490</v>
      </c>
      <c r="E371" t="s">
        <v>491</v>
      </c>
      <c r="G371" t="s">
        <v>35</v>
      </c>
      <c r="H371" s="20" t="s">
        <v>493</v>
      </c>
      <c r="I371" t="s">
        <v>64</v>
      </c>
      <c r="J371" s="30">
        <v>100</v>
      </c>
      <c r="K371" s="22">
        <f>IF(I371="","",IF(I371="ENTRADA",ABS(J371),-ABS(J371)))</f>
        <v>-100</v>
      </c>
      <c r="L371" t="s">
        <v>36</v>
      </c>
      <c r="N371">
        <v>65141</v>
      </c>
      <c r="O371" t="s">
        <v>235</v>
      </c>
      <c r="P371">
        <v>1839</v>
      </c>
      <c r="Q371" s="43">
        <v>46219</v>
      </c>
      <c r="R371" s="22" t="str">
        <f>IF(H371="","",H371&amp;I371)</f>
        <v>260610-265SALIDA</v>
      </c>
      <c r="S371" s="22" t="str">
        <f>IF(C371="","",C371&amp;I371)</f>
        <v>Zinc Plus SALIDA</v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624</v>
      </c>
      <c r="B372" s="48">
        <v>46219</v>
      </c>
      <c r="C372" t="s">
        <v>532</v>
      </c>
      <c r="D372" t="s">
        <v>533</v>
      </c>
      <c r="E372" t="s">
        <v>33</v>
      </c>
      <c r="F372" t="s">
        <v>34</v>
      </c>
      <c r="G372" t="s">
        <v>35</v>
      </c>
      <c r="H372" s="20" t="s">
        <v>557</v>
      </c>
      <c r="I372" t="s">
        <v>64</v>
      </c>
      <c r="J372" s="30">
        <v>3</v>
      </c>
      <c r="K372" s="22">
        <f>IF(I372="","",IF(I372="ENTRADA",ABS(J372),-ABS(J372)))</f>
        <v>-3</v>
      </c>
      <c r="L372" t="s">
        <v>28</v>
      </c>
      <c r="N372">
        <v>65141</v>
      </c>
      <c r="O372" t="s">
        <v>235</v>
      </c>
      <c r="P372">
        <v>1839</v>
      </c>
      <c r="Q372" s="43">
        <v>46219</v>
      </c>
      <c r="R372" s="22" t="str">
        <f>IF(H372="","",H372&amp;I372)</f>
        <v>260623-295SALIDA</v>
      </c>
      <c r="S372" s="22" t="str">
        <f>IF(C372="","",C372&amp;I372)</f>
        <v>ParadigmSALIDA</v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625</v>
      </c>
      <c r="B373" s="48">
        <v>46190</v>
      </c>
      <c r="C373" t="s">
        <v>626</v>
      </c>
      <c r="D373" t="s">
        <v>627</v>
      </c>
      <c r="E373" t="s">
        <v>24</v>
      </c>
      <c r="G373" t="s">
        <v>156</v>
      </c>
      <c r="H373" s="20" t="str">
        <f>+T373</f>
        <v>260617-373</v>
      </c>
      <c r="I373" t="s">
        <v>27</v>
      </c>
      <c r="J373" s="30">
        <v>438</v>
      </c>
      <c r="K373" s="22">
        <f>IF(I373="","",IF(I373="ENTRADA",ABS(J373),-ABS(J373)))</f>
        <v>438</v>
      </c>
      <c r="L373" t="s">
        <v>628</v>
      </c>
      <c r="N373" s="55">
        <v>33458</v>
      </c>
      <c r="Q373" s="34"/>
      <c r="R373" s="22" t="str">
        <f>IF(H373="","",H373&amp;I373)</f>
        <v>260617-373ENTRADA</v>
      </c>
      <c r="S373" s="22" t="str">
        <f>IF(C373="","",C373&amp;I373)</f>
        <v>DK 69-62 TREENTRADA</v>
      </c>
      <c r="T373" t="str">
        <f>IF(OR(C373="",I373&lt;&gt;"ENTRADA"),"",TEXT(B373,"AAMMDD")&amp;"-"&amp;TEXT(VALUE(SUBSTITUTE(A373,"MOV-","")),"000"))</f>
        <v>260617-373</v>
      </c>
    </row>
    <row r="374" spans="1:20">
      <c r="A374" s="20" t="s">
        <v>629</v>
      </c>
      <c r="B374" s="48">
        <v>46190</v>
      </c>
      <c r="C374" t="s">
        <v>630</v>
      </c>
      <c r="D374" t="s">
        <v>627</v>
      </c>
      <c r="E374" t="s">
        <v>24</v>
      </c>
      <c r="G374" t="s">
        <v>156</v>
      </c>
      <c r="H374" s="20" t="str">
        <f>+T374</f>
        <v>260617-374</v>
      </c>
      <c r="I374" t="s">
        <v>27</v>
      </c>
      <c r="J374" s="30">
        <v>66</v>
      </c>
      <c r="K374" s="22">
        <f>IF(I374="","",IF(I374="ENTRADA",ABS(J374),-ABS(J374)))</f>
        <v>66</v>
      </c>
      <c r="L374" t="s">
        <v>628</v>
      </c>
      <c r="N374" s="55">
        <v>33458</v>
      </c>
      <c r="Q374" s="34"/>
      <c r="R374" s="22" t="str">
        <f>IF(H374="","",H374&amp;I374)</f>
        <v>260617-374ENTRADA</v>
      </c>
      <c r="S374" s="22" t="str">
        <f>IF(C374="","",C374&amp;I374)</f>
        <v>DK 72-10 RR2C5ENTRADA</v>
      </c>
      <c r="T374" t="str">
        <f>IF(OR(C374="",I374&lt;&gt;"ENTRADA"),"",TEXT(B374,"AAMMDD")&amp;"-"&amp;TEXT(VALUE(SUBSTITUTE(A374,"MOV-","")),"000"))</f>
        <v>260617-374</v>
      </c>
    </row>
    <row r="375" spans="1:20">
      <c r="A375" s="20" t="s">
        <v>631</v>
      </c>
      <c r="B375" s="48">
        <v>46190</v>
      </c>
      <c r="C375" s="35" t="s">
        <v>632</v>
      </c>
      <c r="D375" s="35" t="s">
        <v>627</v>
      </c>
      <c r="E375" s="35" t="s">
        <v>24</v>
      </c>
      <c r="F375" s="35"/>
      <c r="G375" s="35" t="s">
        <v>156</v>
      </c>
      <c r="H375" s="20" t="str">
        <f>+T375</f>
        <v>260617-375</v>
      </c>
      <c r="I375" s="35" t="s">
        <v>27</v>
      </c>
      <c r="J375" s="37">
        <v>196</v>
      </c>
      <c r="K375" s="22">
        <f>IF(I375="","",IF(I375="ENTRADA",ABS(J375),-ABS(J375)))</f>
        <v>196</v>
      </c>
      <c r="L375" s="35" t="s">
        <v>628</v>
      </c>
      <c r="M375" s="35"/>
      <c r="N375" s="47">
        <v>33458</v>
      </c>
      <c r="O375" s="35"/>
      <c r="P375" s="35"/>
      <c r="Q375" s="21"/>
      <c r="R375" s="22" t="str">
        <f>IF(H375="","",H375&amp;I375)</f>
        <v>260617-375ENTRADA</v>
      </c>
      <c r="S375" s="22" t="str">
        <f>IF(C375="","",C375&amp;I375)</f>
        <v>DK 73-03 TREENTRADA</v>
      </c>
      <c r="T375" t="str">
        <f>IF(OR(C375="",I375&lt;&gt;"ENTRADA"),"",TEXT(B375,"AAMMDD")&amp;"-"&amp;TEXT(VALUE(SUBSTITUTE(A375,"MOV-","")),"000"))</f>
        <v>260617-375</v>
      </c>
    </row>
    <row r="376" spans="1:20">
      <c r="A376" s="20" t="s">
        <v>633</v>
      </c>
      <c r="B376" s="48">
        <v>46224</v>
      </c>
      <c r="C376" t="s">
        <v>128</v>
      </c>
      <c r="D376" t="s">
        <v>129</v>
      </c>
      <c r="E376" t="s">
        <v>130</v>
      </c>
      <c r="G376" t="s">
        <v>131</v>
      </c>
      <c r="H376" s="20" t="s">
        <v>219</v>
      </c>
      <c r="I376" t="s">
        <v>64</v>
      </c>
      <c r="J376" s="30">
        <v>80</v>
      </c>
      <c r="K376" s="22">
        <f>IF(I376="","",IF(I376="ENTRADA",ABS(J376),-ABS(J376)))</f>
        <v>-80</v>
      </c>
      <c r="L376" t="s">
        <v>36</v>
      </c>
      <c r="N376">
        <v>65142</v>
      </c>
      <c r="O376" t="s">
        <v>235</v>
      </c>
      <c r="P376">
        <v>1843</v>
      </c>
      <c r="Q376" s="43">
        <v>46224</v>
      </c>
      <c r="R376" s="22" t="str">
        <f>IF(H376="","",H376&amp;I376)</f>
        <v>260414-029SALIDA</v>
      </c>
      <c r="S376" s="22" t="str">
        <f>IF(C376="","",C376&amp;I376)</f>
        <v>HarrierSALIDA</v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634</v>
      </c>
      <c r="B377" s="48">
        <v>46224</v>
      </c>
      <c r="C377" t="s">
        <v>135</v>
      </c>
      <c r="D377" t="s">
        <v>136</v>
      </c>
      <c r="E377" t="s">
        <v>130</v>
      </c>
      <c r="G377" t="s">
        <v>131</v>
      </c>
      <c r="H377" s="20" t="s">
        <v>209</v>
      </c>
      <c r="I377" t="s">
        <v>64</v>
      </c>
      <c r="J377" s="30">
        <v>15</v>
      </c>
      <c r="K377" s="22">
        <f>IF(I377="","",IF(I377="ENTRADA",ABS(J377),-ABS(J377)))</f>
        <v>-15</v>
      </c>
      <c r="L377" t="s">
        <v>36</v>
      </c>
      <c r="N377">
        <v>65142</v>
      </c>
      <c r="O377" t="s">
        <v>235</v>
      </c>
      <c r="P377">
        <v>1843</v>
      </c>
      <c r="Q377" s="43">
        <v>46224</v>
      </c>
      <c r="R377" s="22" t="str">
        <f>IF(H377="","",H377&amp;I377)</f>
        <v>260414-030SALIDA</v>
      </c>
      <c r="S377" s="22" t="str">
        <f>IF(C377="","",C377&amp;I377)</f>
        <v>Full controlSALIDA</v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635</v>
      </c>
      <c r="B378" s="48">
        <v>46227</v>
      </c>
      <c r="C378" t="s">
        <v>512</v>
      </c>
      <c r="D378" t="s">
        <v>523</v>
      </c>
      <c r="E378" t="s">
        <v>514</v>
      </c>
      <c r="G378" t="s">
        <v>116</v>
      </c>
      <c r="H378" s="20" t="s">
        <v>584</v>
      </c>
      <c r="I378" t="s">
        <v>64</v>
      </c>
      <c r="J378" s="30">
        <v>1500</v>
      </c>
      <c r="K378" s="22">
        <f>IF(I378="","",IF(I378="ENTRADA",ABS(J378),-ABS(J378)))</f>
        <v>-1500</v>
      </c>
      <c r="L378" t="s">
        <v>36</v>
      </c>
      <c r="N378">
        <v>65144</v>
      </c>
      <c r="O378" t="s">
        <v>211</v>
      </c>
      <c r="P378">
        <v>1855</v>
      </c>
      <c r="Q378" s="43">
        <v>46200</v>
      </c>
      <c r="R378" s="22" t="str">
        <f>IF(H378="","",H378&amp;I378)</f>
        <v>260618-283SALIDA</v>
      </c>
      <c r="S378" s="22" t="str">
        <f>IF(C378="","",C378&amp;I378)</f>
        <v>Unico MaxSALIDA</v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636</v>
      </c>
      <c r="B379" s="48">
        <v>46227</v>
      </c>
      <c r="C379" t="s">
        <v>489</v>
      </c>
      <c r="D379" t="s">
        <v>490</v>
      </c>
      <c r="E379" t="s">
        <v>491</v>
      </c>
      <c r="G379" t="s">
        <v>35</v>
      </c>
      <c r="H379" s="20" t="s">
        <v>493</v>
      </c>
      <c r="I379" t="s">
        <v>64</v>
      </c>
      <c r="J379" s="30">
        <v>1000</v>
      </c>
      <c r="K379" s="22">
        <f>IF(I379="","",IF(I379="ENTRADA",ABS(J379),-ABS(J379)))</f>
        <v>-1000</v>
      </c>
      <c r="L379" t="s">
        <v>36</v>
      </c>
      <c r="N379">
        <v>65144</v>
      </c>
      <c r="O379" t="s">
        <v>211</v>
      </c>
      <c r="P379">
        <v>1855</v>
      </c>
      <c r="Q379" s="43">
        <v>46200</v>
      </c>
      <c r="R379" s="22" t="str">
        <f>IF(H379="","",H379&amp;I379)</f>
        <v>260610-265SALIDA</v>
      </c>
      <c r="S379" s="22" t="str">
        <f>IF(C379="","",C379&amp;I379)</f>
        <v>Zinc Plus SALIDA</v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637</v>
      </c>
      <c r="B380" s="48">
        <v>46230</v>
      </c>
      <c r="C380" t="s">
        <v>121</v>
      </c>
      <c r="D380" t="s">
        <v>122</v>
      </c>
      <c r="E380" t="s">
        <v>33</v>
      </c>
      <c r="F380" t="s">
        <v>34</v>
      </c>
      <c r="G380" t="s">
        <v>116</v>
      </c>
      <c r="H380" s="20" t="str">
        <f>+T380</f>
        <v>260727-380</v>
      </c>
      <c r="I380" t="s">
        <v>27</v>
      </c>
      <c r="J380" s="30">
        <v>1280</v>
      </c>
      <c r="K380" s="22">
        <f>IF(I380="","",IF(I380="ENTRADA",ABS(J380),-ABS(J380)))</f>
        <v>1280</v>
      </c>
      <c r="L380" t="s">
        <v>36</v>
      </c>
      <c r="M380" s="48">
        <v>46813</v>
      </c>
      <c r="N380">
        <v>50210</v>
      </c>
      <c r="P380">
        <v>14931</v>
      </c>
      <c r="Q380" s="43">
        <v>46232</v>
      </c>
      <c r="R380" s="22" t="str">
        <f>IF(H380="","",H380&amp;I380)</f>
        <v>260727-380ENTRADA</v>
      </c>
      <c r="S380" s="22" t="str">
        <f>IF(C380="","",C380&amp;I380)</f>
        <v>PardoENTRADA</v>
      </c>
      <c r="T380" t="str">
        <f>IF(OR(C380="",I380&lt;&gt;"ENTRADA"),"",TEXT(B380,"AAMMDD")&amp;"-"&amp;TEXT(VALUE(SUBSTITUTE(A380,"MOV-","")),"000"))</f>
        <v>260727-380</v>
      </c>
    </row>
    <row r="381" spans="1:20">
      <c r="A381" s="20" t="s">
        <v>638</v>
      </c>
      <c r="B381" s="48">
        <v>46230</v>
      </c>
      <c r="C381" t="s">
        <v>639</v>
      </c>
      <c r="D381" t="s">
        <v>115</v>
      </c>
      <c r="E381" t="s">
        <v>33</v>
      </c>
      <c r="F381" t="s">
        <v>34</v>
      </c>
      <c r="G381" t="s">
        <v>116</v>
      </c>
      <c r="H381" s="20" t="str">
        <f>+T381</f>
        <v>260727-381</v>
      </c>
      <c r="I381" t="s">
        <v>27</v>
      </c>
      <c r="J381" s="30">
        <v>20400</v>
      </c>
      <c r="K381" s="22">
        <f>IF(I381="","",IF(I381="ENTRADA",ABS(J381),-ABS(J381)))</f>
        <v>20400</v>
      </c>
      <c r="L381" t="s">
        <v>36</v>
      </c>
      <c r="M381" s="48">
        <v>46863</v>
      </c>
      <c r="N381">
        <v>50209</v>
      </c>
      <c r="P381">
        <v>14932</v>
      </c>
      <c r="Q381" s="43">
        <v>46232</v>
      </c>
      <c r="R381" s="22" t="str">
        <f>IF(H381="","",H381&amp;I381)</f>
        <v>260727-381ENTRADA</v>
      </c>
      <c r="S381" s="22" t="str">
        <f>IF(C381="","",C381&amp;I381)</f>
        <v>azukaENTRADA</v>
      </c>
      <c r="T381" t="str">
        <f>IF(OR(C381="",I381&lt;&gt;"ENTRADA"),"",TEXT(B381,"AAMMDD")&amp;"-"&amp;TEXT(VALUE(SUBSTITUTE(A381,"MOV-","")),"000"))</f>
        <v>260727-381</v>
      </c>
    </row>
    <row r="382" spans="1:20">
      <c r="A382" s="20" t="s">
        <v>640</v>
      </c>
      <c r="B382" s="48">
        <v>46230</v>
      </c>
      <c r="C382" t="s">
        <v>489</v>
      </c>
      <c r="D382" t="s">
        <v>490</v>
      </c>
      <c r="E382" t="s">
        <v>491</v>
      </c>
      <c r="G382" t="s">
        <v>35</v>
      </c>
      <c r="H382" s="20" t="s">
        <v>493</v>
      </c>
      <c r="I382" t="s">
        <v>64</v>
      </c>
      <c r="J382" s="30">
        <v>800</v>
      </c>
      <c r="K382" s="22">
        <f>IF(I382="","",IF(I382="ENTRADA",ABS(J382),-ABS(J382)))</f>
        <v>-800</v>
      </c>
      <c r="L382" t="s">
        <v>36</v>
      </c>
      <c r="N382">
        <v>65145</v>
      </c>
      <c r="O382" t="s">
        <v>385</v>
      </c>
      <c r="P382">
        <v>1861</v>
      </c>
      <c r="Q382" s="43">
        <v>46232</v>
      </c>
      <c r="R382" s="22" t="str">
        <f>IF(H382="","",H382&amp;I382)</f>
        <v>260610-265SALIDA</v>
      </c>
      <c r="S382" s="22" t="str">
        <f>IF(C382="","",C382&amp;I382)</f>
        <v>Zinc Plus SALIDA</v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641</v>
      </c>
      <c r="H383" s="20" t="str">
        <f>+T383</f>
        <v/>
      </c>
      <c r="J383" s="30"/>
      <c r="K383" s="22" t="str">
        <f>IF(I383="","",IF(I383="ENTRADA",ABS(J383),-ABS(J383)))</f>
        <v/>
      </c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642</v>
      </c>
      <c r="H384" s="20" t="str">
        <f>+T384</f>
        <v/>
      </c>
      <c r="J384" s="30"/>
      <c r="K384" s="22" t="str">
        <f>IF(I384="","",IF(I384="ENTRADA",ABS(J384),-ABS(J384)))</f>
        <v/>
      </c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643</v>
      </c>
      <c r="H385" s="20" t="str">
        <f>+T385</f>
        <v/>
      </c>
      <c r="J385" s="30"/>
      <c r="K385" s="22" t="str">
        <f>IF(I385="","",IF(I385="ENTRADA",ABS(J385),-ABS(J385)))</f>
        <v/>
      </c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644</v>
      </c>
      <c r="B386" s="35"/>
      <c r="C386" s="35"/>
      <c r="D386" s="35"/>
      <c r="E386" s="35"/>
      <c r="F386" s="35"/>
      <c r="G386" s="35"/>
      <c r="H386" s="20" t="str">
        <f>+T386</f>
        <v/>
      </c>
      <c r="I386" s="35"/>
      <c r="J386" s="37"/>
      <c r="K386" s="22" t="str">
        <f>IF(I386="","",IF(I386="ENTRADA",ABS(J386),-ABS(J386)))</f>
        <v/>
      </c>
      <c r="L386" s="35"/>
      <c r="M386" s="35"/>
      <c r="N386" s="35"/>
      <c r="O386" s="35"/>
      <c r="P386" s="35"/>
      <c r="Q386" s="21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645</v>
      </c>
      <c r="H387" s="20" t="str">
        <f>+T387</f>
        <v/>
      </c>
      <c r="J387" s="30"/>
      <c r="K387" s="22" t="str">
        <f>IF(I387="","",IF(I387="ENTRADA",ABS(J387),-ABS(J387)))</f>
        <v/>
      </c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646</v>
      </c>
      <c r="H388" s="20" t="str">
        <f>+T388</f>
        <v/>
      </c>
      <c r="J388" s="30"/>
      <c r="K388" s="22" t="str">
        <f>IF(I388="","",IF(I388="ENTRADA",ABS(J388),-ABS(J388)))</f>
        <v/>
      </c>
      <c r="Q388" s="34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647</v>
      </c>
      <c r="H389" s="20" t="str">
        <f>+T389</f>
        <v/>
      </c>
      <c r="J389" s="30"/>
      <c r="K389" s="22" t="str">
        <f>IF(I389="","",IF(I389="ENTRADA",ABS(J389),-ABS(J389)))</f>
        <v/>
      </c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>
      <c r="A390" s="20" t="s">
        <v>648</v>
      </c>
      <c r="H390" s="20" t="str">
        <f>+T390</f>
        <v/>
      </c>
      <c r="J390" s="30"/>
      <c r="K390" s="22" t="str">
        <f>IF(I390="","",IF(I390="ENTRADA",ABS(J390),-ABS(J390)))</f>
        <v/>
      </c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649</v>
      </c>
      <c r="H391" s="20" t="str">
        <f>+T391</f>
        <v/>
      </c>
      <c r="J391" s="30"/>
      <c r="K391" s="22" t="str">
        <f>IF(I391="","",IF(I391="ENTRADA",ABS(J391),-ABS(J391)))</f>
        <v/>
      </c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650</v>
      </c>
      <c r="H392" s="20" t="str">
        <f>+T392</f>
        <v/>
      </c>
      <c r="J392" s="30"/>
      <c r="K392" s="22" t="str">
        <f>IF(I392="","",IF(I392="ENTRADA",ABS(J392),-ABS(J392)))</f>
        <v/>
      </c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651</v>
      </c>
      <c r="H393" s="20" t="str">
        <f>+T393</f>
        <v/>
      </c>
      <c r="J393" s="30"/>
      <c r="K393" s="22" t="str">
        <f>IF(I393="","",IF(I393="ENTRADA",ABS(J393),-ABS(J393)))</f>
        <v/>
      </c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>
      <c r="A394" s="20" t="s">
        <v>652</v>
      </c>
      <c r="H394" s="20" t="str">
        <f>+T394</f>
        <v/>
      </c>
      <c r="J394" s="30"/>
      <c r="K394" s="22" t="str">
        <f>IF(I394="","",IF(I394="ENTRADA",ABS(J394),-ABS(J394)))</f>
        <v/>
      </c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653</v>
      </c>
      <c r="H395" s="20" t="str">
        <f>+T395</f>
        <v/>
      </c>
      <c r="J395" s="30"/>
      <c r="K395" s="22" t="str">
        <f>IF(I395="","",IF(I395="ENTRADA",ABS(J395),-ABS(J395)))</f>
        <v/>
      </c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654</v>
      </c>
      <c r="H396" s="20" t="str">
        <f>+T396</f>
        <v/>
      </c>
      <c r="J396" s="30"/>
      <c r="K396" s="22" t="str">
        <f>IF(I396="","",IF(I396="ENTRADA",ABS(J396),-ABS(J396)))</f>
        <v/>
      </c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>
      <c r="A397" s="20" t="s">
        <v>655</v>
      </c>
      <c r="B397" s="35"/>
      <c r="C397" s="35"/>
      <c r="D397" s="35"/>
      <c r="E397" s="35"/>
      <c r="F397" s="35"/>
      <c r="G397" s="35"/>
      <c r="H397" s="20" t="str">
        <f>+T397</f>
        <v/>
      </c>
      <c r="I397" s="35"/>
      <c r="J397" s="37"/>
      <c r="K397" s="22" t="str">
        <f>IF(I397="","",IF(I397="ENTRADA",ABS(J397),-ABS(J397)))</f>
        <v/>
      </c>
      <c r="L397" s="35"/>
      <c r="M397" s="35"/>
      <c r="N397" s="35"/>
      <c r="O397" s="35"/>
      <c r="P397" s="35"/>
      <c r="Q397" s="21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656</v>
      </c>
      <c r="H398" s="20" t="str">
        <f>+T398</f>
        <v/>
      </c>
      <c r="J398" s="30"/>
      <c r="K398" s="22" t="str">
        <f>IF(I398="","",IF(I398="ENTRADA",ABS(J398),-ABS(J398)))</f>
        <v/>
      </c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657</v>
      </c>
      <c r="H399" s="20" t="str">
        <f>+T399</f>
        <v/>
      </c>
      <c r="J399" s="30"/>
      <c r="K399" s="22" t="str">
        <f>IF(I399="","",IF(I399="ENTRADA",ABS(J399),-ABS(J399)))</f>
        <v/>
      </c>
      <c r="Q399" s="34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>
      <c r="A400" s="20" t="s">
        <v>658</v>
      </c>
      <c r="H400" s="20" t="str">
        <f>+T400</f>
        <v/>
      </c>
      <c r="J400" s="30"/>
      <c r="K400" s="22" t="str">
        <f>IF(I400="","",IF(I400="ENTRADA",ABS(J400),-ABS(J400)))</f>
        <v/>
      </c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659</v>
      </c>
      <c r="H401" s="20" t="str">
        <f>+T401</f>
        <v/>
      </c>
      <c r="J401" s="30"/>
      <c r="K401" s="22" t="str">
        <f>IF(I401="","",IF(I401="ENTRADA",ABS(J401),-ABS(J401)))</f>
        <v/>
      </c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660</v>
      </c>
      <c r="H402" s="20" t="str">
        <f>+T402</f>
        <v/>
      </c>
      <c r="J402" s="30"/>
      <c r="K402" s="22" t="str">
        <f>IF(I402="","",IF(I402="ENTRADA",ABS(J402),-ABS(J402)))</f>
        <v/>
      </c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661</v>
      </c>
      <c r="H403" s="20" t="str">
        <f>+T403</f>
        <v/>
      </c>
      <c r="J403" s="30"/>
      <c r="K403" s="22" t="str">
        <f>IF(I403="","",IF(I403="ENTRADA",ABS(J403),-ABS(J403)))</f>
        <v/>
      </c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662</v>
      </c>
      <c r="H404" s="20" t="str">
        <f>+T404</f>
        <v/>
      </c>
      <c r="J404" s="30"/>
      <c r="K404" s="22" t="str">
        <f>IF(I404="","",IF(I404="ENTRADA",ABS(J404),-ABS(J404)))</f>
        <v/>
      </c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663</v>
      </c>
      <c r="H405" s="20" t="str">
        <f>+T405</f>
        <v/>
      </c>
      <c r="J405" s="30"/>
      <c r="K405" s="22" t="str">
        <f>IF(I405="","",IF(I405="ENTRADA",ABS(J405),-ABS(J405)))</f>
        <v/>
      </c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664</v>
      </c>
      <c r="H406" s="20" t="str">
        <f>+T406</f>
        <v/>
      </c>
      <c r="J406" s="30"/>
      <c r="K406" s="22" t="str">
        <f>IF(I406="","",IF(I406="ENTRADA",ABS(J406),-ABS(J406)))</f>
        <v/>
      </c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665</v>
      </c>
      <c r="H407" s="20" t="str">
        <f>+T407</f>
        <v/>
      </c>
      <c r="J407" s="30"/>
      <c r="K407" s="22" t="str">
        <f>IF(I407="","",IF(I407="ENTRADA",ABS(J407),-ABS(J407)))</f>
        <v/>
      </c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666</v>
      </c>
      <c r="B408" s="35"/>
      <c r="C408" s="35"/>
      <c r="D408" s="35"/>
      <c r="E408" s="35"/>
      <c r="F408" s="35"/>
      <c r="G408" s="35"/>
      <c r="H408" s="20" t="str">
        <f>+T408</f>
        <v/>
      </c>
      <c r="I408" s="35"/>
      <c r="J408" s="37"/>
      <c r="K408" s="22" t="str">
        <f>IF(I408="","",IF(I408="ENTRADA",ABS(J408),-ABS(J408)))</f>
        <v/>
      </c>
      <c r="L408" s="35"/>
      <c r="M408" s="35"/>
      <c r="N408" s="35"/>
      <c r="O408" s="35"/>
      <c r="P408" s="35"/>
      <c r="Q408" s="21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667</v>
      </c>
      <c r="H409" s="20" t="str">
        <f>+T409</f>
        <v/>
      </c>
      <c r="J409" s="30"/>
      <c r="K409" s="22" t="str">
        <f>IF(I409="","",IF(I409="ENTRADA",ABS(J409),-ABS(J409)))</f>
        <v/>
      </c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668</v>
      </c>
      <c r="H410" s="20" t="str">
        <f>+T410</f>
        <v/>
      </c>
      <c r="J410" s="30"/>
      <c r="K410" s="22" t="str">
        <f>IF(I410="","",IF(I410="ENTRADA",ABS(J410),-ABS(J410)))</f>
        <v/>
      </c>
      <c r="Q410" s="34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669</v>
      </c>
      <c r="H411" s="20" t="str">
        <f>+T411</f>
        <v/>
      </c>
      <c r="J411" s="30"/>
      <c r="K411" s="22" t="str">
        <f>IF(I411="","",IF(I411="ENTRADA",ABS(J411),-ABS(J411)))</f>
        <v/>
      </c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670</v>
      </c>
      <c r="H412" s="20" t="str">
        <f>+T412</f>
        <v/>
      </c>
      <c r="J412" s="30"/>
      <c r="K412" s="22" t="str">
        <f>IF(I412="","",IF(I412="ENTRADA",ABS(J412),-ABS(J412)))</f>
        <v/>
      </c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671</v>
      </c>
      <c r="H413" s="20" t="str">
        <f>+T413</f>
        <v/>
      </c>
      <c r="J413" s="30"/>
      <c r="K413" s="22" t="str">
        <f>IF(I413="","",IF(I413="ENTRADA",ABS(J413),-ABS(J413)))</f>
        <v/>
      </c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672</v>
      </c>
      <c r="H414" s="20" t="str">
        <f>+T414</f>
        <v/>
      </c>
      <c r="J414" s="30"/>
      <c r="K414" s="22" t="str">
        <f>IF(I414="","",IF(I414="ENTRADA",ABS(J414),-ABS(J414)))</f>
        <v/>
      </c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673</v>
      </c>
      <c r="H415" s="20" t="str">
        <f>+T415</f>
        <v/>
      </c>
      <c r="J415" s="30"/>
      <c r="K415" s="22" t="str">
        <f>IF(I415="","",IF(I415="ENTRADA",ABS(J415),-ABS(J415)))</f>
        <v/>
      </c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674</v>
      </c>
      <c r="H416" s="20" t="str">
        <f>+T416</f>
        <v/>
      </c>
      <c r="J416" s="30"/>
      <c r="K416" s="22" t="str">
        <f>IF(I416="","",IF(I416="ENTRADA",ABS(J416),-ABS(J416)))</f>
        <v/>
      </c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675</v>
      </c>
      <c r="H417" s="20" t="str">
        <f>+T417</f>
        <v/>
      </c>
      <c r="J417" s="30"/>
      <c r="K417" s="22" t="str">
        <f>IF(I417="","",IF(I417="ENTRADA",ABS(J417),-ABS(J417)))</f>
        <v/>
      </c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676</v>
      </c>
      <c r="H418" s="20" t="str">
        <f>+T418</f>
        <v/>
      </c>
      <c r="J418" s="30"/>
      <c r="K418" s="22" t="str">
        <f>IF(I418="","",IF(I418="ENTRADA",ABS(J418),-ABS(J418)))</f>
        <v/>
      </c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677</v>
      </c>
      <c r="B419" s="35"/>
      <c r="C419" s="35"/>
      <c r="D419" s="35"/>
      <c r="E419" s="35"/>
      <c r="F419" s="35"/>
      <c r="G419" s="35"/>
      <c r="H419" s="20" t="str">
        <f>+T419</f>
        <v/>
      </c>
      <c r="I419" s="35"/>
      <c r="J419" s="37"/>
      <c r="K419" s="22" t="str">
        <f>IF(I419="","",IF(I419="ENTRADA",ABS(J419),-ABS(J419)))</f>
        <v/>
      </c>
      <c r="L419" s="35"/>
      <c r="M419" s="35"/>
      <c r="N419" s="35"/>
      <c r="O419" s="35"/>
      <c r="P419" s="35"/>
      <c r="Q419" s="21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678</v>
      </c>
      <c r="H420" s="20" t="str">
        <f>+T420</f>
        <v/>
      </c>
      <c r="J420" s="30"/>
      <c r="K420" s="22" t="str">
        <f>IF(I420="","",IF(I420="ENTRADA",ABS(J420),-ABS(J420)))</f>
        <v/>
      </c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679</v>
      </c>
      <c r="H421" s="20" t="str">
        <f>+T421</f>
        <v/>
      </c>
      <c r="J421" s="30"/>
      <c r="K421" s="22" t="str">
        <f>IF(I421="","",IF(I421="ENTRADA",ABS(J421),-ABS(J421)))</f>
        <v/>
      </c>
      <c r="Q421" s="34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680</v>
      </c>
      <c r="H422" s="20" t="str">
        <f>+T422</f>
        <v/>
      </c>
      <c r="J422" s="30"/>
      <c r="K422" s="22" t="str">
        <f>IF(I422="","",IF(I422="ENTRADA",ABS(J422),-ABS(J422)))</f>
        <v/>
      </c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681</v>
      </c>
      <c r="H423" s="20" t="str">
        <f>+T423</f>
        <v/>
      </c>
      <c r="J423" s="30"/>
      <c r="K423" s="22" t="str">
        <f>IF(I423="","",IF(I423="ENTRADA",ABS(J423),-ABS(J423)))</f>
        <v/>
      </c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682</v>
      </c>
      <c r="H424" s="20" t="str">
        <f>+T424</f>
        <v/>
      </c>
      <c r="J424" s="30"/>
      <c r="K424" s="22" t="str">
        <f>IF(I424="","",IF(I424="ENTRADA",ABS(J424),-ABS(J424)))</f>
        <v/>
      </c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683</v>
      </c>
      <c r="H425" s="20" t="str">
        <f>+T425</f>
        <v/>
      </c>
      <c r="J425" s="30"/>
      <c r="K425" s="22" t="str">
        <f>IF(I425="","",IF(I425="ENTRADA",ABS(J425),-ABS(J425)))</f>
        <v/>
      </c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684</v>
      </c>
      <c r="H426" s="20" t="str">
        <f>+T426</f>
        <v/>
      </c>
      <c r="J426" s="30"/>
      <c r="K426" s="22" t="str">
        <f>IF(I426="","",IF(I426="ENTRADA",ABS(J426),-ABS(J426)))</f>
        <v/>
      </c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685</v>
      </c>
      <c r="H427" s="20" t="str">
        <f>+T427</f>
        <v/>
      </c>
      <c r="J427" s="30"/>
      <c r="K427" s="22" t="str">
        <f>IF(I427="","",IF(I427="ENTRADA",ABS(J427),-ABS(J427)))</f>
        <v/>
      </c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686</v>
      </c>
      <c r="H428" s="20" t="str">
        <f>+T428</f>
        <v/>
      </c>
      <c r="J428" s="30"/>
      <c r="K428" s="22" t="str">
        <f>IF(I428="","",IF(I428="ENTRADA",ABS(J428),-ABS(J428)))</f>
        <v/>
      </c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687</v>
      </c>
      <c r="H429" s="20" t="str">
        <f>+T429</f>
        <v/>
      </c>
      <c r="J429" s="30"/>
      <c r="K429" s="22" t="str">
        <f>IF(I429="","",IF(I429="ENTRADA",ABS(J429),-ABS(J429)))</f>
        <v/>
      </c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688</v>
      </c>
      <c r="B430" s="35"/>
      <c r="C430" s="35"/>
      <c r="D430" s="35"/>
      <c r="E430" s="35"/>
      <c r="F430" s="35"/>
      <c r="G430" s="35"/>
      <c r="H430" s="20" t="str">
        <f>+T430</f>
        <v/>
      </c>
      <c r="I430" s="35"/>
      <c r="J430" s="37"/>
      <c r="K430" s="22" t="str">
        <f>IF(I430="","",IF(I430="ENTRADA",ABS(J430),-ABS(J430)))</f>
        <v/>
      </c>
      <c r="L430" s="35"/>
      <c r="M430" s="35"/>
      <c r="N430" s="35"/>
      <c r="O430" s="35"/>
      <c r="P430" s="35"/>
      <c r="Q430" s="21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689</v>
      </c>
      <c r="H431" s="20" t="str">
        <f>+T431</f>
        <v/>
      </c>
      <c r="J431" s="30"/>
      <c r="K431" s="22" t="str">
        <f>IF(I431="","",IF(I431="ENTRADA",ABS(J431),-ABS(J431)))</f>
        <v/>
      </c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690</v>
      </c>
      <c r="H432" s="20" t="str">
        <f>+T432</f>
        <v/>
      </c>
      <c r="J432" s="30"/>
      <c r="K432" s="22" t="str">
        <f>IF(I432="","",IF(I432="ENTRADA",ABS(J432),-ABS(J432)))</f>
        <v/>
      </c>
      <c r="Q432" s="34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691</v>
      </c>
      <c r="H433" s="20" t="str">
        <f>+T433</f>
        <v/>
      </c>
      <c r="J433" s="30"/>
      <c r="K433" s="22" t="str">
        <f>IF(I433="","",IF(I433="ENTRADA",ABS(J433),-ABS(J433)))</f>
        <v/>
      </c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692</v>
      </c>
      <c r="H434" s="20" t="str">
        <f>+T434</f>
        <v/>
      </c>
      <c r="J434" s="30"/>
      <c r="K434" s="22" t="str">
        <f>IF(I434="","",IF(I434="ENTRADA",ABS(J434),-ABS(J434)))</f>
        <v/>
      </c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693</v>
      </c>
      <c r="H435" s="20" t="str">
        <f>+T435</f>
        <v/>
      </c>
      <c r="J435" s="30"/>
      <c r="K435" s="22" t="str">
        <f>IF(I435="","",IF(I435="ENTRADA",ABS(J435),-ABS(J435)))</f>
        <v/>
      </c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694</v>
      </c>
      <c r="H436" s="20" t="str">
        <f>+T436</f>
        <v/>
      </c>
      <c r="J436" s="30"/>
      <c r="K436" s="22" t="str">
        <f>IF(I436="","",IF(I436="ENTRADA",ABS(J436),-ABS(J436)))</f>
        <v/>
      </c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695</v>
      </c>
      <c r="H437" s="20" t="str">
        <f>+T437</f>
        <v/>
      </c>
      <c r="J437" s="30"/>
      <c r="K437" s="22" t="str">
        <f>IF(I437="","",IF(I437="ENTRADA",ABS(J437),-ABS(J437)))</f>
        <v/>
      </c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696</v>
      </c>
      <c r="H438" s="20" t="str">
        <f>+T438</f>
        <v/>
      </c>
      <c r="J438" s="30"/>
      <c r="K438" s="22" t="str">
        <f>IF(I438="","",IF(I438="ENTRADA",ABS(J438),-ABS(J438)))</f>
        <v/>
      </c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697</v>
      </c>
      <c r="H439" s="20" t="str">
        <f>+T439</f>
        <v/>
      </c>
      <c r="J439" s="30"/>
      <c r="K439" s="22" t="str">
        <f>IF(I439="","",IF(I439="ENTRADA",ABS(J439),-ABS(J439)))</f>
        <v/>
      </c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698</v>
      </c>
      <c r="H440" s="20" t="str">
        <f>+T440</f>
        <v/>
      </c>
      <c r="J440" s="30"/>
      <c r="K440" s="22" t="str">
        <f>IF(I440="","",IF(I440="ENTRADA",ABS(J440),-ABS(J440)))</f>
        <v/>
      </c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699</v>
      </c>
      <c r="B441" s="35"/>
      <c r="C441" s="35"/>
      <c r="D441" s="35"/>
      <c r="E441" s="35"/>
      <c r="F441" s="35"/>
      <c r="G441" s="35"/>
      <c r="H441" s="20" t="str">
        <f>+T441</f>
        <v/>
      </c>
      <c r="I441" s="35"/>
      <c r="J441" s="37"/>
      <c r="K441" s="22" t="str">
        <f>IF(I441="","",IF(I441="ENTRADA",ABS(J441),-ABS(J441)))</f>
        <v/>
      </c>
      <c r="L441" s="35"/>
      <c r="M441" s="35"/>
      <c r="N441" s="35"/>
      <c r="O441" s="35"/>
      <c r="P441" s="35"/>
      <c r="Q441" s="21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700</v>
      </c>
      <c r="H442" s="20" t="str">
        <f>+T442</f>
        <v/>
      </c>
      <c r="J442" s="30"/>
      <c r="K442" s="22" t="str">
        <f>IF(I442="","",IF(I442="ENTRADA",ABS(J442),-ABS(J442)))</f>
        <v/>
      </c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701</v>
      </c>
      <c r="H443" s="20" t="str">
        <f>+T443</f>
        <v/>
      </c>
      <c r="J443" s="30"/>
      <c r="K443" s="22" t="str">
        <f>IF(I443="","",IF(I443="ENTRADA",ABS(J443),-ABS(J443)))</f>
        <v/>
      </c>
      <c r="Q443" s="34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702</v>
      </c>
      <c r="H444" s="20" t="str">
        <f>+T444</f>
        <v/>
      </c>
      <c r="J444" s="30"/>
      <c r="K444" s="22" t="str">
        <f>IF(I444="","",IF(I444="ENTRADA",ABS(J444),-ABS(J444)))</f>
        <v/>
      </c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703</v>
      </c>
      <c r="H445" s="20" t="str">
        <f>+T445</f>
        <v/>
      </c>
      <c r="J445" s="30"/>
      <c r="K445" s="22" t="str">
        <f>IF(I445="","",IF(I445="ENTRADA",ABS(J445),-ABS(J445)))</f>
        <v/>
      </c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704</v>
      </c>
      <c r="H446" s="20" t="str">
        <f>+T446</f>
        <v/>
      </c>
      <c r="J446" s="30"/>
      <c r="K446" s="22" t="str">
        <f>IF(I446="","",IF(I446="ENTRADA",ABS(J446),-ABS(J446)))</f>
        <v/>
      </c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705</v>
      </c>
      <c r="H447" s="20" t="str">
        <f>+T447</f>
        <v/>
      </c>
      <c r="J447" s="30"/>
      <c r="K447" s="22" t="str">
        <f>IF(I447="","",IF(I447="ENTRADA",ABS(J447),-ABS(J447)))</f>
        <v/>
      </c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706</v>
      </c>
      <c r="H448" s="20" t="str">
        <f>+T448</f>
        <v/>
      </c>
      <c r="J448" s="30"/>
      <c r="K448" s="22" t="str">
        <f>IF(I448="","",IF(I448="ENTRADA",ABS(J448),-ABS(J448)))</f>
        <v/>
      </c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707</v>
      </c>
      <c r="H449" s="20" t="str">
        <f>+T449</f>
        <v/>
      </c>
      <c r="J449" s="30"/>
      <c r="K449" s="22" t="str">
        <f>IF(I449="","",IF(I449="ENTRADA",ABS(J449),-ABS(J449)))</f>
        <v/>
      </c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708</v>
      </c>
      <c r="H450" s="20" t="str">
        <f>+T450</f>
        <v/>
      </c>
      <c r="J450" s="30"/>
      <c r="K450" s="22" t="str">
        <f>IF(I450="","",IF(I450="ENTRADA",ABS(J450),-ABS(J450)))</f>
        <v/>
      </c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709</v>
      </c>
      <c r="H451" s="20" t="str">
        <f>+T451</f>
        <v/>
      </c>
      <c r="J451" s="30"/>
      <c r="K451" s="22" t="str">
        <f>IF(I451="","",IF(I451="ENTRADA",ABS(J451),-ABS(J451)))</f>
        <v/>
      </c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710</v>
      </c>
      <c r="B452" s="35"/>
      <c r="C452" s="35"/>
      <c r="D452" s="35"/>
      <c r="E452" s="35"/>
      <c r="F452" s="35"/>
      <c r="G452" s="35"/>
      <c r="H452" s="20" t="str">
        <f>+T452</f>
        <v/>
      </c>
      <c r="I452" s="35"/>
      <c r="J452" s="37"/>
      <c r="K452" s="22" t="str">
        <f>IF(I452="","",IF(I452="ENTRADA",ABS(J452),-ABS(J452)))</f>
        <v/>
      </c>
      <c r="L452" s="35"/>
      <c r="M452" s="35"/>
      <c r="N452" s="35"/>
      <c r="O452" s="35"/>
      <c r="P452" s="35"/>
      <c r="Q452" s="21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711</v>
      </c>
      <c r="H453" s="20" t="str">
        <f>+T453</f>
        <v/>
      </c>
      <c r="J453" s="30"/>
      <c r="K453" s="22" t="str">
        <f>IF(I453="","",IF(I453="ENTRADA",ABS(J453),-ABS(J453)))</f>
        <v/>
      </c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712</v>
      </c>
      <c r="H454" s="20" t="str">
        <f>+T454</f>
        <v/>
      </c>
      <c r="J454" s="30"/>
      <c r="K454" s="22" t="str">
        <f>IF(I454="","",IF(I454="ENTRADA",ABS(J454),-ABS(J454)))</f>
        <v/>
      </c>
      <c r="Q454" s="34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713</v>
      </c>
      <c r="H455" s="20" t="str">
        <f>+T455</f>
        <v/>
      </c>
      <c r="J455" s="30"/>
      <c r="K455" s="22" t="str">
        <f>IF(I455="","",IF(I455="ENTRADA",ABS(J455),-ABS(J455)))</f>
        <v/>
      </c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714</v>
      </c>
      <c r="H456" s="20" t="str">
        <f>+T456</f>
        <v/>
      </c>
      <c r="J456" s="30"/>
      <c r="K456" s="22" t="str">
        <f>IF(I456="","",IF(I456="ENTRADA",ABS(J456),-ABS(J456)))</f>
        <v/>
      </c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715</v>
      </c>
      <c r="H457" s="20" t="str">
        <f>+T457</f>
        <v/>
      </c>
      <c r="J457" s="30"/>
      <c r="K457" s="22" t="str">
        <f>IF(I457="","",IF(I457="ENTRADA",ABS(J457),-ABS(J457)))</f>
        <v/>
      </c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716</v>
      </c>
      <c r="H458" s="20" t="str">
        <f>+T458</f>
        <v/>
      </c>
      <c r="J458" s="30"/>
      <c r="K458" s="22" t="str">
        <f>IF(I458="","",IF(I458="ENTRADA",ABS(J458),-ABS(J458)))</f>
        <v/>
      </c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717</v>
      </c>
      <c r="H459" s="20" t="str">
        <f>+T459</f>
        <v/>
      </c>
      <c r="J459" s="30"/>
      <c r="K459" s="22" t="str">
        <f>IF(I459="","",IF(I459="ENTRADA",ABS(J459),-ABS(J459)))</f>
        <v/>
      </c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718</v>
      </c>
      <c r="H460" s="20" t="str">
        <f>+T460</f>
        <v/>
      </c>
      <c r="J460" s="30"/>
      <c r="K460" s="22" t="str">
        <f>IF(I460="","",IF(I460="ENTRADA",ABS(J460),-ABS(J460)))</f>
        <v/>
      </c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719</v>
      </c>
      <c r="H461" s="20" t="str">
        <f>+T461</f>
        <v/>
      </c>
      <c r="J461" s="30"/>
      <c r="K461" s="22" t="str">
        <f>IF(I461="","",IF(I461="ENTRADA",ABS(J461),-ABS(J461)))</f>
        <v/>
      </c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720</v>
      </c>
      <c r="H462" s="20" t="str">
        <f>+T462</f>
        <v/>
      </c>
      <c r="J462" s="30"/>
      <c r="K462" s="22" t="str">
        <f>IF(I462="","",IF(I462="ENTRADA",ABS(J462),-ABS(J462)))</f>
        <v/>
      </c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721</v>
      </c>
      <c r="B463" s="35"/>
      <c r="C463" s="35"/>
      <c r="D463" s="35"/>
      <c r="E463" s="35"/>
      <c r="F463" s="35"/>
      <c r="G463" s="35"/>
      <c r="H463" s="20" t="str">
        <f>+T463</f>
        <v/>
      </c>
      <c r="I463" s="35"/>
      <c r="J463" s="37"/>
      <c r="K463" s="22" t="str">
        <f>IF(I463="","",IF(I463="ENTRADA",ABS(J463),-ABS(J463)))</f>
        <v/>
      </c>
      <c r="L463" s="35"/>
      <c r="M463" s="35"/>
      <c r="N463" s="35"/>
      <c r="O463" s="35"/>
      <c r="P463" s="35"/>
      <c r="Q463" s="21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722</v>
      </c>
      <c r="H464" s="20" t="str">
        <f>+T464</f>
        <v/>
      </c>
      <c r="J464" s="30"/>
      <c r="K464" s="22" t="str">
        <f>IF(I464="","",IF(I464="ENTRADA",ABS(J464),-ABS(J464)))</f>
        <v/>
      </c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723</v>
      </c>
      <c r="H465" s="20" t="str">
        <f>+T465</f>
        <v/>
      </c>
      <c r="J465" s="30"/>
      <c r="K465" s="22" t="str">
        <f>IF(I465="","",IF(I465="ENTRADA",ABS(J465),-ABS(J465)))</f>
        <v/>
      </c>
      <c r="Q465" s="34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724</v>
      </c>
      <c r="H466" s="20" t="str">
        <f>+T466</f>
        <v/>
      </c>
      <c r="J466" s="30"/>
      <c r="K466" s="22" t="str">
        <f>IF(I466="","",IF(I466="ENTRADA",ABS(J466),-ABS(J466)))</f>
        <v/>
      </c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725</v>
      </c>
      <c r="H467" s="20" t="str">
        <f>+T467</f>
        <v/>
      </c>
      <c r="J467" s="30"/>
      <c r="K467" s="22" t="str">
        <f>IF(I467="","",IF(I467="ENTRADA",ABS(J467),-ABS(J467)))</f>
        <v/>
      </c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726</v>
      </c>
      <c r="H468" s="20" t="str">
        <f>+T468</f>
        <v/>
      </c>
      <c r="J468" s="30"/>
      <c r="K468" s="22" t="str">
        <f>IF(I468="","",IF(I468="ENTRADA",ABS(J468),-ABS(J468)))</f>
        <v/>
      </c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727</v>
      </c>
      <c r="H469" s="20" t="str">
        <f>+T469</f>
        <v/>
      </c>
      <c r="J469" s="30"/>
      <c r="K469" s="22" t="str">
        <f>IF(I469="","",IF(I469="ENTRADA",ABS(J469),-ABS(J469)))</f>
        <v/>
      </c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728</v>
      </c>
      <c r="H470" s="20" t="str">
        <f>+T470</f>
        <v/>
      </c>
      <c r="J470" s="30"/>
      <c r="K470" s="22" t="str">
        <f>IF(I470="","",IF(I470="ENTRADA",ABS(J470),-ABS(J470)))</f>
        <v/>
      </c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729</v>
      </c>
      <c r="H471" s="20" t="str">
        <f>+T471</f>
        <v/>
      </c>
      <c r="J471" s="30"/>
      <c r="K471" s="22" t="str">
        <f>IF(I471="","",IF(I471="ENTRADA",ABS(J471),-ABS(J471)))</f>
        <v/>
      </c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730</v>
      </c>
      <c r="H472" s="20" t="str">
        <f>+T472</f>
        <v/>
      </c>
      <c r="J472" s="30"/>
      <c r="K472" s="22" t="str">
        <f>IF(I472="","",IF(I472="ENTRADA",ABS(J472),-ABS(J472)))</f>
        <v/>
      </c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731</v>
      </c>
      <c r="H473" s="20" t="str">
        <f>+T473</f>
        <v/>
      </c>
      <c r="J473" s="30"/>
      <c r="K473" s="22" t="str">
        <f>IF(I473="","",IF(I473="ENTRADA",ABS(J473),-ABS(J473)))</f>
        <v/>
      </c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732</v>
      </c>
      <c r="B474" s="35"/>
      <c r="C474" s="35"/>
      <c r="D474" s="35"/>
      <c r="E474" s="35"/>
      <c r="F474" s="35"/>
      <c r="G474" s="35"/>
      <c r="H474" s="20" t="str">
        <f>+T474</f>
        <v/>
      </c>
      <c r="I474" s="35"/>
      <c r="J474" s="37"/>
      <c r="K474" s="22" t="str">
        <f>IF(I474="","",IF(I474="ENTRADA",ABS(J474),-ABS(J474)))</f>
        <v/>
      </c>
      <c r="L474" s="35"/>
      <c r="M474" s="35"/>
      <c r="N474" s="35"/>
      <c r="O474" s="35"/>
      <c r="P474" s="35"/>
      <c r="Q474" s="21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733</v>
      </c>
      <c r="H475" s="20" t="str">
        <f>+T475</f>
        <v/>
      </c>
      <c r="J475" s="30"/>
      <c r="K475" s="22" t="str">
        <f>IF(I475="","",IF(I475="ENTRADA",ABS(J475),-ABS(J475)))</f>
        <v/>
      </c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734</v>
      </c>
      <c r="H476" s="20" t="str">
        <f>+T476</f>
        <v/>
      </c>
      <c r="J476" s="30"/>
      <c r="K476" s="22" t="str">
        <f>IF(I476="","",IF(I476="ENTRADA",ABS(J476),-ABS(J476)))</f>
        <v/>
      </c>
      <c r="Q476" s="34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735</v>
      </c>
      <c r="H477" s="20" t="str">
        <f>+T477</f>
        <v/>
      </c>
      <c r="J477" s="30"/>
      <c r="K477" s="22" t="str">
        <f>IF(I477="","",IF(I477="ENTRADA",ABS(J477),-ABS(J477)))</f>
        <v/>
      </c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736</v>
      </c>
      <c r="H478" s="20" t="str">
        <f>+T478</f>
        <v/>
      </c>
      <c r="J478" s="30"/>
      <c r="K478" s="22" t="str">
        <f>IF(I478="","",IF(I478="ENTRADA",ABS(J478),-ABS(J478)))</f>
        <v/>
      </c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737</v>
      </c>
      <c r="H479" s="20" t="str">
        <f>+T479</f>
        <v/>
      </c>
      <c r="J479" s="30"/>
      <c r="K479" s="22" t="str">
        <f>IF(I479="","",IF(I479="ENTRADA",ABS(J479),-ABS(J479)))</f>
        <v/>
      </c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738</v>
      </c>
      <c r="H480" s="20" t="str">
        <f>+T480</f>
        <v/>
      </c>
      <c r="J480" s="30"/>
      <c r="K480" s="22" t="str">
        <f>IF(I480="","",IF(I480="ENTRADA",ABS(J480),-ABS(J480)))</f>
        <v/>
      </c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739</v>
      </c>
      <c r="H481" s="20" t="str">
        <f>+T481</f>
        <v/>
      </c>
      <c r="J481" s="30"/>
      <c r="K481" s="22" t="str">
        <f>IF(I481="","",IF(I481="ENTRADA",ABS(J481),-ABS(J481)))</f>
        <v/>
      </c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740</v>
      </c>
      <c r="H482" s="20" t="str">
        <f>+T482</f>
        <v/>
      </c>
      <c r="J482" s="30"/>
      <c r="K482" s="22" t="str">
        <f>IF(I482="","",IF(I482="ENTRADA",ABS(J482),-ABS(J482)))</f>
        <v/>
      </c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741</v>
      </c>
      <c r="H483" s="20" t="str">
        <f>+T483</f>
        <v/>
      </c>
      <c r="J483" s="30"/>
      <c r="K483" s="22" t="str">
        <f>IF(I483="","",IF(I483="ENTRADA",ABS(J483),-ABS(J483)))</f>
        <v/>
      </c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742</v>
      </c>
      <c r="H484" s="20" t="str">
        <f>+T484</f>
        <v/>
      </c>
      <c r="J484" s="30"/>
      <c r="K484" s="22" t="str">
        <f>IF(I484="","",IF(I484="ENTRADA",ABS(J484),-ABS(J484)))</f>
        <v/>
      </c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743</v>
      </c>
      <c r="B485" s="35"/>
      <c r="C485" s="35"/>
      <c r="D485" s="35"/>
      <c r="E485" s="35"/>
      <c r="F485" s="35"/>
      <c r="G485" s="35"/>
      <c r="H485" s="20" t="str">
        <f>+T485</f>
        <v/>
      </c>
      <c r="I485" s="35"/>
      <c r="J485" s="37"/>
      <c r="K485" s="22" t="str">
        <f>IF(I485="","",IF(I485="ENTRADA",ABS(J485),-ABS(J485)))</f>
        <v/>
      </c>
      <c r="L485" s="35"/>
      <c r="M485" s="35"/>
      <c r="N485" s="35"/>
      <c r="O485" s="35"/>
      <c r="P485" s="35"/>
      <c r="Q485" s="21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744</v>
      </c>
      <c r="H486" s="20" t="str">
        <f>+T486</f>
        <v/>
      </c>
      <c r="J486" s="30"/>
      <c r="K486" s="22" t="str">
        <f>IF(I486="","",IF(I486="ENTRADA",ABS(J486),-ABS(J486)))</f>
        <v/>
      </c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745</v>
      </c>
      <c r="H487" s="20" t="str">
        <f>+T487</f>
        <v/>
      </c>
      <c r="J487" s="30"/>
      <c r="K487" s="22" t="str">
        <f>IF(I487="","",IF(I487="ENTRADA",ABS(J487),-ABS(J487)))</f>
        <v/>
      </c>
      <c r="Q487" s="34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746</v>
      </c>
      <c r="H488" s="20" t="str">
        <f>+T488</f>
        <v/>
      </c>
      <c r="J488" s="30"/>
      <c r="K488" s="22" t="str">
        <f>IF(I488="","",IF(I488="ENTRADA",ABS(J488),-ABS(J488)))</f>
        <v/>
      </c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747</v>
      </c>
      <c r="H489" s="20" t="str">
        <f>+T489</f>
        <v/>
      </c>
      <c r="J489" s="30"/>
      <c r="K489" s="22" t="str">
        <f>IF(I489="","",IF(I489="ENTRADA",ABS(J489),-ABS(J489)))</f>
        <v/>
      </c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748</v>
      </c>
      <c r="H490" s="20" t="str">
        <f>+T490</f>
        <v/>
      </c>
      <c r="J490" s="30"/>
      <c r="K490" s="22" t="str">
        <f>IF(I490="","",IF(I490="ENTRADA",ABS(J490),-ABS(J490)))</f>
        <v/>
      </c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749</v>
      </c>
      <c r="H491" s="20" t="str">
        <f>+T491</f>
        <v/>
      </c>
      <c r="J491" s="30"/>
      <c r="K491" s="22" t="str">
        <f>IF(I491="","",IF(I491="ENTRADA",ABS(J491),-ABS(J491)))</f>
        <v/>
      </c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750</v>
      </c>
      <c r="H492" s="20" t="str">
        <f>+T492</f>
        <v/>
      </c>
      <c r="J492" s="30"/>
      <c r="K492" s="22" t="str">
        <f>IF(I492="","",IF(I492="ENTRADA",ABS(J492),-ABS(J492)))</f>
        <v/>
      </c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751</v>
      </c>
      <c r="H493" s="20" t="str">
        <f>+T493</f>
        <v/>
      </c>
      <c r="J493" s="30"/>
      <c r="K493" s="22" t="str">
        <f>IF(I493="","",IF(I493="ENTRADA",ABS(J493),-ABS(J493)))</f>
        <v/>
      </c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752</v>
      </c>
      <c r="H494" s="20" t="str">
        <f>+T494</f>
        <v/>
      </c>
      <c r="J494" s="30"/>
      <c r="K494" s="22" t="str">
        <f>IF(I494="","",IF(I494="ENTRADA",ABS(J494),-ABS(J494)))</f>
        <v/>
      </c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753</v>
      </c>
      <c r="H495" s="20" t="str">
        <f>+T495</f>
        <v/>
      </c>
      <c r="J495" s="30"/>
      <c r="K495" s="22" t="str">
        <f>IF(I495="","",IF(I495="ENTRADA",ABS(J495),-ABS(J495)))</f>
        <v/>
      </c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754</v>
      </c>
      <c r="B496" s="35"/>
      <c r="C496" s="35"/>
      <c r="D496" s="35"/>
      <c r="E496" s="35"/>
      <c r="F496" s="35"/>
      <c r="G496" s="35"/>
      <c r="H496" s="20" t="str">
        <f>+T496</f>
        <v/>
      </c>
      <c r="I496" s="35"/>
      <c r="J496" s="37"/>
      <c r="K496" s="22" t="str">
        <f>IF(I496="","",IF(I496="ENTRADA",ABS(J496),-ABS(J496)))</f>
        <v/>
      </c>
      <c r="L496" s="35"/>
      <c r="M496" s="35"/>
      <c r="N496" s="35"/>
      <c r="O496" s="35"/>
      <c r="P496" s="35"/>
      <c r="Q496" s="21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755</v>
      </c>
      <c r="H497" s="20" t="str">
        <f>+T497</f>
        <v/>
      </c>
      <c r="J497" s="30"/>
      <c r="K497" s="22" t="str">
        <f>IF(I497="","",IF(I497="ENTRADA",ABS(J497),-ABS(J497)))</f>
        <v/>
      </c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756</v>
      </c>
      <c r="H498" s="20" t="str">
        <f>+T498</f>
        <v/>
      </c>
      <c r="J498" s="30"/>
      <c r="K498" s="22" t="str">
        <f>IF(I498="","",IF(I498="ENTRADA",ABS(J498),-ABS(J498)))</f>
        <v/>
      </c>
      <c r="Q498" s="34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757</v>
      </c>
      <c r="H499" s="20" t="str">
        <f>+T499</f>
        <v/>
      </c>
      <c r="J499" s="30"/>
      <c r="K499" s="22" t="str">
        <f>IF(I499="","",IF(I499="ENTRADA",ABS(J499),-ABS(J499)))</f>
        <v/>
      </c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758</v>
      </c>
      <c r="H500" s="20" t="str">
        <f>+T500</f>
        <v/>
      </c>
      <c r="J500" s="30"/>
      <c r="K500" s="22" t="str">
        <f>IF(I500="","",IF(I500="ENTRADA",ABS(J500),-ABS(J500)))</f>
        <v/>
      </c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759</v>
      </c>
      <c r="H501" s="20" t="str">
        <f>+T501</f>
        <v/>
      </c>
      <c r="J501" s="30"/>
      <c r="K501" s="22" t="str">
        <f>IF(I501="","",IF(I501="ENTRADA",ABS(J501),-ABS(J501)))</f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760</v>
      </c>
      <c r="H502" s="20" t="str">
        <f>+T502</f>
        <v/>
      </c>
      <c r="J502" s="30"/>
      <c r="K502" s="22" t="str">
        <f>IF(I502="","",IF(I502="ENTRADA",ABS(J502),-ABS(J502)))</f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761</v>
      </c>
      <c r="H503" s="20" t="str">
        <f>+T503</f>
        <v/>
      </c>
      <c r="J503" s="30"/>
      <c r="K503" s="22" t="str">
        <f>IF(I503="","",IF(I503="ENTRADA",ABS(J503),-ABS(J503)))</f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762</v>
      </c>
      <c r="H504" s="20" t="str">
        <f>+T504</f>
        <v/>
      </c>
      <c r="J504" s="30"/>
      <c r="K504" s="22" t="str">
        <f>IF(I504="","",IF(I504="ENTRADA",ABS(J504),-ABS(J504)))</f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763</v>
      </c>
      <c r="H505" s="20" t="str">
        <f>+T505</f>
        <v/>
      </c>
      <c r="J505" s="30"/>
      <c r="K505" s="22" t="str">
        <f>IF(I505="","",IF(I505="ENTRADA",ABS(J505),-ABS(J505)))</f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764</v>
      </c>
      <c r="H506" s="20" t="str">
        <f>+T506</f>
        <v/>
      </c>
      <c r="J506" s="30"/>
      <c r="K506" s="22" t="str">
        <f>IF(I506="","",IF(I506="ENTRADA",ABS(J506),-ABS(J506)))</f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765</v>
      </c>
      <c r="B507" s="35"/>
      <c r="C507" s="35"/>
      <c r="D507" s="35"/>
      <c r="E507" s="35"/>
      <c r="F507" s="35"/>
      <c r="G507" s="35"/>
      <c r="H507" s="20" t="str">
        <f>+T507</f>
        <v/>
      </c>
      <c r="I507" s="35"/>
      <c r="J507" s="37"/>
      <c r="K507" s="22" t="str">
        <f>IF(I507="","",IF(I507="ENTRADA",ABS(J507),-ABS(J507)))</f>
        <v/>
      </c>
      <c r="L507" s="35"/>
      <c r="M507" s="35"/>
      <c r="N507" s="35"/>
      <c r="O507" s="35"/>
      <c r="P507" s="35"/>
      <c r="Q507" s="36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766</v>
      </c>
      <c r="H508" s="20" t="str">
        <f>+T508</f>
        <v/>
      </c>
      <c r="J508" s="30"/>
      <c r="K508" s="22" t="str">
        <f>IF(I508="","",IF(I508="ENTRADA",ABS(J508),-ABS(J508)))</f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767</v>
      </c>
      <c r="H509" s="20" t="str">
        <f>+T509</f>
        <v/>
      </c>
      <c r="J509" s="30"/>
      <c r="K509" s="22" t="str">
        <f>IF(I509="","",IF(I509="ENTRADA",ABS(J509),-ABS(J509)))</f>
        <v/>
      </c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768</v>
      </c>
      <c r="H510" s="20" t="str">
        <f>+T510</f>
        <v/>
      </c>
      <c r="J510" s="30"/>
      <c r="K510" s="22" t="str">
        <f>IF(I510="","",IF(I510="ENTRADA",ABS(J510),-ABS(J510)))</f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769</v>
      </c>
      <c r="H511" s="20" t="str">
        <f>+T511</f>
        <v/>
      </c>
      <c r="J511" s="30"/>
      <c r="K511" s="22" t="str">
        <f>IF(I511="","",IF(I511="ENTRADA",ABS(J511),-ABS(J511)))</f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770</v>
      </c>
      <c r="H512" s="20" t="str">
        <f>+T512</f>
        <v/>
      </c>
      <c r="J512" s="30"/>
      <c r="K512" s="22" t="str">
        <f>IF(I512="","",IF(I512="ENTRADA",ABS(J512),-ABS(J512)))</f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771</v>
      </c>
      <c r="H513" s="20" t="str">
        <f>+T513</f>
        <v/>
      </c>
      <c r="J513" s="30"/>
      <c r="K513" s="22" t="str">
        <f>IF(I513="","",IF(I513="ENTRADA",ABS(J513),-ABS(J513)))</f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772</v>
      </c>
      <c r="H514" s="20" t="str">
        <f>+T514</f>
        <v/>
      </c>
      <c r="J514" s="30"/>
      <c r="K514" s="22" t="str">
        <f>IF(I514="","",IF(I514="ENTRADA",ABS(J514),-ABS(J514)))</f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773</v>
      </c>
      <c r="H515" s="20" t="str">
        <f>+T515</f>
        <v/>
      </c>
      <c r="J515" s="30"/>
      <c r="K515" s="22" t="str">
        <f>IF(I515="","",IF(I515="ENTRADA",ABS(J515),-ABS(J515)))</f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774</v>
      </c>
      <c r="H516" s="20" t="str">
        <f>+T516</f>
        <v/>
      </c>
      <c r="J516" s="30"/>
      <c r="K516" s="22" t="str">
        <f>IF(I516="","",IF(I516="ENTRADA",ABS(J516),-ABS(J516)))</f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775</v>
      </c>
      <c r="H517" s="20" t="str">
        <f>+T517</f>
        <v/>
      </c>
      <c r="J517" s="30"/>
      <c r="K517" s="22" t="str">
        <f>IF(I517="","",IF(I517="ENTRADA",ABS(J517),-ABS(J517)))</f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776</v>
      </c>
      <c r="B518" s="35"/>
      <c r="C518" s="35"/>
      <c r="D518" s="35"/>
      <c r="E518" s="35"/>
      <c r="F518" s="35"/>
      <c r="G518" s="35"/>
      <c r="H518" s="20" t="str">
        <f>+T518</f>
        <v/>
      </c>
      <c r="I518" s="35"/>
      <c r="J518" s="37"/>
      <c r="K518" s="22" t="str">
        <f>IF(I518="","",IF(I518="ENTRADA",ABS(J518),-ABS(J518)))</f>
        <v/>
      </c>
      <c r="L518" s="35"/>
      <c r="M518" s="35"/>
      <c r="N518" s="35"/>
      <c r="O518" s="35"/>
      <c r="P518" s="35"/>
      <c r="Q518" s="36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777</v>
      </c>
      <c r="H519" s="20" t="str">
        <f>+T519</f>
        <v/>
      </c>
      <c r="J519" s="30"/>
      <c r="K519" s="22" t="str">
        <f>IF(I519="","",IF(I519="ENTRADA",ABS(J519),-ABS(J519)))</f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778</v>
      </c>
      <c r="H520" s="20" t="str">
        <f>+T520</f>
        <v/>
      </c>
      <c r="J520" s="30"/>
      <c r="K520" s="22" t="str">
        <f>IF(I520="","",IF(I520="ENTRADA",ABS(J520),-ABS(J520)))</f>
        <v/>
      </c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779</v>
      </c>
      <c r="H521" s="20" t="str">
        <f>+T521</f>
        <v/>
      </c>
      <c r="J521" s="30"/>
      <c r="K521" s="22" t="str">
        <f>IF(I521="","",IF(I521="ENTRADA",ABS(J521),-ABS(J521)))</f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780</v>
      </c>
      <c r="H522" s="20" t="str">
        <f>+T522</f>
        <v/>
      </c>
      <c r="J522" s="30"/>
      <c r="K522" s="22" t="str">
        <f>IF(I522="","",IF(I522="ENTRADA",ABS(J522),-ABS(J522)))</f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781</v>
      </c>
      <c r="H523" s="20" t="str">
        <f>+T523</f>
        <v/>
      </c>
      <c r="J523" s="30"/>
      <c r="K523" s="22" t="str">
        <f>IF(I523="","",IF(I523="ENTRADA",ABS(J523),-ABS(J523)))</f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782</v>
      </c>
      <c r="H524" s="20" t="str">
        <f>+T524</f>
        <v/>
      </c>
      <c r="J524" s="30"/>
      <c r="K524" s="22" t="str">
        <f>IF(I524="","",IF(I524="ENTRADA",ABS(J524),-ABS(J524)))</f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783</v>
      </c>
      <c r="H525" s="20" t="str">
        <f>+T525</f>
        <v/>
      </c>
      <c r="J525" s="30"/>
      <c r="K525" s="22" t="str">
        <f>IF(I525="","",IF(I525="ENTRADA",ABS(J525),-ABS(J525)))</f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784</v>
      </c>
      <c r="H526" s="20" t="str">
        <f>+T526</f>
        <v/>
      </c>
      <c r="J526" s="30"/>
      <c r="K526" s="22" t="str">
        <f>IF(I526="","",IF(I526="ENTRADA",ABS(J526),-ABS(J526)))</f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785</v>
      </c>
      <c r="H527" s="20" t="str">
        <f>+T527</f>
        <v/>
      </c>
      <c r="J527" s="30"/>
      <c r="K527" s="22" t="str">
        <f>IF(I527="","",IF(I527="ENTRADA",ABS(J527),-ABS(J527)))</f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786</v>
      </c>
      <c r="H528" s="20" t="str">
        <f>+T528</f>
        <v/>
      </c>
      <c r="J528" s="30"/>
      <c r="K528" s="22" t="str">
        <f>IF(I528="","",IF(I528="ENTRADA",ABS(J528),-ABS(J528)))</f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787</v>
      </c>
      <c r="B529" s="35"/>
      <c r="C529" s="35"/>
      <c r="D529" s="35"/>
      <c r="E529" s="35"/>
      <c r="F529" s="35"/>
      <c r="G529" s="35"/>
      <c r="H529" s="20" t="str">
        <f>+T529</f>
        <v/>
      </c>
      <c r="I529" s="35"/>
      <c r="J529" s="37"/>
      <c r="K529" s="22" t="str">
        <f>IF(I529="","",IF(I529="ENTRADA",ABS(J529),-ABS(J529)))</f>
        <v/>
      </c>
      <c r="L529" s="35"/>
      <c r="M529" s="35"/>
      <c r="N529" s="35"/>
      <c r="O529" s="35"/>
      <c r="P529" s="35"/>
      <c r="Q529" s="36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788</v>
      </c>
      <c r="H530" s="20" t="str">
        <f>+T530</f>
        <v/>
      </c>
      <c r="J530" s="30"/>
      <c r="K530" s="22" t="str">
        <f>IF(I530="","",IF(I530="ENTRADA",ABS(J530),-ABS(J530)))</f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789</v>
      </c>
      <c r="H531" s="20" t="str">
        <f>+T531</f>
        <v/>
      </c>
      <c r="J531" s="30"/>
      <c r="K531" s="22" t="str">
        <f>IF(I531="","",IF(I531="ENTRADA",ABS(J531),-ABS(J531)))</f>
        <v/>
      </c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790</v>
      </c>
      <c r="H532" s="20" t="str">
        <f>+T532</f>
        <v/>
      </c>
      <c r="J532" s="30"/>
      <c r="K532" s="22" t="str">
        <f>IF(I532="","",IF(I532="ENTRADA",ABS(J532),-ABS(J532)))</f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791</v>
      </c>
      <c r="H533" s="20" t="str">
        <f>+T533</f>
        <v/>
      </c>
      <c r="J533" s="30"/>
      <c r="K533" s="22" t="str">
        <f>IF(I533="","",IF(I533="ENTRADA",ABS(J533),-ABS(J533)))</f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792</v>
      </c>
      <c r="H534" s="20" t="str">
        <f>+T534</f>
        <v/>
      </c>
      <c r="J534" s="30"/>
      <c r="K534" s="22" t="str">
        <f>IF(I534="","",IF(I534="ENTRADA",ABS(J534),-ABS(J534)))</f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793</v>
      </c>
      <c r="H535" s="20" t="str">
        <f>+T535</f>
        <v/>
      </c>
      <c r="J535" s="30"/>
      <c r="K535" s="22" t="str">
        <f>IF(I535="","",IF(I535="ENTRADA",ABS(J535),-ABS(J535)))</f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794</v>
      </c>
      <c r="H536" s="20" t="str">
        <f>+T536</f>
        <v/>
      </c>
      <c r="J536" s="30"/>
      <c r="K536" s="22" t="str">
        <f>IF(I536="","",IF(I536="ENTRADA",ABS(J536),-ABS(J536)))</f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795</v>
      </c>
      <c r="H537" s="20" t="str">
        <f>+T537</f>
        <v/>
      </c>
      <c r="J537" s="30"/>
      <c r="K537" s="22" t="str">
        <f>IF(I537="","",IF(I537="ENTRADA",ABS(J537),-ABS(J537)))</f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796</v>
      </c>
      <c r="H538" s="20" t="str">
        <f>+T538</f>
        <v/>
      </c>
      <c r="J538" s="30"/>
      <c r="K538" s="22" t="str">
        <f>IF(I538="","",IF(I538="ENTRADA",ABS(J538),-ABS(J538)))</f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797</v>
      </c>
      <c r="H539" s="20" t="str">
        <f>+T539</f>
        <v/>
      </c>
      <c r="J539" s="30"/>
      <c r="K539" s="22" t="str">
        <f>IF(I539="","",IF(I539="ENTRADA",ABS(J539),-ABS(J539)))</f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798</v>
      </c>
      <c r="B540" s="35"/>
      <c r="C540" s="35"/>
      <c r="D540" s="35"/>
      <c r="E540" s="35"/>
      <c r="F540" s="35"/>
      <c r="G540" s="35"/>
      <c r="H540" s="20" t="str">
        <f>+T540</f>
        <v/>
      </c>
      <c r="I540" s="35"/>
      <c r="J540" s="37"/>
      <c r="K540" s="22" t="str">
        <f>IF(I540="","",IF(I540="ENTRADA",ABS(J540),-ABS(J540)))</f>
        <v/>
      </c>
      <c r="L540" s="35"/>
      <c r="M540" s="35"/>
      <c r="N540" s="35"/>
      <c r="O540" s="35"/>
      <c r="P540" s="35"/>
      <c r="Q540" s="36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799</v>
      </c>
      <c r="H541" s="20" t="str">
        <f>+T541</f>
        <v/>
      </c>
      <c r="J541" s="30"/>
      <c r="K541" s="22" t="str">
        <f>IF(I541="","",IF(I541="ENTRADA",ABS(J541),-ABS(J541)))</f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800</v>
      </c>
      <c r="H542" s="20" t="str">
        <f>+T542</f>
        <v/>
      </c>
      <c r="J542" s="30"/>
      <c r="K542" s="22" t="str">
        <f>IF(I542="","",IF(I542="ENTRADA",ABS(J542),-ABS(J542)))</f>
        <v/>
      </c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801</v>
      </c>
      <c r="H543" s="20" t="str">
        <f>+T543</f>
        <v/>
      </c>
      <c r="J543" s="30"/>
      <c r="K543" s="22" t="str">
        <f>IF(I543="","",IF(I543="ENTRADA",ABS(J543),-ABS(J543)))</f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802</v>
      </c>
      <c r="H544" s="20" t="str">
        <f>+T544</f>
        <v/>
      </c>
      <c r="J544" s="30"/>
      <c r="K544" s="22" t="str">
        <f>IF(I544="","",IF(I544="ENTRADA",ABS(J544),-ABS(J544)))</f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803</v>
      </c>
      <c r="H545" s="20" t="str">
        <f>+T545</f>
        <v/>
      </c>
      <c r="J545" s="30"/>
      <c r="K545" s="22" t="str">
        <f>IF(I545="","",IF(I545="ENTRADA",ABS(J545),-ABS(J545)))</f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804</v>
      </c>
      <c r="H546" s="20" t="str">
        <f>+T546</f>
        <v/>
      </c>
      <c r="J546" s="30"/>
      <c r="K546" s="22" t="str">
        <f>IF(I546="","",IF(I546="ENTRADA",ABS(J546),-ABS(J546)))</f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805</v>
      </c>
      <c r="H547" s="20" t="str">
        <f>+T547</f>
        <v/>
      </c>
      <c r="J547" s="30"/>
      <c r="K547" s="22" t="str">
        <f>IF(I547="","",IF(I547="ENTRADA",ABS(J547),-ABS(J547)))</f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806</v>
      </c>
      <c r="H548" s="20" t="str">
        <f>+T548</f>
        <v/>
      </c>
      <c r="J548" s="30"/>
      <c r="K548" s="22" t="str">
        <f>IF(I548="","",IF(I548="ENTRADA",ABS(J548),-ABS(J548)))</f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807</v>
      </c>
      <c r="H549" s="20" t="str">
        <f>+T549</f>
        <v/>
      </c>
      <c r="J549" s="30"/>
      <c r="K549" s="22" t="str">
        <f>IF(I549="","",IF(I549="ENTRADA",ABS(J549),-ABS(J549)))</f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808</v>
      </c>
      <c r="H550" s="20" t="str">
        <f>+T550</f>
        <v/>
      </c>
      <c r="J550" s="30"/>
      <c r="K550" s="22" t="str">
        <f>IF(I550="","",IF(I550="ENTRADA",ABS(J550),-ABS(J550)))</f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809</v>
      </c>
      <c r="B551" s="35"/>
      <c r="C551" s="35"/>
      <c r="D551" s="35"/>
      <c r="E551" s="35"/>
      <c r="F551" s="35"/>
      <c r="G551" s="35"/>
      <c r="H551" s="20" t="str">
        <f>+T551</f>
        <v/>
      </c>
      <c r="I551" s="35"/>
      <c r="J551" s="37"/>
      <c r="K551" s="22" t="str">
        <f>IF(I551="","",IF(I551="ENTRADA",ABS(J551),-ABS(J551)))</f>
        <v/>
      </c>
      <c r="L551" s="35"/>
      <c r="M551" s="35"/>
      <c r="N551" s="35"/>
      <c r="O551" s="35"/>
      <c r="P551" s="35"/>
      <c r="Q551" s="36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810</v>
      </c>
      <c r="H552" s="20" t="str">
        <f>+T552</f>
        <v/>
      </c>
      <c r="J552" s="30"/>
      <c r="K552" s="22" t="str">
        <f>IF(I552="","",IF(I552="ENTRADA",ABS(J552),-ABS(J552)))</f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811</v>
      </c>
      <c r="H553" s="20" t="str">
        <f>+T553</f>
        <v/>
      </c>
      <c r="J553" s="30"/>
      <c r="K553" s="22" t="str">
        <f>IF(I553="","",IF(I553="ENTRADA",ABS(J553),-ABS(J553)))</f>
        <v/>
      </c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812</v>
      </c>
      <c r="H554" s="20" t="str">
        <f>+T554</f>
        <v/>
      </c>
      <c r="J554" s="30"/>
      <c r="K554" s="22" t="str">
        <f>IF(I554="","",IF(I554="ENTRADA",ABS(J554),-ABS(J554)))</f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813</v>
      </c>
      <c r="H555" s="20" t="str">
        <f>+T555</f>
        <v/>
      </c>
      <c r="J555" s="30"/>
      <c r="K555" s="22" t="str">
        <f>IF(I555="","",IF(I555="ENTRADA",ABS(J555),-ABS(J555)))</f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814</v>
      </c>
      <c r="H556" s="20" t="str">
        <f>+T556</f>
        <v/>
      </c>
      <c r="J556" s="30"/>
      <c r="K556" s="22" t="str">
        <f>IF(I556="","",IF(I556="ENTRADA",ABS(J556),-ABS(J556)))</f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815</v>
      </c>
      <c r="H557" s="20" t="str">
        <f>+T557</f>
        <v/>
      </c>
      <c r="J557" s="30"/>
      <c r="K557" s="22" t="str">
        <f>IF(I557="","",IF(I557="ENTRADA",ABS(J557),-ABS(J557)))</f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816</v>
      </c>
      <c r="H558" s="20" t="str">
        <f>+T558</f>
        <v/>
      </c>
      <c r="J558" s="30"/>
      <c r="K558" s="22" t="str">
        <f>IF(I558="","",IF(I558="ENTRADA",ABS(J558),-ABS(J558)))</f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817</v>
      </c>
      <c r="H559" s="20" t="str">
        <f>+T559</f>
        <v/>
      </c>
      <c r="J559" s="30"/>
      <c r="K559" s="22" t="str">
        <f>IF(I559="","",IF(I559="ENTRADA",ABS(J559),-ABS(J559)))</f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818</v>
      </c>
      <c r="H560" s="20" t="str">
        <f>+T560</f>
        <v/>
      </c>
      <c r="J560" s="30"/>
      <c r="K560" s="22" t="str">
        <f>IF(I560="","",IF(I560="ENTRADA",ABS(J560),-ABS(J560)))</f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819</v>
      </c>
      <c r="H561" s="20" t="str">
        <f>+T561</f>
        <v/>
      </c>
      <c r="J561" s="30"/>
      <c r="K561" s="22" t="str">
        <f>IF(I561="","",IF(I561="ENTRADA",ABS(J561),-ABS(J561)))</f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820</v>
      </c>
      <c r="B562" s="35"/>
      <c r="C562" s="35"/>
      <c r="D562" s="35"/>
      <c r="E562" s="35"/>
      <c r="F562" s="35"/>
      <c r="G562" s="35"/>
      <c r="H562" s="20" t="str">
        <f>+T562</f>
        <v/>
      </c>
      <c r="I562" s="35"/>
      <c r="J562" s="37"/>
      <c r="K562" s="22" t="str">
        <f>IF(I562="","",IF(I562="ENTRADA",ABS(J562),-ABS(J562)))</f>
        <v/>
      </c>
      <c r="L562" s="35"/>
      <c r="M562" s="35"/>
      <c r="N562" s="35"/>
      <c r="O562" s="35"/>
      <c r="P562" s="35"/>
      <c r="Q562" s="36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821</v>
      </c>
      <c r="H563" s="20" t="str">
        <f>+T563</f>
        <v/>
      </c>
      <c r="J563" s="30"/>
      <c r="K563" s="22" t="str">
        <f>IF(I563="","",IF(I563="ENTRADA",ABS(J563),-ABS(J563)))</f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822</v>
      </c>
      <c r="H564" s="20" t="str">
        <f>+T564</f>
        <v/>
      </c>
      <c r="J564" s="30"/>
      <c r="K564" s="22" t="str">
        <f>IF(I564="","",IF(I564="ENTRADA",ABS(J564),-ABS(J564)))</f>
        <v/>
      </c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823</v>
      </c>
      <c r="H565" s="20" t="str">
        <f>+T565</f>
        <v/>
      </c>
      <c r="J565" s="30"/>
      <c r="K565" s="22" t="str">
        <f>IF(I565="","",IF(I565="ENTRADA",ABS(J565),-ABS(J565)))</f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824</v>
      </c>
      <c r="H566" s="20" t="str">
        <f>+T566</f>
        <v/>
      </c>
      <c r="J566" s="30"/>
      <c r="K566" s="22" t="str">
        <f>IF(I566="","",IF(I566="ENTRADA",ABS(J566),-ABS(J566)))</f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825</v>
      </c>
      <c r="H567" s="20" t="str">
        <f>+T567</f>
        <v/>
      </c>
      <c r="J567" s="30"/>
      <c r="K567" s="22" t="str">
        <f>IF(I567="","",IF(I567="ENTRADA",ABS(J567),-ABS(J567)))</f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826</v>
      </c>
      <c r="H568" s="20" t="str">
        <f>+T568</f>
        <v/>
      </c>
      <c r="J568" s="30"/>
      <c r="K568" s="22" t="str">
        <f>IF(I568="","",IF(I568="ENTRADA",ABS(J568),-ABS(J568)))</f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827</v>
      </c>
      <c r="H569" s="20" t="str">
        <f>+T569</f>
        <v/>
      </c>
      <c r="J569" s="30"/>
      <c r="K569" s="22" t="str">
        <f>IF(I569="","",IF(I569="ENTRADA",ABS(J569),-ABS(J569)))</f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828</v>
      </c>
      <c r="H570" s="20" t="str">
        <f>+T570</f>
        <v/>
      </c>
      <c r="J570" s="30"/>
      <c r="K570" s="22" t="str">
        <f>IF(I570="","",IF(I570="ENTRADA",ABS(J570),-ABS(J570)))</f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829</v>
      </c>
      <c r="H571" s="20" t="str">
        <f>+T571</f>
        <v/>
      </c>
      <c r="J571" s="30"/>
      <c r="K571" s="22" t="str">
        <f>IF(I571="","",IF(I571="ENTRADA",ABS(J571),-ABS(J571)))</f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830</v>
      </c>
      <c r="H572" s="20" t="str">
        <f>+T572</f>
        <v/>
      </c>
      <c r="J572" s="30"/>
      <c r="K572" s="22" t="str">
        <f>IF(I572="","",IF(I572="ENTRADA",ABS(J572),-ABS(J572)))</f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831</v>
      </c>
      <c r="B573" s="35"/>
      <c r="C573" s="35"/>
      <c r="D573" s="35"/>
      <c r="E573" s="35"/>
      <c r="F573" s="35"/>
      <c r="G573" s="35"/>
      <c r="H573" s="20" t="str">
        <f>+T573</f>
        <v/>
      </c>
      <c r="I573" s="35"/>
      <c r="J573" s="37"/>
      <c r="K573" s="22" t="str">
        <f>IF(I573="","",IF(I573="ENTRADA",ABS(J573),-ABS(J573)))</f>
        <v/>
      </c>
      <c r="L573" s="35"/>
      <c r="M573" s="35"/>
      <c r="N573" s="35"/>
      <c r="O573" s="35"/>
      <c r="P573" s="35"/>
      <c r="Q573" s="36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832</v>
      </c>
      <c r="H574" s="20" t="str">
        <f>+T574</f>
        <v/>
      </c>
      <c r="J574" s="30"/>
      <c r="K574" s="22" t="str">
        <f>IF(I574="","",IF(I574="ENTRADA",ABS(J574),-ABS(J574)))</f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833</v>
      </c>
      <c r="H575" s="20" t="str">
        <f>+T575</f>
        <v/>
      </c>
      <c r="J575" s="30"/>
      <c r="K575" s="22" t="str">
        <f>IF(I575="","",IF(I575="ENTRADA",ABS(J575),-ABS(J575)))</f>
        <v/>
      </c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834</v>
      </c>
      <c r="H576" s="20" t="str">
        <f>+T576</f>
        <v/>
      </c>
      <c r="J576" s="30"/>
      <c r="K576" s="22" t="str">
        <f>IF(I576="","",IF(I576="ENTRADA",ABS(J576),-ABS(J576)))</f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835</v>
      </c>
      <c r="H577" s="20" t="str">
        <f>+T577</f>
        <v/>
      </c>
      <c r="J577" s="30"/>
      <c r="K577" s="22" t="str">
        <f>IF(I577="","",IF(I577="ENTRADA",ABS(J577),-ABS(J577)))</f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836</v>
      </c>
      <c r="H578" s="20" t="str">
        <f>+T578</f>
        <v/>
      </c>
      <c r="J578" s="30"/>
      <c r="K578" s="22" t="str">
        <f>IF(I578="","",IF(I578="ENTRADA",ABS(J578),-ABS(J578)))</f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837</v>
      </c>
      <c r="H579" s="20" t="str">
        <f>+T579</f>
        <v/>
      </c>
      <c r="J579" s="30"/>
      <c r="K579" s="22" t="str">
        <f>IF(I579="","",IF(I579="ENTRADA",ABS(J579),-ABS(J579)))</f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838</v>
      </c>
      <c r="H580" s="20" t="str">
        <f>+T580</f>
        <v/>
      </c>
      <c r="J580" s="30"/>
      <c r="K580" s="22" t="str">
        <f>IF(I580="","",IF(I580="ENTRADA",ABS(J580),-ABS(J580)))</f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839</v>
      </c>
      <c r="H581" s="20" t="str">
        <f>+T581</f>
        <v/>
      </c>
      <c r="J581" s="30"/>
      <c r="K581" s="22" t="str">
        <f>IF(I581="","",IF(I581="ENTRADA",ABS(J581),-ABS(J581)))</f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840</v>
      </c>
      <c r="H582" s="20" t="str">
        <f>+T582</f>
        <v/>
      </c>
      <c r="J582" s="30"/>
      <c r="K582" s="22" t="str">
        <f>IF(I582="","",IF(I582="ENTRADA",ABS(J582),-ABS(J582)))</f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841</v>
      </c>
      <c r="H583" s="20" t="str">
        <f>+T583</f>
        <v/>
      </c>
      <c r="J583" s="30"/>
      <c r="K583" s="22" t="str">
        <f>IF(I583="","",IF(I583="ENTRADA",ABS(J583),-ABS(J583)))</f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842</v>
      </c>
      <c r="B584" s="35"/>
      <c r="C584" s="35"/>
      <c r="D584" s="35"/>
      <c r="E584" s="35"/>
      <c r="F584" s="35"/>
      <c r="G584" s="35"/>
      <c r="H584" s="20" t="str">
        <f>+T584</f>
        <v/>
      </c>
      <c r="I584" s="35"/>
      <c r="J584" s="37"/>
      <c r="K584" s="22" t="str">
        <f>IF(I584="","",IF(I584="ENTRADA",ABS(J584),-ABS(J584)))</f>
        <v/>
      </c>
      <c r="L584" s="35"/>
      <c r="M584" s="35"/>
      <c r="N584" s="35"/>
      <c r="O584" s="35"/>
      <c r="P584" s="35"/>
      <c r="Q584" s="36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843</v>
      </c>
      <c r="H585" s="20" t="str">
        <f>+T585</f>
        <v/>
      </c>
      <c r="J585" s="30"/>
      <c r="K585" s="22" t="str">
        <f>IF(I585="","",IF(I585="ENTRADA",ABS(J585),-ABS(J585)))</f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844</v>
      </c>
      <c r="H586" s="20" t="str">
        <f>+T586</f>
        <v/>
      </c>
      <c r="J586" s="30"/>
      <c r="K586" s="22" t="str">
        <f>IF(I586="","",IF(I586="ENTRADA",ABS(J586),-ABS(J586)))</f>
        <v/>
      </c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845</v>
      </c>
      <c r="H587" s="20" t="str">
        <f>+T587</f>
        <v/>
      </c>
      <c r="J587" s="30"/>
      <c r="K587" s="22" t="str">
        <f>IF(I587="","",IF(I587="ENTRADA",ABS(J587),-ABS(J587)))</f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846</v>
      </c>
      <c r="H588" s="20" t="str">
        <f>+T588</f>
        <v/>
      </c>
      <c r="J588" s="30"/>
      <c r="K588" s="22" t="str">
        <f>IF(I588="","",IF(I588="ENTRADA",ABS(J588),-ABS(J588)))</f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847</v>
      </c>
      <c r="H589" s="20" t="str">
        <f>+T589</f>
        <v/>
      </c>
      <c r="J589" s="30"/>
      <c r="K589" s="22" t="str">
        <f>IF(I589="","",IF(I589="ENTRADA",ABS(J589),-ABS(J589)))</f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848</v>
      </c>
      <c r="H590" s="20" t="str">
        <f>+T590</f>
        <v/>
      </c>
      <c r="J590" s="30"/>
      <c r="K590" s="22" t="str">
        <f>IF(I590="","",IF(I590="ENTRADA",ABS(J590),-ABS(J590)))</f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849</v>
      </c>
      <c r="H591" s="20" t="str">
        <f>+T591</f>
        <v/>
      </c>
      <c r="J591" s="30"/>
      <c r="K591" s="22" t="str">
        <f>IF(I591="","",IF(I591="ENTRADA",ABS(J591),-ABS(J591)))</f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850</v>
      </c>
      <c r="H592" s="20" t="str">
        <f>+T592</f>
        <v/>
      </c>
      <c r="J592" s="30"/>
      <c r="K592" s="22" t="str">
        <f>IF(I592="","",IF(I592="ENTRADA",ABS(J592),-ABS(J592)))</f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851</v>
      </c>
      <c r="H593" s="20" t="str">
        <f>+T593</f>
        <v/>
      </c>
      <c r="J593" s="30"/>
      <c r="K593" s="22" t="str">
        <f>IF(I593="","",IF(I593="ENTRADA",ABS(J593),-ABS(J593)))</f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852</v>
      </c>
      <c r="H594" s="20" t="str">
        <f>+T594</f>
        <v/>
      </c>
      <c r="J594" s="30"/>
      <c r="K594" s="22" t="str">
        <f>IF(I594="","",IF(I594="ENTRADA",ABS(J594),-ABS(J594)))</f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853</v>
      </c>
      <c r="B595" s="35"/>
      <c r="C595" s="35"/>
      <c r="D595" s="35"/>
      <c r="E595" s="35"/>
      <c r="F595" s="35"/>
      <c r="G595" s="35"/>
      <c r="H595" s="20" t="str">
        <f>+T595</f>
        <v/>
      </c>
      <c r="I595" s="35"/>
      <c r="J595" s="37"/>
      <c r="K595" s="22" t="str">
        <f>IF(I595="","",IF(I595="ENTRADA",ABS(J595),-ABS(J595)))</f>
        <v/>
      </c>
      <c r="L595" s="35"/>
      <c r="M595" s="35"/>
      <c r="N595" s="35"/>
      <c r="O595" s="35"/>
      <c r="P595" s="35"/>
      <c r="Q595" s="36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854</v>
      </c>
      <c r="H596" s="20" t="str">
        <f>+T596</f>
        <v/>
      </c>
      <c r="J596" s="30"/>
      <c r="K596" s="22" t="str">
        <f>IF(I596="","",IF(I596="ENTRADA",ABS(J596),-ABS(J596)))</f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855</v>
      </c>
      <c r="H597" s="20" t="str">
        <f>+T597</f>
        <v/>
      </c>
      <c r="J597" s="30"/>
      <c r="K597" s="22" t="str">
        <f>IF(I597="","",IF(I597="ENTRADA",ABS(J597),-ABS(J597)))</f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856</v>
      </c>
      <c r="H598" s="20" t="str">
        <f>+T598</f>
        <v/>
      </c>
      <c r="J598" s="30"/>
      <c r="K598" s="22" t="str">
        <f>IF(I598="","",IF(I598="ENTRADA",ABS(J598),-ABS(J598)))</f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857</v>
      </c>
      <c r="H599" s="20" t="str">
        <f>+T599</f>
        <v/>
      </c>
      <c r="J599" s="30"/>
      <c r="K599" s="22" t="str">
        <f>IF(I599="","",IF(I599="ENTRADA",ABS(J599),-ABS(J599)))</f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858</v>
      </c>
      <c r="H600" s="20" t="str">
        <f>+T600</f>
        <v/>
      </c>
      <c r="J600" s="30"/>
      <c r="K600" s="22" t="str">
        <f>IF(I600="","",IF(I600="ENTRADA",ABS(J600),-ABS(J600)))</f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859</v>
      </c>
      <c r="H601" s="20" t="str">
        <f>+T601</f>
        <v/>
      </c>
      <c r="J601" s="30"/>
      <c r="K601" s="22" t="str">
        <f>IF(I601="","",IF(I601="ENTRADA",ABS(J601),-ABS(J601)))</f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860</v>
      </c>
      <c r="H602" s="20" t="str">
        <f>+T602</f>
        <v/>
      </c>
      <c r="J602" s="30"/>
      <c r="K602" s="22" t="str">
        <f>IF(I602="","",IF(I602="ENTRADA",ABS(J602),-ABS(J602)))</f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861</v>
      </c>
      <c r="H603" s="20" t="str">
        <f>+T603</f>
        <v/>
      </c>
      <c r="J603" s="30"/>
      <c r="K603" s="22" t="str">
        <f>IF(I603="","",IF(I603="ENTRADA",ABS(J603),-ABS(J603)))</f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862</v>
      </c>
      <c r="H604" s="20" t="str">
        <f>+T604</f>
        <v/>
      </c>
      <c r="J604" s="30"/>
      <c r="K604" s="22" t="str">
        <f>IF(I604="","",IF(I604="ENTRADA",ABS(J604),-ABS(J604)))</f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863</v>
      </c>
      <c r="H605" s="20" t="str">
        <f>+T605</f>
        <v/>
      </c>
      <c r="J605" s="30"/>
      <c r="K605" s="22" t="str">
        <f>IF(I605="","",IF(I605="ENTRADA",ABS(J605),-ABS(J605)))</f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864</v>
      </c>
      <c r="B606" s="35"/>
      <c r="C606" s="35"/>
      <c r="D606" s="35"/>
      <c r="E606" s="35"/>
      <c r="F606" s="35"/>
      <c r="G606" s="35"/>
      <c r="H606" s="20" t="str">
        <f>+T606</f>
        <v/>
      </c>
      <c r="I606" s="35"/>
      <c r="J606" s="37"/>
      <c r="K606" s="22" t="str">
        <f>IF(I606="","",IF(I606="ENTRADA",ABS(J606),-ABS(J606)))</f>
        <v/>
      </c>
      <c r="L606" s="35"/>
      <c r="M606" s="35"/>
      <c r="N606" s="35"/>
      <c r="O606" s="35"/>
      <c r="P606" s="35"/>
      <c r="Q606" s="36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865</v>
      </c>
      <c r="H607" s="20" t="str">
        <f>+T607</f>
        <v/>
      </c>
      <c r="J607" s="30"/>
      <c r="K607" s="22" t="str">
        <f>IF(I607="","",IF(I607="ENTRADA",ABS(J607),-ABS(J607)))</f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866</v>
      </c>
      <c r="H608" s="20" t="str">
        <f>+T608</f>
        <v/>
      </c>
      <c r="J608" s="30"/>
      <c r="K608" s="22" t="str">
        <f>IF(I608="","",IF(I608="ENTRADA",ABS(J608),-ABS(J608)))</f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867</v>
      </c>
      <c r="H609" s="20" t="str">
        <f>+T609</f>
        <v/>
      </c>
      <c r="J609" s="30"/>
      <c r="K609" s="22" t="str">
        <f>IF(I609="","",IF(I609="ENTRADA",ABS(J609),-ABS(J609)))</f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868</v>
      </c>
      <c r="H610" s="20" t="str">
        <f>+T610</f>
        <v/>
      </c>
      <c r="J610" s="30"/>
      <c r="K610" s="22" t="str">
        <f>IF(I610="","",IF(I610="ENTRADA",ABS(J610),-ABS(J610)))</f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869</v>
      </c>
      <c r="H611" s="20" t="str">
        <f>+T611</f>
        <v/>
      </c>
      <c r="J611" s="30"/>
      <c r="K611" s="22" t="str">
        <f>IF(I611="","",IF(I611="ENTRADA",ABS(J611),-ABS(J611)))</f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870</v>
      </c>
      <c r="H612" s="20" t="str">
        <f>+T612</f>
        <v/>
      </c>
      <c r="J612" s="30"/>
      <c r="K612" s="22" t="str">
        <f>IF(I612="","",IF(I612="ENTRADA",ABS(J612),-ABS(J612)))</f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871</v>
      </c>
      <c r="H613" s="20" t="str">
        <f>+T613</f>
        <v/>
      </c>
      <c r="J613" s="30"/>
      <c r="K613" s="22" t="str">
        <f>IF(I613="","",IF(I613="ENTRADA",ABS(J613),-ABS(J613)))</f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872</v>
      </c>
      <c r="H614" s="20" t="str">
        <f>+T614</f>
        <v/>
      </c>
      <c r="J614" s="30"/>
      <c r="K614" s="22" t="str">
        <f>IF(I614="","",IF(I614="ENTRADA",ABS(J614),-ABS(J614)))</f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873</v>
      </c>
      <c r="H615" s="20" t="str">
        <f>+T615</f>
        <v/>
      </c>
      <c r="J615" s="30"/>
      <c r="K615" s="22" t="str">
        <f>IF(I615="","",IF(I615="ENTRADA",ABS(J615),-ABS(J615)))</f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874</v>
      </c>
      <c r="H616" s="20" t="str">
        <f>+T616</f>
        <v/>
      </c>
      <c r="J616" s="30"/>
      <c r="K616" s="22" t="str">
        <f>IF(I616="","",IF(I616="ENTRADA",ABS(J616),-ABS(J616)))</f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875</v>
      </c>
      <c r="B617" s="35"/>
      <c r="C617" s="35"/>
      <c r="D617" s="35"/>
      <c r="E617" s="35"/>
      <c r="F617" s="35"/>
      <c r="G617" s="35"/>
      <c r="H617" s="20" t="str">
        <f>+T617</f>
        <v/>
      </c>
      <c r="I617" s="35"/>
      <c r="J617" s="37"/>
      <c r="K617" s="22" t="str">
        <f>IF(I617="","",IF(I617="ENTRADA",ABS(J617),-ABS(J617)))</f>
        <v/>
      </c>
      <c r="L617" s="35"/>
      <c r="M617" s="35"/>
      <c r="N617" s="35"/>
      <c r="O617" s="35"/>
      <c r="P617" s="35"/>
      <c r="Q617" s="36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876</v>
      </c>
      <c r="H618" s="20" t="str">
        <f>+T618</f>
        <v/>
      </c>
      <c r="J618" s="30"/>
      <c r="K618" s="22" t="str">
        <f>IF(I618="","",IF(I618="ENTRADA",ABS(J618),-ABS(J618)))</f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877</v>
      </c>
      <c r="H619" s="20" t="str">
        <f>+T619</f>
        <v/>
      </c>
      <c r="J619" s="30"/>
      <c r="K619" s="22" t="str">
        <f>IF(I619="","",IF(I619="ENTRADA",ABS(J619),-ABS(J619)))</f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878</v>
      </c>
      <c r="H620" s="20" t="str">
        <f>+T620</f>
        <v/>
      </c>
      <c r="J620" s="30"/>
      <c r="K620" s="22" t="str">
        <f>IF(I620="","",IF(I620="ENTRADA",ABS(J620),-ABS(J620)))</f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879</v>
      </c>
      <c r="H621" s="20" t="str">
        <f>+T621</f>
        <v/>
      </c>
      <c r="J621" s="30"/>
      <c r="K621" s="22" t="str">
        <f>IF(I621="","",IF(I621="ENTRADA",ABS(J621),-ABS(J621)))</f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880</v>
      </c>
      <c r="H622" s="20" t="str">
        <f>+T622</f>
        <v/>
      </c>
      <c r="J622" s="30"/>
      <c r="K622" s="22" t="str">
        <f>IF(I622="","",IF(I622="ENTRADA",ABS(J622),-ABS(J622)))</f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881</v>
      </c>
      <c r="H623" s="20" t="str">
        <f>+T623</f>
        <v/>
      </c>
      <c r="J623" s="30"/>
      <c r="K623" s="22" t="str">
        <f>IF(I623="","",IF(I623="ENTRADA",ABS(J623),-ABS(J623)))</f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882</v>
      </c>
      <c r="H624" s="20" t="str">
        <f>+T624</f>
        <v/>
      </c>
      <c r="J624" s="30"/>
      <c r="K624" s="22" t="str">
        <f>IF(I624="","",IF(I624="ENTRADA",ABS(J624),-ABS(J624)))</f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883</v>
      </c>
      <c r="H625" s="20" t="str">
        <f>+T625</f>
        <v/>
      </c>
      <c r="J625" s="30"/>
      <c r="K625" s="22" t="str">
        <f>IF(I625="","",IF(I625="ENTRADA",ABS(J625),-ABS(J625)))</f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884</v>
      </c>
      <c r="H626" s="20" t="str">
        <f>+T626</f>
        <v/>
      </c>
      <c r="J626" s="30"/>
      <c r="K626" s="22" t="str">
        <f>IF(I626="","",IF(I626="ENTRADA",ABS(J626),-ABS(J626)))</f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885</v>
      </c>
      <c r="H627" s="20" t="str">
        <f>+T627</f>
        <v/>
      </c>
      <c r="J627" s="30"/>
      <c r="K627" s="22" t="str">
        <f>IF(I627="","",IF(I627="ENTRADA",ABS(J627),-ABS(J627)))</f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886</v>
      </c>
      <c r="B628" s="35"/>
      <c r="C628" s="35"/>
      <c r="D628" s="35"/>
      <c r="E628" s="35"/>
      <c r="F628" s="35"/>
      <c r="G628" s="35"/>
      <c r="H628" s="20" t="str">
        <f>+T628</f>
        <v/>
      </c>
      <c r="I628" s="35"/>
      <c r="J628" s="37"/>
      <c r="K628" s="22" t="str">
        <f>IF(I628="","",IF(I628="ENTRADA",ABS(J628),-ABS(J628)))</f>
        <v/>
      </c>
      <c r="L628" s="35"/>
      <c r="M628" s="35"/>
      <c r="N628" s="35"/>
      <c r="O628" s="35"/>
      <c r="P628" s="35"/>
      <c r="Q628" s="36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887</v>
      </c>
      <c r="H629" s="20" t="str">
        <f>+T629</f>
        <v/>
      </c>
      <c r="J629" s="30"/>
      <c r="K629" s="22" t="str">
        <f>IF(I629="","",IF(I629="ENTRADA",ABS(J629),-ABS(J629)))</f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888</v>
      </c>
      <c r="H630" s="20" t="str">
        <f>+T630</f>
        <v/>
      </c>
      <c r="J630" s="30"/>
      <c r="K630" s="22" t="str">
        <f>IF(I630="","",IF(I630="ENTRADA",ABS(J630),-ABS(J630)))</f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889</v>
      </c>
      <c r="H631" s="20" t="str">
        <f>+T631</f>
        <v/>
      </c>
      <c r="J631" s="30"/>
      <c r="K631" s="22" t="str">
        <f>IF(I631="","",IF(I631="ENTRADA",ABS(J631),-ABS(J631)))</f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890</v>
      </c>
      <c r="H632" s="20" t="str">
        <f>+T632</f>
        <v/>
      </c>
      <c r="J632" s="30"/>
      <c r="K632" s="22" t="str">
        <f>IF(I632="","",IF(I632="ENTRADA",ABS(J632),-ABS(J632)))</f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891</v>
      </c>
      <c r="H633" s="20" t="str">
        <f>+T633</f>
        <v/>
      </c>
      <c r="J633" s="30"/>
      <c r="K633" s="22" t="str">
        <f>IF(I633="","",IF(I633="ENTRADA",ABS(J633),-ABS(J633)))</f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892</v>
      </c>
      <c r="H634" s="20" t="str">
        <f>+T634</f>
        <v/>
      </c>
      <c r="J634" s="30"/>
      <c r="K634" s="22" t="str">
        <f>IF(I634="","",IF(I634="ENTRADA",ABS(J634),-ABS(J634)))</f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893</v>
      </c>
      <c r="H635" s="20" t="str">
        <f>+T635</f>
        <v/>
      </c>
      <c r="J635" s="30"/>
      <c r="K635" s="22" t="str">
        <f>IF(I635="","",IF(I635="ENTRADA",ABS(J635),-ABS(J635)))</f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894</v>
      </c>
      <c r="H636" s="20" t="str">
        <f>+T636</f>
        <v/>
      </c>
      <c r="J636" s="30"/>
      <c r="K636" s="22" t="str">
        <f>IF(I636="","",IF(I636="ENTRADA",ABS(J636),-ABS(J636)))</f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895</v>
      </c>
      <c r="H637" s="20" t="str">
        <f>+T637</f>
        <v/>
      </c>
      <c r="J637" s="30"/>
      <c r="K637" s="22" t="str">
        <f>IF(I637="","",IF(I637="ENTRADA",ABS(J637),-ABS(J637)))</f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896</v>
      </c>
      <c r="H638" s="20" t="str">
        <f>+T638</f>
        <v/>
      </c>
      <c r="J638" s="30"/>
      <c r="K638" s="22" t="str">
        <f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897</v>
      </c>
      <c r="B639" s="35"/>
      <c r="C639" s="35"/>
      <c r="D639" s="35"/>
      <c r="E639" s="35"/>
      <c r="F639" s="35"/>
      <c r="G639" s="35"/>
      <c r="H639" s="20" t="str">
        <f>+T639</f>
        <v/>
      </c>
      <c r="I639" s="35"/>
      <c r="J639" s="37"/>
      <c r="K639" s="22" t="str">
        <f>IF(I639="","",IF(I639="ENTRADA",ABS(J639),-ABS(J639)))</f>
        <v/>
      </c>
      <c r="L639" s="35"/>
      <c r="M639" s="35"/>
      <c r="N639" s="35"/>
      <c r="O639" s="35"/>
      <c r="P639" s="35"/>
      <c r="Q639" s="36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898</v>
      </c>
      <c r="H640" s="20" t="str">
        <f>+T640</f>
        <v/>
      </c>
      <c r="J640" s="30"/>
      <c r="K640" s="22" t="str">
        <f>IF(I640="","",IF(I640="ENTRADA",ABS(J640),-ABS(J640)))</f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899</v>
      </c>
      <c r="H641" s="20" t="str">
        <f>+T641</f>
        <v/>
      </c>
      <c r="J641" s="30"/>
      <c r="K641" s="22" t="str">
        <f>IF(I641="","",IF(I641="ENTRADA",ABS(J641),-ABS(J641)))</f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900</v>
      </c>
      <c r="H642" s="20" t="str">
        <f>+T642</f>
        <v/>
      </c>
      <c r="J642" s="30"/>
      <c r="K642" s="22" t="str">
        <f>IF(I642="","",IF(I642="ENTRADA",ABS(J642),-ABS(J642)))</f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901</v>
      </c>
      <c r="H643" s="20" t="str">
        <f>+T643</f>
        <v/>
      </c>
      <c r="J643" s="30"/>
      <c r="K643" s="22" t="str">
        <f>IF(I643="","",IF(I643="ENTRADA",ABS(J643),-ABS(J643)))</f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902</v>
      </c>
      <c r="H644" s="20" t="str">
        <f>+T644</f>
        <v/>
      </c>
      <c r="J644" s="30"/>
      <c r="K644" s="22" t="str">
        <f>IF(I644="","",IF(I644="ENTRADA",ABS(J644),-ABS(J644)))</f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903</v>
      </c>
      <c r="H645" s="20" t="str">
        <f>+T645</f>
        <v/>
      </c>
      <c r="J645" s="30"/>
      <c r="K645" s="22" t="str">
        <f>IF(I645="","",IF(I645="ENTRADA",ABS(J645),-ABS(J645)))</f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904</v>
      </c>
      <c r="H646" s="20" t="str">
        <f>+T646</f>
        <v/>
      </c>
      <c r="J646" s="30"/>
      <c r="K646" s="22" t="str">
        <f>IF(I646="","",IF(I646="ENTRADA",ABS(J646),-ABS(J646)))</f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905</v>
      </c>
      <c r="H647" s="20" t="str">
        <f>+T647</f>
        <v/>
      </c>
      <c r="J647" s="30"/>
      <c r="K647" s="22" t="str">
        <f>IF(I647="","",IF(I647="ENTRADA",ABS(J647),-ABS(J647)))</f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906</v>
      </c>
      <c r="H648" s="20" t="str">
        <f>+T648</f>
        <v/>
      </c>
      <c r="J648" s="30"/>
      <c r="K648" s="22" t="str">
        <f>IF(I648="","",IF(I648="ENTRADA",ABS(J648),-ABS(J648)))</f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907</v>
      </c>
      <c r="H649" s="20" t="str">
        <f>+T649</f>
        <v/>
      </c>
      <c r="J649" s="30"/>
      <c r="K649" s="22" t="str">
        <f>IF(I649="","",IF(I649="ENTRADA",ABS(J649),-ABS(J649)))</f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908</v>
      </c>
      <c r="B650" s="35"/>
      <c r="C650" s="35"/>
      <c r="D650" s="35"/>
      <c r="E650" s="35"/>
      <c r="F650" s="35"/>
      <c r="G650" s="35"/>
      <c r="H650" s="20" t="str">
        <f>+T650</f>
        <v/>
      </c>
      <c r="I650" s="35"/>
      <c r="J650" s="37"/>
      <c r="K650" s="22" t="str">
        <f>IF(I650="","",IF(I650="ENTRADA",ABS(J650),-ABS(J650)))</f>
        <v/>
      </c>
      <c r="L650" s="35"/>
      <c r="M650" s="35"/>
      <c r="N650" s="35"/>
      <c r="O650" s="35"/>
      <c r="P650" s="35"/>
      <c r="Q650" s="36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909</v>
      </c>
      <c r="H651" s="20" t="str">
        <f>+T651</f>
        <v/>
      </c>
      <c r="J651" s="30"/>
      <c r="K651" s="22" t="str">
        <f>IF(I651="","",IF(I651="ENTRADA",ABS(J651),-ABS(J651)))</f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910</v>
      </c>
      <c r="H652" s="20" t="str">
        <f>+T652</f>
        <v/>
      </c>
      <c r="J652" s="30"/>
      <c r="K652" s="22" t="str">
        <f>IF(I652="","",IF(I652="ENTRADA",ABS(J652),-ABS(J652)))</f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911</v>
      </c>
      <c r="H653" s="20" t="str">
        <f>+T653</f>
        <v/>
      </c>
      <c r="J653" s="30"/>
      <c r="K653" s="22" t="str">
        <f>IF(I653="","",IF(I653="ENTRADA",ABS(J653),-ABS(J653)))</f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912</v>
      </c>
      <c r="H654" s="20" t="str">
        <f>+T654</f>
        <v/>
      </c>
      <c r="J654" s="30"/>
      <c r="K654" s="22" t="str">
        <f>IF(I654="","",IF(I654="ENTRADA",ABS(J654),-ABS(J654)))</f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913</v>
      </c>
      <c r="H655" s="20" t="str">
        <f>+T655</f>
        <v/>
      </c>
      <c r="J655" s="30"/>
      <c r="K655" s="22" t="str">
        <f>IF(I655="","",IF(I655="ENTRADA",ABS(J655),-ABS(J655)))</f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914</v>
      </c>
      <c r="H656" s="20" t="str">
        <f>+T656</f>
        <v/>
      </c>
      <c r="J656" s="30"/>
      <c r="K656" s="22" t="str">
        <f>IF(I656="","",IF(I656="ENTRADA",ABS(J656),-ABS(J656)))</f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915</v>
      </c>
      <c r="H657" s="20" t="str">
        <f>+T657</f>
        <v/>
      </c>
      <c r="J657" s="30"/>
      <c r="K657" s="22" t="str">
        <f>IF(I657="","",IF(I657="ENTRADA",ABS(J657),-ABS(J657)))</f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916</v>
      </c>
      <c r="H658" s="20" t="str">
        <f>+T658</f>
        <v/>
      </c>
      <c r="J658" s="30"/>
      <c r="K658" s="22" t="str">
        <f>IF(I658="","",IF(I658="ENTRADA",ABS(J658),-ABS(J658)))</f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917</v>
      </c>
      <c r="H659" s="20" t="str">
        <f>+T659</f>
        <v/>
      </c>
      <c r="J659" s="30"/>
      <c r="K659" s="22" t="str">
        <f>IF(I659="","",IF(I659="ENTRADA",ABS(J659),-ABS(J659)))</f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918</v>
      </c>
      <c r="H660" s="20" t="str">
        <f>+T660</f>
        <v/>
      </c>
      <c r="J660" s="30"/>
      <c r="K660" s="22" t="str">
        <f>IF(I660="","",IF(I660="ENTRADA",ABS(J660),-ABS(J660)))</f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919</v>
      </c>
      <c r="B661" s="35"/>
      <c r="C661" s="35"/>
      <c r="D661" s="35"/>
      <c r="E661" s="35"/>
      <c r="F661" s="35"/>
      <c r="G661" s="35"/>
      <c r="H661" s="20" t="str">
        <f>+T661</f>
        <v/>
      </c>
      <c r="I661" s="35"/>
      <c r="J661" s="37"/>
      <c r="K661" s="22" t="str">
        <f>IF(I661="","",IF(I661="ENTRADA",ABS(J661),-ABS(J661)))</f>
        <v/>
      </c>
      <c r="L661" s="35"/>
      <c r="M661" s="35"/>
      <c r="N661" s="35"/>
      <c r="O661" s="35"/>
      <c r="P661" s="35"/>
      <c r="Q661" s="36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920</v>
      </c>
      <c r="H662" s="20" t="str">
        <f>+T662</f>
        <v/>
      </c>
      <c r="J662" s="30"/>
      <c r="K662" s="22" t="str">
        <f>IF(I662="","",IF(I662="ENTRADA",ABS(J662),-ABS(J662)))</f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921</v>
      </c>
      <c r="H663" s="20" t="str">
        <f>+T663</f>
        <v/>
      </c>
      <c r="J663" s="30"/>
      <c r="K663" s="22" t="str">
        <f>IF(I663="","",IF(I663="ENTRADA",ABS(J663),-ABS(J663)))</f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922</v>
      </c>
      <c r="H664" s="20" t="str">
        <f>+T664</f>
        <v/>
      </c>
      <c r="J664" s="30"/>
      <c r="K664" s="22" t="str">
        <f>IF(I664="","",IF(I664="ENTRADA",ABS(J664),-ABS(J664)))</f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923</v>
      </c>
      <c r="H665" s="20" t="str">
        <f>+T665</f>
        <v/>
      </c>
      <c r="J665" s="30"/>
      <c r="K665" s="22" t="str">
        <f>IF(I665="","",IF(I665="ENTRADA",ABS(J665),-ABS(J665)))</f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924</v>
      </c>
      <c r="H666" s="20" t="str">
        <f>+T666</f>
        <v/>
      </c>
      <c r="J666" s="30"/>
      <c r="K666" s="22" t="str">
        <f>IF(I666="","",IF(I666="ENTRADA",ABS(J666),-ABS(J666)))</f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925</v>
      </c>
      <c r="H667" s="20" t="str">
        <f>+T667</f>
        <v/>
      </c>
      <c r="J667" s="30"/>
      <c r="K667" s="22" t="str">
        <f>IF(I667="","",IF(I667="ENTRADA",ABS(J667),-ABS(J667)))</f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926</v>
      </c>
      <c r="H668" s="20" t="str">
        <f>+T668</f>
        <v/>
      </c>
      <c r="J668" s="30"/>
      <c r="K668" s="22" t="str">
        <f>IF(I668="","",IF(I668="ENTRADA",ABS(J668),-ABS(J668)))</f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927</v>
      </c>
      <c r="H669" s="20" t="str">
        <f>+T669</f>
        <v/>
      </c>
      <c r="J669" s="30"/>
      <c r="K669" s="22" t="str">
        <f>IF(I669="","",IF(I669="ENTRADA",ABS(J669),-ABS(J669)))</f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928</v>
      </c>
      <c r="H670" s="20" t="str">
        <f>+T670</f>
        <v/>
      </c>
      <c r="J670" s="30"/>
      <c r="K670" s="22" t="str">
        <f>IF(I670="","",IF(I670="ENTRADA",ABS(J670),-ABS(J670)))</f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929</v>
      </c>
      <c r="H671" s="20" t="str">
        <f>+T671</f>
        <v/>
      </c>
      <c r="J671" s="30"/>
      <c r="K671" s="22" t="str">
        <f>IF(I671="","",IF(I671="ENTRADA",ABS(J671),-ABS(J671)))</f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930</v>
      </c>
      <c r="B672" s="35"/>
      <c r="C672" s="35"/>
      <c r="D672" s="35"/>
      <c r="E672" s="35"/>
      <c r="F672" s="35"/>
      <c r="G672" s="35"/>
      <c r="H672" s="20" t="str">
        <f>+T672</f>
        <v/>
      </c>
      <c r="I672" s="35"/>
      <c r="J672" s="37"/>
      <c r="K672" s="22" t="str">
        <f>IF(I672="","",IF(I672="ENTRADA",ABS(J672),-ABS(J672)))</f>
        <v/>
      </c>
      <c r="L672" s="35"/>
      <c r="M672" s="35"/>
      <c r="N672" s="35"/>
      <c r="O672" s="35"/>
      <c r="P672" s="35"/>
      <c r="Q672" s="36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931</v>
      </c>
      <c r="H673" s="20" t="str">
        <f>+T673</f>
        <v/>
      </c>
      <c r="J673" s="30"/>
      <c r="K673" s="22" t="str">
        <f>IF(I673="","",IF(I673="ENTRADA",ABS(J673),-ABS(J673)))</f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932</v>
      </c>
      <c r="H674" s="20" t="str">
        <f>+T674</f>
        <v/>
      </c>
      <c r="J674" s="30"/>
      <c r="K674" s="22" t="str">
        <f>IF(I674="","",IF(I674="ENTRADA",ABS(J674),-ABS(J674)))</f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933</v>
      </c>
      <c r="H675" s="20" t="str">
        <f>+T675</f>
        <v/>
      </c>
      <c r="J675" s="30"/>
      <c r="K675" s="22" t="str">
        <f>IF(I675="","",IF(I675="ENTRADA",ABS(J675),-ABS(J675)))</f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934</v>
      </c>
      <c r="H676" s="20" t="str">
        <f>+T676</f>
        <v/>
      </c>
      <c r="J676" s="30"/>
      <c r="K676" s="22" t="str">
        <f>IF(I676="","",IF(I676="ENTRADA",ABS(J676),-ABS(J676)))</f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935</v>
      </c>
      <c r="H677" s="20" t="str">
        <f>+T677</f>
        <v/>
      </c>
      <c r="J677" s="30"/>
      <c r="K677" s="22" t="str">
        <f>IF(I677="","",IF(I677="ENTRADA",ABS(J677),-ABS(J677)))</f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936</v>
      </c>
      <c r="H678" s="20" t="str">
        <f>+T678</f>
        <v/>
      </c>
      <c r="J678" s="30"/>
      <c r="K678" s="22" t="str">
        <f>IF(I678="","",IF(I678="ENTRADA",ABS(J678),-ABS(J678)))</f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937</v>
      </c>
      <c r="H679" s="20" t="str">
        <f>+T679</f>
        <v/>
      </c>
      <c r="J679" s="30"/>
      <c r="K679" s="22" t="str">
        <f>IF(I679="","",IF(I679="ENTRADA",ABS(J679),-ABS(J679)))</f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938</v>
      </c>
      <c r="H680" s="20" t="str">
        <f>+T680</f>
        <v/>
      </c>
      <c r="J680" s="30"/>
      <c r="K680" s="22" t="str">
        <f>IF(I680="","",IF(I680="ENTRADA",ABS(J680),-ABS(J680)))</f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939</v>
      </c>
      <c r="H681" s="20" t="str">
        <f>+T681</f>
        <v/>
      </c>
      <c r="J681" s="30"/>
      <c r="K681" s="22" t="str">
        <f>IF(I681="","",IF(I681="ENTRADA",ABS(J681),-ABS(J681)))</f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940</v>
      </c>
      <c r="H682" s="20" t="str">
        <f>+T682</f>
        <v/>
      </c>
      <c r="J682" s="30"/>
      <c r="K682" s="22" t="str">
        <f>IF(I682="","",IF(I682="ENTRADA",ABS(J682),-ABS(J682)))</f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941</v>
      </c>
      <c r="B683" s="35"/>
      <c r="C683" s="35"/>
      <c r="D683" s="35"/>
      <c r="E683" s="35"/>
      <c r="F683" s="35"/>
      <c r="G683" s="35"/>
      <c r="H683" s="20" t="str">
        <f>+T683</f>
        <v/>
      </c>
      <c r="I683" s="35"/>
      <c r="J683" s="37"/>
      <c r="K683" s="22" t="str">
        <f>IF(I683="","",IF(I683="ENTRADA",ABS(J683),-ABS(J683)))</f>
        <v/>
      </c>
      <c r="L683" s="35"/>
      <c r="M683" s="35"/>
      <c r="N683" s="35"/>
      <c r="O683" s="35"/>
      <c r="P683" s="35"/>
      <c r="Q683" s="36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942</v>
      </c>
      <c r="H684" s="20" t="str">
        <f>+T684</f>
        <v/>
      </c>
      <c r="J684" s="30"/>
      <c r="K684" s="22" t="str">
        <f>IF(I684="","",IF(I684="ENTRADA",ABS(J684),-ABS(J684)))</f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943</v>
      </c>
      <c r="H685" s="20" t="str">
        <f>+T685</f>
        <v/>
      </c>
      <c r="J685" s="30"/>
      <c r="K685" s="22" t="str">
        <f>IF(I685="","",IF(I685="ENTRADA",ABS(J685),-ABS(J685)))</f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944</v>
      </c>
      <c r="H686" s="20" t="str">
        <f>+T686</f>
        <v/>
      </c>
      <c r="J686" s="30"/>
      <c r="K686" s="22" t="str">
        <f>IF(I686="","",IF(I686="ENTRADA",ABS(J686),-ABS(J686)))</f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945</v>
      </c>
      <c r="H687" s="20" t="str">
        <f>+T687</f>
        <v/>
      </c>
      <c r="J687" s="30"/>
      <c r="K687" s="22" t="str">
        <f>IF(I687="","",IF(I687="ENTRADA",ABS(J687),-ABS(J687)))</f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946</v>
      </c>
      <c r="H688" s="20" t="str">
        <f>+T688</f>
        <v/>
      </c>
      <c r="J688" s="30"/>
      <c r="K688" s="22" t="str">
        <f>IF(I688="","",IF(I688="ENTRADA",ABS(J688),-ABS(J688)))</f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947</v>
      </c>
      <c r="H689" s="20" t="str">
        <f>+T689</f>
        <v/>
      </c>
      <c r="J689" s="30"/>
      <c r="K689" s="22" t="str">
        <f>IF(I689="","",IF(I689="ENTRADA",ABS(J689),-ABS(J689)))</f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948</v>
      </c>
      <c r="H690" s="20" t="str">
        <f>+T690</f>
        <v/>
      </c>
      <c r="J690" s="30"/>
      <c r="K690" s="22" t="str">
        <f>IF(I690="","",IF(I690="ENTRADA",ABS(J690),-ABS(J690)))</f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949</v>
      </c>
      <c r="H691" s="20" t="str">
        <f>+T691</f>
        <v/>
      </c>
      <c r="J691" s="30"/>
      <c r="K691" s="22" t="str">
        <f>IF(I691="","",IF(I691="ENTRADA",ABS(J691),-ABS(J691)))</f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950</v>
      </c>
      <c r="H692" s="20" t="str">
        <f>+T692</f>
        <v/>
      </c>
      <c r="J692" s="30"/>
      <c r="K692" s="22" t="str">
        <f>IF(I692="","",IF(I692="ENTRADA",ABS(J692),-ABS(J692)))</f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951</v>
      </c>
      <c r="H693" s="20" t="str">
        <f>+T693</f>
        <v/>
      </c>
      <c r="J693" s="30"/>
      <c r="K693" s="22" t="str">
        <f>IF(I693="","",IF(I693="ENTRADA",ABS(J693),-ABS(J693)))</f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952</v>
      </c>
      <c r="B694" s="35"/>
      <c r="C694" s="35"/>
      <c r="D694" s="35"/>
      <c r="E694" s="35"/>
      <c r="F694" s="35"/>
      <c r="G694" s="35"/>
      <c r="H694" s="20" t="str">
        <f>+T694</f>
        <v/>
      </c>
      <c r="I694" s="35"/>
      <c r="J694" s="37"/>
      <c r="K694" s="22" t="str">
        <f>IF(I694="","",IF(I694="ENTRADA",ABS(J694),-ABS(J694)))</f>
        <v/>
      </c>
      <c r="L694" s="35"/>
      <c r="M694" s="35"/>
      <c r="N694" s="35"/>
      <c r="O694" s="35"/>
      <c r="P694" s="35"/>
      <c r="Q694" s="36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953</v>
      </c>
      <c r="H695" s="20" t="str">
        <f>+T695</f>
        <v/>
      </c>
      <c r="J695" s="30"/>
      <c r="K695" s="22" t="str">
        <f>IF(I695="","",IF(I695="ENTRADA",ABS(J695),-ABS(J695)))</f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954</v>
      </c>
      <c r="H696" s="20" t="str">
        <f>+T696</f>
        <v/>
      </c>
      <c r="J696" s="30"/>
      <c r="K696" s="22" t="str">
        <f>IF(I696="","",IF(I696="ENTRADA",ABS(J696),-ABS(J696)))</f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955</v>
      </c>
      <c r="H697" s="20" t="str">
        <f>+T697</f>
        <v/>
      </c>
      <c r="J697" s="30"/>
      <c r="K697" s="22" t="str">
        <f>IF(I697="","",IF(I697="ENTRADA",ABS(J697),-ABS(J697)))</f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956</v>
      </c>
      <c r="H698" s="20" t="str">
        <f>+T698</f>
        <v/>
      </c>
      <c r="J698" s="30"/>
      <c r="K698" s="22" t="str">
        <f>IF(I698="","",IF(I698="ENTRADA",ABS(J698),-ABS(J698)))</f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957</v>
      </c>
      <c r="H699" s="20" t="str">
        <f>+T699</f>
        <v/>
      </c>
      <c r="J699" s="30"/>
      <c r="K699" s="22" t="str">
        <f>IF(I699="","",IF(I699="ENTRADA",ABS(J699),-ABS(J699)))</f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958</v>
      </c>
      <c r="H700" s="20" t="str">
        <f>+T700</f>
        <v/>
      </c>
      <c r="J700" s="30"/>
      <c r="K700" s="22" t="str">
        <f>IF(I700="","",IF(I700="ENTRADA",ABS(J700),-ABS(J700)))</f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959</v>
      </c>
      <c r="H701" s="20" t="str">
        <f>+T701</f>
        <v/>
      </c>
      <c r="J701" s="30"/>
      <c r="K701" s="22" t="str">
        <f>IF(I701="","",IF(I701="ENTRADA",ABS(J701),-ABS(J701)))</f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960</v>
      </c>
      <c r="H702" s="20" t="str">
        <f>+T702</f>
        <v/>
      </c>
      <c r="J702" s="30"/>
      <c r="K702" s="22" t="str">
        <f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961</v>
      </c>
      <c r="H703" s="20" t="str">
        <f>+T703</f>
        <v/>
      </c>
      <c r="J703" s="30"/>
      <c r="K703" s="22" t="str">
        <f>IF(I703="","",IF(I703="ENTRADA",ABS(J703),-ABS(J703)))</f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962</v>
      </c>
      <c r="H704" s="20" t="str">
        <f>+T704</f>
        <v/>
      </c>
      <c r="J704" s="30"/>
      <c r="K704" s="22" t="str">
        <f>IF(I704="","",IF(I704="ENTRADA",ABS(J704),-ABS(J704)))</f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963</v>
      </c>
      <c r="B705" s="35"/>
      <c r="C705" s="35"/>
      <c r="D705" s="35"/>
      <c r="E705" s="35"/>
      <c r="F705" s="35"/>
      <c r="G705" s="35"/>
      <c r="H705" s="20" t="str">
        <f>+T705</f>
        <v/>
      </c>
      <c r="I705" s="35"/>
      <c r="J705" s="37"/>
      <c r="K705" s="22" t="str">
        <f>IF(I705="","",IF(I705="ENTRADA",ABS(J705),-ABS(J705)))</f>
        <v/>
      </c>
      <c r="L705" s="35"/>
      <c r="M705" s="35"/>
      <c r="N705" s="35"/>
      <c r="O705" s="35"/>
      <c r="P705" s="35"/>
      <c r="Q705" s="36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964</v>
      </c>
      <c r="H706" s="20" t="str">
        <f>+T706</f>
        <v/>
      </c>
      <c r="J706" s="30"/>
      <c r="K706" s="22" t="str">
        <f>IF(I706="","",IF(I706="ENTRADA",ABS(J706),-ABS(J706)))</f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965</v>
      </c>
      <c r="H707" s="20" t="str">
        <f>+T707</f>
        <v/>
      </c>
      <c r="J707" s="30"/>
      <c r="K707" s="22" t="str">
        <f>IF(I707="","",IF(I707="ENTRADA",ABS(J707),-ABS(J707)))</f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966</v>
      </c>
      <c r="H708" s="20" t="str">
        <f>+T708</f>
        <v/>
      </c>
      <c r="J708" s="30"/>
      <c r="K708" s="22" t="str">
        <f>IF(I708="","",IF(I708="ENTRADA",ABS(J708),-ABS(J708)))</f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967</v>
      </c>
      <c r="H709" s="20" t="str">
        <f>+T709</f>
        <v/>
      </c>
      <c r="J709" s="30"/>
      <c r="K709" s="22" t="str">
        <f>IF(I709="","",IF(I709="ENTRADA",ABS(J709),-ABS(J709)))</f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968</v>
      </c>
      <c r="H710" s="20" t="str">
        <f>+T710</f>
        <v/>
      </c>
      <c r="J710" s="30"/>
      <c r="K710" s="22" t="str">
        <f>IF(I710="","",IF(I710="ENTRADA",ABS(J710),-ABS(J710)))</f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969</v>
      </c>
      <c r="H711" s="20" t="str">
        <f>+T711</f>
        <v/>
      </c>
      <c r="J711" s="30"/>
      <c r="K711" s="22" t="str">
        <f>IF(I711="","",IF(I711="ENTRADA",ABS(J711),-ABS(J711)))</f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970</v>
      </c>
      <c r="H712" s="20" t="str">
        <f>+T712</f>
        <v/>
      </c>
      <c r="J712" s="30"/>
      <c r="K712" s="22" t="str">
        <f>IF(I712="","",IF(I712="ENTRADA",ABS(J712),-ABS(J712)))</f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971</v>
      </c>
      <c r="H713" s="20" t="str">
        <f>+T713</f>
        <v/>
      </c>
      <c r="J713" s="30"/>
      <c r="K713" s="22" t="str">
        <f>IF(I713="","",IF(I713="ENTRADA",ABS(J713),-ABS(J713)))</f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972</v>
      </c>
      <c r="H714" s="20" t="str">
        <f>+T714</f>
        <v/>
      </c>
      <c r="J714" s="30"/>
      <c r="K714" s="22" t="str">
        <f>IF(I714="","",IF(I714="ENTRADA",ABS(J714),-ABS(J714)))</f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973</v>
      </c>
      <c r="H715" s="20" t="str">
        <f>+T715</f>
        <v/>
      </c>
      <c r="J715" s="30"/>
      <c r="K715" s="22" t="str">
        <f>IF(I715="","",IF(I715="ENTRADA",ABS(J715),-ABS(J715)))</f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974</v>
      </c>
      <c r="B716" s="35"/>
      <c r="C716" s="35"/>
      <c r="D716" s="35"/>
      <c r="E716" s="35"/>
      <c r="F716" s="35"/>
      <c r="G716" s="35"/>
      <c r="H716" s="20" t="str">
        <f>+T716</f>
        <v/>
      </c>
      <c r="I716" s="35"/>
      <c r="J716" s="37"/>
      <c r="K716" s="22" t="str">
        <f>IF(I716="","",IF(I716="ENTRADA",ABS(J716),-ABS(J716)))</f>
        <v/>
      </c>
      <c r="L716" s="35"/>
      <c r="M716" s="35"/>
      <c r="N716" s="35"/>
      <c r="O716" s="35"/>
      <c r="P716" s="35"/>
      <c r="Q716" s="36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975</v>
      </c>
      <c r="H717" s="20" t="str">
        <f>+T717</f>
        <v/>
      </c>
      <c r="J717" s="30"/>
      <c r="K717" s="22" t="str">
        <f>IF(I717="","",IF(I717="ENTRADA",ABS(J717),-ABS(J717)))</f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976</v>
      </c>
      <c r="H718" s="20" t="str">
        <f>+T718</f>
        <v/>
      </c>
      <c r="J718" s="30"/>
      <c r="K718" s="22" t="str">
        <f>IF(I718="","",IF(I718="ENTRADA",ABS(J718),-ABS(J718)))</f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977</v>
      </c>
      <c r="H719" s="20" t="str">
        <f>+T719</f>
        <v/>
      </c>
      <c r="J719" s="30"/>
      <c r="K719" s="22" t="str">
        <f>IF(I719="","",IF(I719="ENTRADA",ABS(J719),-ABS(J719)))</f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978</v>
      </c>
      <c r="H720" s="20" t="str">
        <f>+T720</f>
        <v/>
      </c>
      <c r="J720" s="30"/>
      <c r="K720" s="22" t="str">
        <f>IF(I720="","",IF(I720="ENTRADA",ABS(J720),-ABS(J720)))</f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979</v>
      </c>
      <c r="H721" s="20" t="str">
        <f>+T721</f>
        <v/>
      </c>
      <c r="J721" s="30"/>
      <c r="K721" s="22" t="str">
        <f>IF(I721="","",IF(I721="ENTRADA",ABS(J721),-ABS(J721)))</f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980</v>
      </c>
      <c r="H722" s="20" t="str">
        <f>+T722</f>
        <v/>
      </c>
      <c r="J722" s="30"/>
      <c r="K722" s="22" t="str">
        <f>IF(I722="","",IF(I722="ENTRADA",ABS(J722),-ABS(J722)))</f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981</v>
      </c>
      <c r="H723" s="20" t="str">
        <f>+T723</f>
        <v/>
      </c>
      <c r="J723" s="30"/>
      <c r="K723" s="22" t="str">
        <f>IF(I723="","",IF(I723="ENTRADA",ABS(J723),-ABS(J723)))</f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982</v>
      </c>
      <c r="H724" s="20" t="str">
        <f>+T724</f>
        <v/>
      </c>
      <c r="J724" s="30"/>
      <c r="K724" s="22" t="str">
        <f>IF(I724="","",IF(I724="ENTRADA",ABS(J724),-ABS(J724)))</f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983</v>
      </c>
      <c r="H725" s="20" t="str">
        <f>+T725</f>
        <v/>
      </c>
      <c r="J725" s="30"/>
      <c r="K725" s="22" t="str">
        <f>IF(I725="","",IF(I725="ENTRADA",ABS(J725),-ABS(J725)))</f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984</v>
      </c>
      <c r="H726" s="20" t="str">
        <f>+T726</f>
        <v/>
      </c>
      <c r="J726" s="30"/>
      <c r="K726" s="22" t="str">
        <f>IF(I726="","",IF(I726="ENTRADA",ABS(J726),-ABS(J726)))</f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985</v>
      </c>
      <c r="B727" s="35"/>
      <c r="C727" s="35"/>
      <c r="D727" s="35"/>
      <c r="E727" s="35"/>
      <c r="F727" s="35"/>
      <c r="G727" s="35"/>
      <c r="H727" s="20" t="str">
        <f>+T727</f>
        <v/>
      </c>
      <c r="I727" s="35"/>
      <c r="J727" s="37"/>
      <c r="K727" s="22" t="str">
        <f>IF(I727="","",IF(I727="ENTRADA",ABS(J727),-ABS(J727)))</f>
        <v/>
      </c>
      <c r="L727" s="35"/>
      <c r="M727" s="35"/>
      <c r="N727" s="35"/>
      <c r="O727" s="35"/>
      <c r="P727" s="35"/>
      <c r="Q727" s="36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986</v>
      </c>
      <c r="H728" s="20" t="str">
        <f>+T728</f>
        <v/>
      </c>
      <c r="J728" s="30"/>
      <c r="K728" s="22" t="str">
        <f>IF(I728="","",IF(I728="ENTRADA",ABS(J728),-ABS(J728)))</f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987</v>
      </c>
      <c r="H729" s="20" t="str">
        <f>+T729</f>
        <v/>
      </c>
      <c r="J729" s="30"/>
      <c r="K729" s="22" t="str">
        <f>IF(I729="","",IF(I729="ENTRADA",ABS(J729),-ABS(J729)))</f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988</v>
      </c>
      <c r="H730" s="20" t="str">
        <f>+T730</f>
        <v/>
      </c>
      <c r="J730" s="30"/>
      <c r="K730" s="22" t="str">
        <f>IF(I730="","",IF(I730="ENTRADA",ABS(J730),-ABS(J730)))</f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989</v>
      </c>
      <c r="H731" s="20" t="str">
        <f>+T731</f>
        <v/>
      </c>
      <c r="J731" s="30"/>
      <c r="K731" s="22" t="str">
        <f>IF(I731="","",IF(I731="ENTRADA",ABS(J731),-ABS(J731)))</f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990</v>
      </c>
      <c r="H732" s="20" t="str">
        <f>+T732</f>
        <v/>
      </c>
      <c r="J732" s="30"/>
      <c r="K732" s="22" t="str">
        <f>IF(I732="","",IF(I732="ENTRADA",ABS(J732),-ABS(J732)))</f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991</v>
      </c>
      <c r="H733" s="20" t="str">
        <f>+T733</f>
        <v/>
      </c>
      <c r="J733" s="30"/>
      <c r="K733" s="22" t="str">
        <f>IF(I733="","",IF(I733="ENTRADA",ABS(J733),-ABS(J733)))</f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992</v>
      </c>
      <c r="H734" s="20" t="str">
        <f>+T734</f>
        <v/>
      </c>
      <c r="J734" s="30"/>
      <c r="K734" s="22" t="str">
        <f>IF(I734="","",IF(I734="ENTRADA",ABS(J734),-ABS(J734)))</f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993</v>
      </c>
      <c r="H735" s="20" t="str">
        <f>+T735</f>
        <v/>
      </c>
      <c r="J735" s="30"/>
      <c r="K735" s="22" t="str">
        <f>IF(I735="","",IF(I735="ENTRADA",ABS(J735),-ABS(J735)))</f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994</v>
      </c>
      <c r="H736" s="20" t="str">
        <f>+T736</f>
        <v/>
      </c>
      <c r="J736" s="30"/>
      <c r="K736" s="22" t="str">
        <f>IF(I736="","",IF(I736="ENTRADA",ABS(J736),-ABS(J736)))</f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995</v>
      </c>
      <c r="H737" s="20" t="str">
        <f>+T737</f>
        <v/>
      </c>
      <c r="J737" s="30"/>
      <c r="K737" s="22" t="str">
        <f>IF(I737="","",IF(I737="ENTRADA",ABS(J737),-ABS(J737)))</f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996</v>
      </c>
      <c r="B738" s="35"/>
      <c r="C738" s="35"/>
      <c r="D738" s="35"/>
      <c r="E738" s="35"/>
      <c r="F738" s="35"/>
      <c r="G738" s="35"/>
      <c r="H738" s="20" t="str">
        <f>+T738</f>
        <v/>
      </c>
      <c r="I738" s="35"/>
      <c r="J738" s="37"/>
      <c r="K738" s="22" t="str">
        <f>IF(I738="","",IF(I738="ENTRADA",ABS(J738),-ABS(J738)))</f>
        <v/>
      </c>
      <c r="L738" s="35"/>
      <c r="M738" s="35"/>
      <c r="N738" s="35"/>
      <c r="O738" s="35"/>
      <c r="P738" s="35"/>
      <c r="Q738" s="36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997</v>
      </c>
      <c r="H739" s="20" t="str">
        <f>+T739</f>
        <v/>
      </c>
      <c r="J739" s="30"/>
      <c r="K739" s="22" t="str">
        <f>IF(I739="","",IF(I739="ENTRADA",ABS(J739),-ABS(J739)))</f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998</v>
      </c>
      <c r="H740" s="20" t="str">
        <f>+T740</f>
        <v/>
      </c>
      <c r="J740" s="30"/>
      <c r="K740" s="22" t="str">
        <f>IF(I740="","",IF(I740="ENTRADA",ABS(J740),-ABS(J740)))</f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999</v>
      </c>
      <c r="H741" s="20" t="str">
        <f>+T741</f>
        <v/>
      </c>
      <c r="J741" s="30"/>
      <c r="K741" s="22" t="str">
        <f>IF(I741="","",IF(I741="ENTRADA",ABS(J741),-ABS(J741)))</f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1000</v>
      </c>
      <c r="H742" s="20" t="str">
        <f>+T742</f>
        <v/>
      </c>
      <c r="J742" s="30"/>
      <c r="K742" s="22" t="str">
        <f>IF(I742="","",IF(I742="ENTRADA",ABS(J742),-ABS(J742)))</f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1001</v>
      </c>
      <c r="H743" s="20" t="str">
        <f>+T743</f>
        <v/>
      </c>
      <c r="J743" s="30"/>
      <c r="K743" s="22" t="str">
        <f>IF(I743="","",IF(I743="ENTRADA",ABS(J743),-ABS(J743)))</f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1002</v>
      </c>
      <c r="H744" s="20" t="str">
        <f>+T744</f>
        <v/>
      </c>
      <c r="J744" s="30"/>
      <c r="K744" s="22" t="str">
        <f>IF(I744="","",IF(I744="ENTRADA",ABS(J744),-ABS(J744)))</f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1003</v>
      </c>
      <c r="H745" s="20" t="str">
        <f>+T745</f>
        <v/>
      </c>
      <c r="J745" s="30"/>
      <c r="K745" s="22" t="str">
        <f>IF(I745="","",IF(I745="ENTRADA",ABS(J745),-ABS(J745)))</f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1004</v>
      </c>
      <c r="H746" s="20" t="str">
        <f>+T746</f>
        <v/>
      </c>
      <c r="J746" s="30"/>
      <c r="K746" s="22" t="str">
        <f>IF(I746="","",IF(I746="ENTRADA",ABS(J746),-ABS(J746)))</f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1005</v>
      </c>
      <c r="H747" s="20" t="str">
        <f>+T747</f>
        <v/>
      </c>
      <c r="J747" s="30"/>
      <c r="K747" s="22" t="str">
        <f>IF(I747="","",IF(I747="ENTRADA",ABS(J747),-ABS(J747)))</f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1006</v>
      </c>
      <c r="H748" s="20" t="str">
        <f>+T748</f>
        <v/>
      </c>
      <c r="J748" s="30"/>
      <c r="K748" s="22" t="str">
        <f>IF(I748="","",IF(I748="ENTRADA",ABS(J748),-ABS(J748)))</f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1007</v>
      </c>
      <c r="B749" s="35"/>
      <c r="C749" s="35"/>
      <c r="D749" s="35"/>
      <c r="E749" s="35"/>
      <c r="F749" s="35"/>
      <c r="G749" s="35"/>
      <c r="H749" s="20" t="str">
        <f>+T749</f>
        <v/>
      </c>
      <c r="I749" s="35"/>
      <c r="J749" s="37"/>
      <c r="K749" s="22" t="str">
        <f>IF(I749="","",IF(I749="ENTRADA",ABS(J749),-ABS(J749)))</f>
        <v/>
      </c>
      <c r="L749" s="35"/>
      <c r="M749" s="35"/>
      <c r="N749" s="35"/>
      <c r="O749" s="35"/>
      <c r="P749" s="35"/>
      <c r="Q749" s="36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1008</v>
      </c>
      <c r="H750" s="20" t="str">
        <f>+T750</f>
        <v/>
      </c>
      <c r="J750" s="30"/>
      <c r="K750" s="22" t="str">
        <f>IF(I750="","",IF(I750="ENTRADA",ABS(J750),-ABS(J750)))</f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1009</v>
      </c>
      <c r="H751" s="20" t="str">
        <f>+T751</f>
        <v/>
      </c>
      <c r="J751" s="30"/>
      <c r="K751" s="22" t="str">
        <f>IF(I751="","",IF(I751="ENTRADA",ABS(J751),-ABS(J751)))</f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1010</v>
      </c>
      <c r="H752" s="20" t="str">
        <f>+T752</f>
        <v/>
      </c>
      <c r="J752" s="30"/>
      <c r="K752" s="22" t="str">
        <f>IF(I752="","",IF(I752="ENTRADA",ABS(J752),-ABS(J752)))</f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1011</v>
      </c>
      <c r="H753" s="20" t="str">
        <f>+T753</f>
        <v/>
      </c>
      <c r="J753" s="30"/>
      <c r="K753" s="22" t="str">
        <f>IF(I753="","",IF(I753="ENTRADA",ABS(J753),-ABS(J753)))</f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1012</v>
      </c>
      <c r="H754" s="20" t="str">
        <f>+T754</f>
        <v/>
      </c>
      <c r="J754" s="30"/>
      <c r="K754" s="22" t="str">
        <f>IF(I754="","",IF(I754="ENTRADA",ABS(J754),-ABS(J754)))</f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1013</v>
      </c>
      <c r="H755" s="20" t="str">
        <f>+T755</f>
        <v/>
      </c>
      <c r="J755" s="30"/>
      <c r="K755" s="22" t="str">
        <f>IF(I755="","",IF(I755="ENTRADA",ABS(J755),-ABS(J755)))</f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1014</v>
      </c>
      <c r="H756" s="20" t="str">
        <f>+T756</f>
        <v/>
      </c>
      <c r="J756" s="30"/>
      <c r="K756" s="22" t="str">
        <f>IF(I756="","",IF(I756="ENTRADA",ABS(J756),-ABS(J756)))</f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1015</v>
      </c>
      <c r="H757" s="20" t="str">
        <f>+T757</f>
        <v/>
      </c>
      <c r="J757" s="30"/>
      <c r="K757" s="22" t="str">
        <f>IF(I757="","",IF(I757="ENTRADA",ABS(J757),-ABS(J757)))</f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1016</v>
      </c>
      <c r="H758" s="20" t="str">
        <f>+T758</f>
        <v/>
      </c>
      <c r="J758" s="30"/>
      <c r="K758" s="22" t="str">
        <f>IF(I758="","",IF(I758="ENTRADA",ABS(J758),-ABS(J758)))</f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1017</v>
      </c>
      <c r="H759" s="20" t="str">
        <f>+T759</f>
        <v/>
      </c>
      <c r="J759" s="30"/>
      <c r="K759" s="22" t="str">
        <f>IF(I759="","",IF(I759="ENTRADA",ABS(J759),-ABS(J759)))</f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1018</v>
      </c>
      <c r="B760" s="35"/>
      <c r="C760" s="35"/>
      <c r="D760" s="35"/>
      <c r="E760" s="35"/>
      <c r="F760" s="35"/>
      <c r="G760" s="35"/>
      <c r="H760" s="20" t="str">
        <f>+T760</f>
        <v/>
      </c>
      <c r="I760" s="35"/>
      <c r="J760" s="37"/>
      <c r="K760" s="22" t="str">
        <f>IF(I760="","",IF(I760="ENTRADA",ABS(J760),-ABS(J760)))</f>
        <v/>
      </c>
      <c r="L760" s="35"/>
      <c r="M760" s="35"/>
      <c r="N760" s="35"/>
      <c r="O760" s="35"/>
      <c r="P760" s="35"/>
      <c r="Q760" s="36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1019</v>
      </c>
      <c r="H761" s="20" t="str">
        <f>+T761</f>
        <v/>
      </c>
      <c r="J761" s="30"/>
      <c r="K761" s="22" t="str">
        <f>IF(I761="","",IF(I761="ENTRADA",ABS(J761),-ABS(J761)))</f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1020</v>
      </c>
      <c r="H762" s="20" t="str">
        <f>+T762</f>
        <v/>
      </c>
      <c r="J762" s="30"/>
      <c r="K762" s="22" t="str">
        <f>IF(I762="","",IF(I762="ENTRADA",ABS(J762),-ABS(J762)))</f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1021</v>
      </c>
      <c r="H763" s="20" t="str">
        <f>+T763</f>
        <v/>
      </c>
      <c r="J763" s="30"/>
      <c r="K763" s="22" t="str">
        <f>IF(I763="","",IF(I763="ENTRADA",ABS(J763),-ABS(J763)))</f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1022</v>
      </c>
      <c r="H764" s="20" t="str">
        <f>+T764</f>
        <v/>
      </c>
      <c r="J764" s="30"/>
      <c r="K764" s="22" t="str">
        <f>IF(I764="","",IF(I764="ENTRADA",ABS(J764),-ABS(J764)))</f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1023</v>
      </c>
      <c r="H765" s="20" t="str">
        <f>+T765</f>
        <v/>
      </c>
      <c r="J765" s="30"/>
      <c r="K765" s="22" t="str">
        <f>IF(I765="","",IF(I765="ENTRADA",ABS(J765),-ABS(J765)))</f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1024</v>
      </c>
      <c r="H766" s="20" t="str">
        <f>+T766</f>
        <v/>
      </c>
      <c r="J766" s="30"/>
      <c r="K766" s="22" t="str">
        <f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1025</v>
      </c>
      <c r="H767" s="20" t="str">
        <f>+T767</f>
        <v/>
      </c>
      <c r="J767" s="30"/>
      <c r="K767" s="22" t="str">
        <f>IF(I767="","",IF(I767="ENTRADA",ABS(J767),-ABS(J767)))</f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1026</v>
      </c>
      <c r="H768" s="20" t="str">
        <f>+T768</f>
        <v/>
      </c>
      <c r="J768" s="30"/>
      <c r="K768" s="22" t="str">
        <f>IF(I768="","",IF(I768="ENTRADA",ABS(J768),-ABS(J768)))</f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1027</v>
      </c>
      <c r="H769" s="20" t="str">
        <f>+T769</f>
        <v/>
      </c>
      <c r="J769" s="30"/>
      <c r="K769" s="22" t="str">
        <f>IF(I769="","",IF(I769="ENTRADA",ABS(J769),-ABS(J769)))</f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1028</v>
      </c>
      <c r="H770" s="20" t="str">
        <f>+T770</f>
        <v/>
      </c>
      <c r="J770" s="30"/>
      <c r="K770" s="22" t="str">
        <f>IF(I770="","",IF(I770="ENTRADA",ABS(J770),-ABS(J770)))</f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1029</v>
      </c>
      <c r="B771" s="35"/>
      <c r="C771" s="35"/>
      <c r="D771" s="35"/>
      <c r="E771" s="35"/>
      <c r="F771" s="35"/>
      <c r="G771" s="35"/>
      <c r="H771" s="20" t="str">
        <f>+T771</f>
        <v/>
      </c>
      <c r="I771" s="35"/>
      <c r="J771" s="37"/>
      <c r="K771" s="22" t="str">
        <f>IF(I771="","",IF(I771="ENTRADA",ABS(J771),-ABS(J771)))</f>
        <v/>
      </c>
      <c r="L771" s="35"/>
      <c r="M771" s="35"/>
      <c r="N771" s="35"/>
      <c r="O771" s="35"/>
      <c r="P771" s="35"/>
      <c r="Q771" s="36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1030</v>
      </c>
      <c r="H772" s="20" t="str">
        <f>+T772</f>
        <v/>
      </c>
      <c r="J772" s="30"/>
      <c r="K772" s="22" t="str">
        <f>IF(I772="","",IF(I772="ENTRADA",ABS(J772),-ABS(J772)))</f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1031</v>
      </c>
      <c r="H773" s="20" t="str">
        <f>+T773</f>
        <v/>
      </c>
      <c r="J773" s="30"/>
      <c r="K773" s="22" t="str">
        <f>IF(I773="","",IF(I773="ENTRADA",ABS(J773),-ABS(J773)))</f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1032</v>
      </c>
      <c r="H774" s="20" t="str">
        <f>+T774</f>
        <v/>
      </c>
      <c r="J774" s="30"/>
      <c r="K774" s="22" t="str">
        <f>IF(I774="","",IF(I774="ENTRADA",ABS(J774),-ABS(J774)))</f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1033</v>
      </c>
      <c r="H775" s="20" t="str">
        <f>+T775</f>
        <v/>
      </c>
      <c r="J775" s="30"/>
      <c r="K775" s="22" t="str">
        <f>IF(I775="","",IF(I775="ENTRADA",ABS(J775),-ABS(J775)))</f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1034</v>
      </c>
      <c r="H776" s="20" t="str">
        <f>+T776</f>
        <v/>
      </c>
      <c r="J776" s="30"/>
      <c r="K776" s="22" t="str">
        <f>IF(I776="","",IF(I776="ENTRADA",ABS(J776),-ABS(J776)))</f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1035</v>
      </c>
      <c r="H777" s="20" t="str">
        <f>+T777</f>
        <v/>
      </c>
      <c r="J777" s="30"/>
      <c r="K777" s="22" t="str">
        <f>IF(I777="","",IF(I777="ENTRADA",ABS(J777),-ABS(J777)))</f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1036</v>
      </c>
      <c r="H778" s="20" t="str">
        <f>+T778</f>
        <v/>
      </c>
      <c r="J778" s="30"/>
      <c r="K778" s="22" t="str">
        <f>IF(I778="","",IF(I778="ENTRADA",ABS(J778),-ABS(J778)))</f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1037</v>
      </c>
      <c r="H779" s="20" t="str">
        <f>+T779</f>
        <v/>
      </c>
      <c r="J779" s="30"/>
      <c r="K779" s="22" t="str">
        <f>IF(I779="","",IF(I779="ENTRADA",ABS(J779),-ABS(J779)))</f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1038</v>
      </c>
      <c r="H780" s="20" t="str">
        <f>+T780</f>
        <v/>
      </c>
      <c r="J780" s="30"/>
      <c r="K780" s="22" t="str">
        <f>IF(I780="","",IF(I780="ENTRADA",ABS(J780),-ABS(J780)))</f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1039</v>
      </c>
      <c r="H781" s="20" t="str">
        <f>+T781</f>
        <v/>
      </c>
      <c r="J781" s="30"/>
      <c r="K781" s="22" t="str">
        <f>IF(I781="","",IF(I781="ENTRADA",ABS(J781),-ABS(J781)))</f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1040</v>
      </c>
      <c r="B782" s="35"/>
      <c r="C782" s="35"/>
      <c r="D782" s="35"/>
      <c r="E782" s="35"/>
      <c r="F782" s="35"/>
      <c r="G782" s="35"/>
      <c r="H782" s="20" t="str">
        <f>+T782</f>
        <v/>
      </c>
      <c r="I782" s="35"/>
      <c r="J782" s="37"/>
      <c r="K782" s="22" t="str">
        <f>IF(I782="","",IF(I782="ENTRADA",ABS(J782),-ABS(J782)))</f>
        <v/>
      </c>
      <c r="L782" s="35"/>
      <c r="M782" s="35"/>
      <c r="N782" s="35"/>
      <c r="O782" s="35"/>
      <c r="P782" s="35"/>
      <c r="Q782" s="36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1041</v>
      </c>
      <c r="H783" s="20" t="str">
        <f>+T783</f>
        <v/>
      </c>
      <c r="J783" s="30"/>
      <c r="K783" s="22" t="str">
        <f>IF(I783="","",IF(I783="ENTRADA",ABS(J783),-ABS(J783)))</f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1042</v>
      </c>
      <c r="H784" s="20" t="str">
        <f>+T784</f>
        <v/>
      </c>
      <c r="J784" s="30"/>
      <c r="K784" s="22" t="str">
        <f>IF(I784="","",IF(I784="ENTRADA",ABS(J784),-ABS(J784)))</f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1043</v>
      </c>
      <c r="H785" s="20" t="str">
        <f>+T785</f>
        <v/>
      </c>
      <c r="J785" s="30"/>
      <c r="K785" s="22" t="str">
        <f>IF(I785="","",IF(I785="ENTRADA",ABS(J785),-ABS(J785)))</f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1044</v>
      </c>
      <c r="H786" s="20" t="str">
        <f>+T786</f>
        <v/>
      </c>
      <c r="J786" s="30"/>
      <c r="K786" s="22" t="str">
        <f>IF(I786="","",IF(I786="ENTRADA",ABS(J786),-ABS(J786)))</f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1045</v>
      </c>
      <c r="H787" s="20" t="str">
        <f>+T787</f>
        <v/>
      </c>
      <c r="J787" s="30"/>
      <c r="K787" s="22" t="str">
        <f>IF(I787="","",IF(I787="ENTRADA",ABS(J787),-ABS(J787)))</f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1046</v>
      </c>
      <c r="H788" s="20" t="str">
        <f>+T788</f>
        <v/>
      </c>
      <c r="J788" s="30"/>
      <c r="K788" s="22" t="str">
        <f>IF(I788="","",IF(I788="ENTRADA",ABS(J788),-ABS(J788)))</f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1047</v>
      </c>
      <c r="H789" s="20" t="str">
        <f>+T789</f>
        <v/>
      </c>
      <c r="J789" s="30"/>
      <c r="K789" s="22" t="str">
        <f>IF(I789="","",IF(I789="ENTRADA",ABS(J789),-ABS(J789)))</f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1048</v>
      </c>
      <c r="H790" s="20" t="str">
        <f>+T790</f>
        <v/>
      </c>
      <c r="J790" s="30"/>
      <c r="K790" s="22" t="str">
        <f>IF(I790="","",IF(I790="ENTRADA",ABS(J790),-ABS(J790)))</f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1049</v>
      </c>
      <c r="H791" s="20" t="str">
        <f>+T791</f>
        <v/>
      </c>
      <c r="J791" s="30"/>
      <c r="K791" s="22" t="str">
        <f>IF(I791="","",IF(I791="ENTRADA",ABS(J791),-ABS(J791)))</f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1050</v>
      </c>
      <c r="H792" s="20" t="str">
        <f>+T792</f>
        <v/>
      </c>
      <c r="J792" s="30"/>
      <c r="K792" s="22" t="str">
        <f>IF(I792="","",IF(I792="ENTRADA",ABS(J792),-ABS(J792)))</f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1051</v>
      </c>
      <c r="B793" s="35"/>
      <c r="C793" s="35"/>
      <c r="D793" s="35"/>
      <c r="E793" s="35"/>
      <c r="F793" s="35"/>
      <c r="G793" s="35"/>
      <c r="H793" s="20" t="str">
        <f>+T793</f>
        <v/>
      </c>
      <c r="I793" s="35"/>
      <c r="J793" s="37"/>
      <c r="K793" s="22" t="str">
        <f>IF(I793="","",IF(I793="ENTRADA",ABS(J793),-ABS(J793)))</f>
        <v/>
      </c>
      <c r="L793" s="35"/>
      <c r="M793" s="35"/>
      <c r="N793" s="35"/>
      <c r="O793" s="35"/>
      <c r="P793" s="35"/>
      <c r="Q793" s="36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1052</v>
      </c>
      <c r="H794" s="20" t="str">
        <f>+T794</f>
        <v/>
      </c>
      <c r="J794" s="30"/>
      <c r="K794" s="22" t="str">
        <f>IF(I794="","",IF(I794="ENTRADA",ABS(J794),-ABS(J794)))</f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1053</v>
      </c>
      <c r="H795" s="20" t="str">
        <f>+T795</f>
        <v/>
      </c>
      <c r="J795" s="30"/>
      <c r="K795" s="22" t="str">
        <f>IF(I795="","",IF(I795="ENTRADA",ABS(J795),-ABS(J795)))</f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1054</v>
      </c>
      <c r="H796" s="20" t="str">
        <f>+T796</f>
        <v/>
      </c>
      <c r="J796" s="30"/>
      <c r="K796" s="22" t="str">
        <f>IF(I796="","",IF(I796="ENTRADA",ABS(J796),-ABS(J796)))</f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1055</v>
      </c>
      <c r="H797" s="20" t="str">
        <f>+T797</f>
        <v/>
      </c>
      <c r="J797" s="30"/>
      <c r="K797" s="22" t="str">
        <f>IF(I797="","",IF(I797="ENTRADA",ABS(J797),-ABS(J797)))</f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1056</v>
      </c>
      <c r="H798" s="20" t="str">
        <f>+T798</f>
        <v/>
      </c>
      <c r="J798" s="30"/>
      <c r="K798" s="22" t="str">
        <f>IF(I798="","",IF(I798="ENTRADA",ABS(J798),-ABS(J798)))</f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1057</v>
      </c>
      <c r="H799" s="20" t="str">
        <f>+T799</f>
        <v/>
      </c>
      <c r="J799" s="30"/>
      <c r="K799" s="22" t="str">
        <f>IF(I799="","",IF(I799="ENTRADA",ABS(J799),-ABS(J799)))</f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1058</v>
      </c>
      <c r="H800" s="20" t="str">
        <f>+T800</f>
        <v/>
      </c>
      <c r="J800" s="30"/>
      <c r="K800" s="22" t="str">
        <f>IF(I800="","",IF(I800="ENTRADA",ABS(J800),-ABS(J800)))</f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1059</v>
      </c>
      <c r="H801" s="20" t="str">
        <f>+T801</f>
        <v/>
      </c>
      <c r="J801" s="30"/>
      <c r="K801" s="22" t="str">
        <f>IF(I801="","",IF(I801="ENTRADA",ABS(J801),-ABS(J801)))</f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1060</v>
      </c>
      <c r="H802" s="20" t="str">
        <f>+T802</f>
        <v/>
      </c>
      <c r="J802" s="30"/>
      <c r="K802" s="22" t="str">
        <f>IF(I802="","",IF(I802="ENTRADA",ABS(J802),-ABS(J802)))</f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1061</v>
      </c>
      <c r="H803" s="20" t="str">
        <f>+T803</f>
        <v/>
      </c>
      <c r="J803" s="30"/>
      <c r="K803" s="22" t="str">
        <f>IF(I803="","",IF(I803="ENTRADA",ABS(J803),-ABS(J803)))</f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1062</v>
      </c>
      <c r="B804" s="35"/>
      <c r="C804" s="35"/>
      <c r="D804" s="35"/>
      <c r="E804" s="35"/>
      <c r="F804" s="35"/>
      <c r="G804" s="35"/>
      <c r="H804" s="20" t="str">
        <f>+T804</f>
        <v/>
      </c>
      <c r="I804" s="35"/>
      <c r="J804" s="37"/>
      <c r="K804" s="22" t="str">
        <f>IF(I804="","",IF(I804="ENTRADA",ABS(J804),-ABS(J804)))</f>
        <v/>
      </c>
      <c r="L804" s="35"/>
      <c r="M804" s="35"/>
      <c r="N804" s="35"/>
      <c r="O804" s="35"/>
      <c r="P804" s="35"/>
      <c r="Q804" s="36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1063</v>
      </c>
      <c r="H805" s="20" t="str">
        <f>+T805</f>
        <v/>
      </c>
      <c r="J805" s="30"/>
      <c r="K805" s="22" t="str">
        <f>IF(I805="","",IF(I805="ENTRADA",ABS(J805),-ABS(J805)))</f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1064</v>
      </c>
      <c r="H806" s="20" t="str">
        <f>+T806</f>
        <v/>
      </c>
      <c r="J806" s="30"/>
      <c r="K806" s="22" t="str">
        <f>IF(I806="","",IF(I806="ENTRADA",ABS(J806),-ABS(J806)))</f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1065</v>
      </c>
      <c r="H807" s="20" t="str">
        <f>+T807</f>
        <v/>
      </c>
      <c r="J807" s="30"/>
      <c r="K807" s="22" t="str">
        <f>IF(I807="","",IF(I807="ENTRADA",ABS(J807),-ABS(J807)))</f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1066</v>
      </c>
      <c r="H808" s="20" t="str">
        <f>+T808</f>
        <v/>
      </c>
      <c r="J808" s="30"/>
      <c r="K808" s="22" t="str">
        <f>IF(I808="","",IF(I808="ENTRADA",ABS(J808),-ABS(J808)))</f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1067</v>
      </c>
      <c r="H809" s="20" t="str">
        <f>+T809</f>
        <v/>
      </c>
      <c r="J809" s="30"/>
      <c r="K809" s="22" t="str">
        <f>IF(I809="","",IF(I809="ENTRADA",ABS(J809),-ABS(J809)))</f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1068</v>
      </c>
      <c r="H810" s="20" t="str">
        <f>+T810</f>
        <v/>
      </c>
      <c r="J810" s="30"/>
      <c r="K810" s="22" t="str">
        <f>IF(I810="","",IF(I810="ENTRADA",ABS(J810),-ABS(J810)))</f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1069</v>
      </c>
      <c r="H811" s="20" t="str">
        <f>+T811</f>
        <v/>
      </c>
      <c r="J811" s="30"/>
      <c r="K811" s="22" t="str">
        <f>IF(I811="","",IF(I811="ENTRADA",ABS(J811),-ABS(J811)))</f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1070</v>
      </c>
      <c r="H812" s="20" t="str">
        <f>+T812</f>
        <v/>
      </c>
      <c r="J812" s="30"/>
      <c r="K812" s="22" t="str">
        <f>IF(I812="","",IF(I812="ENTRADA",ABS(J812),-ABS(J812)))</f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1071</v>
      </c>
      <c r="H813" s="20" t="str">
        <f>+T813</f>
        <v/>
      </c>
      <c r="J813" s="30"/>
      <c r="K813" s="22" t="str">
        <f>IF(I813="","",IF(I813="ENTRADA",ABS(J813),-ABS(J813)))</f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1072</v>
      </c>
      <c r="H814" s="20" t="str">
        <f>+T814</f>
        <v/>
      </c>
      <c r="J814" s="30"/>
      <c r="K814" s="22" t="str">
        <f>IF(I814="","",IF(I814="ENTRADA",ABS(J814),-ABS(J814)))</f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1073</v>
      </c>
      <c r="B815" s="35"/>
      <c r="C815" s="35"/>
      <c r="D815" s="35"/>
      <c r="E815" s="35"/>
      <c r="F815" s="35"/>
      <c r="G815" s="35"/>
      <c r="H815" s="20" t="str">
        <f>+T815</f>
        <v/>
      </c>
      <c r="I815" s="35"/>
      <c r="J815" s="37"/>
      <c r="K815" s="22" t="str">
        <f>IF(I815="","",IF(I815="ENTRADA",ABS(J815),-ABS(J815)))</f>
        <v/>
      </c>
      <c r="L815" s="35"/>
      <c r="M815" s="35"/>
      <c r="N815" s="35"/>
      <c r="O815" s="35"/>
      <c r="P815" s="35"/>
      <c r="Q815" s="36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1074</v>
      </c>
      <c r="H816" s="20" t="str">
        <f>+T816</f>
        <v/>
      </c>
      <c r="J816" s="30"/>
      <c r="K816" s="22" t="str">
        <f>IF(I816="","",IF(I816="ENTRADA",ABS(J816),-ABS(J816)))</f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1075</v>
      </c>
      <c r="H817" s="20" t="str">
        <f>+T817</f>
        <v/>
      </c>
      <c r="J817" s="30"/>
      <c r="K817" s="22" t="str">
        <f>IF(I817="","",IF(I817="ENTRADA",ABS(J817),-ABS(J817)))</f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1076</v>
      </c>
      <c r="H818" s="20" t="str">
        <f>+T818</f>
        <v/>
      </c>
      <c r="J818" s="30"/>
      <c r="K818" s="22" t="str">
        <f>IF(I818="","",IF(I818="ENTRADA",ABS(J818),-ABS(J818)))</f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1077</v>
      </c>
      <c r="H819" s="20" t="str">
        <f>+T819</f>
        <v/>
      </c>
      <c r="J819" s="30"/>
      <c r="K819" s="22" t="str">
        <f>IF(I819="","",IF(I819="ENTRADA",ABS(J819),-ABS(J819)))</f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1078</v>
      </c>
      <c r="H820" s="20" t="str">
        <f>+T820</f>
        <v/>
      </c>
      <c r="J820" s="30"/>
      <c r="K820" s="22" t="str">
        <f>IF(I820="","",IF(I820="ENTRADA",ABS(J820),-ABS(J820)))</f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1079</v>
      </c>
      <c r="H821" s="20" t="str">
        <f>+T821</f>
        <v/>
      </c>
      <c r="J821" s="30"/>
      <c r="K821" s="22" t="str">
        <f>IF(I821="","",IF(I821="ENTRADA",ABS(J821),-ABS(J821)))</f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1080</v>
      </c>
      <c r="H822" s="20" t="str">
        <f>+T822</f>
        <v/>
      </c>
      <c r="J822" s="30"/>
      <c r="K822" s="22" t="str">
        <f>IF(I822="","",IF(I822="ENTRADA",ABS(J822),-ABS(J822)))</f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1081</v>
      </c>
      <c r="H823" s="20" t="str">
        <f>+T823</f>
        <v/>
      </c>
      <c r="J823" s="30"/>
      <c r="K823" s="22" t="str">
        <f>IF(I823="","",IF(I823="ENTRADA",ABS(J823),-ABS(J823)))</f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1082</v>
      </c>
      <c r="H824" s="20" t="str">
        <f>+T824</f>
        <v/>
      </c>
      <c r="J824" s="30"/>
      <c r="K824" s="22" t="str">
        <f>IF(I824="","",IF(I824="ENTRADA",ABS(J824),-ABS(J824)))</f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1083</v>
      </c>
      <c r="H825" s="20" t="str">
        <f>+T825</f>
        <v/>
      </c>
      <c r="J825" s="30"/>
      <c r="K825" s="22" t="str">
        <f>IF(I825="","",IF(I825="ENTRADA",ABS(J825),-ABS(J825)))</f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1084</v>
      </c>
      <c r="B826" s="35"/>
      <c r="C826" s="35"/>
      <c r="D826" s="35"/>
      <c r="E826" s="35"/>
      <c r="F826" s="35"/>
      <c r="G826" s="35"/>
      <c r="H826" s="20" t="str">
        <f>+T826</f>
        <v/>
      </c>
      <c r="I826" s="35"/>
      <c r="J826" s="37"/>
      <c r="K826" s="22" t="str">
        <f>IF(I826="","",IF(I826="ENTRADA",ABS(J826),-ABS(J826)))</f>
        <v/>
      </c>
      <c r="L826" s="35"/>
      <c r="M826" s="35"/>
      <c r="N826" s="35"/>
      <c r="O826" s="35"/>
      <c r="P826" s="35"/>
      <c r="Q826" s="36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1085</v>
      </c>
      <c r="H827" s="20" t="str">
        <f>+T827</f>
        <v/>
      </c>
      <c r="J827" s="30"/>
      <c r="K827" s="22" t="str">
        <f>IF(I827="","",IF(I827="ENTRADA",ABS(J827),-ABS(J827)))</f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1086</v>
      </c>
      <c r="H828" s="20" t="str">
        <f>+T828</f>
        <v/>
      </c>
      <c r="J828" s="30"/>
      <c r="K828" s="22" t="str">
        <f>IF(I828="","",IF(I828="ENTRADA",ABS(J828),-ABS(J828)))</f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1087</v>
      </c>
      <c r="H829" s="20" t="str">
        <f>+T829</f>
        <v/>
      </c>
      <c r="J829" s="30"/>
      <c r="K829" s="22" t="str">
        <f>IF(I829="","",IF(I829="ENTRADA",ABS(J829),-ABS(J829)))</f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1088</v>
      </c>
      <c r="H830" s="20" t="str">
        <f>+T830</f>
        <v/>
      </c>
      <c r="J830" s="30"/>
      <c r="K830" s="22" t="str">
        <f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1089</v>
      </c>
      <c r="H831" s="20" t="str">
        <f>+T831</f>
        <v/>
      </c>
      <c r="J831" s="30"/>
      <c r="K831" s="22" t="str">
        <f>IF(I831="","",IF(I831="ENTRADA",ABS(J831),-ABS(J831)))</f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1090</v>
      </c>
      <c r="H832" s="20" t="str">
        <f>+T832</f>
        <v/>
      </c>
      <c r="J832" s="30"/>
      <c r="K832" s="22" t="str">
        <f>IF(I832="","",IF(I832="ENTRADA",ABS(J832),-ABS(J832)))</f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1091</v>
      </c>
      <c r="H833" s="20" t="str">
        <f>+T833</f>
        <v/>
      </c>
      <c r="J833" s="30"/>
      <c r="K833" s="22" t="str">
        <f>IF(I833="","",IF(I833="ENTRADA",ABS(J833),-ABS(J833)))</f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1092</v>
      </c>
      <c r="H834" s="20" t="str">
        <f>+T834</f>
        <v/>
      </c>
      <c r="J834" s="30"/>
      <c r="K834" s="22" t="str">
        <f>IF(I834="","",IF(I834="ENTRADA",ABS(J834),-ABS(J834)))</f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1093</v>
      </c>
      <c r="H835" s="20" t="str">
        <f>+T835</f>
        <v/>
      </c>
      <c r="J835" s="30"/>
      <c r="K835" s="22" t="str">
        <f>IF(I835="","",IF(I835="ENTRADA",ABS(J835),-ABS(J835)))</f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1094</v>
      </c>
      <c r="H836" s="20" t="str">
        <f>+T836</f>
        <v/>
      </c>
      <c r="J836" s="30"/>
      <c r="K836" s="22" t="str">
        <f>IF(I836="","",IF(I836="ENTRADA",ABS(J836),-ABS(J836)))</f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1095</v>
      </c>
      <c r="B837" s="35"/>
      <c r="C837" s="35"/>
      <c r="D837" s="35"/>
      <c r="E837" s="35"/>
      <c r="F837" s="35"/>
      <c r="G837" s="35"/>
      <c r="H837" s="20" t="str">
        <f>+T837</f>
        <v/>
      </c>
      <c r="I837" s="35"/>
      <c r="J837" s="37"/>
      <c r="K837" s="22" t="str">
        <f>IF(I837="","",IF(I837="ENTRADA",ABS(J837),-ABS(J837)))</f>
        <v/>
      </c>
      <c r="L837" s="35"/>
      <c r="M837" s="35"/>
      <c r="N837" s="35"/>
      <c r="O837" s="35"/>
      <c r="P837" s="35"/>
      <c r="Q837" s="36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1096</v>
      </c>
      <c r="H838" s="20" t="str">
        <f>+T838</f>
        <v/>
      </c>
      <c r="J838" s="30"/>
      <c r="K838" s="22" t="str">
        <f>IF(I838="","",IF(I838="ENTRADA",ABS(J838),-ABS(J838)))</f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1097</v>
      </c>
      <c r="H839" s="20" t="str">
        <f>+T839</f>
        <v/>
      </c>
      <c r="J839" s="30"/>
      <c r="K839" s="22" t="str">
        <f>IF(I839="","",IF(I839="ENTRADA",ABS(J839),-ABS(J839)))</f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1098</v>
      </c>
      <c r="H840" s="20" t="str">
        <f>+T840</f>
        <v/>
      </c>
      <c r="J840" s="30"/>
      <c r="K840" s="22" t="str">
        <f>IF(I840="","",IF(I840="ENTRADA",ABS(J840),-ABS(J840)))</f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1099</v>
      </c>
      <c r="H841" s="20" t="str">
        <f>+T841</f>
        <v/>
      </c>
      <c r="J841" s="30"/>
      <c r="K841" s="22" t="str">
        <f>IF(I841="","",IF(I841="ENTRADA",ABS(J841),-ABS(J841)))</f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1100</v>
      </c>
      <c r="H842" s="20" t="str">
        <f>+T842</f>
        <v/>
      </c>
      <c r="J842" s="30"/>
      <c r="K842" s="22" t="str">
        <f>IF(I842="","",IF(I842="ENTRADA",ABS(J842),-ABS(J842)))</f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1101</v>
      </c>
      <c r="H843" s="20" t="str">
        <f>+T843</f>
        <v/>
      </c>
      <c r="J843" s="30"/>
      <c r="K843" s="22" t="str">
        <f>IF(I843="","",IF(I843="ENTRADA",ABS(J843),-ABS(J843)))</f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1102</v>
      </c>
      <c r="H844" s="20" t="str">
        <f>+T844</f>
        <v/>
      </c>
      <c r="J844" s="30"/>
      <c r="K844" s="22" t="str">
        <f>IF(I844="","",IF(I844="ENTRADA",ABS(J844),-ABS(J844)))</f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1103</v>
      </c>
      <c r="H845" s="20" t="str">
        <f>+T845</f>
        <v/>
      </c>
      <c r="J845" s="30"/>
      <c r="K845" s="22" t="str">
        <f>IF(I845="","",IF(I845="ENTRADA",ABS(J845),-ABS(J845)))</f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1104</v>
      </c>
      <c r="H846" s="20" t="str">
        <f>+T846</f>
        <v/>
      </c>
      <c r="J846" s="30"/>
      <c r="K846" s="22" t="str">
        <f>IF(I846="","",IF(I846="ENTRADA",ABS(J846),-ABS(J846)))</f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1105</v>
      </c>
      <c r="H847" s="20" t="str">
        <f>+T847</f>
        <v/>
      </c>
      <c r="J847" s="30"/>
      <c r="K847" s="22" t="str">
        <f>IF(I847="","",IF(I847="ENTRADA",ABS(J847),-ABS(J847)))</f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1106</v>
      </c>
      <c r="B848" s="35"/>
      <c r="C848" s="35"/>
      <c r="D848" s="35"/>
      <c r="E848" s="35"/>
      <c r="F848" s="35"/>
      <c r="G848" s="35"/>
      <c r="H848" s="20" t="str">
        <f>+T848</f>
        <v/>
      </c>
      <c r="I848" s="35"/>
      <c r="J848" s="37"/>
      <c r="K848" s="22" t="str">
        <f>IF(I848="","",IF(I848="ENTRADA",ABS(J848),-ABS(J848)))</f>
        <v/>
      </c>
      <c r="L848" s="35"/>
      <c r="M848" s="35"/>
      <c r="N848" s="35"/>
      <c r="O848" s="35"/>
      <c r="P848" s="35"/>
      <c r="Q848" s="36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1107</v>
      </c>
      <c r="H849" s="20" t="str">
        <f>+T849</f>
        <v/>
      </c>
      <c r="J849" s="30"/>
      <c r="K849" s="22" t="str">
        <f>IF(I849="","",IF(I849="ENTRADA",ABS(J849),-ABS(J849)))</f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1108</v>
      </c>
      <c r="H850" s="20" t="str">
        <f>+T850</f>
        <v/>
      </c>
      <c r="J850" s="30"/>
      <c r="K850" s="22" t="str">
        <f>IF(I850="","",IF(I850="ENTRADA",ABS(J850),-ABS(J850)))</f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1109</v>
      </c>
      <c r="H851" s="20" t="str">
        <f>+T851</f>
        <v/>
      </c>
      <c r="J851" s="30"/>
      <c r="K851" s="22" t="str">
        <f>IF(I851="","",IF(I851="ENTRADA",ABS(J851),-ABS(J851)))</f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1110</v>
      </c>
      <c r="H852" s="20" t="str">
        <f>+T852</f>
        <v/>
      </c>
      <c r="J852" s="30"/>
      <c r="K852" s="22" t="str">
        <f>IF(I852="","",IF(I852="ENTRADA",ABS(J852),-ABS(J852)))</f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1111</v>
      </c>
      <c r="H853" s="20" t="str">
        <f>+T853</f>
        <v/>
      </c>
      <c r="J853" s="30"/>
      <c r="K853" s="22" t="str">
        <f>IF(I853="","",IF(I853="ENTRADA",ABS(J853),-ABS(J853)))</f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1112</v>
      </c>
      <c r="H854" s="20" t="str">
        <f>+T854</f>
        <v/>
      </c>
      <c r="J854" s="30"/>
      <c r="K854" s="22" t="str">
        <f>IF(I854="","",IF(I854="ENTRADA",ABS(J854),-ABS(J854)))</f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1113</v>
      </c>
      <c r="H855" s="20" t="str">
        <f>+T855</f>
        <v/>
      </c>
      <c r="J855" s="30"/>
      <c r="K855" s="22" t="str">
        <f>IF(I855="","",IF(I855="ENTRADA",ABS(J855),-ABS(J855)))</f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1114</v>
      </c>
      <c r="H856" s="20" t="str">
        <f>+T856</f>
        <v/>
      </c>
      <c r="J856" s="30"/>
      <c r="K856" s="22" t="str">
        <f>IF(I856="","",IF(I856="ENTRADA",ABS(J856),-ABS(J856)))</f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1115</v>
      </c>
      <c r="H857" s="20" t="str">
        <f>+T857</f>
        <v/>
      </c>
      <c r="J857" s="30"/>
      <c r="K857" s="22" t="str">
        <f>IF(I857="","",IF(I857="ENTRADA",ABS(J857),-ABS(J857)))</f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1116</v>
      </c>
      <c r="H858" s="20" t="str">
        <f>+T858</f>
        <v/>
      </c>
      <c r="J858" s="30"/>
      <c r="K858" s="22" t="str">
        <f>IF(I858="","",IF(I858="ENTRADA",ABS(J858),-ABS(J858)))</f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1117</v>
      </c>
      <c r="B859" s="35"/>
      <c r="C859" s="35"/>
      <c r="D859" s="35"/>
      <c r="E859" s="35"/>
      <c r="F859" s="35"/>
      <c r="G859" s="35"/>
      <c r="H859" s="20" t="str">
        <f>+T859</f>
        <v/>
      </c>
      <c r="I859" s="35"/>
      <c r="J859" s="37"/>
      <c r="K859" s="22" t="str">
        <f>IF(I859="","",IF(I859="ENTRADA",ABS(J859),-ABS(J859)))</f>
        <v/>
      </c>
      <c r="L859" s="35"/>
      <c r="M859" s="35"/>
      <c r="N859" s="35"/>
      <c r="O859" s="35"/>
      <c r="P859" s="35"/>
      <c r="Q859" s="36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1118</v>
      </c>
      <c r="H860" s="20" t="str">
        <f>+T860</f>
        <v/>
      </c>
      <c r="J860" s="30"/>
      <c r="K860" s="22" t="str">
        <f>IF(I860="","",IF(I860="ENTRADA",ABS(J860),-ABS(J860)))</f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1119</v>
      </c>
      <c r="H861" s="20" t="str">
        <f>+T861</f>
        <v/>
      </c>
      <c r="J861" s="30"/>
      <c r="K861" s="22" t="str">
        <f>IF(I861="","",IF(I861="ENTRADA",ABS(J861),-ABS(J861)))</f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1120</v>
      </c>
      <c r="H862" s="20" t="str">
        <f>+T862</f>
        <v/>
      </c>
      <c r="J862" s="30"/>
      <c r="K862" s="22" t="str">
        <f>IF(I862="","",IF(I862="ENTRADA",ABS(J862),-ABS(J862)))</f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1121</v>
      </c>
      <c r="H863" s="20" t="str">
        <f>+T863</f>
        <v/>
      </c>
      <c r="J863" s="30"/>
      <c r="K863" s="22" t="str">
        <f>IF(I863="","",IF(I863="ENTRADA",ABS(J863),-ABS(J863)))</f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1122</v>
      </c>
      <c r="H864" s="20" t="str">
        <f>+T864</f>
        <v/>
      </c>
      <c r="J864" s="30"/>
      <c r="K864" s="22" t="str">
        <f>IF(I864="","",IF(I864="ENTRADA",ABS(J864),-ABS(J864)))</f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1123</v>
      </c>
      <c r="H865" s="20" t="str">
        <f>+T865</f>
        <v/>
      </c>
      <c r="J865" s="30"/>
      <c r="K865" s="22" t="str">
        <f>IF(I865="","",IF(I865="ENTRADA",ABS(J865),-ABS(J865)))</f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1124</v>
      </c>
      <c r="H866" s="20" t="str">
        <f>+T866</f>
        <v/>
      </c>
      <c r="J866" s="30"/>
      <c r="K866" s="22" t="str">
        <f>IF(I866="","",IF(I866="ENTRADA",ABS(J866),-ABS(J866)))</f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1125</v>
      </c>
      <c r="H867" s="20" t="str">
        <f>+T867</f>
        <v/>
      </c>
      <c r="J867" s="30"/>
      <c r="K867" s="22" t="str">
        <f>IF(I867="","",IF(I867="ENTRADA",ABS(J867),-ABS(J867)))</f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1126</v>
      </c>
      <c r="H868" s="20" t="str">
        <f>+T868</f>
        <v/>
      </c>
      <c r="J868" s="30"/>
      <c r="K868" s="22" t="str">
        <f>IF(I868="","",IF(I868="ENTRADA",ABS(J868),-ABS(J868)))</f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1127</v>
      </c>
      <c r="H869" s="20" t="str">
        <f>+T869</f>
        <v/>
      </c>
      <c r="J869" s="30"/>
      <c r="K869" s="22" t="str">
        <f>IF(I869="","",IF(I869="ENTRADA",ABS(J869),-ABS(J869)))</f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1128</v>
      </c>
      <c r="B870" s="35"/>
      <c r="C870" s="35"/>
      <c r="D870" s="35"/>
      <c r="E870" s="35"/>
      <c r="F870" s="35"/>
      <c r="G870" s="35"/>
      <c r="H870" s="20" t="str">
        <f>+T870</f>
        <v/>
      </c>
      <c r="I870" s="35"/>
      <c r="J870" s="37"/>
      <c r="K870" s="22" t="str">
        <f>IF(I870="","",IF(I870="ENTRADA",ABS(J870),-ABS(J870)))</f>
        <v/>
      </c>
      <c r="L870" s="35"/>
      <c r="M870" s="35"/>
      <c r="N870" s="35"/>
      <c r="O870" s="35"/>
      <c r="P870" s="35"/>
      <c r="Q870" s="36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1129</v>
      </c>
      <c r="H871" s="20" t="str">
        <f>+T871</f>
        <v/>
      </c>
      <c r="J871" s="30"/>
      <c r="K871" s="22" t="str">
        <f>IF(I871="","",IF(I871="ENTRADA",ABS(J871),-ABS(J871)))</f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1130</v>
      </c>
      <c r="H872" s="20" t="str">
        <f>+T872</f>
        <v/>
      </c>
      <c r="J872" s="30"/>
      <c r="K872" s="22" t="str">
        <f>IF(I872="","",IF(I872="ENTRADA",ABS(J872),-ABS(J872)))</f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1131</v>
      </c>
      <c r="H873" s="20" t="str">
        <f>+T873</f>
        <v/>
      </c>
      <c r="J873" s="30"/>
      <c r="K873" s="22" t="str">
        <f>IF(I873="","",IF(I873="ENTRADA",ABS(J873),-ABS(J873)))</f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1132</v>
      </c>
      <c r="H874" s="20" t="str">
        <f>+T874</f>
        <v/>
      </c>
      <c r="J874" s="30"/>
      <c r="K874" s="22" t="str">
        <f>IF(I874="","",IF(I874="ENTRADA",ABS(J874),-ABS(J874)))</f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1133</v>
      </c>
      <c r="H875" s="20" t="str">
        <f>+T875</f>
        <v/>
      </c>
      <c r="J875" s="30"/>
      <c r="K875" s="22" t="str">
        <f>IF(I875="","",IF(I875="ENTRADA",ABS(J875),-ABS(J875)))</f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1134</v>
      </c>
      <c r="H876" s="20" t="str">
        <f>+T876</f>
        <v/>
      </c>
      <c r="J876" s="30"/>
      <c r="K876" s="22" t="str">
        <f>IF(I876="","",IF(I876="ENTRADA",ABS(J876),-ABS(J876)))</f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1135</v>
      </c>
      <c r="H877" s="20" t="str">
        <f>+T877</f>
        <v/>
      </c>
      <c r="J877" s="30"/>
      <c r="K877" s="22" t="str">
        <f>IF(I877="","",IF(I877="ENTRADA",ABS(J877),-ABS(J877)))</f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1136</v>
      </c>
      <c r="H878" s="20" t="str">
        <f>+T878</f>
        <v/>
      </c>
      <c r="J878" s="30"/>
      <c r="K878" s="22" t="str">
        <f>IF(I878="","",IF(I878="ENTRADA",ABS(J878),-ABS(J878)))</f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1137</v>
      </c>
      <c r="H879" s="20" t="str">
        <f>+T879</f>
        <v/>
      </c>
      <c r="J879" s="30"/>
      <c r="K879" s="22" t="str">
        <f>IF(I879="","",IF(I879="ENTRADA",ABS(J879),-ABS(J879)))</f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1138</v>
      </c>
      <c r="H880" s="20" t="str">
        <f>+T880</f>
        <v/>
      </c>
      <c r="J880" s="30"/>
      <c r="K880" s="22" t="str">
        <f>IF(I880="","",IF(I880="ENTRADA",ABS(J880),-ABS(J880)))</f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1139</v>
      </c>
      <c r="B881" s="35"/>
      <c r="C881" s="35"/>
      <c r="D881" s="35"/>
      <c r="E881" s="35"/>
      <c r="F881" s="35"/>
      <c r="G881" s="35"/>
      <c r="H881" s="20" t="str">
        <f>+T881</f>
        <v/>
      </c>
      <c r="I881" s="35"/>
      <c r="J881" s="37"/>
      <c r="K881" s="22" t="str">
        <f>IF(I881="","",IF(I881="ENTRADA",ABS(J881),-ABS(J881)))</f>
        <v/>
      </c>
      <c r="L881" s="35"/>
      <c r="M881" s="35"/>
      <c r="N881" s="35"/>
      <c r="O881" s="35"/>
      <c r="P881" s="35"/>
      <c r="Q881" s="36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1140</v>
      </c>
      <c r="H882" s="20" t="str">
        <f>+T882</f>
        <v/>
      </c>
      <c r="J882" s="30"/>
      <c r="K882" s="22" t="str">
        <f>IF(I882="","",IF(I882="ENTRADA",ABS(J882),-ABS(J882)))</f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1141</v>
      </c>
      <c r="H883" s="20" t="str">
        <f>+T883</f>
        <v/>
      </c>
      <c r="J883" s="30"/>
      <c r="K883" s="22" t="str">
        <f>IF(I883="","",IF(I883="ENTRADA",ABS(J883),-ABS(J883)))</f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1142</v>
      </c>
      <c r="H884" s="20" t="str">
        <f>+T884</f>
        <v/>
      </c>
      <c r="J884" s="30"/>
      <c r="K884" s="22" t="str">
        <f>IF(I884="","",IF(I884="ENTRADA",ABS(J884),-ABS(J884)))</f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1143</v>
      </c>
      <c r="H885" s="20" t="str">
        <f>+T885</f>
        <v/>
      </c>
      <c r="J885" s="30"/>
      <c r="K885" s="22" t="str">
        <f>IF(I885="","",IF(I885="ENTRADA",ABS(J885),-ABS(J885)))</f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1144</v>
      </c>
      <c r="H886" s="20" t="str">
        <f>+T886</f>
        <v/>
      </c>
      <c r="J886" s="30"/>
      <c r="K886" s="22" t="str">
        <f>IF(I886="","",IF(I886="ENTRADA",ABS(J886),-ABS(J886)))</f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1145</v>
      </c>
      <c r="H887" s="20" t="str">
        <f>+T887</f>
        <v/>
      </c>
      <c r="J887" s="30"/>
      <c r="K887" s="22" t="str">
        <f>IF(I887="","",IF(I887="ENTRADA",ABS(J887),-ABS(J887)))</f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1146</v>
      </c>
      <c r="H888" s="20" t="str">
        <f>+T888</f>
        <v/>
      </c>
      <c r="J888" s="30"/>
      <c r="K888" s="22" t="str">
        <f>IF(I888="","",IF(I888="ENTRADA",ABS(J888),-ABS(J888)))</f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1147</v>
      </c>
      <c r="H889" s="20" t="str">
        <f>+T889</f>
        <v/>
      </c>
      <c r="J889" s="30"/>
      <c r="K889" s="22" t="str">
        <f>IF(I889="","",IF(I889="ENTRADA",ABS(J889),-ABS(J889)))</f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1148</v>
      </c>
      <c r="H890" s="20" t="str">
        <f>+T890</f>
        <v/>
      </c>
      <c r="J890" s="30"/>
      <c r="K890" s="22" t="str">
        <f>IF(I890="","",IF(I890="ENTRADA",ABS(J890),-ABS(J890)))</f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1149</v>
      </c>
      <c r="H891" s="20" t="str">
        <f>+T891</f>
        <v/>
      </c>
      <c r="J891" s="30"/>
      <c r="K891" s="22" t="str">
        <f>IF(I891="","",IF(I891="ENTRADA",ABS(J891),-ABS(J891)))</f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1150</v>
      </c>
      <c r="B892" s="35"/>
      <c r="C892" s="35"/>
      <c r="D892" s="35"/>
      <c r="E892" s="35"/>
      <c r="F892" s="35"/>
      <c r="G892" s="35"/>
      <c r="H892" s="20" t="str">
        <f>+T892</f>
        <v/>
      </c>
      <c r="I892" s="35"/>
      <c r="J892" s="37"/>
      <c r="K892" s="22" t="str">
        <f>IF(I892="","",IF(I892="ENTRADA",ABS(J892),-ABS(J892)))</f>
        <v/>
      </c>
      <c r="L892" s="35"/>
      <c r="M892" s="35"/>
      <c r="N892" s="35"/>
      <c r="O892" s="35"/>
      <c r="P892" s="35"/>
      <c r="Q892" s="36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1151</v>
      </c>
      <c r="H893" s="20" t="str">
        <f>+T893</f>
        <v/>
      </c>
      <c r="J893" s="30"/>
      <c r="K893" s="22" t="str">
        <f>IF(I893="","",IF(I893="ENTRADA",ABS(J893),-ABS(J893)))</f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1152</v>
      </c>
      <c r="H894" s="20" t="str">
        <f>+T894</f>
        <v/>
      </c>
      <c r="J894" s="30"/>
      <c r="K894" s="22" t="str">
        <f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1153</v>
      </c>
      <c r="H895" s="20" t="str">
        <f>+T895</f>
        <v/>
      </c>
      <c r="J895" s="30"/>
      <c r="K895" s="22" t="str">
        <f>IF(I895="","",IF(I895="ENTRADA",ABS(J895),-ABS(J895)))</f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1154</v>
      </c>
      <c r="H896" s="20" t="str">
        <f>+T896</f>
        <v/>
      </c>
      <c r="J896" s="30"/>
      <c r="K896" s="22" t="str">
        <f>IF(I896="","",IF(I896="ENTRADA",ABS(J896),-ABS(J896)))</f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1155</v>
      </c>
      <c r="H897" s="20" t="str">
        <f>+T897</f>
        <v/>
      </c>
      <c r="J897" s="30"/>
      <c r="K897" s="22" t="str">
        <f>IF(I897="","",IF(I897="ENTRADA",ABS(J897),-ABS(J897)))</f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1156</v>
      </c>
      <c r="H898" s="20" t="str">
        <f>+T898</f>
        <v/>
      </c>
      <c r="J898" s="30"/>
      <c r="K898" s="22" t="str">
        <f>IF(I898="","",IF(I898="ENTRADA",ABS(J898),-ABS(J898)))</f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1157</v>
      </c>
      <c r="H899" s="20" t="str">
        <f>+T899</f>
        <v/>
      </c>
      <c r="J899" s="30"/>
      <c r="K899" s="22" t="str">
        <f>IF(I899="","",IF(I899="ENTRADA",ABS(J899),-ABS(J899)))</f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1158</v>
      </c>
      <c r="H900" s="20" t="str">
        <f>+T900</f>
        <v/>
      </c>
      <c r="J900" s="30"/>
      <c r="K900" s="22" t="str">
        <f>IF(I900="","",IF(I900="ENTRADA",ABS(J900),-ABS(J900)))</f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1159</v>
      </c>
      <c r="H901" s="20" t="str">
        <f>+T901</f>
        <v/>
      </c>
      <c r="J901" s="30"/>
      <c r="K901" s="22" t="str">
        <f>IF(I901="","",IF(I901="ENTRADA",ABS(J901),-ABS(J901)))</f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1160</v>
      </c>
      <c r="H902" s="20" t="str">
        <f>+T902</f>
        <v/>
      </c>
      <c r="J902" s="30"/>
      <c r="K902" s="22" t="str">
        <f>IF(I902="","",IF(I902="ENTRADA",ABS(J902),-ABS(J902)))</f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1161</v>
      </c>
      <c r="B903" s="35"/>
      <c r="C903" s="35"/>
      <c r="D903" s="35"/>
      <c r="E903" s="35"/>
      <c r="F903" s="35"/>
      <c r="G903" s="35"/>
      <c r="H903" s="20" t="str">
        <f>+T903</f>
        <v/>
      </c>
      <c r="I903" s="35"/>
      <c r="J903" s="37"/>
      <c r="K903" s="22" t="str">
        <f>IF(I903="","",IF(I903="ENTRADA",ABS(J903),-ABS(J903)))</f>
        <v/>
      </c>
      <c r="L903" s="35"/>
      <c r="M903" s="35"/>
      <c r="N903" s="35"/>
      <c r="O903" s="35"/>
      <c r="P903" s="35"/>
      <c r="Q903" s="36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1162</v>
      </c>
      <c r="H904" s="20" t="str">
        <f>+T904</f>
        <v/>
      </c>
      <c r="J904" s="30"/>
      <c r="K904" s="22" t="str">
        <f>IF(I904="","",IF(I904="ENTRADA",ABS(J904),-ABS(J904)))</f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1163</v>
      </c>
      <c r="H905" s="20" t="str">
        <f>+T905</f>
        <v/>
      </c>
      <c r="J905" s="30"/>
      <c r="K905" s="22" t="str">
        <f>IF(I905="","",IF(I905="ENTRADA",ABS(J905),-ABS(J905)))</f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1164</v>
      </c>
      <c r="H906" s="20" t="str">
        <f>+T906</f>
        <v/>
      </c>
      <c r="J906" s="30"/>
      <c r="K906" s="22" t="str">
        <f>IF(I906="","",IF(I906="ENTRADA",ABS(J906),-ABS(J906)))</f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1165</v>
      </c>
      <c r="H907" s="20" t="str">
        <f>+T907</f>
        <v/>
      </c>
      <c r="J907" s="30"/>
      <c r="K907" s="22" t="str">
        <f>IF(I907="","",IF(I907="ENTRADA",ABS(J907),-ABS(J907)))</f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1166</v>
      </c>
      <c r="H908" s="20" t="str">
        <f>+T908</f>
        <v/>
      </c>
      <c r="J908" s="30"/>
      <c r="K908" s="22" t="str">
        <f>IF(I908="","",IF(I908="ENTRADA",ABS(J908),-ABS(J908)))</f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1167</v>
      </c>
      <c r="H909" s="20" t="str">
        <f>+T909</f>
        <v/>
      </c>
      <c r="J909" s="30"/>
      <c r="K909" s="22" t="str">
        <f>IF(I909="","",IF(I909="ENTRADA",ABS(J909),-ABS(J909)))</f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1168</v>
      </c>
      <c r="H910" s="20" t="str">
        <f>+T910</f>
        <v/>
      </c>
      <c r="J910" s="30"/>
      <c r="K910" s="22" t="str">
        <f>IF(I910="","",IF(I910="ENTRADA",ABS(J910),-ABS(J910)))</f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1169</v>
      </c>
      <c r="H911" s="20" t="str">
        <f>+T911</f>
        <v/>
      </c>
      <c r="J911" s="30"/>
      <c r="K911" s="22" t="str">
        <f>IF(I911="","",IF(I911="ENTRADA",ABS(J911),-ABS(J911)))</f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1170</v>
      </c>
      <c r="H912" s="20" t="str">
        <f>+T912</f>
        <v/>
      </c>
      <c r="J912" s="30"/>
      <c r="K912" s="22" t="str">
        <f>IF(I912="","",IF(I912="ENTRADA",ABS(J912),-ABS(J912)))</f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1171</v>
      </c>
      <c r="H913" s="20" t="str">
        <f>+T913</f>
        <v/>
      </c>
      <c r="J913" s="30"/>
      <c r="K913" s="22" t="str">
        <f>IF(I913="","",IF(I913="ENTRADA",ABS(J913),-ABS(J913)))</f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1172</v>
      </c>
      <c r="B914" s="35"/>
      <c r="C914" s="35"/>
      <c r="D914" s="35"/>
      <c r="E914" s="35"/>
      <c r="F914" s="35"/>
      <c r="G914" s="35"/>
      <c r="H914" s="20" t="str">
        <f>+T914</f>
        <v/>
      </c>
      <c r="I914" s="35"/>
      <c r="J914" s="37"/>
      <c r="K914" s="22" t="str">
        <f>IF(I914="","",IF(I914="ENTRADA",ABS(J914),-ABS(J914)))</f>
        <v/>
      </c>
      <c r="L914" s="35"/>
      <c r="M914" s="35"/>
      <c r="N914" s="35"/>
      <c r="O914" s="35"/>
      <c r="P914" s="35"/>
      <c r="Q914" s="36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1173</v>
      </c>
      <c r="H915" s="20" t="str">
        <f>+T915</f>
        <v/>
      </c>
      <c r="J915" s="30"/>
      <c r="K915" s="22" t="str">
        <f>IF(I915="","",IF(I915="ENTRADA",ABS(J915),-ABS(J915)))</f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1174</v>
      </c>
      <c r="H916" s="20" t="str">
        <f>+T916</f>
        <v/>
      </c>
      <c r="J916" s="30"/>
      <c r="K916" s="22" t="str">
        <f>IF(I916="","",IF(I916="ENTRADA",ABS(J916),-ABS(J916)))</f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1175</v>
      </c>
      <c r="H917" s="20" t="str">
        <f>+T917</f>
        <v/>
      </c>
      <c r="J917" s="30"/>
      <c r="K917" s="22" t="str">
        <f>IF(I917="","",IF(I917="ENTRADA",ABS(J917),-ABS(J917)))</f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1176</v>
      </c>
      <c r="H918" s="20" t="str">
        <f>+T918</f>
        <v/>
      </c>
      <c r="J918" s="30"/>
      <c r="K918" s="22" t="str">
        <f>IF(I918="","",IF(I918="ENTRADA",ABS(J918),-ABS(J918)))</f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1177</v>
      </c>
      <c r="H919" s="20" t="str">
        <f>+T919</f>
        <v/>
      </c>
      <c r="J919" s="30"/>
      <c r="K919" s="22" t="str">
        <f>IF(I919="","",IF(I919="ENTRADA",ABS(J919),-ABS(J919)))</f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1178</v>
      </c>
      <c r="H920" s="20" t="str">
        <f>+T920</f>
        <v/>
      </c>
      <c r="J920" s="30"/>
      <c r="K920" s="22" t="str">
        <f>IF(I920="","",IF(I920="ENTRADA",ABS(J920),-ABS(J920)))</f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1179</v>
      </c>
      <c r="H921" s="20" t="str">
        <f>+T921</f>
        <v/>
      </c>
      <c r="J921" s="30"/>
      <c r="K921" s="22" t="str">
        <f>IF(I921="","",IF(I921="ENTRADA",ABS(J921),-ABS(J921)))</f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1180</v>
      </c>
      <c r="H922" s="20" t="str">
        <f>+T922</f>
        <v/>
      </c>
      <c r="J922" s="30"/>
      <c r="K922" s="22" t="str">
        <f>IF(I922="","",IF(I922="ENTRADA",ABS(J922),-ABS(J922)))</f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1181</v>
      </c>
      <c r="H923" s="20" t="str">
        <f>+T923</f>
        <v/>
      </c>
      <c r="J923" s="30"/>
      <c r="K923" s="22" t="str">
        <f>IF(I923="","",IF(I923="ENTRADA",ABS(J923),-ABS(J923)))</f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1182</v>
      </c>
      <c r="H924" s="20" t="str">
        <f>+T924</f>
        <v/>
      </c>
      <c r="J924" s="30"/>
      <c r="K924" s="22" t="str">
        <f>IF(I924="","",IF(I924="ENTRADA",ABS(J924),-ABS(J924)))</f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1183</v>
      </c>
      <c r="B925" s="35"/>
      <c r="C925" s="35"/>
      <c r="D925" s="35"/>
      <c r="E925" s="35"/>
      <c r="F925" s="35"/>
      <c r="G925" s="35"/>
      <c r="H925" s="20" t="str">
        <f>+T925</f>
        <v/>
      </c>
      <c r="I925" s="35"/>
      <c r="J925" s="37"/>
      <c r="K925" s="22" t="str">
        <f>IF(I925="","",IF(I925="ENTRADA",ABS(J925),-ABS(J925)))</f>
        <v/>
      </c>
      <c r="L925" s="35"/>
      <c r="M925" s="35"/>
      <c r="N925" s="35"/>
      <c r="O925" s="35"/>
      <c r="P925" s="35"/>
      <c r="Q925" s="36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1184</v>
      </c>
      <c r="H926" s="20" t="str">
        <f>+T926</f>
        <v/>
      </c>
      <c r="J926" s="30"/>
      <c r="K926" s="22" t="str">
        <f>IF(I926="","",IF(I926="ENTRADA",ABS(J926),-ABS(J926)))</f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1185</v>
      </c>
      <c r="H927" s="20" t="str">
        <f>+T927</f>
        <v/>
      </c>
      <c r="J927" s="30"/>
      <c r="K927" s="22" t="str">
        <f>IF(I927="","",IF(I927="ENTRADA",ABS(J927),-ABS(J927)))</f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1186</v>
      </c>
      <c r="H928" s="20" t="str">
        <f>+T928</f>
        <v/>
      </c>
      <c r="J928" s="30"/>
      <c r="K928" s="22" t="str">
        <f>IF(I928="","",IF(I928="ENTRADA",ABS(J928),-ABS(J928)))</f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1187</v>
      </c>
      <c r="H929" s="20" t="str">
        <f>+T929</f>
        <v/>
      </c>
      <c r="J929" s="30"/>
      <c r="K929" s="22" t="str">
        <f>IF(I929="","",IF(I929="ENTRADA",ABS(J929),-ABS(J929)))</f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1188</v>
      </c>
      <c r="H930" s="20" t="str">
        <f>+T930</f>
        <v/>
      </c>
      <c r="J930" s="30"/>
      <c r="K930" s="22" t="str">
        <f>IF(I930="","",IF(I930="ENTRADA",ABS(J930),-ABS(J930)))</f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1189</v>
      </c>
      <c r="H931" s="20" t="str">
        <f>+T931</f>
        <v/>
      </c>
      <c r="J931" s="30"/>
      <c r="K931" s="22" t="str">
        <f>IF(I931="","",IF(I931="ENTRADA",ABS(J931),-ABS(J931)))</f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1190</v>
      </c>
      <c r="H932" s="20" t="str">
        <f>+T932</f>
        <v/>
      </c>
      <c r="J932" s="30"/>
      <c r="K932" s="22" t="str">
        <f>IF(I932="","",IF(I932="ENTRADA",ABS(J932),-ABS(J932)))</f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1191</v>
      </c>
      <c r="H933" s="20" t="str">
        <f>+T933</f>
        <v/>
      </c>
      <c r="J933" s="30"/>
      <c r="K933" s="22" t="str">
        <f>IF(I933="","",IF(I933="ENTRADA",ABS(J933),-ABS(J933)))</f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1192</v>
      </c>
      <c r="H934" s="20" t="str">
        <f>+T934</f>
        <v/>
      </c>
      <c r="J934" s="30"/>
      <c r="K934" s="22" t="str">
        <f>IF(I934="","",IF(I934="ENTRADA",ABS(J934),-ABS(J934)))</f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1193</v>
      </c>
      <c r="H935" s="20" t="str">
        <f>+T935</f>
        <v/>
      </c>
      <c r="J935" s="30"/>
      <c r="K935" s="22" t="str">
        <f>IF(I935="","",IF(I935="ENTRADA",ABS(J935),-ABS(J935)))</f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1194</v>
      </c>
      <c r="B936" s="35"/>
      <c r="C936" s="35"/>
      <c r="D936" s="35"/>
      <c r="E936" s="35"/>
      <c r="F936" s="35"/>
      <c r="G936" s="35"/>
      <c r="H936" s="20" t="str">
        <f>+T936</f>
        <v/>
      </c>
      <c r="I936" s="35"/>
      <c r="J936" s="37"/>
      <c r="K936" s="22" t="str">
        <f>IF(I936="","",IF(I936="ENTRADA",ABS(J936),-ABS(J936)))</f>
        <v/>
      </c>
      <c r="L936" s="35"/>
      <c r="M936" s="35"/>
      <c r="N936" s="35"/>
      <c r="O936" s="35"/>
      <c r="P936" s="35"/>
      <c r="Q936" s="36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1195</v>
      </c>
      <c r="H937" s="20" t="str">
        <f>+T937</f>
        <v/>
      </c>
      <c r="J937" s="30"/>
      <c r="K937" s="22" t="str">
        <f>IF(I937="","",IF(I937="ENTRADA",ABS(J937),-ABS(J937)))</f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1196</v>
      </c>
      <c r="H938" s="20" t="str">
        <f>+T938</f>
        <v/>
      </c>
      <c r="J938" s="30"/>
      <c r="K938" s="22" t="str">
        <f>IF(I938="","",IF(I938="ENTRADA",ABS(J938),-ABS(J938)))</f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1197</v>
      </c>
      <c r="H939" s="20" t="str">
        <f>+T939</f>
        <v/>
      </c>
      <c r="J939" s="30"/>
      <c r="K939" s="22" t="str">
        <f>IF(I939="","",IF(I939="ENTRADA",ABS(J939),-ABS(J939)))</f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1198</v>
      </c>
      <c r="H940" s="20" t="str">
        <f>+T940</f>
        <v/>
      </c>
      <c r="J940" s="30"/>
      <c r="K940" s="22" t="str">
        <f>IF(I940="","",IF(I940="ENTRADA",ABS(J940),-ABS(J940)))</f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1199</v>
      </c>
      <c r="H941" s="20" t="str">
        <f>+T941</f>
        <v/>
      </c>
      <c r="J941" s="30"/>
      <c r="K941" s="22" t="str">
        <f>IF(I941="","",IF(I941="ENTRADA",ABS(J941),-ABS(J941)))</f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1200</v>
      </c>
      <c r="H942" s="20" t="str">
        <f>+T942</f>
        <v/>
      </c>
      <c r="J942" s="30"/>
      <c r="K942" s="22" t="str">
        <f>IF(I942="","",IF(I942="ENTRADA",ABS(J942),-ABS(J942)))</f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1201</v>
      </c>
      <c r="H943" s="20" t="str">
        <f>+T943</f>
        <v/>
      </c>
      <c r="J943" s="30"/>
      <c r="K943" s="22" t="str">
        <f>IF(I943="","",IF(I943="ENTRADA",ABS(J943),-ABS(J943)))</f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1202</v>
      </c>
      <c r="H944" s="20" t="str">
        <f>+T944</f>
        <v/>
      </c>
      <c r="J944" s="30"/>
      <c r="K944" s="22" t="str">
        <f>IF(I944="","",IF(I944="ENTRADA",ABS(J944),-ABS(J944)))</f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1203</v>
      </c>
      <c r="H945" s="20" t="str">
        <f>+T945</f>
        <v/>
      </c>
      <c r="J945" s="30"/>
      <c r="K945" s="22" t="str">
        <f>IF(I945="","",IF(I945="ENTRADA",ABS(J945),-ABS(J945)))</f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1204</v>
      </c>
      <c r="H946" s="20" t="str">
        <f>+T946</f>
        <v/>
      </c>
      <c r="J946" s="30"/>
      <c r="K946" s="22" t="str">
        <f>IF(I946="","",IF(I946="ENTRADA",ABS(J946),-ABS(J946)))</f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1205</v>
      </c>
      <c r="B947" s="35"/>
      <c r="C947" s="35"/>
      <c r="D947" s="35"/>
      <c r="E947" s="35"/>
      <c r="F947" s="35"/>
      <c r="G947" s="35"/>
      <c r="H947" s="20" t="str">
        <f>+T947</f>
        <v/>
      </c>
      <c r="I947" s="35"/>
      <c r="J947" s="37"/>
      <c r="K947" s="22" t="str">
        <f>IF(I947="","",IF(I947="ENTRADA",ABS(J947),-ABS(J947)))</f>
        <v/>
      </c>
      <c r="L947" s="35"/>
      <c r="M947" s="35"/>
      <c r="N947" s="35"/>
      <c r="O947" s="35"/>
      <c r="P947" s="35"/>
      <c r="Q947" s="36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1206</v>
      </c>
      <c r="H948" s="20" t="str">
        <f>+T948</f>
        <v/>
      </c>
      <c r="J948" s="30"/>
      <c r="K948" s="22" t="str">
        <f>IF(I948="","",IF(I948="ENTRADA",ABS(J948),-ABS(J948)))</f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1207</v>
      </c>
      <c r="H949" s="20" t="str">
        <f>+T949</f>
        <v/>
      </c>
      <c r="J949" s="30"/>
      <c r="K949" s="22" t="str">
        <f>IF(I949="","",IF(I949="ENTRADA",ABS(J949),-ABS(J949)))</f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1208</v>
      </c>
      <c r="H950" s="20" t="str">
        <f>+T950</f>
        <v/>
      </c>
      <c r="J950" s="30"/>
      <c r="K950" s="22" t="str">
        <f>IF(I950="","",IF(I950="ENTRADA",ABS(J950),-ABS(J950)))</f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1209</v>
      </c>
      <c r="H951" s="20" t="str">
        <f>+T951</f>
        <v/>
      </c>
      <c r="J951" s="30"/>
      <c r="K951" s="22" t="str">
        <f>IF(I951="","",IF(I951="ENTRADA",ABS(J951),-ABS(J951)))</f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1210</v>
      </c>
      <c r="H952" s="20" t="str">
        <f>+T952</f>
        <v/>
      </c>
      <c r="J952" s="30"/>
      <c r="K952" s="22" t="str">
        <f>IF(I952="","",IF(I952="ENTRADA",ABS(J952),-ABS(J952)))</f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1211</v>
      </c>
      <c r="H953" s="20" t="str">
        <f>+T953</f>
        <v/>
      </c>
      <c r="J953" s="30"/>
      <c r="K953" s="22" t="str">
        <f>IF(I953="","",IF(I953="ENTRADA",ABS(J953),-ABS(J953)))</f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1212</v>
      </c>
      <c r="H954" s="20" t="str">
        <f>+T954</f>
        <v/>
      </c>
      <c r="J954" s="30"/>
      <c r="K954" s="22" t="str">
        <f>IF(I954="","",IF(I954="ENTRADA",ABS(J954),-ABS(J954)))</f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1213</v>
      </c>
      <c r="H955" s="20" t="str">
        <f>+T955</f>
        <v/>
      </c>
      <c r="J955" s="30"/>
      <c r="K955" s="22" t="str">
        <f>IF(I955="","",IF(I955="ENTRADA",ABS(J955),-ABS(J955)))</f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1214</v>
      </c>
      <c r="H956" s="20" t="str">
        <f>+T956</f>
        <v/>
      </c>
      <c r="J956" s="30"/>
      <c r="K956" s="22" t="str">
        <f>IF(I956="","",IF(I956="ENTRADA",ABS(J956),-ABS(J956)))</f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1215</v>
      </c>
      <c r="H957" s="20" t="str">
        <f>+T957</f>
        <v/>
      </c>
      <c r="J957" s="30"/>
      <c r="K957" s="22" t="str">
        <f>IF(I957="","",IF(I957="ENTRADA",ABS(J957),-ABS(J957)))</f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1216</v>
      </c>
      <c r="B958" s="35"/>
      <c r="C958" s="35"/>
      <c r="D958" s="35"/>
      <c r="E958" s="35"/>
      <c r="F958" s="35"/>
      <c r="G958" s="35"/>
      <c r="H958" s="20" t="str">
        <f>+T958</f>
        <v/>
      </c>
      <c r="I958" s="35"/>
      <c r="J958" s="37"/>
      <c r="K958" s="22" t="str">
        <f>IF(I958="","",IF(I958="ENTRADA",ABS(J958),-ABS(J958)))</f>
        <v/>
      </c>
      <c r="L958" s="35"/>
      <c r="M958" s="35"/>
      <c r="N958" s="35"/>
      <c r="O958" s="35"/>
      <c r="P958" s="35"/>
      <c r="Q958" s="36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1217</v>
      </c>
      <c r="H959" s="20" t="str">
        <f>+T959</f>
        <v/>
      </c>
      <c r="J959" s="30"/>
      <c r="K959" s="22" t="str">
        <f>IF(I959="","",IF(I959="ENTRADA",ABS(J959),-ABS(J959)))</f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1218</v>
      </c>
      <c r="H960" s="20" t="str">
        <f>+T960</f>
        <v/>
      </c>
      <c r="J960" s="30"/>
      <c r="K960" s="22" t="str">
        <f>IF(I960="","",IF(I960="ENTRADA",ABS(J960),-ABS(J960)))</f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1219</v>
      </c>
      <c r="H961" s="20" t="str">
        <f>+T961</f>
        <v/>
      </c>
      <c r="J961" s="30"/>
      <c r="K961" s="22" t="str">
        <f>IF(I961="","",IF(I961="ENTRADA",ABS(J961),-ABS(J961)))</f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1220</v>
      </c>
      <c r="H962" s="20" t="str">
        <f>+T962</f>
        <v/>
      </c>
      <c r="J962" s="30"/>
      <c r="K962" s="22" t="str">
        <f>IF(I962="","",IF(I962="ENTRADA",ABS(J962),-ABS(J962)))</f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1221</v>
      </c>
      <c r="H963" s="20" t="str">
        <f>+T963</f>
        <v/>
      </c>
      <c r="J963" s="30"/>
      <c r="K963" s="22" t="str">
        <f>IF(I963="","",IF(I963="ENTRADA",ABS(J963),-ABS(J963)))</f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1222</v>
      </c>
      <c r="H964" s="20" t="str">
        <f>+T964</f>
        <v/>
      </c>
      <c r="J964" s="30"/>
      <c r="K964" s="22" t="str">
        <f>IF(I964="","",IF(I964="ENTRADA",ABS(J964),-ABS(J964)))</f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1223</v>
      </c>
      <c r="H965" s="20" t="str">
        <f>+T965</f>
        <v/>
      </c>
      <c r="J965" s="30"/>
      <c r="K965" s="22" t="str">
        <f>IF(I965="","",IF(I965="ENTRADA",ABS(J965),-ABS(J965)))</f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1224</v>
      </c>
      <c r="H966" s="20" t="str">
        <f>+T966</f>
        <v/>
      </c>
      <c r="J966" s="30"/>
      <c r="K966" s="22" t="str">
        <f>IF(I966="","",IF(I966="ENTRADA",ABS(J966),-ABS(J966)))</f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1225</v>
      </c>
      <c r="H967" s="20" t="str">
        <f>+T967</f>
        <v/>
      </c>
      <c r="J967" s="30"/>
      <c r="K967" s="22" t="str">
        <f>IF(I967="","",IF(I967="ENTRADA",ABS(J967),-ABS(J967)))</f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1226</v>
      </c>
      <c r="H968" s="20" t="str">
        <f>+T968</f>
        <v/>
      </c>
      <c r="J968" s="30"/>
      <c r="K968" s="22" t="str">
        <f>IF(I968="","",IF(I968="ENTRADA",ABS(J968),-ABS(J968)))</f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1227</v>
      </c>
      <c r="B969" s="35"/>
      <c r="C969" s="35"/>
      <c r="D969" s="35"/>
      <c r="E969" s="35"/>
      <c r="F969" s="35"/>
      <c r="G969" s="35"/>
      <c r="H969" s="20" t="str">
        <f>+T969</f>
        <v/>
      </c>
      <c r="I969" s="35"/>
      <c r="J969" s="37"/>
      <c r="K969" s="22" t="str">
        <f>IF(I969="","",IF(I969="ENTRADA",ABS(J969),-ABS(J969)))</f>
        <v/>
      </c>
      <c r="L969" s="35"/>
      <c r="M969" s="35"/>
      <c r="N969" s="35"/>
      <c r="O969" s="35"/>
      <c r="P969" s="35"/>
      <c r="Q969" s="36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1228</v>
      </c>
      <c r="H970" s="20" t="str">
        <f>+T970</f>
        <v/>
      </c>
      <c r="J970" s="30"/>
      <c r="K970" s="22" t="str">
        <f>IF(I970="","",IF(I970="ENTRADA",ABS(J970),-ABS(J970)))</f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1229</v>
      </c>
      <c r="H971" s="20" t="str">
        <f>+T971</f>
        <v/>
      </c>
      <c r="J971" s="30"/>
      <c r="K971" s="22" t="str">
        <f>IF(I971="","",IF(I971="ENTRADA",ABS(J971),-ABS(J971)))</f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1230</v>
      </c>
      <c r="H972" s="20" t="str">
        <f>+T972</f>
        <v/>
      </c>
      <c r="J972" s="30"/>
      <c r="K972" s="22" t="str">
        <f>IF(I972="","",IF(I972="ENTRADA",ABS(J972),-ABS(J972)))</f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1231</v>
      </c>
      <c r="H973" s="20" t="str">
        <f>+T973</f>
        <v/>
      </c>
      <c r="J973" s="30"/>
      <c r="K973" s="22" t="str">
        <f>IF(I973="","",IF(I973="ENTRADA",ABS(J973),-ABS(J973)))</f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1232</v>
      </c>
      <c r="H974" s="20" t="str">
        <f>+T974</f>
        <v/>
      </c>
      <c r="J974" s="30"/>
      <c r="K974" s="22" t="str">
        <f>IF(I974="","",IF(I974="ENTRADA",ABS(J974),-ABS(J974)))</f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1233</v>
      </c>
      <c r="H975" s="20" t="str">
        <f>+T975</f>
        <v/>
      </c>
      <c r="J975" s="30"/>
      <c r="K975" s="22" t="str">
        <f>IF(I975="","",IF(I975="ENTRADA",ABS(J975),-ABS(J975)))</f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1234</v>
      </c>
      <c r="H976" s="20" t="str">
        <f>+T976</f>
        <v/>
      </c>
      <c r="J976" s="30"/>
      <c r="K976" s="22" t="str">
        <f>IF(I976="","",IF(I976="ENTRADA",ABS(J976),-ABS(J976)))</f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1235</v>
      </c>
      <c r="H977" s="20" t="str">
        <f>+T977</f>
        <v/>
      </c>
      <c r="J977" s="30"/>
      <c r="K977" s="22" t="str">
        <f>IF(I977="","",IF(I977="ENTRADA",ABS(J977),-ABS(J977)))</f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1236</v>
      </c>
      <c r="H978" s="20" t="str">
        <f>+T978</f>
        <v/>
      </c>
      <c r="J978" s="30"/>
      <c r="K978" s="22" t="str">
        <f>IF(I978="","",IF(I978="ENTRADA",ABS(J978),-ABS(J978)))</f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1237</v>
      </c>
      <c r="H979" s="20" t="str">
        <f>+T979</f>
        <v/>
      </c>
      <c r="J979" s="30"/>
      <c r="K979" s="22" t="str">
        <f>IF(I979="","",IF(I979="ENTRADA",ABS(J979),-ABS(J979)))</f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1238</v>
      </c>
      <c r="B980" s="35"/>
      <c r="C980" s="35"/>
      <c r="D980" s="35"/>
      <c r="E980" s="35"/>
      <c r="F980" s="35"/>
      <c r="G980" s="35"/>
      <c r="H980" s="20" t="str">
        <f>+T980</f>
        <v/>
      </c>
      <c r="I980" s="35"/>
      <c r="J980" s="37"/>
      <c r="K980" s="22" t="str">
        <f>IF(I980="","",IF(I980="ENTRADA",ABS(J980),-ABS(J980)))</f>
        <v/>
      </c>
      <c r="L980" s="35"/>
      <c r="M980" s="35"/>
      <c r="N980" s="35"/>
      <c r="O980" s="35"/>
      <c r="P980" s="35"/>
      <c r="Q980" s="36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1239</v>
      </c>
      <c r="H981" s="20" t="str">
        <f>+T981</f>
        <v/>
      </c>
      <c r="J981" s="30"/>
      <c r="K981" s="22" t="str">
        <f>IF(I981="","",IF(I981="ENTRADA",ABS(J981),-ABS(J981)))</f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1240</v>
      </c>
      <c r="H982" s="20" t="str">
        <f>+T982</f>
        <v/>
      </c>
      <c r="J982" s="30"/>
      <c r="K982" s="22" t="str">
        <f>IF(I982="","",IF(I982="ENTRADA",ABS(J982),-ABS(J982)))</f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1241</v>
      </c>
      <c r="H983" s="20" t="str">
        <f>+T983</f>
        <v/>
      </c>
      <c r="J983" s="30"/>
      <c r="K983" s="22" t="str">
        <f>IF(I983="","",IF(I983="ENTRADA",ABS(J983),-ABS(J983)))</f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1242</v>
      </c>
      <c r="H984" s="20" t="str">
        <f>+T984</f>
        <v/>
      </c>
      <c r="J984" s="30"/>
      <c r="K984" s="22" t="str">
        <f>IF(I984="","",IF(I984="ENTRADA",ABS(J984),-ABS(J984)))</f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1243</v>
      </c>
      <c r="H985" s="20" t="str">
        <f>+T985</f>
        <v/>
      </c>
      <c r="J985" s="30"/>
      <c r="K985" s="22" t="str">
        <f>IF(I985="","",IF(I985="ENTRADA",ABS(J985),-ABS(J985)))</f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1244</v>
      </c>
      <c r="H986" s="20" t="str">
        <f>+T986</f>
        <v/>
      </c>
      <c r="J986" s="30"/>
      <c r="K986" s="22" t="str">
        <f>IF(I986="","",IF(I986="ENTRADA",ABS(J986),-ABS(J986)))</f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1245</v>
      </c>
      <c r="H987" s="20" t="str">
        <f>+T987</f>
        <v/>
      </c>
      <c r="J987" s="30"/>
      <c r="K987" s="22" t="str">
        <f>IF(I987="","",IF(I987="ENTRADA",ABS(J987),-ABS(J987)))</f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1246</v>
      </c>
      <c r="H988" s="20" t="str">
        <f>+T988</f>
        <v/>
      </c>
      <c r="J988" s="30"/>
      <c r="K988" s="22" t="str">
        <f>IF(I988="","",IF(I988="ENTRADA",ABS(J988),-ABS(J988)))</f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1247</v>
      </c>
      <c r="H989" s="20" t="str">
        <f>+T989</f>
        <v/>
      </c>
      <c r="J989" s="30"/>
      <c r="K989" s="22" t="str">
        <f>IF(I989="","",IF(I989="ENTRADA",ABS(J989),-ABS(J989)))</f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1248</v>
      </c>
      <c r="H990" s="20" t="str">
        <f>+T990</f>
        <v/>
      </c>
      <c r="J990" s="30"/>
      <c r="K990" s="22" t="str">
        <f>IF(I990="","",IF(I990="ENTRADA",ABS(J990),-ABS(J990)))</f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1249</v>
      </c>
      <c r="B991" s="35"/>
      <c r="C991" s="35"/>
      <c r="D991" s="35"/>
      <c r="E991" s="35"/>
      <c r="F991" s="35"/>
      <c r="G991" s="35"/>
      <c r="H991" s="20" t="str">
        <f>+T991</f>
        <v/>
      </c>
      <c r="I991" s="35"/>
      <c r="J991" s="37"/>
      <c r="K991" s="22" t="str">
        <f>IF(I991="","",IF(I991="ENTRADA",ABS(J991),-ABS(J991)))</f>
        <v/>
      </c>
      <c r="L991" s="35"/>
      <c r="M991" s="35"/>
      <c r="N991" s="35"/>
      <c r="O991" s="35"/>
      <c r="P991" s="35"/>
      <c r="Q991" s="36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1250</v>
      </c>
      <c r="H992" s="20" t="str">
        <f>+T992</f>
        <v/>
      </c>
      <c r="J992" s="30"/>
      <c r="K992" s="22" t="str">
        <f>IF(I992="","",IF(I992="ENTRADA",ABS(J992),-ABS(J992)))</f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1251</v>
      </c>
      <c r="H993" s="20" t="str">
        <f>+T993</f>
        <v/>
      </c>
      <c r="J993" s="30"/>
      <c r="K993" s="22" t="str">
        <f>IF(I993="","",IF(I993="ENTRADA",ABS(J993),-ABS(J993)))</f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1252</v>
      </c>
      <c r="H994" s="20" t="str">
        <f>+T994</f>
        <v/>
      </c>
      <c r="J994" s="30"/>
      <c r="K994" s="22" t="str">
        <f>IF(I994="","",IF(I994="ENTRADA",ABS(J994),-ABS(J994)))</f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1253</v>
      </c>
      <c r="H995" s="20" t="str">
        <f>+T995</f>
        <v/>
      </c>
      <c r="J995" s="30"/>
      <c r="K995" s="22" t="str">
        <f>IF(I995="","",IF(I995="ENTRADA",ABS(J995),-ABS(J995)))</f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1254</v>
      </c>
      <c r="H996" s="20" t="str">
        <f>+T996</f>
        <v/>
      </c>
      <c r="J996" s="30"/>
      <c r="K996" s="22" t="str">
        <f>IF(I996="","",IF(I996="ENTRADA",ABS(J996),-ABS(J996)))</f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1255</v>
      </c>
      <c r="H997" s="20" t="str">
        <f>+T997</f>
        <v/>
      </c>
      <c r="J997" s="30"/>
      <c r="K997" s="22" t="str">
        <f>IF(I997="","",IF(I997="ENTRADA",ABS(J997),-ABS(J997)))</f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1256</v>
      </c>
      <c r="H998" s="20" t="str">
        <f>+T998</f>
        <v/>
      </c>
      <c r="J998" s="30"/>
      <c r="K998" s="22" t="str">
        <f>IF(I998="","",IF(I998="ENTRADA",ABS(J998),-ABS(J998)))</f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1257</v>
      </c>
      <c r="H999" s="20" t="str">
        <f>+T999</f>
        <v/>
      </c>
      <c r="J999" s="30"/>
      <c r="K999" s="22" t="str">
        <f>IF(I999="","",IF(I999="ENTRADA",ABS(J999),-ABS(J999)))</f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1258</v>
      </c>
      <c r="H1000" s="20" t="str">
        <f>+T1000</f>
        <v/>
      </c>
      <c r="J1000" s="30"/>
      <c r="K1000" s="22" t="str">
        <f>IF(I1000="","",IF(I1000="ENTRADA",ABS(J1000),-ABS(J1000)))</f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1259</v>
      </c>
      <c r="H1001" s="20" t="str">
        <f>+T1001</f>
        <v/>
      </c>
      <c r="J1001" s="30"/>
      <c r="K1001" s="22" t="str">
        <f>IF(I1001="","",IF(I1001="ENTRADA",ABS(J1001),-ABS(J1001)))</f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1260</v>
      </c>
      <c r="B1002" s="35"/>
      <c r="C1002" s="35"/>
      <c r="D1002" s="35"/>
      <c r="E1002" s="35"/>
      <c r="F1002" s="35"/>
      <c r="G1002" s="35"/>
      <c r="H1002" s="20" t="str">
        <f>+T1002</f>
        <v/>
      </c>
      <c r="I1002" s="35"/>
      <c r="J1002" s="37"/>
      <c r="K1002" s="22" t="str">
        <f>IF(I1002="","",IF(I1002="ENTRADA",ABS(J1002),-ABS(J1002)))</f>
        <v/>
      </c>
      <c r="L1002" s="35"/>
      <c r="M1002" s="35"/>
      <c r="N1002" s="35"/>
      <c r="O1002" s="35"/>
      <c r="P1002" s="35"/>
      <c r="Q1002" s="36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1261</v>
      </c>
      <c r="H1003" s="20" t="str">
        <f>+T1003</f>
        <v/>
      </c>
      <c r="J1003" s="30"/>
      <c r="K1003" s="22" t="str">
        <f>IF(I1003="","",IF(I1003="ENTRADA",ABS(J1003),-ABS(J1003)))</f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1262</v>
      </c>
      <c r="H1004" s="20" t="str">
        <f>+T1004</f>
        <v/>
      </c>
      <c r="J1004" s="30"/>
      <c r="K1004" s="22" t="str">
        <f>IF(I1004="","",IF(I1004="ENTRADA",ABS(J1004),-ABS(J1004)))</f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1263</v>
      </c>
      <c r="H1005" s="20" t="str">
        <f>+T1005</f>
        <v/>
      </c>
      <c r="J1005" s="30"/>
      <c r="K1005" s="22" t="str">
        <f>IF(I1005="","",IF(I1005="ENTRADA",ABS(J1005),-ABS(J1005)))</f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1264</v>
      </c>
      <c r="H1006" s="20" t="str">
        <f>+T1006</f>
        <v/>
      </c>
      <c r="J1006" s="30"/>
      <c r="K1006" s="22" t="str">
        <f>IF(I1006="","",IF(I1006="ENTRADA",ABS(J1006),-ABS(J1006)))</f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1265</v>
      </c>
      <c r="H1007" s="20" t="str">
        <f>+T1007</f>
        <v/>
      </c>
      <c r="J1007" s="30"/>
      <c r="K1007" s="22" t="str">
        <f>IF(I1007="","",IF(I1007="ENTRADA",ABS(J1007),-ABS(J1007)))</f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1266</v>
      </c>
      <c r="H1008" s="20" t="str">
        <f>+T1008</f>
        <v/>
      </c>
      <c r="J1008" s="30"/>
      <c r="K1008" s="22" t="str">
        <f>IF(I1008="","",IF(I1008="ENTRADA",ABS(J1008),-ABS(J1008)))</f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1267</v>
      </c>
      <c r="H1009" s="20" t="str">
        <f>+T1009</f>
        <v/>
      </c>
      <c r="J1009" s="30"/>
      <c r="K1009" s="22" t="str">
        <f>IF(I1009="","",IF(I1009="ENTRADA",ABS(J1009),-ABS(J1009)))</f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1268</v>
      </c>
      <c r="H1010" s="20" t="str">
        <f>+T1010</f>
        <v/>
      </c>
      <c r="J1010" s="30"/>
      <c r="K1010" s="22" t="str">
        <f>IF(I1010="","",IF(I1010="ENTRADA",ABS(J1010),-ABS(J1010)))</f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1269</v>
      </c>
      <c r="H1011" s="20" t="str">
        <f>+T1011</f>
        <v/>
      </c>
      <c r="J1011" s="30"/>
      <c r="K1011" s="22" t="str">
        <f>IF(I1011="","",IF(I1011="ENTRADA",ABS(J1011),-ABS(J1011)))</f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1270</v>
      </c>
      <c r="H1012" s="20" t="str">
        <f>+T1012</f>
        <v/>
      </c>
      <c r="J1012" s="30"/>
      <c r="K1012" s="22" t="str">
        <f>IF(I1012="","",IF(I1012="ENTRADA",ABS(J1012),-ABS(J1012)))</f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1271</v>
      </c>
      <c r="B1013" s="35"/>
      <c r="C1013" s="35"/>
      <c r="D1013" s="35"/>
      <c r="E1013" s="35"/>
      <c r="F1013" s="35"/>
      <c r="G1013" s="35"/>
      <c r="H1013" s="20" t="str">
        <f>+T1013</f>
        <v/>
      </c>
      <c r="I1013" s="35"/>
      <c r="J1013" s="37"/>
      <c r="K1013" s="22" t="str">
        <f>IF(I1013="","",IF(I1013="ENTRADA",ABS(J1013),-ABS(J1013)))</f>
        <v/>
      </c>
      <c r="L1013" s="35"/>
      <c r="M1013" s="35"/>
      <c r="N1013" s="35"/>
      <c r="O1013" s="35"/>
      <c r="P1013" s="35"/>
      <c r="Q1013" s="36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1272</v>
      </c>
      <c r="H1014" s="20" t="str">
        <f>+T1014</f>
        <v/>
      </c>
      <c r="J1014" s="30"/>
      <c r="K1014" s="22" t="str">
        <f>IF(I1014="","",IF(I1014="ENTRADA",ABS(J1014),-ABS(J1014)))</f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1273</v>
      </c>
      <c r="H1015" s="20" t="str">
        <f>+T1015</f>
        <v/>
      </c>
      <c r="J1015" s="30"/>
      <c r="K1015" s="22" t="str">
        <f>IF(I1015="","",IF(I1015="ENTRADA",ABS(J1015),-ABS(J1015)))</f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1274</v>
      </c>
      <c r="H1016" s="20" t="str">
        <f>+T1016</f>
        <v/>
      </c>
      <c r="J1016" s="30"/>
      <c r="K1016" s="22" t="str">
        <f>IF(I1016="","",IF(I1016="ENTRADA",ABS(J1016),-ABS(J1016)))</f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1275</v>
      </c>
      <c r="H1017" s="20" t="str">
        <f>+T1017</f>
        <v/>
      </c>
      <c r="J1017" s="30"/>
      <c r="K1017" s="22" t="str">
        <f>IF(I1017="","",IF(I1017="ENTRADA",ABS(J1017),-ABS(J1017)))</f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1276</v>
      </c>
      <c r="H1018" s="20" t="str">
        <f>+T1018</f>
        <v/>
      </c>
      <c r="J1018" s="30"/>
      <c r="K1018" s="22" t="str">
        <f>IF(I1018="","",IF(I1018="ENTRADA",ABS(J1018),-ABS(J1018)))</f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1277</v>
      </c>
      <c r="H1019" s="20" t="str">
        <f>+T1019</f>
        <v/>
      </c>
      <c r="J1019" s="30"/>
      <c r="K1019" s="22" t="str">
        <f>IF(I1019="","",IF(I1019="ENTRADA",ABS(J1019),-ABS(J1019)))</f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1278</v>
      </c>
      <c r="H1020" s="20" t="str">
        <f>+T1020</f>
        <v/>
      </c>
      <c r="J1020" s="30"/>
      <c r="K1020" s="22" t="str">
        <f>IF(I1020="","",IF(I1020="ENTRADA",ABS(J1020),-ABS(J1020)))</f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1279</v>
      </c>
      <c r="H1021" s="20" t="str">
        <f>+T1021</f>
        <v/>
      </c>
      <c r="J1021" s="30"/>
      <c r="K1021" s="22" t="str">
        <f>IF(I1021="","",IF(I1021="ENTRADA",ABS(J1021),-ABS(J1021)))</f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1280</v>
      </c>
      <c r="H1022" s="20" t="str">
        <f>+T1022</f>
        <v/>
      </c>
      <c r="J1022" s="30"/>
      <c r="K1022" s="22" t="str">
        <f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1281</v>
      </c>
      <c r="H1023" s="20" t="str">
        <f>+T1023</f>
        <v/>
      </c>
      <c r="J1023" s="30"/>
      <c r="K1023" s="22" t="str">
        <f>IF(I1023="","",IF(I1023="ENTRADA",ABS(J1023),-ABS(J1023)))</f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1282</v>
      </c>
      <c r="B1024" s="35"/>
      <c r="C1024" s="35"/>
      <c r="D1024" s="35"/>
      <c r="E1024" s="35"/>
      <c r="F1024" s="35"/>
      <c r="G1024" s="35"/>
      <c r="H1024" s="20" t="str">
        <f>+T1024</f>
        <v/>
      </c>
      <c r="I1024" s="35"/>
      <c r="J1024" s="37"/>
      <c r="K1024" s="22" t="str">
        <f>IF(I1024="","",IF(I1024="ENTRADA",ABS(J1024),-ABS(J1024)))</f>
        <v/>
      </c>
      <c r="L1024" s="35"/>
      <c r="M1024" s="35"/>
      <c r="N1024" s="35"/>
      <c r="O1024" s="35"/>
      <c r="P1024" s="35"/>
      <c r="Q1024" s="36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1283</v>
      </c>
      <c r="H1025" s="20" t="str">
        <f>+T1025</f>
        <v/>
      </c>
      <c r="J1025" s="30"/>
      <c r="K1025" s="22" t="str">
        <f>IF(I1025="","",IF(I1025="ENTRADA",ABS(J1025),-ABS(J1025)))</f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1284</v>
      </c>
      <c r="H1026" s="20" t="str">
        <f>+T1026</f>
        <v/>
      </c>
      <c r="J1026" s="30"/>
      <c r="K1026" s="22" t="str">
        <f>IF(I1026="","",IF(I1026="ENTRADA",ABS(J1026),-ABS(J1026)))</f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1285</v>
      </c>
      <c r="H1027" s="20" t="str">
        <f>+T1027</f>
        <v/>
      </c>
      <c r="J1027" s="30"/>
      <c r="K1027" s="22" t="str">
        <f>IF(I1027="","",IF(I1027="ENTRADA",ABS(J1027),-ABS(J1027)))</f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1286</v>
      </c>
      <c r="H1028" s="20" t="str">
        <f>+T1028</f>
        <v/>
      </c>
      <c r="J1028" s="30"/>
      <c r="K1028" s="22" t="str">
        <f>IF(I1028="","",IF(I1028="ENTRADA",ABS(J1028),-ABS(J1028)))</f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1287</v>
      </c>
      <c r="H1029" s="20" t="str">
        <f>+T1029</f>
        <v/>
      </c>
      <c r="J1029" s="30"/>
      <c r="K1029" s="22" t="str">
        <f>IF(I1029="","",IF(I1029="ENTRADA",ABS(J1029),-ABS(J1029)))</f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1288</v>
      </c>
      <c r="H1030" s="20" t="str">
        <f>+T1030</f>
        <v/>
      </c>
      <c r="J1030" s="30"/>
      <c r="K1030" s="22" t="str">
        <f>IF(I1030="","",IF(I1030="ENTRADA",ABS(J1030),-ABS(J1030)))</f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1289</v>
      </c>
      <c r="H1031" s="20" t="str">
        <f>+T1031</f>
        <v/>
      </c>
      <c r="J1031" s="30"/>
      <c r="K1031" s="22" t="str">
        <f>IF(I1031="","",IF(I1031="ENTRADA",ABS(J1031),-ABS(J1031)))</f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1290</v>
      </c>
      <c r="H1032" s="20" t="str">
        <f>+T1032</f>
        <v/>
      </c>
      <c r="J1032" s="30"/>
      <c r="K1032" s="22" t="str">
        <f>IF(I1032="","",IF(I1032="ENTRADA",ABS(J1032),-ABS(J1032)))</f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1291</v>
      </c>
      <c r="H1033" s="20" t="str">
        <f>+T1033</f>
        <v/>
      </c>
      <c r="J1033" s="30"/>
      <c r="K1033" s="22" t="str">
        <f>IF(I1033="","",IF(I1033="ENTRADA",ABS(J1033),-ABS(J1033)))</f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1292</v>
      </c>
      <c r="H1034" s="20" t="str">
        <f>+T1034</f>
        <v/>
      </c>
      <c r="J1034" s="30"/>
      <c r="K1034" s="22" t="str">
        <f>IF(I1034="","",IF(I1034="ENTRADA",ABS(J1034),-ABS(J1034)))</f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1293</v>
      </c>
      <c r="B1035" s="35"/>
      <c r="C1035" s="35"/>
      <c r="D1035" s="35"/>
      <c r="E1035" s="35"/>
      <c r="F1035" s="35"/>
      <c r="G1035" s="35"/>
      <c r="H1035" s="20" t="str">
        <f>+T1035</f>
        <v/>
      </c>
      <c r="I1035" s="35"/>
      <c r="J1035" s="37"/>
      <c r="K1035" s="22" t="str">
        <f>IF(I1035="","",IF(I1035="ENTRADA",ABS(J1035),-ABS(J1035)))</f>
        <v/>
      </c>
      <c r="L1035" s="35"/>
      <c r="M1035" s="35"/>
      <c r="N1035" s="35"/>
      <c r="O1035" s="35"/>
      <c r="P1035" s="35"/>
      <c r="Q1035" s="36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1294</v>
      </c>
      <c r="H1036" s="20" t="str">
        <f>+T1036</f>
        <v/>
      </c>
      <c r="J1036" s="30"/>
      <c r="K1036" s="22" t="str">
        <f>IF(I1036="","",IF(I1036="ENTRADA",ABS(J1036),-ABS(J1036)))</f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1295</v>
      </c>
      <c r="H1037" s="20" t="str">
        <f>+T1037</f>
        <v/>
      </c>
      <c r="J1037" s="30"/>
      <c r="K1037" s="22" t="str">
        <f>IF(I1037="","",IF(I1037="ENTRADA",ABS(J1037),-ABS(J1037)))</f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1296</v>
      </c>
      <c r="H1038" s="20" t="str">
        <f>+T1038</f>
        <v/>
      </c>
      <c r="J1038" s="30"/>
      <c r="K1038" s="22" t="str">
        <f>IF(I1038="","",IF(I1038="ENTRADA",ABS(J1038),-ABS(J1038)))</f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1297</v>
      </c>
      <c r="H1039" s="20" t="str">
        <f>+T1039</f>
        <v/>
      </c>
      <c r="J1039" s="30"/>
      <c r="K1039" s="22" t="str">
        <f>IF(I1039="","",IF(I1039="ENTRADA",ABS(J1039),-ABS(J1039)))</f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1298</v>
      </c>
      <c r="H1040" s="20" t="str">
        <f>+T1040</f>
        <v/>
      </c>
      <c r="J1040" s="30"/>
      <c r="K1040" s="22" t="str">
        <f>IF(I1040="","",IF(I1040="ENTRADA",ABS(J1040),-ABS(J1040)))</f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1299</v>
      </c>
      <c r="H1041" s="20" t="str">
        <f>+T1041</f>
        <v/>
      </c>
      <c r="J1041" s="30"/>
      <c r="K1041" s="22" t="str">
        <f>IF(I1041="","",IF(I1041="ENTRADA",ABS(J1041),-ABS(J1041)))</f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1300</v>
      </c>
      <c r="H1042" s="20" t="str">
        <f>+T1042</f>
        <v/>
      </c>
      <c r="J1042" s="30"/>
      <c r="K1042" s="22" t="str">
        <f>IF(I1042="","",IF(I1042="ENTRADA",ABS(J1042),-ABS(J1042)))</f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1301</v>
      </c>
      <c r="H1043" s="20" t="str">
        <f>+T1043</f>
        <v/>
      </c>
      <c r="J1043" s="30"/>
      <c r="K1043" s="22" t="str">
        <f>IF(I1043="","",IF(I1043="ENTRADA",ABS(J1043),-ABS(J1043)))</f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1302</v>
      </c>
      <c r="H1044" s="20" t="str">
        <f>+T1044</f>
        <v/>
      </c>
      <c r="J1044" s="30"/>
      <c r="K1044" s="22" t="str">
        <f>IF(I1044="","",IF(I1044="ENTRADA",ABS(J1044),-ABS(J1044)))</f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1303</v>
      </c>
      <c r="H1045" s="20" t="str">
        <f>+T1045</f>
        <v/>
      </c>
      <c r="J1045" s="30"/>
      <c r="K1045" s="22" t="str">
        <f>IF(I1045="","",IF(I1045="ENTRADA",ABS(J1045),-ABS(J1045)))</f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1304</v>
      </c>
      <c r="B1046" s="35"/>
      <c r="C1046" s="35"/>
      <c r="D1046" s="35"/>
      <c r="E1046" s="35"/>
      <c r="F1046" s="35"/>
      <c r="G1046" s="35"/>
      <c r="H1046" s="20" t="str">
        <f>+T1046</f>
        <v/>
      </c>
      <c r="I1046" s="35"/>
      <c r="J1046" s="37"/>
      <c r="K1046" s="22" t="str">
        <f>IF(I1046="","",IF(I1046="ENTRADA",ABS(J1046),-ABS(J1046)))</f>
        <v/>
      </c>
      <c r="L1046" s="35"/>
      <c r="M1046" s="35"/>
      <c r="N1046" s="35"/>
      <c r="O1046" s="35"/>
      <c r="P1046" s="35"/>
      <c r="Q1046" s="36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1305</v>
      </c>
      <c r="H1047" s="20" t="str">
        <f>+T1047</f>
        <v/>
      </c>
      <c r="J1047" s="30"/>
      <c r="K1047" s="22" t="str">
        <f>IF(I1047="","",IF(I1047="ENTRADA",ABS(J1047),-ABS(J1047)))</f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1306</v>
      </c>
      <c r="H1048" s="20" t="str">
        <f>+T1048</f>
        <v/>
      </c>
      <c r="J1048" s="30"/>
      <c r="K1048" s="22" t="str">
        <f>IF(I1048="","",IF(I1048="ENTRADA",ABS(J1048),-ABS(J1048)))</f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1307</v>
      </c>
      <c r="H1049" s="20" t="str">
        <f>+T1049</f>
        <v/>
      </c>
      <c r="J1049" s="30"/>
      <c r="K1049" s="22" t="str">
        <f>IF(I1049="","",IF(I1049="ENTRADA",ABS(J1049),-ABS(J1049)))</f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1308</v>
      </c>
      <c r="H1050" s="20" t="str">
        <f>+T1050</f>
        <v/>
      </c>
      <c r="J1050" s="30"/>
      <c r="K1050" s="22" t="str">
        <f>IF(I1050="","",IF(I1050="ENTRADA",ABS(J1050),-ABS(J1050)))</f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1309</v>
      </c>
      <c r="H1051" s="20" t="str">
        <f>+T1051</f>
        <v/>
      </c>
      <c r="J1051" s="30"/>
      <c r="K1051" s="22" t="str">
        <f>IF(I1051="","",IF(I1051="ENTRADA",ABS(J1051),-ABS(J1051)))</f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1310</v>
      </c>
      <c r="H1052" s="20" t="str">
        <f>+T1052</f>
        <v/>
      </c>
      <c r="J1052" s="30"/>
      <c r="K1052" s="22" t="str">
        <f>IF(I1052="","",IF(I1052="ENTRADA",ABS(J1052),-ABS(J1052)))</f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1311</v>
      </c>
      <c r="H1053" s="20" t="str">
        <f>+T1053</f>
        <v/>
      </c>
      <c r="J1053" s="30"/>
      <c r="K1053" s="22" t="str">
        <f>IF(I1053="","",IF(I1053="ENTRADA",ABS(J1053),-ABS(J1053)))</f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1312</v>
      </c>
      <c r="H1054" s="20" t="str">
        <f>+T1054</f>
        <v/>
      </c>
      <c r="J1054" s="30"/>
      <c r="K1054" s="22" t="str">
        <f>IF(I1054="","",IF(I1054="ENTRADA",ABS(J1054),-ABS(J1054)))</f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1313</v>
      </c>
      <c r="H1055" s="20" t="str">
        <f>+T1055</f>
        <v/>
      </c>
      <c r="J1055" s="30"/>
      <c r="K1055" s="22" t="str">
        <f>IF(I1055="","",IF(I1055="ENTRADA",ABS(J1055),-ABS(J1055)))</f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1314</v>
      </c>
      <c r="H1056" s="20" t="str">
        <f>+T1056</f>
        <v/>
      </c>
      <c r="J1056" s="30"/>
      <c r="K1056" s="22" t="str">
        <f>IF(I1056="","",IF(I1056="ENTRADA",ABS(J1056),-ABS(J1056)))</f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1315</v>
      </c>
      <c r="B1057" s="35"/>
      <c r="C1057" s="35"/>
      <c r="D1057" s="35"/>
      <c r="E1057" s="35"/>
      <c r="F1057" s="35"/>
      <c r="G1057" s="35"/>
      <c r="H1057" s="20" t="str">
        <f>+T1057</f>
        <v/>
      </c>
      <c r="I1057" s="35"/>
      <c r="J1057" s="37"/>
      <c r="K1057" s="22" t="str">
        <f>IF(I1057="","",IF(I1057="ENTRADA",ABS(J1057),-ABS(J1057)))</f>
        <v/>
      </c>
      <c r="L1057" s="35"/>
      <c r="M1057" s="35"/>
      <c r="N1057" s="35"/>
      <c r="O1057" s="35"/>
      <c r="P1057" s="35"/>
      <c r="Q1057" s="36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1316</v>
      </c>
      <c r="H1058" s="20" t="str">
        <f>+T1058</f>
        <v/>
      </c>
      <c r="J1058" s="30"/>
      <c r="K1058" s="22" t="str">
        <f>IF(I1058="","",IF(I1058="ENTRADA",ABS(J1058),-ABS(J1058)))</f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1317</v>
      </c>
      <c r="H1059" s="20" t="str">
        <f>+T1059</f>
        <v/>
      </c>
      <c r="J1059" s="30"/>
      <c r="K1059" s="22" t="str">
        <f>IF(I1059="","",IF(I1059="ENTRADA",ABS(J1059),-ABS(J1059)))</f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1318</v>
      </c>
      <c r="H1060" s="20" t="str">
        <f>+T1060</f>
        <v/>
      </c>
      <c r="J1060" s="30"/>
      <c r="K1060" s="22" t="str">
        <f>IF(I1060="","",IF(I1060="ENTRADA",ABS(J1060),-ABS(J1060)))</f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1319</v>
      </c>
      <c r="H1061" s="20" t="str">
        <f>+T1061</f>
        <v/>
      </c>
      <c r="J1061" s="30"/>
      <c r="K1061" s="22" t="str">
        <f>IF(I1061="","",IF(I1061="ENTRADA",ABS(J1061),-ABS(J1061)))</f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1320</v>
      </c>
      <c r="H1062" s="20" t="str">
        <f>+T1062</f>
        <v/>
      </c>
      <c r="J1062" s="30"/>
      <c r="K1062" s="22" t="str">
        <f>IF(I1062="","",IF(I1062="ENTRADA",ABS(J1062),-ABS(J1062)))</f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1321</v>
      </c>
      <c r="H1063" s="20" t="str">
        <f>+T1063</f>
        <v/>
      </c>
      <c r="J1063" s="30"/>
      <c r="K1063" s="22" t="str">
        <f>IF(I1063="","",IF(I1063="ENTRADA",ABS(J1063),-ABS(J1063)))</f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1322</v>
      </c>
      <c r="H1064" s="20" t="str">
        <f>+T1064</f>
        <v/>
      </c>
      <c r="J1064" s="30"/>
      <c r="K1064" s="22" t="str">
        <f>IF(I1064="","",IF(I1064="ENTRADA",ABS(J1064),-ABS(J1064)))</f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1323</v>
      </c>
      <c r="H1065" s="20" t="str">
        <f>+T1065</f>
        <v/>
      </c>
      <c r="J1065" s="30"/>
      <c r="K1065" s="22" t="str">
        <f>IF(I1065="","",IF(I1065="ENTRADA",ABS(J1065),-ABS(J1065)))</f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1324</v>
      </c>
      <c r="H1066" s="20" t="str">
        <f>+T1066</f>
        <v/>
      </c>
      <c r="J1066" s="30"/>
      <c r="K1066" s="22" t="str">
        <f>IF(I1066="","",IF(I1066="ENTRADA",ABS(J1066),-ABS(J1066)))</f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1325</v>
      </c>
      <c r="H1067" s="20" t="str">
        <f>+T1067</f>
        <v/>
      </c>
      <c r="J1067" s="30"/>
      <c r="K1067" s="22" t="str">
        <f>IF(I1067="","",IF(I1067="ENTRADA",ABS(J1067),-ABS(J1067)))</f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1326</v>
      </c>
      <c r="B1068" s="35"/>
      <c r="C1068" s="35"/>
      <c r="D1068" s="35"/>
      <c r="E1068" s="35"/>
      <c r="F1068" s="35"/>
      <c r="G1068" s="35"/>
      <c r="H1068" s="20" t="str">
        <f>+T1068</f>
        <v/>
      </c>
      <c r="I1068" s="35"/>
      <c r="J1068" s="37"/>
      <c r="K1068" s="22" t="str">
        <f>IF(I1068="","",IF(I1068="ENTRADA",ABS(J1068),-ABS(J1068)))</f>
        <v/>
      </c>
      <c r="L1068" s="35"/>
      <c r="M1068" s="35"/>
      <c r="N1068" s="35"/>
      <c r="O1068" s="35"/>
      <c r="P1068" s="35"/>
      <c r="Q1068" s="36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1327</v>
      </c>
      <c r="H1069" s="20" t="str">
        <f>+T1069</f>
        <v/>
      </c>
      <c r="J1069" s="30"/>
      <c r="K1069" s="22" t="str">
        <f>IF(I1069="","",IF(I1069="ENTRADA",ABS(J1069),-ABS(J1069)))</f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1328</v>
      </c>
      <c r="H1070" s="20" t="str">
        <f>+T1070</f>
        <v/>
      </c>
      <c r="J1070" s="30"/>
      <c r="K1070" s="22" t="str">
        <f>IF(I1070="","",IF(I1070="ENTRADA",ABS(J1070),-ABS(J1070)))</f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1329</v>
      </c>
      <c r="H1071" s="20" t="str">
        <f>+T1071</f>
        <v/>
      </c>
      <c r="J1071" s="30"/>
      <c r="K1071" s="22" t="str">
        <f>IF(I1071="","",IF(I1071="ENTRADA",ABS(J1071),-ABS(J1071)))</f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1330</v>
      </c>
      <c r="H1072" s="20" t="str">
        <f>+T1072</f>
        <v/>
      </c>
      <c r="J1072" s="30"/>
      <c r="K1072" s="22" t="str">
        <f>IF(I1072="","",IF(I1072="ENTRADA",ABS(J1072),-ABS(J1072)))</f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1331</v>
      </c>
      <c r="H1073" s="20" t="str">
        <f>+T1073</f>
        <v/>
      </c>
      <c r="J1073" s="30"/>
      <c r="K1073" s="22" t="str">
        <f>IF(I1073="","",IF(I1073="ENTRADA",ABS(J1073),-ABS(J1073)))</f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1332</v>
      </c>
      <c r="H1074" s="20" t="str">
        <f>+T1074</f>
        <v/>
      </c>
      <c r="J1074" s="30"/>
      <c r="K1074" s="22" t="str">
        <f>IF(I1074="","",IF(I1074="ENTRADA",ABS(J1074),-ABS(J1074)))</f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1333</v>
      </c>
      <c r="H1075" s="20" t="str">
        <f>+T1075</f>
        <v/>
      </c>
      <c r="J1075" s="30"/>
      <c r="K1075" s="22" t="str">
        <f>IF(I1075="","",IF(I1075="ENTRADA",ABS(J1075),-ABS(J1075)))</f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1334</v>
      </c>
      <c r="H1076" s="20" t="str">
        <f>+T1076</f>
        <v/>
      </c>
      <c r="J1076" s="30"/>
      <c r="K1076" s="22" t="str">
        <f>IF(I1076="","",IF(I1076="ENTRADA",ABS(J1076),-ABS(J1076)))</f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1335</v>
      </c>
      <c r="H1077" s="20" t="str">
        <f>+T1077</f>
        <v/>
      </c>
      <c r="J1077" s="30"/>
      <c r="K1077" s="22" t="str">
        <f>IF(I1077="","",IF(I1077="ENTRADA",ABS(J1077),-ABS(J1077)))</f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1336</v>
      </c>
      <c r="H1078" s="20" t="str">
        <f>+T1078</f>
        <v/>
      </c>
      <c r="J1078" s="30"/>
      <c r="K1078" s="22" t="str">
        <f>IF(I1078="","",IF(I1078="ENTRADA",ABS(J1078),-ABS(J1078)))</f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1337</v>
      </c>
      <c r="B1079" s="35"/>
      <c r="C1079" s="35"/>
      <c r="D1079" s="35"/>
      <c r="E1079" s="35"/>
      <c r="F1079" s="35"/>
      <c r="G1079" s="35"/>
      <c r="H1079" s="20" t="str">
        <f>+T1079</f>
        <v/>
      </c>
      <c r="I1079" s="35"/>
      <c r="J1079" s="37"/>
      <c r="K1079" s="22" t="str">
        <f>IF(I1079="","",IF(I1079="ENTRADA",ABS(J1079),-ABS(J1079)))</f>
        <v/>
      </c>
      <c r="L1079" s="35"/>
      <c r="M1079" s="35"/>
      <c r="N1079" s="35"/>
      <c r="O1079" s="35"/>
      <c r="P1079" s="35"/>
      <c r="Q1079" s="36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1338</v>
      </c>
      <c r="H1080" s="20" t="str">
        <f>+T1080</f>
        <v/>
      </c>
      <c r="J1080" s="30"/>
      <c r="K1080" s="22" t="str">
        <f>IF(I1080="","",IF(I1080="ENTRADA",ABS(J1080),-ABS(J1080)))</f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1339</v>
      </c>
      <c r="H1081" s="20" t="str">
        <f>+T1081</f>
        <v/>
      </c>
      <c r="J1081" s="30"/>
      <c r="K1081" s="22" t="str">
        <f>IF(I1081="","",IF(I1081="ENTRADA",ABS(J1081),-ABS(J1081)))</f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1340</v>
      </c>
      <c r="H1082" s="20" t="str">
        <f>+T1082</f>
        <v/>
      </c>
      <c r="J1082" s="30"/>
      <c r="K1082" s="22" t="str">
        <f>IF(I1082="","",IF(I1082="ENTRADA",ABS(J1082),-ABS(J1082)))</f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1341</v>
      </c>
      <c r="H1083" s="20" t="str">
        <f>+T1083</f>
        <v/>
      </c>
      <c r="J1083" s="30"/>
      <c r="K1083" s="22" t="str">
        <f>IF(I1083="","",IF(I1083="ENTRADA",ABS(J1083),-ABS(J1083)))</f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1342</v>
      </c>
      <c r="H1084" s="20" t="str">
        <f>+T1084</f>
        <v/>
      </c>
      <c r="J1084" s="30"/>
      <c r="K1084" s="22" t="str">
        <f>IF(I1084="","",IF(I1084="ENTRADA",ABS(J1084),-ABS(J1084)))</f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1343</v>
      </c>
      <c r="H1085" s="20" t="str">
        <f>+T1085</f>
        <v/>
      </c>
      <c r="J1085" s="30"/>
      <c r="K1085" s="22" t="str">
        <f>IF(I1085="","",IF(I1085="ENTRADA",ABS(J1085),-ABS(J1085)))</f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1344</v>
      </c>
      <c r="H1086" s="20" t="str">
        <f>+T1086</f>
        <v/>
      </c>
      <c r="J1086" s="30"/>
      <c r="K1086" s="22" t="str">
        <f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1345</v>
      </c>
      <c r="H1087" s="20" t="str">
        <f>+T1087</f>
        <v/>
      </c>
      <c r="J1087" s="30"/>
      <c r="K1087" s="22" t="str">
        <f>IF(I1087="","",IF(I1087="ENTRADA",ABS(J1087),-ABS(J1087)))</f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1346</v>
      </c>
      <c r="H1088" s="20" t="str">
        <f>+T1088</f>
        <v/>
      </c>
      <c r="J1088" s="30"/>
      <c r="K1088" s="22" t="str">
        <f>IF(I1088="","",IF(I1088="ENTRADA",ABS(J1088),-ABS(J1088)))</f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1347</v>
      </c>
      <c r="H1089" s="20" t="str">
        <f>+T1089</f>
        <v/>
      </c>
      <c r="J1089" s="30"/>
      <c r="K1089" s="22" t="str">
        <f>IF(I1089="","",IF(I1089="ENTRADA",ABS(J1089),-ABS(J1089)))</f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1348</v>
      </c>
      <c r="B1090" s="35"/>
      <c r="C1090" s="35"/>
      <c r="D1090" s="35"/>
      <c r="E1090" s="35"/>
      <c r="F1090" s="35"/>
      <c r="G1090" s="35"/>
      <c r="H1090" s="20" t="str">
        <f>+T1090</f>
        <v/>
      </c>
      <c r="I1090" s="35"/>
      <c r="J1090" s="37"/>
      <c r="K1090" s="22" t="str">
        <f>IF(I1090="","",IF(I1090="ENTRADA",ABS(J1090),-ABS(J1090)))</f>
        <v/>
      </c>
      <c r="L1090" s="35"/>
      <c r="M1090" s="35"/>
      <c r="N1090" s="35"/>
      <c r="O1090" s="35"/>
      <c r="P1090" s="35"/>
      <c r="Q1090" s="36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1349</v>
      </c>
      <c r="H1091" s="20" t="str">
        <f>+T1091</f>
        <v/>
      </c>
      <c r="J1091" s="30"/>
      <c r="K1091" s="22" t="str">
        <f>IF(I1091="","",IF(I1091="ENTRADA",ABS(J1091),-ABS(J1091)))</f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1350</v>
      </c>
      <c r="H1092" s="20" t="str">
        <f>+T1092</f>
        <v/>
      </c>
      <c r="J1092" s="30"/>
      <c r="K1092" s="22" t="str">
        <f>IF(I1092="","",IF(I1092="ENTRADA",ABS(J1092),-ABS(J1092)))</f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1351</v>
      </c>
      <c r="H1093" s="20" t="str">
        <f>+T1093</f>
        <v/>
      </c>
      <c r="J1093" s="30"/>
      <c r="K1093" s="22" t="str">
        <f>IF(I1093="","",IF(I1093="ENTRADA",ABS(J1093),-ABS(J1093)))</f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1352</v>
      </c>
      <c r="H1094" s="20" t="str">
        <f>+T1094</f>
        <v/>
      </c>
      <c r="J1094" s="30"/>
      <c r="K1094" s="22" t="str">
        <f>IF(I1094="","",IF(I1094="ENTRADA",ABS(J1094),-ABS(J1094)))</f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1353</v>
      </c>
      <c r="H1095" s="20" t="str">
        <f>+T1095</f>
        <v/>
      </c>
      <c r="J1095" s="30"/>
      <c r="K1095" s="22" t="str">
        <f>IF(I1095="","",IF(I1095="ENTRADA",ABS(J1095),-ABS(J1095)))</f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1354</v>
      </c>
      <c r="H1096" s="20" t="str">
        <f>+T1096</f>
        <v/>
      </c>
      <c r="J1096" s="30"/>
      <c r="K1096" s="22" t="str">
        <f>IF(I1096="","",IF(I1096="ENTRADA",ABS(J1096),-ABS(J1096)))</f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1355</v>
      </c>
      <c r="H1097" s="20" t="str">
        <f>+T1097</f>
        <v/>
      </c>
      <c r="J1097" s="30"/>
      <c r="K1097" s="22" t="str">
        <f>IF(I1097="","",IF(I1097="ENTRADA",ABS(J1097),-ABS(J1097)))</f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1356</v>
      </c>
      <c r="H1098" s="20" t="str">
        <f>+T1098</f>
        <v/>
      </c>
      <c r="J1098" s="30"/>
      <c r="K1098" s="22" t="str">
        <f>IF(I1098="","",IF(I1098="ENTRADA",ABS(J1098),-ABS(J1098)))</f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1357</v>
      </c>
      <c r="H1099" s="20" t="str">
        <f>+T1099</f>
        <v/>
      </c>
      <c r="J1099" s="30"/>
      <c r="K1099" s="22" t="str">
        <f>IF(I1099="","",IF(I1099="ENTRADA",ABS(J1099),-ABS(J1099)))</f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1358</v>
      </c>
      <c r="H1100" s="20" t="str">
        <f>+T1100</f>
        <v/>
      </c>
      <c r="J1100" s="30"/>
      <c r="K1100" s="22" t="str">
        <f>IF(I1100="","",IF(I1100="ENTRADA",ABS(J1100),-ABS(J1100)))</f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1359</v>
      </c>
      <c r="B1101" s="35"/>
      <c r="C1101" s="35"/>
      <c r="D1101" s="35"/>
      <c r="E1101" s="35"/>
      <c r="F1101" s="35"/>
      <c r="G1101" s="35"/>
      <c r="H1101" s="20" t="str">
        <f>+T1101</f>
        <v/>
      </c>
      <c r="I1101" s="35"/>
      <c r="J1101" s="37"/>
      <c r="K1101" s="22" t="str">
        <f>IF(I1101="","",IF(I1101="ENTRADA",ABS(J1101),-ABS(J1101)))</f>
        <v/>
      </c>
      <c r="L1101" s="35"/>
      <c r="M1101" s="35"/>
      <c r="N1101" s="35"/>
      <c r="O1101" s="35"/>
      <c r="P1101" s="35"/>
      <c r="Q1101" s="36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1360</v>
      </c>
      <c r="H1102" s="20" t="str">
        <f>+T1102</f>
        <v/>
      </c>
      <c r="J1102" s="30"/>
      <c r="K1102" s="22" t="str">
        <f>IF(I1102="","",IF(I1102="ENTRADA",ABS(J1102),-ABS(J1102)))</f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1361</v>
      </c>
      <c r="H1103" s="20" t="str">
        <f>+T1103</f>
        <v/>
      </c>
      <c r="J1103" s="30"/>
      <c r="K1103" s="22" t="str">
        <f>IF(I1103="","",IF(I1103="ENTRADA",ABS(J1103),-ABS(J1103)))</f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1362</v>
      </c>
      <c r="H1104" s="20" t="str">
        <f>+T1104</f>
        <v/>
      </c>
      <c r="J1104" s="30"/>
      <c r="K1104" s="22" t="str">
        <f>IF(I1104="","",IF(I1104="ENTRADA",ABS(J1104),-ABS(J1104)))</f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1363</v>
      </c>
      <c r="H1105" s="20" t="str">
        <f>+T1105</f>
        <v/>
      </c>
      <c r="J1105" s="30"/>
      <c r="K1105" s="22" t="str">
        <f>IF(I1105="","",IF(I1105="ENTRADA",ABS(J1105),-ABS(J1105)))</f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1364</v>
      </c>
      <c r="H1106" s="20" t="str">
        <f>+T1106</f>
        <v/>
      </c>
      <c r="J1106" s="30"/>
      <c r="K1106" s="22" t="str">
        <f>IF(I1106="","",IF(I1106="ENTRADA",ABS(J1106),-ABS(J1106)))</f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1365</v>
      </c>
      <c r="H1107" s="20" t="str">
        <f>+T1107</f>
        <v/>
      </c>
      <c r="J1107" s="30"/>
      <c r="K1107" s="22" t="str">
        <f>IF(I1107="","",IF(I1107="ENTRADA",ABS(J1107),-ABS(J1107)))</f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1366</v>
      </c>
      <c r="H1108" s="20" t="str">
        <f>+T1108</f>
        <v/>
      </c>
      <c r="J1108" s="30"/>
      <c r="K1108" s="22" t="str">
        <f>IF(I1108="","",IF(I1108="ENTRADA",ABS(J1108),-ABS(J1108)))</f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1367</v>
      </c>
      <c r="H1109" s="20" t="str">
        <f>+T1109</f>
        <v/>
      </c>
      <c r="J1109" s="30"/>
      <c r="K1109" s="22" t="str">
        <f>IF(I1109="","",IF(I1109="ENTRADA",ABS(J1109),-ABS(J1109)))</f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1368</v>
      </c>
      <c r="H1110" s="20" t="str">
        <f>+T1110</f>
        <v/>
      </c>
      <c r="J1110" s="30"/>
      <c r="K1110" s="22" t="str">
        <f>IF(I1110="","",IF(I1110="ENTRADA",ABS(J1110),-ABS(J1110)))</f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1369</v>
      </c>
      <c r="H1111" s="20" t="str">
        <f>+T1111</f>
        <v/>
      </c>
      <c r="J1111" s="30"/>
      <c r="K1111" s="22" t="str">
        <f>IF(I1111="","",IF(I1111="ENTRADA",ABS(J1111),-ABS(J1111)))</f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1370</v>
      </c>
      <c r="B1112" s="35"/>
      <c r="C1112" s="35"/>
      <c r="D1112" s="35"/>
      <c r="E1112" s="35"/>
      <c r="F1112" s="35"/>
      <c r="G1112" s="35"/>
      <c r="H1112" s="20" t="str">
        <f>+T1112</f>
        <v/>
      </c>
      <c r="I1112" s="35"/>
      <c r="J1112" s="37"/>
      <c r="K1112" s="22" t="str">
        <f>IF(I1112="","",IF(I1112="ENTRADA",ABS(J1112),-ABS(J1112)))</f>
        <v/>
      </c>
      <c r="L1112" s="35"/>
      <c r="M1112" s="35"/>
      <c r="N1112" s="35"/>
      <c r="O1112" s="35"/>
      <c r="P1112" s="35"/>
      <c r="Q1112" s="36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1371</v>
      </c>
      <c r="H1113" s="20" t="str">
        <f>+T1113</f>
        <v/>
      </c>
      <c r="J1113" s="30"/>
      <c r="K1113" s="22" t="str">
        <f>IF(I1113="","",IF(I1113="ENTRADA",ABS(J1113),-ABS(J1113)))</f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1372</v>
      </c>
      <c r="H1114" s="20" t="str">
        <f>+T1114</f>
        <v/>
      </c>
      <c r="J1114" s="30"/>
      <c r="K1114" s="22" t="str">
        <f>IF(I1114="","",IF(I1114="ENTRADA",ABS(J1114),-ABS(J1114)))</f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1373</v>
      </c>
      <c r="H1115" s="20" t="str">
        <f>+T1115</f>
        <v/>
      </c>
      <c r="J1115" s="30"/>
      <c r="K1115" s="22" t="str">
        <f>IF(I1115="","",IF(I1115="ENTRADA",ABS(J1115),-ABS(J1115)))</f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1374</v>
      </c>
      <c r="H1116" s="20" t="str">
        <f>+T1116</f>
        <v/>
      </c>
      <c r="J1116" s="30"/>
      <c r="K1116" s="22" t="str">
        <f>IF(I1116="","",IF(I1116="ENTRADA",ABS(J1116),-ABS(J1116)))</f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1375</v>
      </c>
      <c r="H1117" s="20" t="str">
        <f>+T1117</f>
        <v/>
      </c>
      <c r="J1117" s="30"/>
      <c r="K1117" s="22" t="str">
        <f>IF(I1117="","",IF(I1117="ENTRADA",ABS(J1117),-ABS(J1117)))</f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1376</v>
      </c>
      <c r="H1118" s="20" t="str">
        <f>+T1118</f>
        <v/>
      </c>
      <c r="J1118" s="30"/>
      <c r="K1118" s="22" t="str">
        <f>IF(I1118="","",IF(I1118="ENTRADA",ABS(J1118),-ABS(J1118)))</f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1377</v>
      </c>
      <c r="H1119" s="20" t="str">
        <f>+T1119</f>
        <v/>
      </c>
      <c r="J1119" s="30"/>
      <c r="K1119" s="22" t="str">
        <f>IF(I1119="","",IF(I1119="ENTRADA",ABS(J1119),-ABS(J1119)))</f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1378</v>
      </c>
      <c r="H1120" s="20" t="str">
        <f>+T1120</f>
        <v/>
      </c>
      <c r="J1120" s="30"/>
      <c r="K1120" s="22" t="str">
        <f>IF(I1120="","",IF(I1120="ENTRADA",ABS(J1120),-ABS(J1120)))</f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1379</v>
      </c>
      <c r="H1121" s="20" t="str">
        <f>+T1121</f>
        <v/>
      </c>
      <c r="J1121" s="30"/>
      <c r="K1121" s="22" t="str">
        <f>IF(I1121="","",IF(I1121="ENTRADA",ABS(J1121),-ABS(J1121)))</f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1380</v>
      </c>
      <c r="H1122" s="20" t="str">
        <f>+T1122</f>
        <v/>
      </c>
      <c r="J1122" s="30"/>
      <c r="K1122" s="22" t="str">
        <f>IF(I1122="","",IF(I1122="ENTRADA",ABS(J1122),-ABS(J1122)))</f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1381</v>
      </c>
      <c r="B1123" s="35"/>
      <c r="C1123" s="35"/>
      <c r="D1123" s="35"/>
      <c r="E1123" s="35"/>
      <c r="F1123" s="35"/>
      <c r="G1123" s="35"/>
      <c r="H1123" s="20" t="str">
        <f>+T1123</f>
        <v/>
      </c>
      <c r="I1123" s="35"/>
      <c r="J1123" s="37"/>
      <c r="K1123" s="22" t="str">
        <f>IF(I1123="","",IF(I1123="ENTRADA",ABS(J1123),-ABS(J1123)))</f>
        <v/>
      </c>
      <c r="L1123" s="35"/>
      <c r="M1123" s="35"/>
      <c r="N1123" s="35"/>
      <c r="O1123" s="35"/>
      <c r="P1123" s="35"/>
      <c r="Q1123" s="36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1382</v>
      </c>
      <c r="H1124" s="20" t="str">
        <f>+T1124</f>
        <v/>
      </c>
      <c r="J1124" s="30"/>
      <c r="K1124" s="22" t="str">
        <f>IF(I1124="","",IF(I1124="ENTRADA",ABS(J1124),-ABS(J1124)))</f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1383</v>
      </c>
      <c r="H1125" s="20" t="str">
        <f>+T1125</f>
        <v/>
      </c>
      <c r="J1125" s="30"/>
      <c r="K1125" s="22" t="str">
        <f>IF(I1125="","",IF(I1125="ENTRADA",ABS(J1125),-ABS(J1125)))</f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1384</v>
      </c>
      <c r="H1126" s="20" t="str">
        <f>+T1126</f>
        <v/>
      </c>
      <c r="J1126" s="30"/>
      <c r="K1126" s="22" t="str">
        <f>IF(I1126="","",IF(I1126="ENTRADA",ABS(J1126),-ABS(J1126)))</f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1385</v>
      </c>
      <c r="H1127" s="20" t="str">
        <f>+T1127</f>
        <v/>
      </c>
      <c r="J1127" s="30"/>
      <c r="K1127" s="22" t="str">
        <f>IF(I1127="","",IF(I1127="ENTRADA",ABS(J1127),-ABS(J1127)))</f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1386</v>
      </c>
      <c r="H1128" s="20" t="str">
        <f>+T1128</f>
        <v/>
      </c>
      <c r="J1128" s="30"/>
      <c r="K1128" s="22" t="str">
        <f>IF(I1128="","",IF(I1128="ENTRADA",ABS(J1128),-ABS(J1128)))</f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1387</v>
      </c>
      <c r="H1129" s="20" t="str">
        <f>+T1129</f>
        <v/>
      </c>
      <c r="J1129" s="30"/>
      <c r="K1129" s="22" t="str">
        <f>IF(I1129="","",IF(I1129="ENTRADA",ABS(J1129),-ABS(J1129)))</f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1388</v>
      </c>
      <c r="H1130" s="20" t="str">
        <f>+T1130</f>
        <v/>
      </c>
      <c r="J1130" s="30"/>
      <c r="K1130" s="22" t="str">
        <f>IF(I1130="","",IF(I1130="ENTRADA",ABS(J1130),-ABS(J1130)))</f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1389</v>
      </c>
      <c r="H1131" s="20" t="str">
        <f>+T1131</f>
        <v/>
      </c>
      <c r="J1131" s="30"/>
      <c r="K1131" s="22" t="str">
        <f>IF(I1131="","",IF(I1131="ENTRADA",ABS(J1131),-ABS(J1131)))</f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1390</v>
      </c>
      <c r="H1132" s="20" t="str">
        <f>+T1132</f>
        <v/>
      </c>
      <c r="J1132" s="30"/>
      <c r="K1132" s="22" t="str">
        <f>IF(I1132="","",IF(I1132="ENTRADA",ABS(J1132),-ABS(J1132)))</f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1391</v>
      </c>
      <c r="H1133" s="20" t="str">
        <f>+T1133</f>
        <v/>
      </c>
      <c r="J1133" s="30"/>
      <c r="K1133" s="22" t="str">
        <f>IF(I1133="","",IF(I1133="ENTRADA",ABS(J1133),-ABS(J1133)))</f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1392</v>
      </c>
      <c r="B1134" s="35"/>
      <c r="C1134" s="35"/>
      <c r="D1134" s="35"/>
      <c r="E1134" s="35"/>
      <c r="F1134" s="35"/>
      <c r="G1134" s="35"/>
      <c r="H1134" s="20" t="str">
        <f>+T1134</f>
        <v/>
      </c>
      <c r="I1134" s="35"/>
      <c r="J1134" s="37"/>
      <c r="K1134" s="22" t="str">
        <f>IF(I1134="","",IF(I1134="ENTRADA",ABS(J1134),-ABS(J1134)))</f>
        <v/>
      </c>
      <c r="L1134" s="35"/>
      <c r="M1134" s="35"/>
      <c r="N1134" s="35"/>
      <c r="O1134" s="35"/>
      <c r="P1134" s="35"/>
      <c r="Q1134" s="36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1393</v>
      </c>
      <c r="H1135" s="20" t="str">
        <f>+T1135</f>
        <v/>
      </c>
      <c r="J1135" s="30"/>
      <c r="K1135" s="22" t="str">
        <f>IF(I1135="","",IF(I1135="ENTRADA",ABS(J1135),-ABS(J1135)))</f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1394</v>
      </c>
      <c r="H1136" s="20" t="str">
        <f>+T1136</f>
        <v/>
      </c>
      <c r="J1136" s="30"/>
      <c r="K1136" s="22" t="str">
        <f>IF(I1136="","",IF(I1136="ENTRADA",ABS(J1136),-ABS(J1136)))</f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1395</v>
      </c>
      <c r="H1137" s="20" t="str">
        <f>+T1137</f>
        <v/>
      </c>
      <c r="J1137" s="30"/>
      <c r="K1137" s="22" t="str">
        <f>IF(I1137="","",IF(I1137="ENTRADA",ABS(J1137),-ABS(J1137)))</f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1396</v>
      </c>
      <c r="H1138" s="20" t="str">
        <f>+T1138</f>
        <v/>
      </c>
      <c r="J1138" s="30"/>
      <c r="K1138" s="22" t="str">
        <f>IF(I1138="","",IF(I1138="ENTRADA",ABS(J1138),-ABS(J1138)))</f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1397</v>
      </c>
      <c r="H1139" s="20" t="str">
        <f>+T1139</f>
        <v/>
      </c>
      <c r="J1139" s="30"/>
      <c r="K1139" s="22" t="str">
        <f>IF(I1139="","",IF(I1139="ENTRADA",ABS(J1139),-ABS(J1139)))</f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1398</v>
      </c>
      <c r="H1140" s="20" t="str">
        <f>+T1140</f>
        <v/>
      </c>
      <c r="J1140" s="30"/>
      <c r="K1140" s="22" t="str">
        <f>IF(I1140="","",IF(I1140="ENTRADA",ABS(J1140),-ABS(J1140)))</f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1399</v>
      </c>
      <c r="H1141" s="20" t="str">
        <f>+T1141</f>
        <v/>
      </c>
      <c r="J1141" s="30"/>
      <c r="K1141" s="22" t="str">
        <f>IF(I1141="","",IF(I1141="ENTRADA",ABS(J1141),-ABS(J1141)))</f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1400</v>
      </c>
      <c r="H1142" s="20" t="str">
        <f>+T1142</f>
        <v/>
      </c>
      <c r="J1142" s="30"/>
      <c r="K1142" s="22" t="str">
        <f>IF(I1142="","",IF(I1142="ENTRADA",ABS(J1142),-ABS(J1142)))</f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1401</v>
      </c>
      <c r="H1143" s="20" t="str">
        <f>+T1143</f>
        <v/>
      </c>
      <c r="J1143" s="30"/>
      <c r="K1143" s="22" t="str">
        <f>IF(I1143="","",IF(I1143="ENTRADA",ABS(J1143),-ABS(J1143)))</f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1402</v>
      </c>
      <c r="H1144" s="20" t="str">
        <f>+T1144</f>
        <v/>
      </c>
      <c r="J1144" s="30"/>
      <c r="K1144" s="22" t="str">
        <f>IF(I1144="","",IF(I1144="ENTRADA",ABS(J1144),-ABS(J1144)))</f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1403</v>
      </c>
      <c r="B1145" s="35"/>
      <c r="C1145" s="35"/>
      <c r="D1145" s="35"/>
      <c r="E1145" s="35"/>
      <c r="F1145" s="35"/>
      <c r="G1145" s="35"/>
      <c r="H1145" s="20" t="str">
        <f>+T1145</f>
        <v/>
      </c>
      <c r="I1145" s="35"/>
      <c r="J1145" s="37"/>
      <c r="K1145" s="22" t="str">
        <f>IF(I1145="","",IF(I1145="ENTRADA",ABS(J1145),-ABS(J1145)))</f>
        <v/>
      </c>
      <c r="L1145" s="35"/>
      <c r="M1145" s="35"/>
      <c r="N1145" s="35"/>
      <c r="O1145" s="35"/>
      <c r="P1145" s="35"/>
      <c r="Q1145" s="36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1404</v>
      </c>
      <c r="H1146" s="20" t="str">
        <f>+T1146</f>
        <v/>
      </c>
      <c r="J1146" s="30"/>
      <c r="K1146" s="22" t="str">
        <f>IF(I1146="","",IF(I1146="ENTRADA",ABS(J1146),-ABS(J1146)))</f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1405</v>
      </c>
      <c r="H1147" s="20" t="str">
        <f>+T1147</f>
        <v/>
      </c>
      <c r="J1147" s="30"/>
      <c r="K1147" s="22" t="str">
        <f>IF(I1147="","",IF(I1147="ENTRADA",ABS(J1147),-ABS(J1147)))</f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1406</v>
      </c>
      <c r="H1148" s="20" t="str">
        <f>+T1148</f>
        <v/>
      </c>
      <c r="J1148" s="30"/>
      <c r="K1148" s="22" t="str">
        <f>IF(I1148="","",IF(I1148="ENTRADA",ABS(J1148),-ABS(J1148)))</f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1407</v>
      </c>
      <c r="H1149" s="20" t="str">
        <f>+T1149</f>
        <v/>
      </c>
      <c r="J1149" s="30"/>
      <c r="K1149" s="22" t="str">
        <f>IF(I1149="","",IF(I1149="ENTRADA",ABS(J1149),-ABS(J1149)))</f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1408</v>
      </c>
      <c r="H1150" s="20" t="str">
        <f>+T1150</f>
        <v/>
      </c>
      <c r="J1150" s="30"/>
      <c r="K1150" s="22" t="str">
        <f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1409</v>
      </c>
      <c r="H1151" s="20" t="str">
        <f>+T1151</f>
        <v/>
      </c>
      <c r="J1151" s="30"/>
      <c r="K1151" s="22" t="str">
        <f>IF(I1151="","",IF(I1151="ENTRADA",ABS(J1151),-ABS(J1151)))</f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1410</v>
      </c>
      <c r="H1152" s="20" t="str">
        <f>+T1152</f>
        <v/>
      </c>
      <c r="J1152" s="30"/>
      <c r="K1152" s="22" t="str">
        <f>IF(I1152="","",IF(I1152="ENTRADA",ABS(J1152),-ABS(J1152)))</f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1411</v>
      </c>
      <c r="H1153" s="20" t="str">
        <f>+T1153</f>
        <v/>
      </c>
      <c r="J1153" s="30"/>
      <c r="K1153" s="22" t="str">
        <f>IF(I1153="","",IF(I1153="ENTRADA",ABS(J1153),-ABS(J1153)))</f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1412</v>
      </c>
      <c r="H1154" s="20" t="str">
        <f>+T1154</f>
        <v/>
      </c>
      <c r="J1154" s="30"/>
      <c r="K1154" s="22" t="str">
        <f>IF(I1154="","",IF(I1154="ENTRADA",ABS(J1154),-ABS(J1154)))</f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1413</v>
      </c>
      <c r="H1155" s="20" t="str">
        <f>+T1155</f>
        <v/>
      </c>
      <c r="J1155" s="30"/>
      <c r="K1155" s="22" t="str">
        <f>IF(I1155="","",IF(I1155="ENTRADA",ABS(J1155),-ABS(J1155)))</f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1414</v>
      </c>
      <c r="B1156" s="35"/>
      <c r="C1156" s="35"/>
      <c r="D1156" s="35"/>
      <c r="E1156" s="35"/>
      <c r="F1156" s="35"/>
      <c r="G1156" s="35"/>
      <c r="H1156" s="20" t="str">
        <f>+T1156</f>
        <v/>
      </c>
      <c r="I1156" s="35"/>
      <c r="J1156" s="37"/>
      <c r="K1156" s="22" t="str">
        <f>IF(I1156="","",IF(I1156="ENTRADA",ABS(J1156),-ABS(J1156)))</f>
        <v/>
      </c>
      <c r="L1156" s="35"/>
      <c r="M1156" s="35"/>
      <c r="N1156" s="35"/>
      <c r="O1156" s="35"/>
      <c r="P1156" s="35"/>
      <c r="Q1156" s="36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1415</v>
      </c>
      <c r="H1157" s="20" t="str">
        <f>+T1157</f>
        <v/>
      </c>
      <c r="J1157" s="30"/>
      <c r="K1157" s="22" t="str">
        <f>IF(I1157="","",IF(I1157="ENTRADA",ABS(J1157),-ABS(J1157)))</f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1416</v>
      </c>
      <c r="H1158" s="20" t="str">
        <f>+T1158</f>
        <v/>
      </c>
      <c r="J1158" s="30"/>
      <c r="K1158" s="22" t="str">
        <f>IF(I1158="","",IF(I1158="ENTRADA",ABS(J1158),-ABS(J1158)))</f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1417</v>
      </c>
      <c r="H1159" s="20" t="str">
        <f>+T1159</f>
        <v/>
      </c>
      <c r="J1159" s="30"/>
      <c r="K1159" s="22" t="str">
        <f>IF(I1159="","",IF(I1159="ENTRADA",ABS(J1159),-ABS(J1159)))</f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1418</v>
      </c>
      <c r="H1160" s="20" t="str">
        <f>+T1160</f>
        <v/>
      </c>
      <c r="J1160" s="30"/>
      <c r="K1160" s="22" t="str">
        <f>IF(I1160="","",IF(I1160="ENTRADA",ABS(J1160),-ABS(J1160)))</f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1419</v>
      </c>
      <c r="H1161" s="20" t="str">
        <f>+T1161</f>
        <v/>
      </c>
      <c r="J1161" s="30"/>
      <c r="K1161" s="22" t="str">
        <f>IF(I1161="","",IF(I1161="ENTRADA",ABS(J1161),-ABS(J1161)))</f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1420</v>
      </c>
      <c r="H1162" s="20" t="str">
        <f>+T1162</f>
        <v/>
      </c>
      <c r="J1162" s="30"/>
      <c r="K1162" s="22" t="str">
        <f>IF(I1162="","",IF(I1162="ENTRADA",ABS(J1162),-ABS(J1162)))</f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1421</v>
      </c>
      <c r="H1163" s="20" t="str">
        <f>+T1163</f>
        <v/>
      </c>
      <c r="J1163" s="30"/>
      <c r="K1163" s="22" t="str">
        <f>IF(I1163="","",IF(I1163="ENTRADA",ABS(J1163),-ABS(J1163)))</f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1422</v>
      </c>
      <c r="H1164" s="20" t="str">
        <f>+T1164</f>
        <v/>
      </c>
      <c r="J1164" s="30"/>
      <c r="K1164" s="22" t="str">
        <f>IF(I1164="","",IF(I1164="ENTRADA",ABS(J1164),-ABS(J1164)))</f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1423</v>
      </c>
      <c r="H1165" s="20" t="str">
        <f>+T1165</f>
        <v/>
      </c>
      <c r="J1165" s="30"/>
      <c r="K1165" s="22" t="str">
        <f>IF(I1165="","",IF(I1165="ENTRADA",ABS(J1165),-ABS(J1165)))</f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1424</v>
      </c>
      <c r="H1166" s="20" t="str">
        <f>+T1166</f>
        <v/>
      </c>
      <c r="J1166" s="30"/>
      <c r="K1166" s="22" t="str">
        <f>IF(I1166="","",IF(I1166="ENTRADA",ABS(J1166),-ABS(J1166)))</f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1425</v>
      </c>
      <c r="B1167" s="35"/>
      <c r="C1167" s="35"/>
      <c r="D1167" s="35"/>
      <c r="E1167" s="35"/>
      <c r="F1167" s="35"/>
      <c r="G1167" s="35"/>
      <c r="H1167" s="20" t="str">
        <f>+T1167</f>
        <v/>
      </c>
      <c r="I1167" s="35"/>
      <c r="J1167" s="37"/>
      <c r="K1167" s="22" t="str">
        <f>IF(I1167="","",IF(I1167="ENTRADA",ABS(J1167),-ABS(J1167)))</f>
        <v/>
      </c>
      <c r="L1167" s="35"/>
      <c r="M1167" s="35"/>
      <c r="N1167" s="35"/>
      <c r="O1167" s="35"/>
      <c r="P1167" s="35"/>
      <c r="Q1167" s="36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1426</v>
      </c>
      <c r="H1168" s="20" t="str">
        <f>+T1168</f>
        <v/>
      </c>
      <c r="J1168" s="30"/>
      <c r="K1168" s="22" t="str">
        <f>IF(I1168="","",IF(I1168="ENTRADA",ABS(J1168),-ABS(J1168)))</f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1427</v>
      </c>
      <c r="H1169" s="20" t="str">
        <f>+T1169</f>
        <v/>
      </c>
      <c r="J1169" s="30"/>
      <c r="K1169" s="22" t="str">
        <f>IF(I1169="","",IF(I1169="ENTRADA",ABS(J1169),-ABS(J1169)))</f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1428</v>
      </c>
      <c r="H1170" s="20" t="str">
        <f>+T1170</f>
        <v/>
      </c>
      <c r="J1170" s="30"/>
      <c r="K1170" s="22" t="str">
        <f>IF(I1170="","",IF(I1170="ENTRADA",ABS(J1170),-ABS(J1170)))</f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1429</v>
      </c>
      <c r="H1171" s="20" t="str">
        <f>+T1171</f>
        <v/>
      </c>
      <c r="J1171" s="30"/>
      <c r="K1171" s="22" t="str">
        <f>IF(I1171="","",IF(I1171="ENTRADA",ABS(J1171),-ABS(J1171)))</f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1430</v>
      </c>
      <c r="H1172" s="20" t="str">
        <f>+T1172</f>
        <v/>
      </c>
      <c r="J1172" s="30"/>
      <c r="K1172" s="22" t="str">
        <f>IF(I1172="","",IF(I1172="ENTRADA",ABS(J1172),-ABS(J1172)))</f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1431</v>
      </c>
      <c r="H1173" s="20" t="str">
        <f>+T1173</f>
        <v/>
      </c>
      <c r="J1173" s="30"/>
      <c r="K1173" s="22" t="str">
        <f>IF(I1173="","",IF(I1173="ENTRADA",ABS(J1173),-ABS(J1173)))</f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1432</v>
      </c>
      <c r="H1174" s="20" t="str">
        <f>+T1174</f>
        <v/>
      </c>
      <c r="J1174" s="30"/>
      <c r="K1174" s="22" t="str">
        <f>IF(I1174="","",IF(I1174="ENTRADA",ABS(J1174),-ABS(J1174)))</f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1433</v>
      </c>
      <c r="H1175" s="20" t="str">
        <f>+T1175</f>
        <v/>
      </c>
      <c r="J1175" s="30"/>
      <c r="K1175" s="22" t="str">
        <f>IF(I1175="","",IF(I1175="ENTRADA",ABS(J1175),-ABS(J1175)))</f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1434</v>
      </c>
      <c r="H1176" s="20" t="str">
        <f>+T1176</f>
        <v/>
      </c>
      <c r="J1176" s="30"/>
      <c r="K1176" s="22" t="str">
        <f>IF(I1176="","",IF(I1176="ENTRADA",ABS(J1176),-ABS(J1176)))</f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1435</v>
      </c>
      <c r="H1177" s="20" t="str">
        <f>+T1177</f>
        <v/>
      </c>
      <c r="J1177" s="30"/>
      <c r="K1177" s="22" t="str">
        <f>IF(I1177="","",IF(I1177="ENTRADA",ABS(J1177),-ABS(J1177)))</f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1436</v>
      </c>
      <c r="B1178" s="35"/>
      <c r="C1178" s="35"/>
      <c r="D1178" s="35"/>
      <c r="E1178" s="35"/>
      <c r="F1178" s="35"/>
      <c r="G1178" s="35"/>
      <c r="H1178" s="20" t="str">
        <f>+T1178</f>
        <v/>
      </c>
      <c r="I1178" s="35"/>
      <c r="J1178" s="37"/>
      <c r="K1178" s="22" t="str">
        <f>IF(I1178="","",IF(I1178="ENTRADA",ABS(J1178),-ABS(J1178)))</f>
        <v/>
      </c>
      <c r="L1178" s="35"/>
      <c r="M1178" s="35"/>
      <c r="N1178" s="35"/>
      <c r="O1178" s="35"/>
      <c r="P1178" s="35"/>
      <c r="Q1178" s="36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1437</v>
      </c>
      <c r="H1179" s="20" t="str">
        <f>+T1179</f>
        <v/>
      </c>
      <c r="J1179" s="30"/>
      <c r="K1179" s="22" t="str">
        <f>IF(I1179="","",IF(I1179="ENTRADA",ABS(J1179),-ABS(J1179)))</f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1438</v>
      </c>
      <c r="H1180" s="20" t="str">
        <f>+T1180</f>
        <v/>
      </c>
      <c r="J1180" s="30"/>
      <c r="K1180" s="22" t="str">
        <f>IF(I1180="","",IF(I1180="ENTRADA",ABS(J1180),-ABS(J1180)))</f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1439</v>
      </c>
      <c r="H1181" s="20" t="str">
        <f>+T1181</f>
        <v/>
      </c>
      <c r="J1181" s="30"/>
      <c r="K1181" s="22" t="str">
        <f>IF(I1181="","",IF(I1181="ENTRADA",ABS(J1181),-ABS(J1181)))</f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1440</v>
      </c>
      <c r="H1182" s="20" t="str">
        <f>+T1182</f>
        <v/>
      </c>
      <c r="J1182" s="30"/>
      <c r="K1182" s="22" t="str">
        <f>IF(I1182="","",IF(I1182="ENTRADA",ABS(J1182),-ABS(J1182)))</f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1441</v>
      </c>
      <c r="H1183" s="20" t="str">
        <f>+T1183</f>
        <v/>
      </c>
      <c r="J1183" s="30"/>
      <c r="K1183" s="22" t="str">
        <f>IF(I1183="","",IF(I1183="ENTRADA",ABS(J1183),-ABS(J1183)))</f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1442</v>
      </c>
      <c r="H1184" s="20" t="str">
        <f>+T1184</f>
        <v/>
      </c>
      <c r="J1184" s="30"/>
      <c r="K1184" s="22" t="str">
        <f>IF(I1184="","",IF(I1184="ENTRADA",ABS(J1184),-ABS(J1184)))</f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1443</v>
      </c>
      <c r="H1185" s="20" t="str">
        <f>+T1185</f>
        <v/>
      </c>
      <c r="J1185" s="30"/>
      <c r="K1185" s="22" t="str">
        <f>IF(I1185="","",IF(I1185="ENTRADA",ABS(J1185),-ABS(J1185)))</f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1444</v>
      </c>
      <c r="H1186" s="20" t="str">
        <f>+T1186</f>
        <v/>
      </c>
      <c r="J1186" s="30"/>
      <c r="K1186" s="22" t="str">
        <f>IF(I1186="","",IF(I1186="ENTRADA",ABS(J1186),-ABS(J1186)))</f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1445</v>
      </c>
      <c r="H1187" s="20" t="str">
        <f>+T1187</f>
        <v/>
      </c>
      <c r="J1187" s="30"/>
      <c r="K1187" s="22" t="str">
        <f>IF(I1187="","",IF(I1187="ENTRADA",ABS(J1187),-ABS(J1187)))</f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1446</v>
      </c>
      <c r="H1188" s="20" t="str">
        <f>+T1188</f>
        <v/>
      </c>
      <c r="J1188" s="30"/>
      <c r="K1188" s="22" t="str">
        <f>IF(I1188="","",IF(I1188="ENTRADA",ABS(J1188),-ABS(J1188)))</f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1447</v>
      </c>
      <c r="B1189" s="35"/>
      <c r="C1189" s="35"/>
      <c r="D1189" s="35"/>
      <c r="E1189" s="35"/>
      <c r="F1189" s="35"/>
      <c r="G1189" s="35"/>
      <c r="H1189" s="20" t="str">
        <f>+T1189</f>
        <v/>
      </c>
      <c r="I1189" s="35"/>
      <c r="J1189" s="37"/>
      <c r="K1189" s="22" t="str">
        <f>IF(I1189="","",IF(I1189="ENTRADA",ABS(J1189),-ABS(J1189)))</f>
        <v/>
      </c>
      <c r="L1189" s="35"/>
      <c r="M1189" s="35"/>
      <c r="N1189" s="35"/>
      <c r="O1189" s="35"/>
      <c r="P1189" s="35"/>
      <c r="Q1189" s="36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1448</v>
      </c>
      <c r="H1190" s="20" t="str">
        <f>+T1190</f>
        <v/>
      </c>
      <c r="J1190" s="30"/>
      <c r="K1190" s="22" t="str">
        <f>IF(I1190="","",IF(I1190="ENTRADA",ABS(J1190),-ABS(J1190)))</f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1449</v>
      </c>
      <c r="H1191" s="20" t="str">
        <f>+T1191</f>
        <v/>
      </c>
      <c r="J1191" s="30"/>
      <c r="K1191" s="22" t="str">
        <f>IF(I1191="","",IF(I1191="ENTRADA",ABS(J1191),-ABS(J1191)))</f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1450</v>
      </c>
      <c r="H1192" s="20" t="str">
        <f>+T1192</f>
        <v/>
      </c>
      <c r="J1192" s="30"/>
      <c r="K1192" s="22" t="str">
        <f>IF(I1192="","",IF(I1192="ENTRADA",ABS(J1192),-ABS(J1192)))</f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1451</v>
      </c>
      <c r="H1193" s="20" t="str">
        <f>+T1193</f>
        <v/>
      </c>
      <c r="J1193" s="30"/>
      <c r="K1193" s="22" t="str">
        <f>IF(I1193="","",IF(I1193="ENTRADA",ABS(J1193),-ABS(J1193)))</f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1452</v>
      </c>
      <c r="H1194" s="20" t="str">
        <f>+T1194</f>
        <v/>
      </c>
      <c r="J1194" s="30"/>
      <c r="K1194" s="22" t="str">
        <f>IF(I1194="","",IF(I1194="ENTRADA",ABS(J1194),-ABS(J1194)))</f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1453</v>
      </c>
      <c r="H1195" s="20" t="str">
        <f>+T1195</f>
        <v/>
      </c>
      <c r="J1195" s="30"/>
      <c r="K1195" s="22" t="str">
        <f>IF(I1195="","",IF(I1195="ENTRADA",ABS(J1195),-ABS(J1195)))</f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1454</v>
      </c>
      <c r="H1196" s="20" t="str">
        <f>+T1196</f>
        <v/>
      </c>
      <c r="J1196" s="30"/>
      <c r="K1196" s="22" t="str">
        <f>IF(I1196="","",IF(I1196="ENTRADA",ABS(J1196),-ABS(J1196)))</f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1455</v>
      </c>
      <c r="H1197" s="34"/>
      <c r="K1197" s="22" t="str">
        <f>IF(I1197="","",IF(I1197="ENTRADA",ABS(J1197),-ABS(J1197)))</f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1456</v>
      </c>
      <c r="H1198" s="34"/>
      <c r="K1198" s="22" t="str">
        <f>IF(I1198="","",IF(I1198="ENTRADA",ABS(J1198),-ABS(J1198)))</f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1457</v>
      </c>
      <c r="H1199" s="34"/>
      <c r="K1199" s="22" t="str">
        <f>IF(I1199="","",IF(I1199="ENTRADA",ABS(J1199),-ABS(J1199)))</f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1458</v>
      </c>
      <c r="B1200" s="35"/>
      <c r="C1200" s="35"/>
      <c r="D1200" s="35"/>
      <c r="E1200" s="35"/>
      <c r="F1200" s="35"/>
      <c r="G1200" s="35"/>
      <c r="H1200" s="20" t="str">
        <f>+T1200</f>
        <v/>
      </c>
      <c r="I1200" s="35"/>
      <c r="J1200" s="37"/>
      <c r="K1200" s="22" t="str">
        <f>IF(I1200="","",IF(I1200="ENTRADA",ABS(J1200),-ABS(J1200)))</f>
        <v/>
      </c>
      <c r="L1200" s="35"/>
      <c r="M1200" s="35"/>
      <c r="N1200" s="35"/>
      <c r="O1200" s="35"/>
      <c r="P1200" s="35"/>
      <c r="Q1200" s="36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1459</v>
      </c>
      <c r="H1201" s="34"/>
      <c r="K1201" s="22" t="str">
        <f>IF(I1201="","",IF(I1201="ENTRADA",ABS(J1201),-ABS(J1201)))</f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1460</v>
      </c>
      <c r="H1202" s="20" t="str">
        <f>+T1202</f>
        <v/>
      </c>
      <c r="J1202" s="30"/>
      <c r="K1202" s="22" t="str">
        <f>IF(I1202="","",IF(I1202="ENTRADA",ABS(J1202),-ABS(J1202)))</f>
        <v/>
      </c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1461</v>
      </c>
      <c r="H1203" s="20" t="str">
        <f>+T1203</f>
        <v/>
      </c>
      <c r="J1203" s="30"/>
      <c r="K1203" s="22" t="str">
        <f>IF(I1203="","",IF(I1203="ENTRADA",ABS(J1203),-ABS(J1203)))</f>
        <v/>
      </c>
      <c r="Q1203" s="36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1462</v>
      </c>
      <c r="H1204" s="20" t="str">
        <f>+T1204</f>
        <v/>
      </c>
      <c r="J1204" s="30"/>
      <c r="K1204" s="22" t="str">
        <f>IF(I1204="","",IF(I1204="ENTRADA",ABS(J1204),-ABS(J1204)))</f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1463</v>
      </c>
      <c r="H1205" s="20" t="str">
        <f>+T1205</f>
        <v/>
      </c>
      <c r="J1205" s="30"/>
      <c r="K1205" s="22" t="str">
        <f>IF(I1205="","",IF(I1205="ENTRADA",ABS(J1205),-ABS(J1205)))</f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1464</v>
      </c>
      <c r="H1206" s="20" t="str">
        <f>+T1206</f>
        <v/>
      </c>
      <c r="J1206" s="30"/>
      <c r="K1206" s="22" t="str">
        <f>IF(I1206="","",IF(I1206="ENTRADA",ABS(J1206),-ABS(J1206)))</f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1465</v>
      </c>
      <c r="H1207" s="20" t="str">
        <f>+T1207</f>
        <v/>
      </c>
      <c r="J1207" s="30"/>
      <c r="K1207" s="22" t="str">
        <f>IF(I1207="","",IF(I1207="ENTRADA",ABS(J1207),-ABS(J1207)))</f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1466</v>
      </c>
      <c r="H1208" s="20" t="str">
        <f>+T1208</f>
        <v/>
      </c>
      <c r="J1208" s="30"/>
      <c r="K1208" s="22" t="str">
        <f>IF(I1208="","",IF(I1208="ENTRADA",ABS(J1208),-ABS(J1208)))</f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1467</v>
      </c>
      <c r="H1209" s="20" t="str">
        <f>+T1209</f>
        <v/>
      </c>
      <c r="J1209" s="30"/>
      <c r="K1209" s="22" t="str">
        <f>IF(I1209="","",IF(I1209="ENTRADA",ABS(J1209),-ABS(J1209)))</f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1468</v>
      </c>
      <c r="H1210" s="20" t="str">
        <f>+T1210</f>
        <v/>
      </c>
      <c r="J1210" s="30"/>
      <c r="K1210" s="22" t="str">
        <f>IF(I1210="","",IF(I1210="ENTRADA",ABS(J1210),-ABS(J1210)))</f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1469</v>
      </c>
      <c r="H1211" s="20" t="str">
        <f>+T1211</f>
        <v/>
      </c>
      <c r="J1211" s="30"/>
      <c r="K1211" s="22" t="str">
        <f>IF(I1211="","",IF(I1211="ENTRADA",ABS(J1211),-ABS(J1211)))</f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1470</v>
      </c>
      <c r="H1212" s="20" t="str">
        <f>+T1212</f>
        <v/>
      </c>
      <c r="J1212" s="30"/>
      <c r="K1212" s="22" t="str">
        <f>IF(I1212="","",IF(I1212="ENTRADA",ABS(J1212),-ABS(J1212)))</f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1471</v>
      </c>
      <c r="H1213" s="20" t="str">
        <f>+T1213</f>
        <v/>
      </c>
      <c r="J1213" s="30"/>
      <c r="K1213" s="22" t="str">
        <f>IF(I1213="","",IF(I1213="ENTRADA",ABS(J1213),-ABS(J1213)))</f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1472</v>
      </c>
      <c r="H1214" s="20" t="str">
        <f>+T1214</f>
        <v/>
      </c>
      <c r="J1214" s="30"/>
      <c r="K1214" s="22" t="str">
        <f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1473</v>
      </c>
      <c r="H1215" s="20" t="str">
        <f>+T1215</f>
        <v/>
      </c>
      <c r="J1215" s="30"/>
      <c r="K1215" s="22" t="str">
        <f>IF(I1215="","",IF(I1215="ENTRADA",ABS(J1215),-ABS(J1215)))</f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1474</v>
      </c>
      <c r="H1216" s="20" t="str">
        <f>+T1216</f>
        <v/>
      </c>
      <c r="J1216" s="30"/>
      <c r="K1216" s="22" t="str">
        <f>IF(I1216="","",IF(I1216="ENTRADA",ABS(J1216),-ABS(J1216)))</f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1475</v>
      </c>
      <c r="H1217" s="20" t="str">
        <f>+T1217</f>
        <v/>
      </c>
      <c r="J1217" s="30"/>
      <c r="K1217" s="22" t="str">
        <f>IF(I1217="","",IF(I1217="ENTRADA",ABS(J1217),-ABS(J1217)))</f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1476</v>
      </c>
      <c r="H1218" s="20" t="str">
        <f>+T1218</f>
        <v/>
      </c>
      <c r="J1218" s="30"/>
      <c r="K1218" s="22" t="str">
        <f>IF(I1218="","",IF(I1218="ENTRADA",ABS(J1218),-ABS(J1218)))</f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1477</v>
      </c>
      <c r="H1219" s="20" t="str">
        <f>+T1219</f>
        <v/>
      </c>
      <c r="J1219" s="30"/>
      <c r="K1219" s="22" t="str">
        <f>IF(I1219="","",IF(I1219="ENTRADA",ABS(J1219),-ABS(J1219)))</f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1478</v>
      </c>
      <c r="H1220" s="20" t="str">
        <f>+T1220</f>
        <v/>
      </c>
      <c r="J1220" s="30"/>
      <c r="K1220" s="22" t="str">
        <f>IF(I1220="","",IF(I1220="ENTRADA",ABS(J1220),-ABS(J1220)))</f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1479</v>
      </c>
      <c r="H1221" s="20" t="str">
        <f>+T1221</f>
        <v/>
      </c>
      <c r="J1221" s="30"/>
      <c r="K1221" s="22" t="str">
        <f>IF(I1221="","",IF(I1221="ENTRADA",ABS(J1221),-ABS(J1221)))</f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1480</v>
      </c>
      <c r="H1222" s="20" t="str">
        <f>+T1222</f>
        <v/>
      </c>
      <c r="J1222" s="30"/>
      <c r="K1222" s="22" t="str">
        <f>IF(I1222="","",IF(I1222="ENTRADA",ABS(J1222),-ABS(J1222)))</f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1481</v>
      </c>
      <c r="H1223" s="20" t="str">
        <f>+T1223</f>
        <v/>
      </c>
      <c r="J1223" s="30"/>
      <c r="K1223" s="22" t="str">
        <f>IF(I1223="","",IF(I1223="ENTRADA",ABS(J1223),-ABS(J1223)))</f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1482</v>
      </c>
      <c r="H1224" s="20" t="str">
        <f>+T1224</f>
        <v/>
      </c>
      <c r="J1224" s="30"/>
      <c r="K1224" s="22" t="str">
        <f>IF(I1224="","",IF(I1224="ENTRADA",ABS(J1224),-ABS(J1224)))</f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1483</v>
      </c>
      <c r="H1225" s="20" t="str">
        <f>+T1225</f>
        <v/>
      </c>
      <c r="J1225" s="30"/>
      <c r="K1225" s="22" t="str">
        <f>IF(I1225="","",IF(I1225="ENTRADA",ABS(J1225),-ABS(J1225)))</f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1484</v>
      </c>
      <c r="H1226" s="20" t="str">
        <f>+T1226</f>
        <v/>
      </c>
      <c r="J1226" s="30"/>
      <c r="K1226" s="22" t="str">
        <f>IF(I1226="","",IF(I1226="ENTRADA",ABS(J1226),-ABS(J1226)))</f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1485</v>
      </c>
      <c r="H1227" s="20" t="str">
        <f>+T1227</f>
        <v/>
      </c>
      <c r="J1227" s="30"/>
      <c r="K1227" s="22" t="str">
        <f>IF(I1227="","",IF(I1227="ENTRADA",ABS(J1227),-ABS(J1227)))</f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1486</v>
      </c>
      <c r="H1228" s="20" t="str">
        <f>+T1228</f>
        <v/>
      </c>
      <c r="J1228" s="30"/>
      <c r="K1228" s="22" t="str">
        <f>IF(I1228="","",IF(I1228="ENTRADA",ABS(J1228),-ABS(J1228)))</f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1487</v>
      </c>
      <c r="H1229" s="20" t="str">
        <f>+T1229</f>
        <v/>
      </c>
      <c r="J1229" s="30"/>
      <c r="K1229" s="22" t="str">
        <f>IF(I1229="","",IF(I1229="ENTRADA",ABS(J1229),-ABS(J1229)))</f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1488</v>
      </c>
      <c r="H1230" s="20" t="str">
        <f>+T1230</f>
        <v/>
      </c>
      <c r="J1230" s="30"/>
      <c r="K1230" s="22" t="str">
        <f>IF(I1230="","",IF(I1230="ENTRADA",ABS(J1230),-ABS(J1230)))</f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1489</v>
      </c>
      <c r="H1231" s="20" t="str">
        <f>+T1231</f>
        <v/>
      </c>
      <c r="J1231" s="30"/>
      <c r="K1231" s="22" t="str">
        <f>IF(I1231="","",IF(I1231="ENTRADA",ABS(J1231),-ABS(J1231)))</f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1490</v>
      </c>
      <c r="H1232" s="20" t="str">
        <f>+T1232</f>
        <v/>
      </c>
      <c r="J1232" s="30"/>
      <c r="K1232" s="22" t="str">
        <f>IF(I1232="","",IF(I1232="ENTRADA",ABS(J1232),-ABS(J1232)))</f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1491</v>
      </c>
      <c r="H1233" s="20" t="str">
        <f>+T1233</f>
        <v/>
      </c>
      <c r="J1233" s="30"/>
      <c r="K1233" s="22" t="str">
        <f>IF(I1233="","",IF(I1233="ENTRADA",ABS(J1233),-ABS(J1233)))</f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1492</v>
      </c>
      <c r="H1234" s="20" t="str">
        <f>+T1234</f>
        <v/>
      </c>
      <c r="J1234" s="30"/>
      <c r="K1234" s="22" t="str">
        <f>IF(I1234="","",IF(I1234="ENTRADA",ABS(J1234),-ABS(J1234)))</f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1493</v>
      </c>
      <c r="H1235" s="20" t="str">
        <f>+T1235</f>
        <v/>
      </c>
      <c r="J1235" s="30"/>
      <c r="K1235" s="22" t="str">
        <f>IF(I1235="","",IF(I1235="ENTRADA",ABS(J1235),-ABS(J1235)))</f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1494</v>
      </c>
      <c r="H1236" s="20" t="str">
        <f>+T1236</f>
        <v/>
      </c>
      <c r="J1236" s="30"/>
      <c r="K1236" s="22" t="str">
        <f>IF(I1236="","",IF(I1236="ENTRADA",ABS(J1236),-ABS(J1236)))</f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1495</v>
      </c>
      <c r="H1237" s="20" t="str">
        <f>+T1237</f>
        <v/>
      </c>
      <c r="J1237" s="30"/>
      <c r="K1237" s="22" t="str">
        <f>IF(I1237="","",IF(I1237="ENTRADA",ABS(J1237),-ABS(J1237)))</f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1496</v>
      </c>
      <c r="H1238" s="20" t="str">
        <f>+T1238</f>
        <v/>
      </c>
      <c r="J1238" s="30"/>
      <c r="K1238" s="22" t="str">
        <f>IF(I1238="","",IF(I1238="ENTRADA",ABS(J1238),-ABS(J1238)))</f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1497</v>
      </c>
      <c r="H1239" s="20" t="str">
        <f>+T1239</f>
        <v/>
      </c>
      <c r="J1239" s="30"/>
      <c r="K1239" s="22" t="str">
        <f>IF(I1239="","",IF(I1239="ENTRADA",ABS(J1239),-ABS(J1239)))</f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1498</v>
      </c>
      <c r="H1240" s="20" t="str">
        <f>+T1240</f>
        <v/>
      </c>
      <c r="J1240" s="30"/>
      <c r="K1240" s="22" t="str">
        <f>IF(I1240="","",IF(I1240="ENTRADA",ABS(J1240),-ABS(J1240)))</f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1499</v>
      </c>
      <c r="H1241" s="20" t="str">
        <f>+T1241</f>
        <v/>
      </c>
      <c r="J1241" s="30"/>
      <c r="K1241" s="22" t="str">
        <f>IF(I1241="","",IF(I1241="ENTRADA",ABS(J1241),-ABS(J1241)))</f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1500</v>
      </c>
      <c r="H1242" s="20" t="str">
        <f>+T1242</f>
        <v/>
      </c>
      <c r="J1242" s="30"/>
      <c r="K1242" s="22" t="str">
        <f>IF(I1242="","",IF(I1242="ENTRADA",ABS(J1242),-ABS(J1242)))</f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1501</v>
      </c>
      <c r="H1243" s="20" t="str">
        <f>+T1243</f>
        <v/>
      </c>
      <c r="J1243" s="30"/>
      <c r="K1243" s="22" t="str">
        <f>IF(I1243="","",IF(I1243="ENTRADA",ABS(J1243),-ABS(J1243)))</f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1502</v>
      </c>
      <c r="H1244" s="20" t="str">
        <f>+T1244</f>
        <v/>
      </c>
      <c r="J1244" s="30"/>
      <c r="K1244" s="22" t="str">
        <f>IF(I1244="","",IF(I1244="ENTRADA",ABS(J1244),-ABS(J1244)))</f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1503</v>
      </c>
      <c r="H1245" s="20" t="str">
        <f>+T1245</f>
        <v/>
      </c>
      <c r="J1245" s="30"/>
      <c r="K1245" s="22" t="str">
        <f>IF(I1245="","",IF(I1245="ENTRADA",ABS(J1245),-ABS(J1245)))</f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1504</v>
      </c>
      <c r="H1246" s="20" t="str">
        <f>+T1246</f>
        <v/>
      </c>
      <c r="J1246" s="30"/>
      <c r="K1246" s="22" t="str">
        <f>IF(I1246="","",IF(I1246="ENTRADA",ABS(J1246),-ABS(J1246)))</f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1505</v>
      </c>
      <c r="H1247" s="20" t="str">
        <f>+T1247</f>
        <v/>
      </c>
      <c r="J1247" s="30"/>
      <c r="K1247" s="22" t="str">
        <f>IF(I1247="","",IF(I1247="ENTRADA",ABS(J1247),-ABS(J1247)))</f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1506</v>
      </c>
      <c r="H1248" s="20" t="str">
        <f>+T1248</f>
        <v/>
      </c>
      <c r="J1248" s="30"/>
      <c r="K1248" s="22" t="str">
        <f>IF(I1248="","",IF(I1248="ENTRADA",ABS(J1248),-ABS(J1248)))</f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1507</v>
      </c>
      <c r="H1249" s="20" t="str">
        <f>+T1249</f>
        <v/>
      </c>
      <c r="J1249" s="30"/>
      <c r="K1249" s="22" t="str">
        <f>IF(I1249="","",IF(I1249="ENTRADA",ABS(J1249),-ABS(J1249)))</f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1508</v>
      </c>
      <c r="H1250" s="20" t="str">
        <f>+T1250</f>
        <v/>
      </c>
      <c r="J1250" s="30"/>
      <c r="K1250" s="22" t="str">
        <f>IF(I1250="","",IF(I1250="ENTRADA",ABS(J1250),-ABS(J1250)))</f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1509</v>
      </c>
      <c r="H1251" s="20" t="str">
        <f>+T1251</f>
        <v/>
      </c>
      <c r="J1251" s="30"/>
      <c r="K1251" s="22" t="str">
        <f>IF(I1251="","",IF(I1251="ENTRADA",ABS(J1251),-ABS(J1251)))</f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1510</v>
      </c>
      <c r="H1252" s="20" t="str">
        <f>+T1252</f>
        <v/>
      </c>
      <c r="J1252" s="30"/>
      <c r="K1252" s="22" t="str">
        <f>IF(I1252="","",IF(I1252="ENTRADA",ABS(J1252),-ABS(J1252)))</f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1511</v>
      </c>
      <c r="H1253" s="20" t="str">
        <f>+T1253</f>
        <v/>
      </c>
      <c r="J1253" s="30"/>
      <c r="K1253" s="22" t="str">
        <f>IF(I1253="","",IF(I1253="ENTRADA",ABS(J1253),-ABS(J1253)))</f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1512</v>
      </c>
      <c r="H1254" s="20" t="str">
        <f>+T1254</f>
        <v/>
      </c>
      <c r="J1254" s="30"/>
      <c r="K1254" s="22" t="str">
        <f>IF(I1254="","",IF(I1254="ENTRADA",ABS(J1254),-ABS(J1254)))</f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1513</v>
      </c>
      <c r="H1255" s="20" t="str">
        <f>+T1255</f>
        <v/>
      </c>
      <c r="J1255" s="30"/>
      <c r="K1255" s="22" t="str">
        <f>IF(I1255="","",IF(I1255="ENTRADA",ABS(J1255),-ABS(J1255)))</f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1514</v>
      </c>
      <c r="H1256" s="20" t="str">
        <f>+T1256</f>
        <v/>
      </c>
      <c r="J1256" s="30"/>
      <c r="K1256" s="22" t="str">
        <f>IF(I1256="","",IF(I1256="ENTRADA",ABS(J1256),-ABS(J1256)))</f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1515</v>
      </c>
      <c r="H1257" s="20" t="str">
        <f>+T1257</f>
        <v/>
      </c>
      <c r="J1257" s="30"/>
      <c r="K1257" s="22" t="str">
        <f>IF(I1257="","",IF(I1257="ENTRADA",ABS(J1257),-ABS(J1257)))</f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1516</v>
      </c>
      <c r="H1258" s="20" t="str">
        <f>+T1258</f>
        <v/>
      </c>
      <c r="J1258" s="30"/>
      <c r="K1258" s="22" t="str">
        <f>IF(I1258="","",IF(I1258="ENTRADA",ABS(J1258),-ABS(J1258)))</f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1517</v>
      </c>
      <c r="H1259" s="20" t="str">
        <f>+T1259</f>
        <v/>
      </c>
      <c r="J1259" s="30"/>
      <c r="K1259" s="22" t="str">
        <f>IF(I1259="","",IF(I1259="ENTRADA",ABS(J1259),-ABS(J1259)))</f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1518</v>
      </c>
      <c r="H1260" s="20" t="str">
        <f>+T1260</f>
        <v/>
      </c>
      <c r="J1260" s="30"/>
      <c r="K1260" s="22" t="str">
        <f>IF(I1260="","",IF(I1260="ENTRADA",ABS(J1260),-ABS(J1260)))</f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1519</v>
      </c>
      <c r="H1261" s="20" t="str">
        <f>+T1261</f>
        <v/>
      </c>
      <c r="J1261" s="30"/>
      <c r="K1261" s="22" t="str">
        <f>IF(I1261="","",IF(I1261="ENTRADA",ABS(J1261),-ABS(J1261)))</f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1520</v>
      </c>
      <c r="H1262" s="20" t="str">
        <f>+T1262</f>
        <v/>
      </c>
      <c r="J1262" s="30"/>
      <c r="K1262" s="22" t="str">
        <f>IF(I1262="","",IF(I1262="ENTRADA",ABS(J1262),-ABS(J1262)))</f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1521</v>
      </c>
      <c r="H1263" s="20" t="str">
        <f>+T1263</f>
        <v/>
      </c>
      <c r="J1263" s="30"/>
      <c r="K1263" s="22" t="str">
        <f>IF(I1263="","",IF(I1263="ENTRADA",ABS(J1263),-ABS(J1263)))</f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1522</v>
      </c>
      <c r="H1264" s="20" t="str">
        <f>+T1264</f>
        <v/>
      </c>
      <c r="J1264" s="30"/>
      <c r="K1264" s="22" t="str">
        <f>IF(I1264="","",IF(I1264="ENTRADA",ABS(J1264),-ABS(J1264)))</f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1523</v>
      </c>
      <c r="H1265" s="20" t="str">
        <f>+T1265</f>
        <v/>
      </c>
      <c r="J1265" s="30"/>
      <c r="K1265" s="22" t="str">
        <f>IF(I1265="","",IF(I1265="ENTRADA",ABS(J1265),-ABS(J1265)))</f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1524</v>
      </c>
      <c r="H1266" s="20" t="str">
        <f>+T1266</f>
        <v/>
      </c>
      <c r="J1266" s="30"/>
      <c r="K1266" s="22" t="str">
        <f>IF(I1266="","",IF(I1266="ENTRADA",ABS(J1266),-ABS(J1266)))</f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1525</v>
      </c>
      <c r="H1267" s="20" t="str">
        <f>+T1267</f>
        <v/>
      </c>
      <c r="J1267" s="30"/>
      <c r="K1267" s="22" t="str">
        <f>IF(I1267="","",IF(I1267="ENTRADA",ABS(J1267),-ABS(J1267)))</f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1526</v>
      </c>
      <c r="H1268" s="20" t="str">
        <f>+T1268</f>
        <v/>
      </c>
      <c r="J1268" s="30"/>
      <c r="K1268" s="22" t="str">
        <f>IF(I1268="","",IF(I1268="ENTRADA",ABS(J1268),-ABS(J1268)))</f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1527</v>
      </c>
      <c r="H1269" s="20" t="str">
        <f>+T1269</f>
        <v/>
      </c>
      <c r="J1269" s="30"/>
      <c r="K1269" s="22" t="str">
        <f>IF(I1269="","",IF(I1269="ENTRADA",ABS(J1269),-ABS(J1269)))</f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1528</v>
      </c>
      <c r="H1270" s="20" t="str">
        <f>+T1270</f>
        <v/>
      </c>
      <c r="J1270" s="30"/>
      <c r="K1270" s="22" t="str">
        <f>IF(I1270="","",IF(I1270="ENTRADA",ABS(J1270),-ABS(J1270)))</f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1529</v>
      </c>
      <c r="H1271" s="20" t="str">
        <f>+T1271</f>
        <v/>
      </c>
      <c r="J1271" s="30"/>
      <c r="K1271" s="22" t="str">
        <f>IF(I1271="","",IF(I1271="ENTRADA",ABS(J1271),-ABS(J1271)))</f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1530</v>
      </c>
      <c r="H1272" s="20" t="str">
        <f>+T1272</f>
        <v/>
      </c>
      <c r="J1272" s="30"/>
      <c r="K1272" s="22" t="str">
        <f>IF(I1272="","",IF(I1272="ENTRADA",ABS(J1272),-ABS(J1272)))</f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1531</v>
      </c>
      <c r="H1273" s="20" t="str">
        <f>+T1273</f>
        <v/>
      </c>
      <c r="J1273" s="30"/>
      <c r="K1273" s="22" t="str">
        <f>IF(I1273="","",IF(I1273="ENTRADA",ABS(J1273),-ABS(J1273)))</f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1532</v>
      </c>
      <c r="H1274" s="20" t="str">
        <f>+T1274</f>
        <v/>
      </c>
      <c r="J1274" s="30"/>
      <c r="K1274" s="22" t="str">
        <f>IF(I1274="","",IF(I1274="ENTRADA",ABS(J1274),-ABS(J1274)))</f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1533</v>
      </c>
      <c r="H1275" s="20" t="str">
        <f>+T1275</f>
        <v/>
      </c>
      <c r="J1275" s="30"/>
      <c r="K1275" s="22" t="str">
        <f>IF(I1275="","",IF(I1275="ENTRADA",ABS(J1275),-ABS(J1275)))</f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1534</v>
      </c>
      <c r="H1276" s="20" t="str">
        <f>+T1276</f>
        <v/>
      </c>
      <c r="J1276" s="30"/>
      <c r="K1276" s="22" t="str">
        <f>IF(I1276="","",IF(I1276="ENTRADA",ABS(J1276),-ABS(J1276)))</f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1535</v>
      </c>
      <c r="H1277" s="20" t="str">
        <f>+T1277</f>
        <v/>
      </c>
      <c r="J1277" s="30"/>
      <c r="K1277" s="22" t="str">
        <f>IF(I1277="","",IF(I1277="ENTRADA",ABS(J1277),-ABS(J1277)))</f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1536</v>
      </c>
      <c r="H1278" s="20" t="str">
        <f>+T1278</f>
        <v/>
      </c>
      <c r="J1278" s="30"/>
      <c r="K1278" s="22" t="str">
        <f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1537</v>
      </c>
      <c r="H1279" s="20" t="str">
        <f>+T1279</f>
        <v/>
      </c>
      <c r="J1279" s="30"/>
      <c r="K1279" s="22" t="str">
        <f>IF(I1279="","",IF(I1279="ENTRADA",ABS(J1279),-ABS(J1279)))</f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1538</v>
      </c>
      <c r="H1280" s="20" t="str">
        <f>+T1280</f>
        <v/>
      </c>
      <c r="J1280" s="30"/>
      <c r="K1280" s="22" t="str">
        <f>IF(I1280="","",IF(I1280="ENTRADA",ABS(J1280),-ABS(J1280)))</f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1539</v>
      </c>
      <c r="H1281" s="20" t="str">
        <f>+T1281</f>
        <v/>
      </c>
      <c r="J1281" s="30"/>
      <c r="K1281" s="22" t="str">
        <f>IF(I1281="","",IF(I1281="ENTRADA",ABS(J1281),-ABS(J1281)))</f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1540</v>
      </c>
      <c r="H1282" s="20" t="str">
        <f>+T1282</f>
        <v/>
      </c>
      <c r="J1282" s="30"/>
      <c r="K1282" s="22" t="str">
        <f>IF(I1282="","",IF(I1282="ENTRADA",ABS(J1282),-ABS(J1282)))</f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1541</v>
      </c>
      <c r="H1283" s="20" t="str">
        <f>+T1283</f>
        <v/>
      </c>
      <c r="J1283" s="30"/>
      <c r="K1283" s="22" t="str">
        <f>IF(I1283="","",IF(I1283="ENTRADA",ABS(J1283),-ABS(J1283)))</f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1542</v>
      </c>
      <c r="H1284" s="20" t="str">
        <f>+T1284</f>
        <v/>
      </c>
      <c r="J1284" s="30"/>
      <c r="K1284" s="22" t="str">
        <f>IF(I1284="","",IF(I1284="ENTRADA",ABS(J1284),-ABS(J1284)))</f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1543</v>
      </c>
      <c r="H1285" s="20" t="str">
        <f>+T1285</f>
        <v/>
      </c>
      <c r="J1285" s="30"/>
      <c r="K1285" s="22" t="str">
        <f>IF(I1285="","",IF(I1285="ENTRADA",ABS(J1285),-ABS(J1285)))</f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1544</v>
      </c>
      <c r="H1286" s="20" t="str">
        <f>+T1286</f>
        <v/>
      </c>
      <c r="J1286" s="30"/>
      <c r="K1286" s="22" t="str">
        <f>IF(I1286="","",IF(I1286="ENTRADA",ABS(J1286),-ABS(J1286)))</f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1545</v>
      </c>
      <c r="H1287" s="20" t="str">
        <f>+T1287</f>
        <v/>
      </c>
      <c r="J1287" s="30"/>
      <c r="K1287" s="22" t="str">
        <f>IF(I1287="","",IF(I1287="ENTRADA",ABS(J1287),-ABS(J1287)))</f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1546</v>
      </c>
      <c r="H1288" s="20" t="str">
        <f>+T1288</f>
        <v/>
      </c>
      <c r="J1288" s="30"/>
      <c r="K1288" s="22" t="str">
        <f>IF(I1288="","",IF(I1288="ENTRADA",ABS(J1288),-ABS(J1288)))</f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1547</v>
      </c>
      <c r="H1289" s="20" t="str">
        <f>+T1289</f>
        <v/>
      </c>
      <c r="J1289" s="30"/>
      <c r="K1289" s="22" t="str">
        <f>IF(I1289="","",IF(I1289="ENTRADA",ABS(J1289),-ABS(J1289)))</f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1548</v>
      </c>
      <c r="H1290" s="20" t="str">
        <f>+T1290</f>
        <v/>
      </c>
      <c r="J1290" s="30"/>
      <c r="K1290" s="22" t="str">
        <f>IF(I1290="","",IF(I1290="ENTRADA",ABS(J1290),-ABS(J1290)))</f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1549</v>
      </c>
      <c r="H1291" s="20" t="str">
        <f>+T1291</f>
        <v/>
      </c>
      <c r="J1291" s="30"/>
      <c r="K1291" s="22" t="str">
        <f>IF(I1291="","",IF(I1291="ENTRADA",ABS(J1291),-ABS(J1291)))</f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1550</v>
      </c>
      <c r="H1292" s="20" t="str">
        <f>+T1292</f>
        <v/>
      </c>
      <c r="J1292" s="30"/>
      <c r="K1292" s="22" t="str">
        <f>IF(I1292="","",IF(I1292="ENTRADA",ABS(J1292),-ABS(J1292)))</f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1551</v>
      </c>
      <c r="H1293" s="20" t="str">
        <f>+T1293</f>
        <v/>
      </c>
      <c r="J1293" s="30"/>
      <c r="K1293" s="22" t="str">
        <f>IF(I1293="","",IF(I1293="ENTRADA",ABS(J1293),-ABS(J1293)))</f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1552</v>
      </c>
      <c r="H1294" s="20" t="str">
        <f>+T1294</f>
        <v/>
      </c>
      <c r="J1294" s="30"/>
      <c r="K1294" s="22" t="str">
        <f>IF(I1294="","",IF(I1294="ENTRADA",ABS(J1294),-ABS(J1294)))</f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1553</v>
      </c>
      <c r="H1295" s="20" t="str">
        <f>+T1295</f>
        <v/>
      </c>
      <c r="J1295" s="30"/>
      <c r="K1295" s="22" t="str">
        <f>IF(I1295="","",IF(I1295="ENTRADA",ABS(J1295),-ABS(J1295)))</f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1554</v>
      </c>
      <c r="H1296" s="20" t="str">
        <f>+T1296</f>
        <v/>
      </c>
      <c r="J1296" s="30"/>
      <c r="K1296" s="22" t="str">
        <f>IF(I1296="","",IF(I1296="ENTRADA",ABS(J1296),-ABS(J1296)))</f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1555</v>
      </c>
      <c r="H1297" s="20" t="str">
        <f>+T1297</f>
        <v/>
      </c>
      <c r="J1297" s="30"/>
      <c r="K1297" s="22" t="str">
        <f>IF(I1297="","",IF(I1297="ENTRADA",ABS(J1297),-ABS(J1297)))</f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1556</v>
      </c>
      <c r="H1298" s="20" t="str">
        <f>+T1298</f>
        <v/>
      </c>
      <c r="J1298" s="30"/>
      <c r="K1298" s="22" t="str">
        <f>IF(I1298="","",IF(I1298="ENTRADA",ABS(J1298),-ABS(J1298)))</f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1557</v>
      </c>
      <c r="H1299" s="20" t="str">
        <f>+T1299</f>
        <v/>
      </c>
      <c r="J1299" s="30"/>
      <c r="K1299" s="22" t="str">
        <f>IF(I1299="","",IF(I1299="ENTRADA",ABS(J1299),-ABS(J1299)))</f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1558</v>
      </c>
      <c r="H1300" s="20" t="str">
        <f>+T1300</f>
        <v/>
      </c>
      <c r="J1300" s="30"/>
      <c r="K1300" s="22" t="str">
        <f>IF(I1300="","",IF(I1300="ENTRADA",ABS(J1300),-ABS(J1300)))</f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1559</v>
      </c>
      <c r="H1301" s="20" t="str">
        <f>+T1301</f>
        <v/>
      </c>
      <c r="J1301" s="30"/>
      <c r="K1301" s="22" t="str">
        <f>IF(I1301="","",IF(I1301="ENTRADA",ABS(J1301),-ABS(J1301)))</f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1560</v>
      </c>
      <c r="H1302" s="20" t="str">
        <f>+T1302</f>
        <v/>
      </c>
      <c r="J1302" s="30"/>
      <c r="K1302" s="22" t="str">
        <f>IF(I1302="","",IF(I1302="ENTRADA",ABS(J1302),-ABS(J1302)))</f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1561</v>
      </c>
      <c r="H1303" s="20" t="str">
        <f>+T1303</f>
        <v/>
      </c>
      <c r="J1303" s="30"/>
      <c r="K1303" s="22" t="str">
        <f>IF(I1303="","",IF(I1303="ENTRADA",ABS(J1303),-ABS(J1303)))</f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1562</v>
      </c>
      <c r="H1304" s="20" t="str">
        <f>+T1304</f>
        <v/>
      </c>
      <c r="J1304" s="30"/>
      <c r="K1304" s="22" t="str">
        <f>IF(I1304="","",IF(I1304="ENTRADA",ABS(J1304),-ABS(J1304)))</f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1563</v>
      </c>
      <c r="H1305" s="20" t="str">
        <f>+T1305</f>
        <v/>
      </c>
      <c r="J1305" s="30"/>
      <c r="K1305" s="22" t="str">
        <f>IF(I1305="","",IF(I1305="ENTRADA",ABS(J1305),-ABS(J1305)))</f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1564</v>
      </c>
      <c r="H1306" s="20" t="str">
        <f>+T1306</f>
        <v/>
      </c>
      <c r="J1306" s="30"/>
      <c r="K1306" s="22" t="str">
        <f>IF(I1306="","",IF(I1306="ENTRADA",ABS(J1306),-ABS(J1306)))</f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1565</v>
      </c>
      <c r="H1307" s="20" t="str">
        <f>+T1307</f>
        <v/>
      </c>
      <c r="J1307" s="30"/>
      <c r="K1307" s="22" t="str">
        <f>IF(I1307="","",IF(I1307="ENTRADA",ABS(J1307),-ABS(J1307)))</f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1566</v>
      </c>
      <c r="H1308" s="20" t="str">
        <f>+T1308</f>
        <v/>
      </c>
      <c r="J1308" s="30"/>
      <c r="K1308" s="22" t="str">
        <f>IF(I1308="","",IF(I1308="ENTRADA",ABS(J1308),-ABS(J1308)))</f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1567</v>
      </c>
      <c r="H1309" s="20" t="str">
        <f>+T1309</f>
        <v/>
      </c>
      <c r="J1309" s="30"/>
      <c r="K1309" s="22" t="str">
        <f>IF(I1309="","",IF(I1309="ENTRADA",ABS(J1309),-ABS(J1309)))</f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1568</v>
      </c>
      <c r="H1310" s="20" t="str">
        <f>+T1310</f>
        <v/>
      </c>
      <c r="J1310" s="30"/>
      <c r="K1310" s="22" t="str">
        <f>IF(I1310="","",IF(I1310="ENTRADA",ABS(J1310),-ABS(J1310)))</f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1569</v>
      </c>
      <c r="H1311" s="20" t="str">
        <f>+T1311</f>
        <v/>
      </c>
      <c r="J1311" s="30"/>
      <c r="K1311" s="22" t="str">
        <f>IF(I1311="","",IF(I1311="ENTRADA",ABS(J1311),-ABS(J1311)))</f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1570</v>
      </c>
      <c r="H1312" s="20" t="str">
        <f>+T1312</f>
        <v/>
      </c>
      <c r="J1312" s="30"/>
      <c r="K1312" s="22" t="str">
        <f>IF(I1312="","",IF(I1312="ENTRADA",ABS(J1312),-ABS(J1312)))</f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1571</v>
      </c>
      <c r="H1313" s="20" t="str">
        <f>+T1313</f>
        <v/>
      </c>
      <c r="J1313" s="30"/>
      <c r="K1313" s="22" t="str">
        <f>IF(I1313="","",IF(I1313="ENTRADA",ABS(J1313),-ABS(J1313)))</f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1572</v>
      </c>
      <c r="H1314" s="20" t="str">
        <f>+T1314</f>
        <v/>
      </c>
      <c r="J1314" s="30"/>
      <c r="K1314" s="22" t="str">
        <f>IF(I1314="","",IF(I1314="ENTRADA",ABS(J1314),-ABS(J1314)))</f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1573</v>
      </c>
      <c r="H1315" s="20" t="str">
        <f>+T1315</f>
        <v/>
      </c>
      <c r="J1315" s="30"/>
      <c r="K1315" s="22" t="str">
        <f>IF(I1315="","",IF(I1315="ENTRADA",ABS(J1315),-ABS(J1315)))</f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1574</v>
      </c>
      <c r="H1316" s="20" t="str">
        <f>+T1316</f>
        <v/>
      </c>
      <c r="J1316" s="30"/>
      <c r="K1316" s="22" t="str">
        <f>IF(I1316="","",IF(I1316="ENTRADA",ABS(J1316),-ABS(J1316)))</f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1575</v>
      </c>
      <c r="H1317" s="20" t="str">
        <f>+T1317</f>
        <v/>
      </c>
      <c r="J1317" s="30"/>
      <c r="K1317" s="22" t="str">
        <f>IF(I1317="","",IF(I1317="ENTRADA",ABS(J1317),-ABS(J1317)))</f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1576</v>
      </c>
      <c r="H1318" s="20" t="str">
        <f>+T1318</f>
        <v/>
      </c>
      <c r="J1318" s="30"/>
      <c r="K1318" s="22" t="str">
        <f>IF(I1318="","",IF(I1318="ENTRADA",ABS(J1318),-ABS(J1318)))</f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1577</v>
      </c>
      <c r="H1319" s="20" t="str">
        <f>+T1319</f>
        <v/>
      </c>
      <c r="J1319" s="30"/>
      <c r="K1319" s="22" t="str">
        <f>IF(I1319="","",IF(I1319="ENTRADA",ABS(J1319),-ABS(J1319)))</f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1578</v>
      </c>
      <c r="H1320" s="20" t="str">
        <f>+T1320</f>
        <v/>
      </c>
      <c r="J1320" s="30"/>
      <c r="K1320" s="22" t="str">
        <f>IF(I1320="","",IF(I1320="ENTRADA",ABS(J1320),-ABS(J1320)))</f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1579</v>
      </c>
      <c r="H1321" s="20" t="str">
        <f>+T1321</f>
        <v/>
      </c>
      <c r="J1321" s="30"/>
      <c r="K1321" s="22" t="str">
        <f>IF(I1321="","",IF(I1321="ENTRADA",ABS(J1321),-ABS(J1321)))</f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1580</v>
      </c>
      <c r="H1322" s="20" t="str">
        <f>+T1322</f>
        <v/>
      </c>
      <c r="J1322" s="30"/>
      <c r="K1322" s="22" t="str">
        <f>IF(I1322="","",IF(I1322="ENTRADA",ABS(J1322),-ABS(J1322)))</f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1581</v>
      </c>
      <c r="H1323" s="20" t="str">
        <f>+T1323</f>
        <v/>
      </c>
      <c r="J1323" s="30"/>
      <c r="K1323" s="22" t="str">
        <f>IF(I1323="","",IF(I1323="ENTRADA",ABS(J1323),-ABS(J1323)))</f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1582</v>
      </c>
      <c r="H1324" s="20" t="str">
        <f>+T1324</f>
        <v/>
      </c>
      <c r="J1324" s="30"/>
      <c r="K1324" s="22" t="str">
        <f>IF(I1324="","",IF(I1324="ENTRADA",ABS(J1324),-ABS(J1324)))</f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1583</v>
      </c>
      <c r="H1325" s="20" t="str">
        <f>+T1325</f>
        <v/>
      </c>
      <c r="J1325" s="30"/>
      <c r="K1325" s="22" t="str">
        <f>IF(I1325="","",IF(I1325="ENTRADA",ABS(J1325),-ABS(J1325)))</f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1584</v>
      </c>
      <c r="H1326" s="20" t="str">
        <f>+T1326</f>
        <v/>
      </c>
      <c r="J1326" s="30"/>
      <c r="K1326" s="22" t="str">
        <f>IF(I1326="","",IF(I1326="ENTRADA",ABS(J1326),-ABS(J1326)))</f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1585</v>
      </c>
      <c r="H1327" s="20" t="str">
        <f>+T1327</f>
        <v/>
      </c>
      <c r="J1327" s="30"/>
      <c r="K1327" s="22" t="str">
        <f>IF(I1327="","",IF(I1327="ENTRADA",ABS(J1327),-ABS(J1327)))</f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1586</v>
      </c>
      <c r="H1328" s="20" t="str">
        <f>+T1328</f>
        <v/>
      </c>
      <c r="J1328" s="30"/>
      <c r="K1328" s="22" t="str">
        <f>IF(I1328="","",IF(I1328="ENTRADA",ABS(J1328),-ABS(J1328)))</f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1587</v>
      </c>
      <c r="H1329" s="20" t="str">
        <f>+T1329</f>
        <v/>
      </c>
      <c r="J1329" s="30"/>
      <c r="K1329" s="22" t="str">
        <f>IF(I1329="","",IF(I1329="ENTRADA",ABS(J1329),-ABS(J1329)))</f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1588</v>
      </c>
      <c r="H1330" s="20" t="str">
        <f>+T1330</f>
        <v/>
      </c>
      <c r="J1330" s="30"/>
      <c r="K1330" s="22" t="str">
        <f>IF(I1330="","",IF(I1330="ENTRADA",ABS(J1330),-ABS(J1330)))</f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1589</v>
      </c>
      <c r="H1331" s="20" t="str">
        <f>+T1331</f>
        <v/>
      </c>
      <c r="J1331" s="30"/>
      <c r="K1331" s="22" t="str">
        <f>IF(I1331="","",IF(I1331="ENTRADA",ABS(J1331),-ABS(J1331)))</f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1590</v>
      </c>
      <c r="H1332" s="20" t="str">
        <f>+T1332</f>
        <v/>
      </c>
      <c r="J1332" s="30"/>
      <c r="K1332" s="22" t="str">
        <f>IF(I1332="","",IF(I1332="ENTRADA",ABS(J1332),-ABS(J1332)))</f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1591</v>
      </c>
      <c r="H1333" s="20" t="str">
        <f>+T1333</f>
        <v/>
      </c>
      <c r="J1333" s="30"/>
      <c r="K1333" s="22" t="str">
        <f>IF(I1333="","",IF(I1333="ENTRADA",ABS(J1333),-ABS(J1333)))</f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1592</v>
      </c>
      <c r="H1334" s="20" t="str">
        <f>+T1334</f>
        <v/>
      </c>
      <c r="J1334" s="30"/>
      <c r="K1334" s="22" t="str">
        <f>IF(I1334="","",IF(I1334="ENTRADA",ABS(J1334),-ABS(J1334)))</f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1593</v>
      </c>
      <c r="H1335" s="20" t="str">
        <f>+T1335</f>
        <v/>
      </c>
      <c r="J1335" s="30"/>
      <c r="K1335" s="22" t="str">
        <f>IF(I1335="","",IF(I1335="ENTRADA",ABS(J1335),-ABS(J1335)))</f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1594</v>
      </c>
      <c r="H1336" s="20" t="str">
        <f>+T1336</f>
        <v/>
      </c>
      <c r="J1336" s="30"/>
      <c r="K1336" s="22" t="str">
        <f>IF(I1336="","",IF(I1336="ENTRADA",ABS(J1336),-ABS(J1336)))</f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1595</v>
      </c>
      <c r="H1337" s="20" t="str">
        <f>+T1337</f>
        <v/>
      </c>
      <c r="J1337" s="30"/>
      <c r="K1337" s="22" t="str">
        <f>IF(I1337="","",IF(I1337="ENTRADA",ABS(J1337),-ABS(J1337)))</f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1596</v>
      </c>
      <c r="H1338" s="20" t="str">
        <f>+T1338</f>
        <v/>
      </c>
      <c r="J1338" s="30"/>
      <c r="K1338" s="22" t="str">
        <f>IF(I1338="","",IF(I1338="ENTRADA",ABS(J1338),-ABS(J1338)))</f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1597</v>
      </c>
      <c r="H1339" s="20" t="str">
        <f>+T1339</f>
        <v/>
      </c>
      <c r="J1339" s="30"/>
      <c r="K1339" s="22" t="str">
        <f>IF(I1339="","",IF(I1339="ENTRADA",ABS(J1339),-ABS(J1339)))</f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1598</v>
      </c>
      <c r="H1340" s="20" t="str">
        <f>+T1340</f>
        <v/>
      </c>
      <c r="J1340" s="30"/>
      <c r="K1340" s="22" t="str">
        <f>IF(I1340="","",IF(I1340="ENTRADA",ABS(J1340),-ABS(J1340)))</f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1599</v>
      </c>
      <c r="H1341" s="20" t="str">
        <f>+T1341</f>
        <v/>
      </c>
      <c r="J1341" s="30"/>
      <c r="K1341" s="22" t="str">
        <f>IF(I1341="","",IF(I1341="ENTRADA",ABS(J1341),-ABS(J1341)))</f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1600</v>
      </c>
      <c r="H1342" s="20" t="str">
        <f>+T1342</f>
        <v/>
      </c>
      <c r="J1342" s="30"/>
      <c r="K1342" s="22" t="str">
        <f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1601</v>
      </c>
      <c r="H1343" s="20" t="str">
        <f>+T1343</f>
        <v/>
      </c>
      <c r="J1343" s="30"/>
      <c r="K1343" s="22" t="str">
        <f>IF(I1343="","",IF(I1343="ENTRADA",ABS(J1343),-ABS(J1343)))</f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1602</v>
      </c>
      <c r="H1344" s="20" t="str">
        <f>+T1344</f>
        <v/>
      </c>
      <c r="J1344" s="30"/>
      <c r="K1344" s="22" t="str">
        <f>IF(I1344="","",IF(I1344="ENTRADA",ABS(J1344),-ABS(J1344)))</f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1603</v>
      </c>
      <c r="H1345" s="20" t="str">
        <f>+T1345</f>
        <v/>
      </c>
      <c r="J1345" s="30"/>
      <c r="K1345" s="22" t="str">
        <f>IF(I1345="","",IF(I1345="ENTRADA",ABS(J1345),-ABS(J1345)))</f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1604</v>
      </c>
      <c r="H1346" s="20" t="str">
        <f>+T1346</f>
        <v/>
      </c>
      <c r="J1346" s="30"/>
      <c r="K1346" s="22" t="str">
        <f>IF(I1346="","",IF(I1346="ENTRADA",ABS(J1346),-ABS(J1346)))</f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1605</v>
      </c>
      <c r="H1347" s="20" t="str">
        <f>+T1347</f>
        <v/>
      </c>
      <c r="J1347" s="30"/>
      <c r="K1347" s="22" t="str">
        <f>IF(I1347="","",IF(I1347="ENTRADA",ABS(J1347),-ABS(J1347)))</f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1606</v>
      </c>
      <c r="H1348" s="20" t="str">
        <f>+T1348</f>
        <v/>
      </c>
      <c r="J1348" s="30"/>
      <c r="K1348" s="22" t="str">
        <f>IF(I1348="","",IF(I1348="ENTRADA",ABS(J1348),-ABS(J1348)))</f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1607</v>
      </c>
      <c r="H1349" s="20" t="str">
        <f>+T1349</f>
        <v/>
      </c>
      <c r="J1349" s="30"/>
      <c r="K1349" s="22" t="str">
        <f>IF(I1349="","",IF(I1349="ENTRADA",ABS(J1349),-ABS(J1349)))</f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1608</v>
      </c>
      <c r="H1350" s="20" t="str">
        <f>+T1350</f>
        <v/>
      </c>
      <c r="J1350" s="30"/>
      <c r="K1350" s="22" t="str">
        <f>IF(I1350="","",IF(I1350="ENTRADA",ABS(J1350),-ABS(J1350)))</f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1609</v>
      </c>
      <c r="H1351" s="20" t="str">
        <f>+T1351</f>
        <v/>
      </c>
      <c r="J1351" s="30"/>
      <c r="K1351" s="22" t="str">
        <f>IF(I1351="","",IF(I1351="ENTRADA",ABS(J1351),-ABS(J1351)))</f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1610</v>
      </c>
      <c r="H1352" s="20" t="str">
        <f>+T1352</f>
        <v/>
      </c>
      <c r="J1352" s="30"/>
      <c r="K1352" s="22" t="str">
        <f>IF(I1352="","",IF(I1352="ENTRADA",ABS(J1352),-ABS(J1352)))</f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1611</v>
      </c>
      <c r="H1353" s="20" t="str">
        <f>+T1353</f>
        <v/>
      </c>
      <c r="J1353" s="30"/>
      <c r="K1353" s="22" t="str">
        <f>IF(I1353="","",IF(I1353="ENTRADA",ABS(J1353),-ABS(J1353)))</f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1612</v>
      </c>
      <c r="H1354" s="20" t="str">
        <f>+T1354</f>
        <v/>
      </c>
      <c r="J1354" s="30"/>
      <c r="K1354" s="22" t="str">
        <f>IF(I1354="","",IF(I1354="ENTRADA",ABS(J1354),-ABS(J1354)))</f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1613</v>
      </c>
      <c r="H1355" s="20" t="str">
        <f>+T1355</f>
        <v/>
      </c>
      <c r="J1355" s="30"/>
      <c r="K1355" s="22" t="str">
        <f>IF(I1355="","",IF(I1355="ENTRADA",ABS(J1355),-ABS(J1355)))</f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1614</v>
      </c>
      <c r="H1356" s="20" t="str">
        <f>+T1356</f>
        <v/>
      </c>
      <c r="J1356" s="30"/>
      <c r="K1356" s="22" t="str">
        <f>IF(I1356="","",IF(I1356="ENTRADA",ABS(J1356),-ABS(J1356)))</f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1615</v>
      </c>
      <c r="H1357" s="20" t="str">
        <f>+T1357</f>
        <v/>
      </c>
      <c r="J1357" s="30"/>
      <c r="K1357" s="22" t="str">
        <f>IF(I1357="","",IF(I1357="ENTRADA",ABS(J1357),-ABS(J1357)))</f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1616</v>
      </c>
      <c r="H1358" s="20" t="str">
        <f>+T1358</f>
        <v/>
      </c>
      <c r="J1358" s="30"/>
      <c r="K1358" s="22" t="str">
        <f>IF(I1358="","",IF(I1358="ENTRADA",ABS(J1358),-ABS(J1358)))</f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1617</v>
      </c>
      <c r="H1359" s="20" t="str">
        <f>+T1359</f>
        <v/>
      </c>
      <c r="J1359" s="30"/>
      <c r="K1359" s="22" t="str">
        <f>IF(I1359="","",IF(I1359="ENTRADA",ABS(J1359),-ABS(J1359)))</f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1618</v>
      </c>
      <c r="H1360" s="20" t="str">
        <f>+T1360</f>
        <v/>
      </c>
      <c r="J1360" s="30"/>
      <c r="K1360" s="22" t="str">
        <f>IF(I1360="","",IF(I1360="ENTRADA",ABS(J1360),-ABS(J1360)))</f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1619</v>
      </c>
      <c r="H1361" s="20" t="str">
        <f>+T1361</f>
        <v/>
      </c>
      <c r="J1361" s="30"/>
      <c r="K1361" s="22" t="str">
        <f>IF(I1361="","",IF(I1361="ENTRADA",ABS(J1361),-ABS(J1361)))</f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1620</v>
      </c>
      <c r="H1362" s="20" t="str">
        <f>+T1362</f>
        <v/>
      </c>
      <c r="J1362" s="30"/>
      <c r="K1362" s="22" t="str">
        <f>IF(I1362="","",IF(I1362="ENTRADA",ABS(J1362),-ABS(J1362)))</f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1621</v>
      </c>
      <c r="H1363" s="20" t="str">
        <f>+T1363</f>
        <v/>
      </c>
      <c r="J1363" s="30"/>
      <c r="K1363" s="22" t="str">
        <f>IF(I1363="","",IF(I1363="ENTRADA",ABS(J1363),-ABS(J1363)))</f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1622</v>
      </c>
      <c r="H1364" s="20" t="str">
        <f>+T1364</f>
        <v/>
      </c>
      <c r="J1364" s="30"/>
      <c r="K1364" s="22" t="str">
        <f>IF(I1364="","",IF(I1364="ENTRADA",ABS(J1364),-ABS(J1364)))</f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1623</v>
      </c>
      <c r="H1365" s="20" t="str">
        <f>+T1365</f>
        <v/>
      </c>
      <c r="J1365" s="30"/>
      <c r="K1365" s="22" t="str">
        <f>IF(I1365="","",IF(I1365="ENTRADA",ABS(J1365),-ABS(J1365)))</f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1624</v>
      </c>
      <c r="H1366" s="20" t="str">
        <f>+T1366</f>
        <v/>
      </c>
      <c r="J1366" s="30"/>
      <c r="K1366" s="22" t="str">
        <f>IF(I1366="","",IF(I1366="ENTRADA",ABS(J1366),-ABS(J1366)))</f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1625</v>
      </c>
      <c r="H1367" s="20" t="str">
        <f>+T1367</f>
        <v/>
      </c>
      <c r="J1367" s="30"/>
      <c r="K1367" s="22" t="str">
        <f>IF(I1367="","",IF(I1367="ENTRADA",ABS(J1367),-ABS(J1367)))</f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1626</v>
      </c>
      <c r="H1368" s="20" t="str">
        <f>+T1368</f>
        <v/>
      </c>
      <c r="J1368" s="30"/>
      <c r="K1368" s="22" t="str">
        <f>IF(I1368="","",IF(I1368="ENTRADA",ABS(J1368),-ABS(J1368)))</f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1627</v>
      </c>
      <c r="H1369" s="20" t="str">
        <f>+T1369</f>
        <v/>
      </c>
      <c r="J1369" s="30"/>
      <c r="K1369" s="22" t="str">
        <f>IF(I1369="","",IF(I1369="ENTRADA",ABS(J1369),-ABS(J1369)))</f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1628</v>
      </c>
      <c r="H1370" s="20" t="str">
        <f>+T1370</f>
        <v/>
      </c>
      <c r="J1370" s="30"/>
      <c r="K1370" s="22" t="str">
        <f>IF(I1370="","",IF(I1370="ENTRADA",ABS(J1370),-ABS(J1370)))</f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1629</v>
      </c>
      <c r="H1371" s="20" t="str">
        <f>+T1371</f>
        <v/>
      </c>
      <c r="J1371" s="30"/>
      <c r="K1371" s="22" t="str">
        <f>IF(I1371="","",IF(I1371="ENTRADA",ABS(J1371),-ABS(J1371)))</f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1630</v>
      </c>
      <c r="H1372" s="20" t="str">
        <f>+T1372</f>
        <v/>
      </c>
      <c r="J1372" s="30"/>
      <c r="K1372" s="22" t="str">
        <f>IF(I1372="","",IF(I1372="ENTRADA",ABS(J1372),-ABS(J1372)))</f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1631</v>
      </c>
      <c r="H1373" s="20" t="str">
        <f>+T1373</f>
        <v/>
      </c>
      <c r="J1373" s="30"/>
      <c r="K1373" s="22" t="str">
        <f>IF(I1373="","",IF(I1373="ENTRADA",ABS(J1373),-ABS(J1373)))</f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1632</v>
      </c>
      <c r="H1374" s="20" t="str">
        <f>+T1374</f>
        <v/>
      </c>
      <c r="J1374" s="30"/>
      <c r="K1374" s="22" t="str">
        <f>IF(I1374="","",IF(I1374="ENTRADA",ABS(J1374),-ABS(J1374)))</f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1633</v>
      </c>
      <c r="H1375" s="20" t="str">
        <f>+T1375</f>
        <v/>
      </c>
      <c r="J1375" s="30"/>
      <c r="K1375" s="22" t="str">
        <f>IF(I1375="","",IF(I1375="ENTRADA",ABS(J1375),-ABS(J1375)))</f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1634</v>
      </c>
      <c r="H1376" s="20" t="str">
        <f>+T1376</f>
        <v/>
      </c>
      <c r="J1376" s="30"/>
      <c r="K1376" s="22" t="str">
        <f>IF(I1376="","",IF(I1376="ENTRADA",ABS(J1376),-ABS(J1376)))</f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1635</v>
      </c>
      <c r="H1377" s="20" t="str">
        <f>+T1377</f>
        <v/>
      </c>
      <c r="J1377" s="30"/>
      <c r="K1377" s="22" t="str">
        <f>IF(I1377="","",IF(I1377="ENTRADA",ABS(J1377),-ABS(J1377)))</f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1636</v>
      </c>
      <c r="H1378" s="20" t="str">
        <f>+T1378</f>
        <v/>
      </c>
      <c r="J1378" s="30"/>
      <c r="K1378" s="22" t="str">
        <f>IF(I1378="","",IF(I1378="ENTRADA",ABS(J1378),-ABS(J1378)))</f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1637</v>
      </c>
      <c r="H1379" s="20" t="str">
        <f>+T1379</f>
        <v/>
      </c>
      <c r="J1379" s="30"/>
      <c r="K1379" s="22" t="str">
        <f>IF(I1379="","",IF(I1379="ENTRADA",ABS(J1379),-ABS(J1379)))</f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1638</v>
      </c>
      <c r="H1380" s="20" t="str">
        <f>+T1380</f>
        <v/>
      </c>
      <c r="J1380" s="30"/>
      <c r="K1380" s="22" t="str">
        <f>IF(I1380="","",IF(I1380="ENTRADA",ABS(J1380),-ABS(J1380)))</f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1639</v>
      </c>
      <c r="H1381" s="20" t="str">
        <f>+T1381</f>
        <v/>
      </c>
      <c r="J1381" s="30"/>
      <c r="K1381" s="22" t="str">
        <f>IF(I1381="","",IF(I1381="ENTRADA",ABS(J1381),-ABS(J1381)))</f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1640</v>
      </c>
      <c r="H1382" s="20" t="str">
        <f>+T1382</f>
        <v/>
      </c>
      <c r="J1382" s="30"/>
      <c r="K1382" s="22" t="str">
        <f>IF(I1382="","",IF(I1382="ENTRADA",ABS(J1382),-ABS(J1382)))</f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1641</v>
      </c>
      <c r="H1383" s="20" t="str">
        <f>+T1383</f>
        <v/>
      </c>
      <c r="J1383" s="30"/>
      <c r="K1383" s="22" t="str">
        <f>IF(I1383="","",IF(I1383="ENTRADA",ABS(J1383),-ABS(J1383)))</f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1642</v>
      </c>
      <c r="H1384" s="20" t="str">
        <f>+T1384</f>
        <v/>
      </c>
      <c r="J1384" s="30"/>
      <c r="K1384" s="22" t="str">
        <f>IF(I1384="","",IF(I1384="ENTRADA",ABS(J1384),-ABS(J1384)))</f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1643</v>
      </c>
      <c r="H1385" s="20" t="str">
        <f>+T1385</f>
        <v/>
      </c>
      <c r="J1385" s="30"/>
      <c r="K1385" s="22" t="str">
        <f>IF(I1385="","",IF(I1385="ENTRADA",ABS(J1385),-ABS(J1385)))</f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1644</v>
      </c>
      <c r="H1386" s="20" t="str">
        <f>+T1386</f>
        <v/>
      </c>
      <c r="J1386" s="30"/>
      <c r="K1386" s="22" t="str">
        <f>IF(I1386="","",IF(I1386="ENTRADA",ABS(J1386),-ABS(J1386)))</f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1645</v>
      </c>
      <c r="H1387" s="20" t="str">
        <f>+T1387</f>
        <v/>
      </c>
      <c r="J1387" s="30"/>
      <c r="K1387" s="22" t="str">
        <f>IF(I1387="","",IF(I1387="ENTRADA",ABS(J1387),-ABS(J1387)))</f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1646</v>
      </c>
      <c r="H1388" s="20" t="str">
        <f>+T1388</f>
        <v/>
      </c>
      <c r="J1388" s="30"/>
      <c r="K1388" s="22" t="str">
        <f>IF(I1388="","",IF(I1388="ENTRADA",ABS(J1388),-ABS(J1388)))</f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1647</v>
      </c>
      <c r="H1389" s="20" t="str">
        <f>+T1389</f>
        <v/>
      </c>
      <c r="J1389" s="30"/>
      <c r="K1389" s="22" t="str">
        <f>IF(I1389="","",IF(I1389="ENTRADA",ABS(J1389),-ABS(J1389)))</f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1648</v>
      </c>
      <c r="H1390" s="20" t="str">
        <f>+T1390</f>
        <v/>
      </c>
      <c r="J1390" s="30"/>
      <c r="K1390" s="22" t="str">
        <f>IF(I1390="","",IF(I1390="ENTRADA",ABS(J1390),-ABS(J1390)))</f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1649</v>
      </c>
      <c r="H1391" s="20" t="str">
        <f>+T1391</f>
        <v/>
      </c>
      <c r="J1391" s="30"/>
      <c r="K1391" s="22" t="str">
        <f>IF(I1391="","",IF(I1391="ENTRADA",ABS(J1391),-ABS(J1391)))</f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1650</v>
      </c>
      <c r="H1392" s="20" t="str">
        <f>+T1392</f>
        <v/>
      </c>
      <c r="J1392" s="30"/>
      <c r="K1392" s="22" t="str">
        <f>IF(I1392="","",IF(I1392="ENTRADA",ABS(J1392),-ABS(J1392)))</f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1651</v>
      </c>
      <c r="H1393" s="20" t="str">
        <f>+T1393</f>
        <v/>
      </c>
      <c r="J1393" s="30"/>
      <c r="K1393" s="22" t="str">
        <f>IF(I1393="","",IF(I1393="ENTRADA",ABS(J1393),-ABS(J1393)))</f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1652</v>
      </c>
      <c r="H1394" s="20" t="str">
        <f>+T1394</f>
        <v/>
      </c>
      <c r="J1394" s="30"/>
      <c r="K1394" s="22" t="str">
        <f>IF(I1394="","",IF(I1394="ENTRADA",ABS(J1394),-ABS(J1394)))</f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1653</v>
      </c>
      <c r="H1395" s="20" t="str">
        <f>+T1395</f>
        <v/>
      </c>
      <c r="J1395" s="30"/>
      <c r="K1395" s="22" t="str">
        <f>IF(I1395="","",IF(I1395="ENTRADA",ABS(J1395),-ABS(J1395)))</f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1654</v>
      </c>
      <c r="H1396" s="20" t="str">
        <f>+T1396</f>
        <v/>
      </c>
      <c r="J1396" s="30"/>
      <c r="K1396" s="22" t="str">
        <f>IF(I1396="","",IF(I1396="ENTRADA",ABS(J1396),-ABS(J1396)))</f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1655</v>
      </c>
      <c r="H1397" s="20" t="str">
        <f>+T1397</f>
        <v/>
      </c>
      <c r="J1397" s="30"/>
      <c r="K1397" s="22" t="str">
        <f>IF(I1397="","",IF(I1397="ENTRADA",ABS(J1397),-ABS(J1397)))</f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1656</v>
      </c>
      <c r="H1398" s="20" t="str">
        <f>+T1398</f>
        <v/>
      </c>
      <c r="J1398" s="30"/>
      <c r="K1398" s="22" t="str">
        <f>IF(I1398="","",IF(I1398="ENTRADA",ABS(J1398),-ABS(J1398)))</f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1657</v>
      </c>
      <c r="H1399" s="20" t="str">
        <f>+T1399</f>
        <v/>
      </c>
      <c r="J1399" s="30"/>
      <c r="K1399" s="22" t="str">
        <f>IF(I1399="","",IF(I1399="ENTRADA",ABS(J1399),-ABS(J1399)))</f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1658</v>
      </c>
      <c r="H1400" s="20" t="str">
        <f>+T1400</f>
        <v/>
      </c>
      <c r="J1400" s="30"/>
      <c r="K1400" s="22" t="str">
        <f>IF(I1400="","",IF(I1400="ENTRADA",ABS(J1400),-ABS(J1400)))</f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1659</v>
      </c>
      <c r="H1401" s="20" t="str">
        <f>+T1401</f>
        <v/>
      </c>
      <c r="J1401" s="30"/>
      <c r="K1401" s="22" t="str">
        <f>IF(I1401="","",IF(I1401="ENTRADA",ABS(J1401),-ABS(J1401)))</f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1660</v>
      </c>
      <c r="H1402" s="20" t="str">
        <f>+T1402</f>
        <v/>
      </c>
      <c r="J1402" s="30"/>
      <c r="K1402" s="22" t="str">
        <f>IF(I1402="","",IF(I1402="ENTRADA",ABS(J1402),-ABS(J1402)))</f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1661</v>
      </c>
      <c r="H1403" s="20" t="str">
        <f>+T1403</f>
        <v/>
      </c>
      <c r="J1403" s="30"/>
      <c r="K1403" s="22" t="str">
        <f>IF(I1403="","",IF(I1403="ENTRADA",ABS(J1403),-ABS(J1403)))</f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1662</v>
      </c>
      <c r="H1404" s="20" t="str">
        <f>+T1404</f>
        <v/>
      </c>
      <c r="J1404" s="30"/>
      <c r="K1404" s="22" t="str">
        <f>IF(I1404="","",IF(I1404="ENTRADA",ABS(J1404),-ABS(J1404)))</f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1663</v>
      </c>
      <c r="H1405" s="20" t="str">
        <f>+T1405</f>
        <v/>
      </c>
      <c r="J1405" s="30"/>
      <c r="K1405" s="22" t="str">
        <f>IF(I1405="","",IF(I1405="ENTRADA",ABS(J1405),-ABS(J1405)))</f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1664</v>
      </c>
      <c r="H1406" s="20" t="str">
        <f>+T1406</f>
        <v/>
      </c>
      <c r="J1406" s="30"/>
      <c r="K1406" s="22" t="str">
        <f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1665</v>
      </c>
      <c r="H1407" s="20" t="str">
        <f>+T1407</f>
        <v/>
      </c>
      <c r="J1407" s="30"/>
      <c r="K1407" s="22" t="str">
        <f>IF(I1407="","",IF(I1407="ENTRADA",ABS(J1407),-ABS(J1407)))</f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1666</v>
      </c>
      <c r="H1408" s="20" t="str">
        <f>+T1408</f>
        <v/>
      </c>
      <c r="J1408" s="30"/>
      <c r="K1408" s="22" t="str">
        <f>IF(I1408="","",IF(I1408="ENTRADA",ABS(J1408),-ABS(J1408)))</f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1667</v>
      </c>
      <c r="H1409" s="20" t="str">
        <f>+T1409</f>
        <v/>
      </c>
      <c r="J1409" s="30"/>
      <c r="K1409" s="22" t="str">
        <f>IF(I1409="","",IF(I1409="ENTRADA",ABS(J1409),-ABS(J1409)))</f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1668</v>
      </c>
      <c r="H1410" s="20" t="str">
        <f>+T1410</f>
        <v/>
      </c>
      <c r="J1410" s="30"/>
      <c r="K1410" s="22" t="str">
        <f>IF(I1410="","",IF(I1410="ENTRADA",ABS(J1410),-ABS(J1410)))</f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1669</v>
      </c>
      <c r="H1411" s="20" t="str">
        <f>+T1411</f>
        <v/>
      </c>
      <c r="J1411" s="30"/>
      <c r="K1411" s="22" t="str">
        <f>IF(I1411="","",IF(I1411="ENTRADA",ABS(J1411),-ABS(J1411)))</f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1670</v>
      </c>
      <c r="H1412" s="20" t="str">
        <f>+T1412</f>
        <v/>
      </c>
      <c r="J1412" s="30"/>
      <c r="K1412" s="22" t="str">
        <f>IF(I1412="","",IF(I1412="ENTRADA",ABS(J1412),-ABS(J1412)))</f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1671</v>
      </c>
      <c r="H1413" s="20" t="str">
        <f>+T1413</f>
        <v/>
      </c>
      <c r="J1413" s="30"/>
      <c r="K1413" s="22" t="str">
        <f>IF(I1413="","",IF(I1413="ENTRADA",ABS(J1413),-ABS(J1413)))</f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1672</v>
      </c>
      <c r="H1414" s="20" t="str">
        <f>+T1414</f>
        <v/>
      </c>
      <c r="J1414" s="30"/>
      <c r="K1414" s="22" t="str">
        <f>IF(I1414="","",IF(I1414="ENTRADA",ABS(J1414),-ABS(J1414)))</f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1673</v>
      </c>
      <c r="H1415" s="20" t="str">
        <f>+T1415</f>
        <v/>
      </c>
      <c r="J1415" s="30"/>
      <c r="K1415" s="22" t="str">
        <f>IF(I1415="","",IF(I1415="ENTRADA",ABS(J1415),-ABS(J1415)))</f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1674</v>
      </c>
      <c r="H1416" s="20" t="str">
        <f>+T1416</f>
        <v/>
      </c>
      <c r="J1416" s="30"/>
      <c r="K1416" s="22" t="str">
        <f>IF(I1416="","",IF(I1416="ENTRADA",ABS(J1416),-ABS(J1416)))</f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1675</v>
      </c>
      <c r="H1417" s="20" t="str">
        <f>+T1417</f>
        <v/>
      </c>
      <c r="J1417" s="30"/>
      <c r="K1417" s="22" t="str">
        <f>IF(I1417="","",IF(I1417="ENTRADA",ABS(J1417),-ABS(J1417)))</f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1676</v>
      </c>
      <c r="H1418" s="20" t="str">
        <f>+T1418</f>
        <v/>
      </c>
      <c r="J1418" s="30"/>
      <c r="K1418" s="22" t="str">
        <f>IF(I1418="","",IF(I1418="ENTRADA",ABS(J1418),-ABS(J1418)))</f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1677</v>
      </c>
      <c r="H1419" s="20" t="str">
        <f>+T1419</f>
        <v/>
      </c>
      <c r="J1419" s="30"/>
      <c r="K1419" s="22" t="str">
        <f>IF(I1419="","",IF(I1419="ENTRADA",ABS(J1419),-ABS(J1419)))</f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1678</v>
      </c>
      <c r="H1420" s="20" t="str">
        <f>+T1420</f>
        <v/>
      </c>
      <c r="J1420" s="30"/>
      <c r="K1420" s="22" t="str">
        <f>IF(I1420="","",IF(I1420="ENTRADA",ABS(J1420),-ABS(J1420)))</f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1679</v>
      </c>
      <c r="H1421" s="20" t="str">
        <f>+T1421</f>
        <v/>
      </c>
      <c r="J1421" s="30"/>
      <c r="K1421" s="22" t="str">
        <f>IF(I1421="","",IF(I1421="ENTRADA",ABS(J1421),-ABS(J1421)))</f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1680</v>
      </c>
      <c r="H1422" s="20" t="str">
        <f>+T1422</f>
        <v/>
      </c>
      <c r="J1422" s="30"/>
      <c r="K1422" s="22" t="str">
        <f>IF(I1422="","",IF(I1422="ENTRADA",ABS(J1422),-ABS(J1422)))</f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1681</v>
      </c>
      <c r="H1423" s="20" t="str">
        <f>+T1423</f>
        <v/>
      </c>
      <c r="J1423" s="30"/>
      <c r="K1423" s="22" t="str">
        <f>IF(I1423="","",IF(I1423="ENTRADA",ABS(J1423),-ABS(J1423)))</f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1682</v>
      </c>
      <c r="H1424" s="20" t="str">
        <f>+T1424</f>
        <v/>
      </c>
      <c r="J1424" s="30"/>
      <c r="K1424" s="22" t="str">
        <f>IF(I1424="","",IF(I1424="ENTRADA",ABS(J1424),-ABS(J1424)))</f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1683</v>
      </c>
      <c r="H1425" s="20" t="str">
        <f>+T1425</f>
        <v/>
      </c>
      <c r="J1425" s="30"/>
      <c r="K1425" s="22" t="str">
        <f>IF(I1425="","",IF(I1425="ENTRADA",ABS(J1425),-ABS(J1425)))</f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1684</v>
      </c>
      <c r="H1426" s="20" t="str">
        <f>+T1426</f>
        <v/>
      </c>
      <c r="J1426" s="30"/>
      <c r="K1426" s="22" t="str">
        <f>IF(I1426="","",IF(I1426="ENTRADA",ABS(J1426),-ABS(J1426)))</f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1685</v>
      </c>
      <c r="H1427" s="20" t="str">
        <f>+T1427</f>
        <v/>
      </c>
      <c r="J1427" s="30"/>
      <c r="K1427" s="22" t="str">
        <f>IF(I1427="","",IF(I1427="ENTRADA",ABS(J1427),-ABS(J1427)))</f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1686</v>
      </c>
      <c r="H1428" s="20" t="str">
        <f>+T1428</f>
        <v/>
      </c>
      <c r="J1428" s="30"/>
      <c r="K1428" s="22" t="str">
        <f>IF(I1428="","",IF(I1428="ENTRADA",ABS(J1428),-ABS(J1428)))</f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1687</v>
      </c>
      <c r="H1429" s="20" t="str">
        <f>+T1429</f>
        <v/>
      </c>
      <c r="J1429" s="30"/>
      <c r="K1429" s="22" t="str">
        <f>IF(I1429="","",IF(I1429="ENTRADA",ABS(J1429),-ABS(J1429)))</f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1688</v>
      </c>
      <c r="H1430" s="20" t="str">
        <f>+T1430</f>
        <v/>
      </c>
      <c r="J1430" s="30"/>
      <c r="K1430" s="22" t="str">
        <f>IF(I1430="","",IF(I1430="ENTRADA",ABS(J1430),-ABS(J1430)))</f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1689</v>
      </c>
      <c r="H1431" s="20" t="str">
        <f>+T1431</f>
        <v/>
      </c>
      <c r="J1431" s="30"/>
      <c r="K1431" s="22" t="str">
        <f>IF(I1431="","",IF(I1431="ENTRADA",ABS(J1431),-ABS(J1431)))</f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1690</v>
      </c>
      <c r="H1432" s="20" t="str">
        <f>+T1432</f>
        <v/>
      </c>
      <c r="J1432" s="30"/>
      <c r="K1432" s="22" t="str">
        <f>IF(I1432="","",IF(I1432="ENTRADA",ABS(J1432),-ABS(J1432)))</f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1691</v>
      </c>
      <c r="H1433" s="20" t="str">
        <f>+T1433</f>
        <v/>
      </c>
      <c r="J1433" s="30"/>
      <c r="K1433" s="22" t="str">
        <f>IF(I1433="","",IF(I1433="ENTRADA",ABS(J1433),-ABS(J1433)))</f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1692</v>
      </c>
      <c r="H1434" s="20" t="str">
        <f>+T1434</f>
        <v/>
      </c>
      <c r="J1434" s="30"/>
      <c r="K1434" s="22" t="str">
        <f>IF(I1434="","",IF(I1434="ENTRADA",ABS(J1434),-ABS(J1434)))</f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1693</v>
      </c>
      <c r="H1435" s="20" t="str">
        <f>+T1435</f>
        <v/>
      </c>
      <c r="J1435" s="30"/>
      <c r="K1435" s="22" t="str">
        <f>IF(I1435="","",IF(I1435="ENTRADA",ABS(J1435),-ABS(J1435)))</f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1694</v>
      </c>
      <c r="H1436" s="20" t="str">
        <f>+T1436</f>
        <v/>
      </c>
      <c r="J1436" s="30"/>
      <c r="K1436" s="22" t="str">
        <f>IF(I1436="","",IF(I1436="ENTRADA",ABS(J1436),-ABS(J1436)))</f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1695</v>
      </c>
      <c r="H1437" s="20" t="str">
        <f>+T1437</f>
        <v/>
      </c>
      <c r="J1437" s="30"/>
      <c r="K1437" s="22" t="str">
        <f>IF(I1437="","",IF(I1437="ENTRADA",ABS(J1437),-ABS(J1437)))</f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1696</v>
      </c>
      <c r="H1438" s="20" t="str">
        <f>+T1438</f>
        <v/>
      </c>
      <c r="J1438" s="30"/>
      <c r="K1438" s="22" t="str">
        <f>IF(I1438="","",IF(I1438="ENTRADA",ABS(J1438),-ABS(J1438)))</f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1697</v>
      </c>
      <c r="H1439" s="20" t="str">
        <f>+T1439</f>
        <v/>
      </c>
      <c r="J1439" s="30"/>
      <c r="K1439" s="22" t="str">
        <f>IF(I1439="","",IF(I1439="ENTRADA",ABS(J1439),-ABS(J1439)))</f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1698</v>
      </c>
      <c r="H1440" s="20" t="str">
        <f>+T1440</f>
        <v/>
      </c>
      <c r="J1440" s="30"/>
      <c r="K1440" s="22" t="str">
        <f>IF(I1440="","",IF(I1440="ENTRADA",ABS(J1440),-ABS(J1440)))</f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1699</v>
      </c>
      <c r="H1441" s="20" t="str">
        <f>+T1441</f>
        <v/>
      </c>
      <c r="J1441" s="30"/>
      <c r="K1441" s="22" t="str">
        <f>IF(I1441="","",IF(I1441="ENTRADA",ABS(J1441),-ABS(J1441)))</f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1700</v>
      </c>
      <c r="H1442" s="20" t="str">
        <f>+T1442</f>
        <v/>
      </c>
      <c r="J1442" s="30"/>
      <c r="K1442" s="22" t="str">
        <f>IF(I1442="","",IF(I1442="ENTRADA",ABS(J1442),-ABS(J1442)))</f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1701</v>
      </c>
      <c r="H1443" s="20" t="str">
        <f>+T1443</f>
        <v/>
      </c>
      <c r="J1443" s="30"/>
      <c r="K1443" s="22" t="str">
        <f>IF(I1443="","",IF(I1443="ENTRADA",ABS(J1443),-ABS(J1443)))</f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1702</v>
      </c>
      <c r="H1444" s="20" t="str">
        <f>+T1444</f>
        <v/>
      </c>
      <c r="J1444" s="30"/>
      <c r="K1444" s="22" t="str">
        <f>IF(I1444="","",IF(I1444="ENTRADA",ABS(J1444),-ABS(J1444)))</f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1703</v>
      </c>
      <c r="H1445" s="20" t="str">
        <f>+T1445</f>
        <v/>
      </c>
      <c r="J1445" s="30"/>
      <c r="K1445" s="22" t="str">
        <f>IF(I1445="","",IF(I1445="ENTRADA",ABS(J1445),-ABS(J1445)))</f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1704</v>
      </c>
      <c r="H1446" s="20" t="str">
        <f>+T1446</f>
        <v/>
      </c>
      <c r="J1446" s="30"/>
      <c r="K1446" s="22" t="str">
        <f>IF(I1446="","",IF(I1446="ENTRADA",ABS(J1446),-ABS(J1446)))</f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1705</v>
      </c>
      <c r="H1447" s="20" t="str">
        <f>+T1447</f>
        <v/>
      </c>
      <c r="J1447" s="30"/>
      <c r="K1447" s="22" t="str">
        <f>IF(I1447="","",IF(I1447="ENTRADA",ABS(J1447),-ABS(J1447)))</f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1706</v>
      </c>
      <c r="H1448" s="20" t="str">
        <f>+T1448</f>
        <v/>
      </c>
      <c r="J1448" s="30"/>
      <c r="K1448" s="22" t="str">
        <f>IF(I1448="","",IF(I1448="ENTRADA",ABS(J1448),-ABS(J1448)))</f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1707</v>
      </c>
      <c r="H1449" s="20" t="str">
        <f>+T1449</f>
        <v/>
      </c>
      <c r="J1449" s="30"/>
      <c r="K1449" s="22" t="str">
        <f>IF(I1449="","",IF(I1449="ENTRADA",ABS(J1449),-ABS(J1449)))</f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1708</v>
      </c>
      <c r="H1450" s="20" t="str">
        <f>+T1450</f>
        <v/>
      </c>
      <c r="J1450" s="30"/>
      <c r="K1450" s="22" t="str">
        <f>IF(I1450="","",IF(I1450="ENTRADA",ABS(J1450),-ABS(J1450)))</f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1709</v>
      </c>
      <c r="H1451" s="20" t="str">
        <f>+T1451</f>
        <v/>
      </c>
      <c r="J1451" s="30"/>
      <c r="K1451" s="22" t="str">
        <f>IF(I1451="","",IF(I1451="ENTRADA",ABS(J1451),-ABS(J1451)))</f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1710</v>
      </c>
      <c r="H1452" s="20" t="str">
        <f>+T1452</f>
        <v/>
      </c>
      <c r="J1452" s="30"/>
      <c r="K1452" s="22" t="str">
        <f>IF(I1452="","",IF(I1452="ENTRADA",ABS(J1452),-ABS(J1452)))</f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1711</v>
      </c>
      <c r="H1453" s="20" t="str">
        <f>+T1453</f>
        <v/>
      </c>
      <c r="J1453" s="30"/>
      <c r="K1453" s="22" t="str">
        <f>IF(I1453="","",IF(I1453="ENTRADA",ABS(J1453),-ABS(J1453)))</f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1712</v>
      </c>
      <c r="H1454" s="20" t="str">
        <f>+T1454</f>
        <v/>
      </c>
      <c r="J1454" s="30"/>
      <c r="K1454" s="22" t="str">
        <f>IF(I1454="","",IF(I1454="ENTRADA",ABS(J1454),-ABS(J1454)))</f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1713</v>
      </c>
      <c r="H1455" s="20" t="str">
        <f>+T1455</f>
        <v/>
      </c>
      <c r="J1455" s="30"/>
      <c r="K1455" s="22" t="str">
        <f>IF(I1455="","",IF(I1455="ENTRADA",ABS(J1455),-ABS(J1455)))</f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1714</v>
      </c>
      <c r="H1456" s="20" t="str">
        <f>+T1456</f>
        <v/>
      </c>
      <c r="J1456" s="30"/>
      <c r="K1456" s="22" t="str">
        <f>IF(I1456="","",IF(I1456="ENTRADA",ABS(J1456),-ABS(J1456)))</f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1715</v>
      </c>
      <c r="H1457" s="20" t="str">
        <f>+T1457</f>
        <v/>
      </c>
      <c r="J1457" s="30"/>
      <c r="K1457" s="22" t="str">
        <f>IF(I1457="","",IF(I1457="ENTRADA",ABS(J1457),-ABS(J1457)))</f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1716</v>
      </c>
      <c r="H1458" s="20" t="str">
        <f>+T1458</f>
        <v/>
      </c>
      <c r="J1458" s="30"/>
      <c r="K1458" s="22" t="str">
        <f>IF(I1458="","",IF(I1458="ENTRADA",ABS(J1458),-ABS(J1458)))</f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1717</v>
      </c>
      <c r="H1459" s="20" t="str">
        <f>+T1459</f>
        <v/>
      </c>
      <c r="J1459" s="30"/>
      <c r="K1459" s="22" t="str">
        <f>IF(I1459="","",IF(I1459="ENTRADA",ABS(J1459),-ABS(J1459)))</f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1718</v>
      </c>
      <c r="H1460" s="20" t="str">
        <f>+T1460</f>
        <v/>
      </c>
      <c r="J1460" s="30"/>
      <c r="K1460" s="22" t="str">
        <f>IF(I1460="","",IF(I1460="ENTRADA",ABS(J1460),-ABS(J1460)))</f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1719</v>
      </c>
      <c r="H1461" s="20" t="str">
        <f>+T1461</f>
        <v/>
      </c>
      <c r="J1461" s="30"/>
      <c r="K1461" s="22" t="str">
        <f>IF(I1461="","",IF(I1461="ENTRADA",ABS(J1461),-ABS(J1461)))</f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1720</v>
      </c>
      <c r="H1462" s="20" t="str">
        <f>+T1462</f>
        <v/>
      </c>
      <c r="J1462" s="30"/>
      <c r="K1462" s="22" t="str">
        <f>IF(I1462="","",IF(I1462="ENTRADA",ABS(J1462),-ABS(J1462)))</f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1721</v>
      </c>
      <c r="H1463" s="20" t="str">
        <f>+T1463</f>
        <v/>
      </c>
      <c r="J1463" s="30"/>
      <c r="K1463" s="22" t="str">
        <f>IF(I1463="","",IF(I1463="ENTRADA",ABS(J1463),-ABS(J1463)))</f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1722</v>
      </c>
      <c r="H1464" s="20" t="str">
        <f>+T1464</f>
        <v/>
      </c>
      <c r="J1464" s="30"/>
      <c r="K1464" s="22" t="str">
        <f>IF(I1464="","",IF(I1464="ENTRADA",ABS(J1464),-ABS(J1464)))</f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1723</v>
      </c>
      <c r="H1465" s="20" t="str">
        <f>+T1465</f>
        <v/>
      </c>
      <c r="J1465" s="30"/>
      <c r="K1465" s="22" t="str">
        <f>IF(I1465="","",IF(I1465="ENTRADA",ABS(J1465),-ABS(J1465)))</f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1724</v>
      </c>
      <c r="H1466" s="20" t="str">
        <f>+T1466</f>
        <v/>
      </c>
      <c r="J1466" s="30"/>
      <c r="K1466" s="22" t="str">
        <f>IF(I1466="","",IF(I1466="ENTRADA",ABS(J1466),-ABS(J1466)))</f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1725</v>
      </c>
      <c r="H1467" s="20" t="str">
        <f>+T1467</f>
        <v/>
      </c>
      <c r="J1467" s="30"/>
      <c r="K1467" s="22" t="str">
        <f>IF(I1467="","",IF(I1467="ENTRADA",ABS(J1467),-ABS(J1467)))</f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1726</v>
      </c>
      <c r="H1468" s="20" t="str">
        <f>+T1468</f>
        <v/>
      </c>
      <c r="J1468" s="30"/>
      <c r="K1468" s="22" t="str">
        <f>IF(I1468="","",IF(I1468="ENTRADA",ABS(J1468),-ABS(J1468)))</f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1727</v>
      </c>
      <c r="H1469" s="20" t="str">
        <f>+T1469</f>
        <v/>
      </c>
      <c r="J1469" s="30"/>
      <c r="K1469" s="22" t="str">
        <f>IF(I1469="","",IF(I1469="ENTRADA",ABS(J1469),-ABS(J1469)))</f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1728</v>
      </c>
      <c r="H1470" s="20" t="str">
        <f>+T1470</f>
        <v/>
      </c>
      <c r="J1470" s="30"/>
      <c r="K1470" s="22" t="str">
        <f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1729</v>
      </c>
      <c r="H1471" s="20" t="str">
        <f>+T1471</f>
        <v/>
      </c>
      <c r="J1471" s="30"/>
      <c r="K1471" s="22" t="str">
        <f>IF(I1471="","",IF(I1471="ENTRADA",ABS(J1471),-ABS(J1471)))</f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1730</v>
      </c>
      <c r="H1472" s="20" t="str">
        <f>+T1472</f>
        <v/>
      </c>
      <c r="J1472" s="30"/>
      <c r="K1472" s="22" t="str">
        <f>IF(I1472="","",IF(I1472="ENTRADA",ABS(J1472),-ABS(J1472)))</f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1731</v>
      </c>
      <c r="H1473" s="20" t="str">
        <f>+T1473</f>
        <v/>
      </c>
      <c r="J1473" s="30"/>
      <c r="K1473" s="22" t="str">
        <f>IF(I1473="","",IF(I1473="ENTRADA",ABS(J1473),-ABS(J1473)))</f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1732</v>
      </c>
      <c r="H1474" s="20" t="str">
        <f>+T1474</f>
        <v/>
      </c>
      <c r="J1474" s="30"/>
      <c r="K1474" s="22" t="str">
        <f>IF(I1474="","",IF(I1474="ENTRADA",ABS(J1474),-ABS(J1474)))</f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1733</v>
      </c>
      <c r="H1475" s="20" t="str">
        <f>+T1475</f>
        <v/>
      </c>
      <c r="J1475" s="30"/>
      <c r="K1475" s="22" t="str">
        <f>IF(I1475="","",IF(I1475="ENTRADA",ABS(J1475),-ABS(J1475)))</f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1734</v>
      </c>
      <c r="H1476" s="20" t="str">
        <f>+T1476</f>
        <v/>
      </c>
      <c r="J1476" s="30"/>
      <c r="K1476" s="22" t="str">
        <f>IF(I1476="","",IF(I1476="ENTRADA",ABS(J1476),-ABS(J1476)))</f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1735</v>
      </c>
      <c r="H1477" s="20" t="str">
        <f>+T1477</f>
        <v/>
      </c>
      <c r="J1477" s="30"/>
      <c r="K1477" s="22" t="str">
        <f>IF(I1477="","",IF(I1477="ENTRADA",ABS(J1477),-ABS(J1477)))</f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1736</v>
      </c>
      <c r="H1478" s="20" t="str">
        <f>+T1478</f>
        <v/>
      </c>
      <c r="J1478" s="30"/>
      <c r="K1478" s="22" t="str">
        <f>IF(I1478="","",IF(I1478="ENTRADA",ABS(J1478),-ABS(J1478)))</f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1737</v>
      </c>
      <c r="H1479" s="20" t="str">
        <f>+T1479</f>
        <v/>
      </c>
      <c r="J1479" s="30"/>
      <c r="K1479" s="22" t="str">
        <f>IF(I1479="","",IF(I1479="ENTRADA",ABS(J1479),-ABS(J1479)))</f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1738</v>
      </c>
      <c r="H1480" s="20" t="str">
        <f>+T1480</f>
        <v/>
      </c>
      <c r="J1480" s="30"/>
      <c r="K1480" s="22" t="str">
        <f>IF(I1480="","",IF(I1480="ENTRADA",ABS(J1480),-ABS(J1480)))</f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1739</v>
      </c>
      <c r="H1481" s="20" t="str">
        <f>+T1481</f>
        <v/>
      </c>
      <c r="J1481" s="30"/>
      <c r="K1481" s="22" t="str">
        <f>IF(I1481="","",IF(I1481="ENTRADA",ABS(J1481),-ABS(J1481)))</f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1740</v>
      </c>
      <c r="H1482" s="20" t="str">
        <f>+T1482</f>
        <v/>
      </c>
      <c r="J1482" s="30"/>
      <c r="K1482" s="22" t="str">
        <f>IF(I1482="","",IF(I1482="ENTRADA",ABS(J1482),-ABS(J1482)))</f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1741</v>
      </c>
      <c r="H1483" s="20" t="str">
        <f>+T1483</f>
        <v/>
      </c>
      <c r="J1483" s="30"/>
      <c r="K1483" s="22" t="str">
        <f>IF(I1483="","",IF(I1483="ENTRADA",ABS(J1483),-ABS(J1483)))</f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1742</v>
      </c>
      <c r="H1484" s="20" t="str">
        <f>+T1484</f>
        <v/>
      </c>
      <c r="J1484" s="30"/>
      <c r="K1484" s="22" t="str">
        <f>IF(I1484="","",IF(I1484="ENTRADA",ABS(J1484),-ABS(J1484)))</f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1743</v>
      </c>
      <c r="H1485" s="20" t="str">
        <f>+T1485</f>
        <v/>
      </c>
      <c r="J1485" s="30"/>
      <c r="K1485" s="22" t="str">
        <f>IF(I1485="","",IF(I1485="ENTRADA",ABS(J1485),-ABS(J1485)))</f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1744</v>
      </c>
      <c r="H1486" s="20" t="str">
        <f>+T1486</f>
        <v/>
      </c>
      <c r="J1486" s="30"/>
      <c r="K1486" s="22" t="str">
        <f>IF(I1486="","",IF(I1486="ENTRADA",ABS(J1486),-ABS(J1486)))</f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1745</v>
      </c>
      <c r="H1487" s="20" t="str">
        <f>+T1487</f>
        <v/>
      </c>
      <c r="J1487" s="30"/>
      <c r="K1487" s="22" t="str">
        <f>IF(I1487="","",IF(I1487="ENTRADA",ABS(J1487),-ABS(J1487)))</f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1746</v>
      </c>
      <c r="H1488" s="20" t="str">
        <f>+T1488</f>
        <v/>
      </c>
      <c r="J1488" s="30"/>
      <c r="K1488" s="22" t="str">
        <f>IF(I1488="","",IF(I1488="ENTRADA",ABS(J1488),-ABS(J1488)))</f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1747</v>
      </c>
      <c r="H1489" s="20" t="str">
        <f>+T1489</f>
        <v/>
      </c>
      <c r="J1489" s="30"/>
      <c r="K1489" s="22" t="str">
        <f>IF(I1489="","",IF(I1489="ENTRADA",ABS(J1489),-ABS(J1489)))</f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1748</v>
      </c>
      <c r="H1490" s="20" t="str">
        <f>+T1490</f>
        <v/>
      </c>
      <c r="J1490" s="30"/>
      <c r="K1490" s="22" t="str">
        <f>IF(I1490="","",IF(I1490="ENTRADA",ABS(J1490),-ABS(J1490)))</f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1749</v>
      </c>
      <c r="H1491" s="20" t="str">
        <f>+T1491</f>
        <v/>
      </c>
      <c r="J1491" s="30"/>
      <c r="K1491" s="22" t="str">
        <f>IF(I1491="","",IF(I1491="ENTRADA",ABS(J1491),-ABS(J1491)))</f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1750</v>
      </c>
      <c r="H1492" s="20" t="str">
        <f>+T1492</f>
        <v/>
      </c>
      <c r="J1492" s="30"/>
      <c r="K1492" s="22" t="str">
        <f>IF(I1492="","",IF(I1492="ENTRADA",ABS(J1492),-ABS(J1492)))</f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1751</v>
      </c>
      <c r="H1493" s="20" t="str">
        <f>+T1493</f>
        <v/>
      </c>
      <c r="J1493" s="30"/>
      <c r="K1493" s="22" t="str">
        <f>IF(I1493="","",IF(I1493="ENTRADA",ABS(J1493),-ABS(J1493)))</f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1752</v>
      </c>
      <c r="H1494" s="20" t="str">
        <f>+T1494</f>
        <v/>
      </c>
      <c r="J1494" s="30"/>
      <c r="K1494" s="22" t="str">
        <f>IF(I1494="","",IF(I1494="ENTRADA",ABS(J1494),-ABS(J1494)))</f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1753</v>
      </c>
      <c r="H1495" s="20" t="str">
        <f>+T1495</f>
        <v/>
      </c>
      <c r="J1495" s="30"/>
      <c r="K1495" s="22" t="str">
        <f>IF(I1495="","",IF(I1495="ENTRADA",ABS(J1495),-ABS(J1495)))</f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1754</v>
      </c>
      <c r="H1496" s="20" t="str">
        <f>+T1496</f>
        <v/>
      </c>
      <c r="J1496" s="30"/>
      <c r="K1496" s="22" t="str">
        <f>IF(I1496="","",IF(I1496="ENTRADA",ABS(J1496),-ABS(J1496)))</f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1755</v>
      </c>
      <c r="H1497" s="20" t="str">
        <f>+T1497</f>
        <v/>
      </c>
      <c r="J1497" s="30"/>
      <c r="K1497" s="22" t="str">
        <f>IF(I1497="","",IF(I1497="ENTRADA",ABS(J1497),-ABS(J1497)))</f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1756</v>
      </c>
      <c r="H1498" s="20" t="str">
        <f>+T1498</f>
        <v/>
      </c>
      <c r="J1498" s="30"/>
      <c r="K1498" s="22" t="str">
        <f>IF(I1498="","",IF(I1498="ENTRADA",ABS(J1498),-ABS(J1498)))</f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1757</v>
      </c>
      <c r="H1499" s="20" t="str">
        <f>+T1499</f>
        <v/>
      </c>
      <c r="J1499" s="30"/>
      <c r="K1499" s="22" t="str">
        <f>IF(I1499="","",IF(I1499="ENTRADA",ABS(J1499),-ABS(J1499)))</f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1758</v>
      </c>
      <c r="H1500" s="20" t="str">
        <f>+T1500</f>
        <v/>
      </c>
      <c r="J1500" s="30"/>
      <c r="K1500" s="22" t="str">
        <f>IF(I1500="","",IF(I1500="ENTRADA",ABS(J1500),-ABS(J1500)))</f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1759</v>
      </c>
      <c r="H1501" s="20" t="str">
        <f>+T1501</f>
        <v/>
      </c>
      <c r="J1501" s="30"/>
      <c r="K1501" s="22" t="str">
        <f>IF(I1501="","",IF(I1501="ENTRADA",ABS(J1501),-ABS(J1501)))</f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1760</v>
      </c>
      <c r="H1502" s="20" t="str">
        <f>+T1502</f>
        <v/>
      </c>
      <c r="J1502" s="30"/>
      <c r="K1502" s="22" t="str">
        <f>IF(I1502="","",IF(I1502="ENTRADA",ABS(J1502),-ABS(J1502)))</f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1761</v>
      </c>
      <c r="H1503" s="20" t="str">
        <f>+T1503</f>
        <v/>
      </c>
      <c r="J1503" s="30"/>
      <c r="K1503" s="22" t="str">
        <f>IF(I1503="","",IF(I1503="ENTRADA",ABS(J1503),-ABS(J1503)))</f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1762</v>
      </c>
      <c r="H1504" s="20" t="str">
        <f>+T1504</f>
        <v/>
      </c>
      <c r="J1504" s="30"/>
      <c r="K1504" s="22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1763</v>
      </c>
      <c r="H1505" s="20" t="str">
        <f>+T1505</f>
        <v/>
      </c>
      <c r="J1505" s="30"/>
      <c r="K1505" s="22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1764</v>
      </c>
      <c r="H1506" s="20" t="str">
        <f>+T1506</f>
        <v/>
      </c>
      <c r="J1506" s="30"/>
      <c r="K1506" s="22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1765</v>
      </c>
      <c r="H1507" s="20" t="str">
        <f>+T1507</f>
        <v/>
      </c>
      <c r="J1507" s="30"/>
      <c r="K1507" s="22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1766</v>
      </c>
      <c r="H1508" s="20" t="str">
        <f>+T1508</f>
        <v/>
      </c>
      <c r="J1508" s="30"/>
      <c r="K1508" s="22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1767</v>
      </c>
      <c r="H1509" s="20" t="str">
        <f>+T1509</f>
        <v/>
      </c>
      <c r="J1509" s="30"/>
      <c r="K1509" s="22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1768</v>
      </c>
      <c r="H1510" s="20" t="str">
        <f>+T1510</f>
        <v/>
      </c>
      <c r="J1510" s="30"/>
      <c r="K1510" s="22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1769</v>
      </c>
      <c r="H1511" s="20" t="str">
        <f>+T1511</f>
        <v/>
      </c>
      <c r="J1511" s="30"/>
      <c r="K1511" s="22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1770</v>
      </c>
      <c r="H1512" s="20" t="str">
        <f>+T1512</f>
        <v/>
      </c>
      <c r="J1512" s="30"/>
      <c r="K1512" s="22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1771</v>
      </c>
      <c r="H1513" s="20" t="str">
        <f>+T1513</f>
        <v/>
      </c>
      <c r="J1513" s="30"/>
      <c r="K1513" s="22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1772</v>
      </c>
      <c r="H1514" s="20" t="str">
        <f>+T1514</f>
        <v/>
      </c>
      <c r="J1514" s="30"/>
      <c r="K1514" s="22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1773</v>
      </c>
      <c r="H1515" s="20" t="str">
        <f>+T1515</f>
        <v/>
      </c>
      <c r="J1515" s="30"/>
      <c r="K1515" s="22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1774</v>
      </c>
      <c r="H1516" s="20" t="str">
        <f>+T1516</f>
        <v/>
      </c>
      <c r="J1516" s="30"/>
      <c r="K1516" s="22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1775</v>
      </c>
      <c r="H1517" s="20" t="str">
        <f>+T1517</f>
        <v/>
      </c>
      <c r="J1517" s="30"/>
      <c r="K1517" s="22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1776</v>
      </c>
      <c r="H1518" s="20" t="str">
        <f>+T1518</f>
        <v/>
      </c>
      <c r="J1518" s="30"/>
      <c r="K1518" s="22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1777</v>
      </c>
      <c r="H1519" s="20" t="str">
        <f>+T1519</f>
        <v/>
      </c>
      <c r="J1519" s="30"/>
      <c r="K1519" s="22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1778</v>
      </c>
      <c r="H1520" s="20" t="str">
        <f>+T1520</f>
        <v/>
      </c>
      <c r="J1520" s="30"/>
      <c r="K1520" s="22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1779</v>
      </c>
      <c r="H1521" s="20" t="str">
        <f>+T1521</f>
        <v/>
      </c>
      <c r="J1521" s="30"/>
      <c r="K1521" s="22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1780</v>
      </c>
      <c r="H1522" s="20" t="str">
        <f>+T1522</f>
        <v/>
      </c>
      <c r="J1522" s="30"/>
      <c r="K1522" s="22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1781</v>
      </c>
      <c r="H1523" s="20" t="str">
        <f>+T1523</f>
        <v/>
      </c>
      <c r="J1523" s="30"/>
      <c r="K1523" s="22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1782</v>
      </c>
      <c r="H1524" s="20" t="str">
        <f>+T1524</f>
        <v/>
      </c>
      <c r="J1524" s="30"/>
      <c r="K1524" s="22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1783</v>
      </c>
      <c r="H1525" s="20" t="str">
        <f>+T1525</f>
        <v/>
      </c>
      <c r="J1525" s="30"/>
      <c r="K1525" s="22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1784</v>
      </c>
      <c r="H1526" s="20" t="str">
        <f>+T1526</f>
        <v/>
      </c>
      <c r="J1526" s="30"/>
      <c r="K1526" s="22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1785</v>
      </c>
      <c r="H1527" s="20" t="str">
        <f>+T1527</f>
        <v/>
      </c>
      <c r="J1527" s="30"/>
      <c r="K1527" s="22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1786</v>
      </c>
      <c r="H1528" s="20" t="str">
        <f>+T1528</f>
        <v/>
      </c>
      <c r="J1528" s="30"/>
      <c r="K1528" s="22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1787</v>
      </c>
      <c r="H1529" s="20" t="str">
        <f>+T1529</f>
        <v/>
      </c>
      <c r="J1529" s="30"/>
      <c r="K1529" s="22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1788</v>
      </c>
      <c r="H1530" s="20" t="str">
        <f>+T1530</f>
        <v/>
      </c>
      <c r="J1530" s="30"/>
      <c r="K1530" s="22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1789</v>
      </c>
      <c r="H1531" s="20" t="str">
        <f>+T1531</f>
        <v/>
      </c>
      <c r="J1531" s="30"/>
      <c r="K1531" s="22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1790</v>
      </c>
      <c r="H1532" s="20" t="str">
        <f>+T1532</f>
        <v/>
      </c>
      <c r="J1532" s="30"/>
      <c r="K1532" s="22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1791</v>
      </c>
      <c r="H1533" s="20" t="str">
        <f>+T1533</f>
        <v/>
      </c>
      <c r="J1533" s="30"/>
      <c r="K1533" s="22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1792</v>
      </c>
      <c r="H1534" s="20" t="str">
        <f>+T1534</f>
        <v/>
      </c>
      <c r="J1534" s="30"/>
      <c r="K1534" s="22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1793</v>
      </c>
      <c r="H1535" s="20" t="str">
        <f>+T1535</f>
        <v/>
      </c>
      <c r="J1535" s="30"/>
      <c r="K1535" s="22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1794</v>
      </c>
      <c r="H1536" s="20" t="str">
        <f>+T1536</f>
        <v/>
      </c>
      <c r="J1536" s="30"/>
      <c r="K1536" s="22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1795</v>
      </c>
      <c r="H1537" s="20" t="str">
        <f>+T1537</f>
        <v/>
      </c>
      <c r="J1537" s="30"/>
      <c r="K1537" s="22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1796</v>
      </c>
      <c r="H1538" s="20" t="str">
        <f>+T1538</f>
        <v/>
      </c>
      <c r="J1538" s="30"/>
      <c r="K1538" s="22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1797</v>
      </c>
      <c r="H1539" s="20" t="str">
        <f>+T1539</f>
        <v/>
      </c>
      <c r="J1539" s="30"/>
      <c r="K1539" s="22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1798</v>
      </c>
      <c r="H1540" s="20" t="str">
        <f>+T1540</f>
        <v/>
      </c>
      <c r="J1540" s="30"/>
      <c r="K1540" s="22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1799</v>
      </c>
      <c r="H1541" s="20" t="str">
        <f>+T1541</f>
        <v/>
      </c>
      <c r="J1541" s="30"/>
      <c r="K1541" s="22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1800</v>
      </c>
      <c r="H1542" s="20" t="str">
        <f>+T1542</f>
        <v/>
      </c>
      <c r="J1542" s="30"/>
      <c r="K1542" s="22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1801</v>
      </c>
      <c r="H1543" s="20" t="str">
        <f>+T1543</f>
        <v/>
      </c>
      <c r="J1543" s="30"/>
      <c r="K1543" s="22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1802</v>
      </c>
      <c r="H1544" s="20" t="str">
        <f>+T1544</f>
        <v/>
      </c>
      <c r="J1544" s="30"/>
      <c r="K1544" s="22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1803</v>
      </c>
      <c r="H1545" s="20" t="str">
        <f>+T1545</f>
        <v/>
      </c>
      <c r="J1545" s="30"/>
      <c r="K1545" s="22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1804</v>
      </c>
      <c r="H1546" s="20" t="str">
        <f>+T1546</f>
        <v/>
      </c>
      <c r="J1546" s="30"/>
      <c r="K1546" s="22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1805</v>
      </c>
      <c r="H1547" s="20" t="str">
        <f>+T1547</f>
        <v/>
      </c>
      <c r="J1547" s="30"/>
      <c r="K1547" s="22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1806</v>
      </c>
      <c r="H1548" s="20" t="str">
        <f>+T1548</f>
        <v/>
      </c>
      <c r="J1548" s="30"/>
      <c r="K1548" s="22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1807</v>
      </c>
      <c r="H1549" s="20" t="str">
        <f>+T1549</f>
        <v/>
      </c>
      <c r="J1549" s="30"/>
      <c r="K1549" s="22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1808</v>
      </c>
      <c r="H1550" s="20" t="str">
        <f>+T1550</f>
        <v/>
      </c>
      <c r="J1550" s="30"/>
      <c r="K1550" s="22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1809</v>
      </c>
      <c r="H1551" s="20" t="str">
        <f>+T1551</f>
        <v/>
      </c>
      <c r="J1551" s="30"/>
      <c r="K1551" s="22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1810</v>
      </c>
      <c r="H1552" s="20" t="str">
        <f>+T1552</f>
        <v/>
      </c>
      <c r="J1552" s="30"/>
      <c r="K1552" s="22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1811</v>
      </c>
      <c r="H1553" s="20" t="str">
        <f>+T1553</f>
        <v/>
      </c>
      <c r="J1553" s="30"/>
      <c r="K1553" s="22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1812</v>
      </c>
      <c r="H1554" s="20" t="str">
        <f>+T1554</f>
        <v/>
      </c>
      <c r="J1554" s="30"/>
      <c r="K1554" s="22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1813</v>
      </c>
      <c r="H1555" s="20" t="str">
        <f>+T1555</f>
        <v/>
      </c>
      <c r="J1555" s="30"/>
      <c r="K1555" s="22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1814</v>
      </c>
      <c r="H1556" s="20" t="str">
        <f>+T1556</f>
        <v/>
      </c>
      <c r="J1556" s="30"/>
      <c r="K1556" s="22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1815</v>
      </c>
      <c r="H1557" s="20" t="str">
        <f>+T1557</f>
        <v/>
      </c>
      <c r="J1557" s="30"/>
      <c r="K1557" s="22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1816</v>
      </c>
      <c r="H1558" s="20" t="str">
        <f>+T1558</f>
        <v/>
      </c>
      <c r="J1558" s="30"/>
      <c r="K1558" s="22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1817</v>
      </c>
      <c r="H1559" s="20" t="str">
        <f>+T1559</f>
        <v/>
      </c>
      <c r="J1559" s="30"/>
      <c r="K1559" s="22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1818</v>
      </c>
      <c r="H1560" s="20" t="str">
        <f>+T1560</f>
        <v/>
      </c>
      <c r="J1560" s="30"/>
      <c r="K1560" s="22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1819</v>
      </c>
      <c r="H1561" s="20" t="str">
        <f>+T1561</f>
        <v/>
      </c>
      <c r="J1561" s="30"/>
      <c r="K1561" s="22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1820</v>
      </c>
      <c r="H1562" s="20" t="str">
        <f>+T1562</f>
        <v/>
      </c>
      <c r="J1562" s="30"/>
      <c r="K1562" s="22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1821</v>
      </c>
      <c r="H1563" s="20" t="str">
        <f>+T1563</f>
        <v/>
      </c>
      <c r="J1563" s="30"/>
      <c r="K1563" s="22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1822</v>
      </c>
      <c r="H1564" s="20" t="str">
        <f>+T1564</f>
        <v/>
      </c>
      <c r="J1564" s="30"/>
      <c r="K1564" s="22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1823</v>
      </c>
      <c r="H1565" s="20" t="str">
        <f>+T1565</f>
        <v/>
      </c>
      <c r="J1565" s="30"/>
      <c r="K1565" s="22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1824</v>
      </c>
      <c r="H1566" s="20" t="str">
        <f>+T1566</f>
        <v/>
      </c>
      <c r="J1566" s="30"/>
      <c r="K1566" s="22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1825</v>
      </c>
      <c r="H1567" s="20" t="str">
        <f>+T1567</f>
        <v/>
      </c>
      <c r="J1567" s="30"/>
      <c r="K1567" s="22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1826</v>
      </c>
      <c r="H1568" s="20" t="str">
        <f>+T1568</f>
        <v/>
      </c>
      <c r="J1568" s="30"/>
      <c r="K1568" s="22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1827</v>
      </c>
      <c r="H1569" s="20" t="str">
        <f>+T1569</f>
        <v/>
      </c>
      <c r="J1569" s="30"/>
      <c r="K1569" s="22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1828</v>
      </c>
      <c r="H1570" s="20" t="str">
        <f>+T1570</f>
        <v/>
      </c>
      <c r="J1570" s="30"/>
      <c r="K1570" s="22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1829</v>
      </c>
      <c r="H1571" s="20" t="str">
        <f>+T1571</f>
        <v/>
      </c>
      <c r="J1571" s="30"/>
      <c r="K1571" s="22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1830</v>
      </c>
      <c r="H1572" s="20" t="str">
        <f>+T1572</f>
        <v/>
      </c>
      <c r="J1572" s="30"/>
      <c r="K1572" s="22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1831</v>
      </c>
      <c r="H1573" s="20" t="str">
        <f>+T1573</f>
        <v/>
      </c>
      <c r="J1573" s="30"/>
      <c r="K1573" s="22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1832</v>
      </c>
      <c r="H1574" s="20" t="str">
        <f>+T1574</f>
        <v/>
      </c>
      <c r="J1574" s="30"/>
      <c r="K1574" s="22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1833</v>
      </c>
      <c r="H1575" s="20" t="str">
        <f>+T1575</f>
        <v/>
      </c>
      <c r="J1575" s="30"/>
      <c r="K1575" s="22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1834</v>
      </c>
      <c r="H1576" s="20" t="str">
        <f>+T1576</f>
        <v/>
      </c>
      <c r="J1576" s="30"/>
      <c r="K1576" s="22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1835</v>
      </c>
      <c r="H1577" s="20" t="str">
        <f>+T1577</f>
        <v/>
      </c>
      <c r="J1577" s="30"/>
      <c r="K1577" s="22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1836</v>
      </c>
      <c r="H1578" s="20" t="str">
        <f>+T1578</f>
        <v/>
      </c>
      <c r="J1578" s="30"/>
      <c r="K1578" s="22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1837</v>
      </c>
      <c r="H1579" s="20" t="str">
        <f>+T1579</f>
        <v/>
      </c>
      <c r="J1579" s="30"/>
      <c r="K1579" s="22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1838</v>
      </c>
      <c r="H1580" s="20" t="str">
        <f>+T1580</f>
        <v/>
      </c>
      <c r="J1580" s="30"/>
      <c r="K1580" s="22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1839</v>
      </c>
      <c r="H1581" s="20" t="str">
        <f>+T1581</f>
        <v/>
      </c>
      <c r="J1581" s="30"/>
      <c r="K1581" s="22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1840</v>
      </c>
      <c r="H1582" s="20" t="str">
        <f>+T1582</f>
        <v/>
      </c>
      <c r="J1582" s="30"/>
      <c r="K1582" s="22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1841</v>
      </c>
      <c r="H1583" s="20" t="str">
        <f>+T1583</f>
        <v/>
      </c>
      <c r="J1583" s="30"/>
      <c r="K1583" s="22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1842</v>
      </c>
      <c r="H1584" s="20" t="str">
        <f>+T1584</f>
        <v/>
      </c>
      <c r="J1584" s="30"/>
      <c r="K1584" s="22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1843</v>
      </c>
      <c r="H1585" s="20" t="str">
        <f>+T1585</f>
        <v/>
      </c>
      <c r="J1585" s="30"/>
      <c r="K1585" s="22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1844</v>
      </c>
      <c r="H1586" s="20" t="str">
        <f>+T1586</f>
        <v/>
      </c>
      <c r="J1586" s="30"/>
      <c r="K1586" s="22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1845</v>
      </c>
      <c r="H1587" s="20" t="str">
        <f>+T1587</f>
        <v/>
      </c>
      <c r="J1587" s="30"/>
      <c r="K1587" s="22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1846</v>
      </c>
      <c r="H1588" s="20" t="str">
        <f>+T1588</f>
        <v/>
      </c>
      <c r="J1588" s="30"/>
      <c r="K1588" s="22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1847</v>
      </c>
      <c r="H1589" s="20" t="str">
        <f>+T1589</f>
        <v/>
      </c>
      <c r="J1589" s="30"/>
      <c r="K1589" s="22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1848</v>
      </c>
      <c r="H1590" s="20" t="str">
        <f>+T1590</f>
        <v/>
      </c>
      <c r="J1590" s="30"/>
      <c r="K1590" s="22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1849</v>
      </c>
      <c r="H1591" s="20" t="str">
        <f>+T1591</f>
        <v/>
      </c>
      <c r="J1591" s="30"/>
      <c r="K1591" s="22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1850</v>
      </c>
      <c r="H1592" s="20" t="str">
        <f>+T1592</f>
        <v/>
      </c>
      <c r="J1592" s="30"/>
      <c r="K1592" s="22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1851</v>
      </c>
      <c r="H1593" s="20" t="str">
        <f>+T1593</f>
        <v/>
      </c>
      <c r="J1593" s="30"/>
      <c r="K1593" s="22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1852</v>
      </c>
      <c r="H1594" s="20" t="str">
        <f>+T1594</f>
        <v/>
      </c>
      <c r="J1594" s="30"/>
      <c r="K1594" s="22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1853</v>
      </c>
      <c r="H1595" s="20" t="str">
        <f>+T1595</f>
        <v/>
      </c>
      <c r="J1595" s="30"/>
      <c r="K1595" s="22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1854</v>
      </c>
      <c r="H1596" s="20" t="str">
        <f>+T1596</f>
        <v/>
      </c>
      <c r="J1596" s="30"/>
      <c r="K1596" s="22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1855</v>
      </c>
      <c r="H1597" s="20" t="str">
        <f>+T1597</f>
        <v/>
      </c>
      <c r="J1597" s="30"/>
      <c r="K1597" s="22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1856</v>
      </c>
      <c r="H1598" s="20" t="str">
        <f>+T1598</f>
        <v/>
      </c>
      <c r="J1598" s="30"/>
      <c r="K1598" s="22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1857</v>
      </c>
      <c r="H1599" s="20" t="str">
        <f>+T1599</f>
        <v/>
      </c>
      <c r="J1599" s="30"/>
      <c r="K1599" s="22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1858</v>
      </c>
      <c r="H1600" s="20" t="str">
        <f>+T1600</f>
        <v/>
      </c>
      <c r="J1600" s="30"/>
      <c r="K1600" s="22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1859</v>
      </c>
      <c r="H1601" s="20" t="str">
        <f>+T1601</f>
        <v/>
      </c>
      <c r="J1601" s="30"/>
      <c r="K1601" s="22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1860</v>
      </c>
      <c r="H1602" s="20" t="str">
        <f>+T1602</f>
        <v/>
      </c>
      <c r="J1602" s="30"/>
      <c r="K1602" s="22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1861</v>
      </c>
      <c r="H1603" s="20" t="str">
        <f>+T1603</f>
        <v/>
      </c>
      <c r="J1603" s="30"/>
      <c r="K1603" s="22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1862</v>
      </c>
      <c r="H1604" s="20" t="str">
        <f>+T1604</f>
        <v/>
      </c>
      <c r="J1604" s="30"/>
      <c r="K1604" s="22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1863</v>
      </c>
      <c r="H1605" s="20" t="str">
        <f>+T1605</f>
        <v/>
      </c>
      <c r="J1605" s="30"/>
      <c r="K1605" s="22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1864</v>
      </c>
      <c r="H1606" s="20" t="str">
        <f>+T1606</f>
        <v/>
      </c>
      <c r="J1606" s="30"/>
      <c r="K1606" s="22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1865</v>
      </c>
      <c r="H1607" s="20" t="str">
        <f>+T1607</f>
        <v/>
      </c>
      <c r="J1607" s="30"/>
      <c r="K1607" s="22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1866</v>
      </c>
      <c r="H1608" s="20" t="str">
        <f>+T1608</f>
        <v/>
      </c>
      <c r="J1608" s="30"/>
      <c r="K1608" s="22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1867</v>
      </c>
      <c r="H1609" s="20" t="str">
        <f>+T1609</f>
        <v/>
      </c>
      <c r="J1609" s="30"/>
      <c r="K1609" s="22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1868</v>
      </c>
      <c r="H1610" s="20" t="str">
        <f>+T1610</f>
        <v/>
      </c>
      <c r="J1610" s="30"/>
      <c r="K1610" s="22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1869</v>
      </c>
      <c r="H1611" s="20" t="str">
        <f>+T1611</f>
        <v/>
      </c>
      <c r="J1611" s="30"/>
      <c r="K1611" s="22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1870</v>
      </c>
      <c r="H1612" s="20" t="str">
        <f>+T1612</f>
        <v/>
      </c>
      <c r="J1612" s="30"/>
      <c r="K1612" s="22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1871</v>
      </c>
      <c r="H1613" s="20" t="str">
        <f>+T1613</f>
        <v/>
      </c>
      <c r="J1613" s="30"/>
      <c r="K1613" s="22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1872</v>
      </c>
      <c r="H1614" s="20" t="str">
        <f>+T1614</f>
        <v/>
      </c>
      <c r="J1614" s="30"/>
      <c r="K1614" s="22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1873</v>
      </c>
      <c r="H1615" s="20" t="str">
        <f>+T1615</f>
        <v/>
      </c>
      <c r="J1615" s="30"/>
      <c r="K1615" s="22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1874</v>
      </c>
      <c r="H1616" s="20" t="str">
        <f>+T1616</f>
        <v/>
      </c>
      <c r="J1616" s="30"/>
      <c r="K1616" s="22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1875</v>
      </c>
      <c r="H1617" s="20" t="str">
        <f>+T1617</f>
        <v/>
      </c>
      <c r="J1617" s="30"/>
      <c r="K1617" s="22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1876</v>
      </c>
      <c r="H1618" s="20" t="str">
        <f>+T1618</f>
        <v/>
      </c>
      <c r="J1618" s="30"/>
      <c r="K1618" s="22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1877</v>
      </c>
      <c r="H1619" s="20" t="str">
        <f>+T1619</f>
        <v/>
      </c>
      <c r="J1619" s="30"/>
      <c r="K1619" s="22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1878</v>
      </c>
      <c r="H1620" s="20" t="str">
        <f>+T1620</f>
        <v/>
      </c>
      <c r="J1620" s="30"/>
      <c r="K1620" s="22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1879</v>
      </c>
      <c r="H1621" s="20" t="str">
        <f>+T1621</f>
        <v/>
      </c>
      <c r="J1621" s="30"/>
      <c r="K1621" s="22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1880</v>
      </c>
      <c r="H1622" s="20" t="str">
        <f>+T1622</f>
        <v/>
      </c>
      <c r="J1622" s="30"/>
      <c r="K1622" s="22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1881</v>
      </c>
      <c r="H1623" s="20" t="str">
        <f>+T1623</f>
        <v/>
      </c>
      <c r="J1623" s="30"/>
      <c r="K1623" s="22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1882</v>
      </c>
      <c r="H1624" s="20" t="str">
        <f>+T1624</f>
        <v/>
      </c>
      <c r="J1624" s="30"/>
      <c r="K1624" s="22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1883</v>
      </c>
      <c r="H1625" s="20" t="str">
        <f>+T1625</f>
        <v/>
      </c>
      <c r="J1625" s="30"/>
      <c r="K1625" s="22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1884</v>
      </c>
      <c r="H1626" s="20" t="str">
        <f>+T1626</f>
        <v/>
      </c>
      <c r="J1626" s="30"/>
      <c r="K1626" s="22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1885</v>
      </c>
      <c r="H1627" s="20" t="str">
        <f>+T1627</f>
        <v/>
      </c>
      <c r="J1627" s="30"/>
      <c r="K1627" s="22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1886</v>
      </c>
      <c r="H1628" s="20" t="str">
        <f>+T1628</f>
        <v/>
      </c>
      <c r="J1628" s="30"/>
      <c r="K1628" s="22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1887</v>
      </c>
      <c r="H1629" s="20" t="str">
        <f>+T1629</f>
        <v/>
      </c>
      <c r="J1629" s="30"/>
      <c r="K1629" s="22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1888</v>
      </c>
      <c r="H1630" s="20" t="str">
        <f>+T1630</f>
        <v/>
      </c>
      <c r="J1630" s="30"/>
      <c r="K1630" s="22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1889</v>
      </c>
      <c r="H1631" s="20" t="str">
        <f>+T1631</f>
        <v/>
      </c>
      <c r="J1631" s="30"/>
      <c r="K1631" s="22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1890</v>
      </c>
      <c r="H1632" s="20" t="str">
        <f>+T1632</f>
        <v/>
      </c>
      <c r="J1632" s="30"/>
      <c r="K1632" s="22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1891</v>
      </c>
      <c r="H1633" s="20" t="str">
        <f>+T1633</f>
        <v/>
      </c>
      <c r="J1633" s="30"/>
      <c r="K1633" s="22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1892</v>
      </c>
      <c r="H1634" s="20" t="str">
        <f>+T1634</f>
        <v/>
      </c>
      <c r="J1634" s="30"/>
      <c r="K1634" s="22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1893</v>
      </c>
      <c r="H1635" s="20" t="str">
        <f>+T1635</f>
        <v/>
      </c>
      <c r="J1635" s="30"/>
      <c r="K1635" s="22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1894</v>
      </c>
      <c r="H1636" s="20" t="str">
        <f>+T1636</f>
        <v/>
      </c>
      <c r="J1636" s="30"/>
      <c r="K1636" s="22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1895</v>
      </c>
      <c r="H1637" s="20" t="str">
        <f>+T1637</f>
        <v/>
      </c>
      <c r="J1637" s="30"/>
      <c r="K1637" s="22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1896</v>
      </c>
      <c r="H1638" s="20" t="str">
        <f>+T1638</f>
        <v/>
      </c>
      <c r="J1638" s="30"/>
      <c r="K1638" s="22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1897</v>
      </c>
      <c r="H1639" s="20" t="str">
        <f>+T1639</f>
        <v/>
      </c>
      <c r="J1639" s="30"/>
      <c r="K1639" s="22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1898</v>
      </c>
      <c r="H1640" s="20" t="str">
        <f>+T1640</f>
        <v/>
      </c>
      <c r="J1640" s="30"/>
      <c r="K1640" s="22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1899</v>
      </c>
      <c r="H1641" s="20" t="str">
        <f>+T1641</f>
        <v/>
      </c>
      <c r="J1641" s="30"/>
      <c r="K1641" s="22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1900</v>
      </c>
      <c r="H1642" s="20" t="str">
        <f>+T1642</f>
        <v/>
      </c>
      <c r="J1642" s="30"/>
      <c r="K1642" s="22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1901</v>
      </c>
      <c r="H1643" s="20" t="str">
        <f>+T1643</f>
        <v/>
      </c>
      <c r="J1643" s="30"/>
      <c r="K1643" s="22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1902</v>
      </c>
      <c r="H1644" s="20" t="str">
        <f>+T1644</f>
        <v/>
      </c>
      <c r="J1644" s="30"/>
      <c r="K1644" s="22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1903</v>
      </c>
      <c r="H1645" s="20" t="str">
        <f>+T1645</f>
        <v/>
      </c>
      <c r="J1645" s="30"/>
      <c r="K1645" s="22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1904</v>
      </c>
      <c r="H1646" s="20" t="str">
        <f>+T1646</f>
        <v/>
      </c>
      <c r="J1646" s="30"/>
      <c r="K1646" s="22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1905</v>
      </c>
      <c r="H1647" s="20" t="str">
        <f>+T1647</f>
        <v/>
      </c>
      <c r="J1647" s="30"/>
      <c r="K1647" s="22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1906</v>
      </c>
      <c r="H1648" s="20" t="str">
        <f>+T1648</f>
        <v/>
      </c>
      <c r="J1648" s="30"/>
      <c r="K1648" s="22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1907</v>
      </c>
      <c r="H1649" s="20" t="str">
        <f>+T1649</f>
        <v/>
      </c>
      <c r="J1649" s="30"/>
      <c r="K1649" s="22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1908</v>
      </c>
      <c r="H1650" s="20" t="str">
        <f>+T1650</f>
        <v/>
      </c>
      <c r="J1650" s="30"/>
      <c r="K1650" s="22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1909</v>
      </c>
      <c r="H1651" s="20" t="str">
        <f>+T1651</f>
        <v/>
      </c>
      <c r="J1651" s="30"/>
      <c r="K1651" s="22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1910</v>
      </c>
      <c r="H1652" s="20" t="str">
        <f>+T1652</f>
        <v/>
      </c>
      <c r="J1652" s="30"/>
      <c r="K1652" s="22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1911</v>
      </c>
      <c r="H1653" s="20" t="str">
        <f>+T1653</f>
        <v/>
      </c>
      <c r="J1653" s="30"/>
      <c r="K1653" s="22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1912</v>
      </c>
      <c r="H1654" s="20" t="str">
        <f>+T1654</f>
        <v/>
      </c>
      <c r="J1654" s="30"/>
      <c r="K1654" s="22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1913</v>
      </c>
      <c r="H1655" s="20" t="str">
        <f>+T1655</f>
        <v/>
      </c>
      <c r="J1655" s="30"/>
      <c r="K1655" s="22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1914</v>
      </c>
      <c r="H1656" s="20" t="str">
        <f>+T1656</f>
        <v/>
      </c>
      <c r="J1656" s="30"/>
      <c r="K1656" s="22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1915</v>
      </c>
      <c r="H1657" s="20" t="str">
        <f>+T1657</f>
        <v/>
      </c>
      <c r="J1657" s="30"/>
      <c r="K1657" s="22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1916</v>
      </c>
      <c r="H1658" s="20" t="str">
        <f>+T1658</f>
        <v/>
      </c>
      <c r="J1658" s="30"/>
      <c r="K1658" s="22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1917</v>
      </c>
      <c r="H1659" s="20" t="str">
        <f>+T1659</f>
        <v/>
      </c>
      <c r="J1659" s="30"/>
      <c r="K1659" s="22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1918</v>
      </c>
      <c r="H1660" s="20" t="str">
        <f>+T1660</f>
        <v/>
      </c>
      <c r="J1660" s="30"/>
      <c r="K1660" s="22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1919</v>
      </c>
      <c r="H1661" s="20" t="str">
        <f>+T1661</f>
        <v/>
      </c>
      <c r="J1661" s="30"/>
      <c r="K1661" s="22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1920</v>
      </c>
      <c r="H1662" s="20" t="str">
        <f>+T1662</f>
        <v/>
      </c>
      <c r="J1662" s="30"/>
      <c r="K1662" s="22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1921</v>
      </c>
      <c r="H1663" s="20" t="str">
        <f>+T1663</f>
        <v/>
      </c>
      <c r="J1663" s="30"/>
      <c r="K1663" s="22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1922</v>
      </c>
      <c r="H1664" s="20" t="str">
        <f>+T1664</f>
        <v/>
      </c>
      <c r="J1664" s="30"/>
      <c r="K1664" s="22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1923</v>
      </c>
      <c r="H1665" s="20" t="str">
        <f>+T1665</f>
        <v/>
      </c>
      <c r="J1665" s="30"/>
      <c r="K1665" s="22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1924</v>
      </c>
      <c r="H1666" s="20" t="str">
        <f>+T1666</f>
        <v/>
      </c>
      <c r="J1666" s="30"/>
      <c r="K1666" s="22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1925</v>
      </c>
      <c r="H1667" s="20" t="str">
        <f>+T1667</f>
        <v/>
      </c>
      <c r="J1667" s="30"/>
      <c r="K1667" s="22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1926</v>
      </c>
      <c r="H1668" s="20" t="str">
        <f>+T1668</f>
        <v/>
      </c>
      <c r="J1668" s="30"/>
      <c r="K1668" s="22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1927</v>
      </c>
      <c r="H1669" s="20" t="str">
        <f>+T1669</f>
        <v/>
      </c>
      <c r="J1669" s="30"/>
      <c r="K1669" s="22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1928</v>
      </c>
      <c r="H1670" s="20" t="str">
        <f>+T1670</f>
        <v/>
      </c>
      <c r="J1670" s="30"/>
      <c r="K1670" s="22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1929</v>
      </c>
      <c r="H1671" s="20" t="str">
        <f>+T1671</f>
        <v/>
      </c>
      <c r="J1671" s="30"/>
      <c r="K1671" s="22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1930</v>
      </c>
      <c r="H1672" s="20" t="str">
        <f>+T1672</f>
        <v/>
      </c>
      <c r="J1672" s="30"/>
      <c r="K1672" s="22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1931</v>
      </c>
      <c r="H1673" s="20" t="str">
        <f>+T1673</f>
        <v/>
      </c>
      <c r="J1673" s="30"/>
      <c r="K1673" s="22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1932</v>
      </c>
      <c r="H1674" s="20" t="str">
        <f>+T1674</f>
        <v/>
      </c>
      <c r="J1674" s="30"/>
      <c r="K1674" s="22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1933</v>
      </c>
      <c r="H1675" s="20" t="str">
        <f>+T1675</f>
        <v/>
      </c>
      <c r="J1675" s="30"/>
      <c r="K1675" s="22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1934</v>
      </c>
      <c r="H1676" s="20" t="str">
        <f>+T1676</f>
        <v/>
      </c>
      <c r="J1676" s="30"/>
      <c r="K1676" s="22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1935</v>
      </c>
      <c r="H1677" s="20" t="str">
        <f>+T1677</f>
        <v/>
      </c>
      <c r="J1677" s="30"/>
      <c r="K1677" s="22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1936</v>
      </c>
      <c r="H1678" s="20" t="str">
        <f>+T1678</f>
        <v/>
      </c>
      <c r="J1678" s="30"/>
      <c r="K1678" s="22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1937</v>
      </c>
      <c r="H1679" s="20" t="str">
        <f>+T1679</f>
        <v/>
      </c>
      <c r="J1679" s="30"/>
      <c r="K1679" s="22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1938</v>
      </c>
      <c r="H1680" s="20" t="str">
        <f>+T1680</f>
        <v/>
      </c>
      <c r="J1680" s="30"/>
      <c r="K1680" s="22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1939</v>
      </c>
      <c r="H1681" s="20" t="str">
        <f>+T1681</f>
        <v/>
      </c>
      <c r="J1681" s="30"/>
      <c r="K1681" s="22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1940</v>
      </c>
      <c r="H1682" s="20" t="str">
        <f>+T1682</f>
        <v/>
      </c>
      <c r="J1682" s="30"/>
      <c r="K1682" s="22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1941</v>
      </c>
      <c r="H1683" s="20" t="str">
        <f>+T1683</f>
        <v/>
      </c>
      <c r="J1683" s="30"/>
      <c r="K1683" s="22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1942</v>
      </c>
      <c r="H1684" s="20" t="str">
        <f>+T1684</f>
        <v/>
      </c>
      <c r="J1684" s="30"/>
      <c r="K1684" s="22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1943</v>
      </c>
      <c r="H1685" s="20" t="str">
        <f>+T1685</f>
        <v/>
      </c>
      <c r="J1685" s="30"/>
      <c r="K1685" s="22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1944</v>
      </c>
      <c r="H1686" s="20" t="str">
        <f>+T1686</f>
        <v/>
      </c>
      <c r="J1686" s="30"/>
      <c r="K1686" s="22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1945</v>
      </c>
      <c r="H1687" s="20" t="str">
        <f>+T1687</f>
        <v/>
      </c>
      <c r="J1687" s="30"/>
      <c r="K1687" s="22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1946</v>
      </c>
      <c r="H1688" s="20" t="str">
        <f>+T1688</f>
        <v/>
      </c>
      <c r="J1688" s="30"/>
      <c r="K1688" s="22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1947</v>
      </c>
      <c r="H1689" s="20" t="str">
        <f>+T1689</f>
        <v/>
      </c>
      <c r="J1689" s="30"/>
      <c r="K1689" s="22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1948</v>
      </c>
      <c r="H1690" s="20" t="str">
        <f>+T1690</f>
        <v/>
      </c>
      <c r="J1690" s="30"/>
      <c r="K1690" s="22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1949</v>
      </c>
      <c r="H1691" s="20" t="str">
        <f>+T1691</f>
        <v/>
      </c>
      <c r="J1691" s="30"/>
      <c r="K1691" s="22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1950</v>
      </c>
      <c r="H1692" s="20" t="str">
        <f>+T1692</f>
        <v/>
      </c>
      <c r="J1692" s="30"/>
      <c r="K1692" s="22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1951</v>
      </c>
      <c r="H1693" s="20" t="str">
        <f>+T1693</f>
        <v/>
      </c>
      <c r="J1693" s="30"/>
      <c r="K1693" s="22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1952</v>
      </c>
      <c r="H1694" s="20" t="str">
        <f>+T1694</f>
        <v/>
      </c>
      <c r="J1694" s="30"/>
      <c r="K1694" s="22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1953</v>
      </c>
      <c r="H1695" s="20" t="str">
        <f>+T1695</f>
        <v/>
      </c>
      <c r="J1695" s="30"/>
      <c r="K1695" s="22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1954</v>
      </c>
      <c r="H1696" s="20" t="str">
        <f>+T1696</f>
        <v/>
      </c>
      <c r="J1696" s="30"/>
      <c r="K1696" s="22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1955</v>
      </c>
      <c r="H1697" s="20" t="str">
        <f>+T1697</f>
        <v/>
      </c>
      <c r="J1697" s="30"/>
      <c r="K1697" s="22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1956</v>
      </c>
      <c r="H1698" s="20" t="str">
        <f>+T1698</f>
        <v/>
      </c>
      <c r="J1698" s="30"/>
      <c r="K1698" s="22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1957</v>
      </c>
      <c r="H1699" s="20" t="str">
        <f>+T1699</f>
        <v/>
      </c>
      <c r="J1699" s="30"/>
      <c r="K1699" s="22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1958</v>
      </c>
      <c r="H1700" s="20" t="str">
        <f>+T1700</f>
        <v/>
      </c>
      <c r="J1700" s="30"/>
      <c r="K1700" s="22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1959</v>
      </c>
      <c r="H1701" s="20" t="str">
        <f>+T1701</f>
        <v/>
      </c>
      <c r="J1701" s="30"/>
      <c r="K1701" s="22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1960</v>
      </c>
      <c r="H1702" s="20" t="str">
        <f>+T1702</f>
        <v/>
      </c>
      <c r="J1702" s="30"/>
      <c r="K1702" s="22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1961</v>
      </c>
      <c r="H1703" s="20" t="str">
        <f>+T1703</f>
        <v/>
      </c>
      <c r="J1703" s="30"/>
      <c r="K1703" s="22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1962</v>
      </c>
      <c r="H1704" s="20" t="str">
        <f>+T1704</f>
        <v/>
      </c>
      <c r="J1704" s="30"/>
      <c r="K1704" s="22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1963</v>
      </c>
      <c r="H1705" s="20" t="str">
        <f>+T1705</f>
        <v/>
      </c>
      <c r="J1705" s="30"/>
      <c r="K1705" s="22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1964</v>
      </c>
      <c r="H1706" s="20" t="str">
        <f>+T1706</f>
        <v/>
      </c>
      <c r="J1706" s="30"/>
      <c r="K1706" s="22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1965</v>
      </c>
      <c r="H1707" s="20" t="str">
        <f>+T1707</f>
        <v/>
      </c>
      <c r="J1707" s="30"/>
      <c r="K1707" s="22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1966</v>
      </c>
      <c r="H1708" s="20" t="str">
        <f>+T1708</f>
        <v/>
      </c>
      <c r="J1708" s="30"/>
      <c r="K1708" s="22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1967</v>
      </c>
      <c r="H1709" s="20" t="str">
        <f>+T1709</f>
        <v/>
      </c>
      <c r="J1709" s="30"/>
      <c r="K1709" s="22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1968</v>
      </c>
      <c r="H1710" s="20" t="str">
        <f>+T1710</f>
        <v/>
      </c>
      <c r="J1710" s="30"/>
      <c r="K1710" s="22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1969</v>
      </c>
      <c r="H1711" s="20" t="str">
        <f>+T1711</f>
        <v/>
      </c>
      <c r="J1711" s="30"/>
      <c r="K1711" s="22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1970</v>
      </c>
      <c r="H1712" s="20" t="str">
        <f>+T1712</f>
        <v/>
      </c>
      <c r="J1712" s="30"/>
      <c r="K1712" s="22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1971</v>
      </c>
      <c r="H1713" s="20" t="str">
        <f>+T1713</f>
        <v/>
      </c>
      <c r="J1713" s="30"/>
      <c r="K1713" s="22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1972</v>
      </c>
      <c r="H1714" s="20" t="str">
        <f>+T1714</f>
        <v/>
      </c>
      <c r="J1714" s="30"/>
      <c r="K1714" s="22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1973</v>
      </c>
      <c r="H1715" s="20" t="str">
        <f>+T1715</f>
        <v/>
      </c>
      <c r="J1715" s="30"/>
      <c r="K1715" s="22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1974</v>
      </c>
      <c r="H1716" s="20" t="str">
        <f>+T1716</f>
        <v/>
      </c>
      <c r="J1716" s="30"/>
      <c r="K1716" s="22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1975</v>
      </c>
      <c r="H1717" s="20" t="str">
        <f>+T1717</f>
        <v/>
      </c>
      <c r="J1717" s="30"/>
      <c r="K1717" s="22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1976</v>
      </c>
      <c r="H1718" s="20" t="str">
        <f>+T1718</f>
        <v/>
      </c>
      <c r="J1718" s="30"/>
      <c r="K1718" s="22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1977</v>
      </c>
      <c r="H1719" s="20" t="str">
        <f>+T1719</f>
        <v/>
      </c>
      <c r="J1719" s="30"/>
      <c r="K1719" s="22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1978</v>
      </c>
      <c r="H1720" s="20" t="str">
        <f>+T1720</f>
        <v/>
      </c>
      <c r="J1720" s="30"/>
      <c r="K1720" s="22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1979</v>
      </c>
      <c r="H1721" s="20" t="str">
        <f>+T1721</f>
        <v/>
      </c>
      <c r="J1721" s="30"/>
      <c r="K1721" s="22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1980</v>
      </c>
      <c r="H1722" s="20" t="str">
        <f>+T1722</f>
        <v/>
      </c>
      <c r="J1722" s="30"/>
      <c r="K1722" s="22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1981</v>
      </c>
      <c r="H1723" s="20" t="str">
        <f>+T1723</f>
        <v/>
      </c>
      <c r="J1723" s="30"/>
      <c r="K1723" s="22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1982</v>
      </c>
      <c r="H1724" s="20" t="str">
        <f>+T1724</f>
        <v/>
      </c>
      <c r="J1724" s="30"/>
      <c r="K1724" s="22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1983</v>
      </c>
      <c r="H1725" s="20" t="str">
        <f>+T1725</f>
        <v/>
      </c>
      <c r="J1725" s="30"/>
      <c r="K1725" s="22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1984</v>
      </c>
      <c r="H1726" s="20" t="str">
        <f>+T1726</f>
        <v/>
      </c>
      <c r="J1726" s="30"/>
      <c r="K1726" s="22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1985</v>
      </c>
      <c r="H1727" s="20" t="str">
        <f>+T1727</f>
        <v/>
      </c>
      <c r="J1727" s="30"/>
      <c r="K1727" s="22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1986</v>
      </c>
      <c r="H1728" s="20" t="str">
        <f>+T1728</f>
        <v/>
      </c>
      <c r="J1728" s="30"/>
      <c r="K1728" s="22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1987</v>
      </c>
      <c r="H1729" s="20" t="str">
        <f>+T1729</f>
        <v/>
      </c>
      <c r="J1729" s="30"/>
      <c r="K1729" s="22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1988</v>
      </c>
      <c r="H1730" s="20" t="str">
        <f>+T1730</f>
        <v/>
      </c>
      <c r="J1730" s="30"/>
      <c r="K1730" s="22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1989</v>
      </c>
      <c r="H1731" s="20" t="str">
        <f>+T1731</f>
        <v/>
      </c>
      <c r="J1731" s="30"/>
      <c r="K1731" s="22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1990</v>
      </c>
      <c r="H1732" s="20" t="str">
        <f>+T1732</f>
        <v/>
      </c>
      <c r="J1732" s="30"/>
      <c r="K1732" s="22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1991</v>
      </c>
      <c r="H1733" s="20" t="str">
        <f>+T1733</f>
        <v/>
      </c>
      <c r="J1733" s="30"/>
      <c r="K1733" s="22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1992</v>
      </c>
      <c r="H1734" s="20" t="str">
        <f>+T1734</f>
        <v/>
      </c>
      <c r="J1734" s="30"/>
      <c r="K1734" s="22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1993</v>
      </c>
      <c r="H1735" s="20" t="str">
        <f>+T1735</f>
        <v/>
      </c>
      <c r="J1735" s="30"/>
      <c r="K1735" s="22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1994</v>
      </c>
      <c r="H1736" s="20" t="str">
        <f>+T1736</f>
        <v/>
      </c>
      <c r="J1736" s="30"/>
      <c r="K1736" s="22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1995</v>
      </c>
      <c r="H1737" s="20" t="str">
        <f>+T1737</f>
        <v/>
      </c>
      <c r="J1737" s="30"/>
      <c r="K1737" s="22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1996</v>
      </c>
      <c r="H1738" s="20" t="str">
        <f>+T1738</f>
        <v/>
      </c>
      <c r="J1738" s="30"/>
      <c r="K1738" s="22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1997</v>
      </c>
      <c r="H1739" s="20" t="str">
        <f>+T1739</f>
        <v/>
      </c>
      <c r="J1739" s="30"/>
      <c r="K1739" s="22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1998</v>
      </c>
      <c r="H1740" s="20" t="str">
        <f>+T1740</f>
        <v/>
      </c>
      <c r="J1740" s="30"/>
      <c r="K1740" s="22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1999</v>
      </c>
      <c r="H1741" s="20" t="str">
        <f>+T1741</f>
        <v/>
      </c>
      <c r="J1741" s="30"/>
      <c r="K1741" s="22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2000</v>
      </c>
      <c r="H1742" s="20" t="str">
        <f>+T1742</f>
        <v/>
      </c>
      <c r="J1742" s="30"/>
      <c r="K1742" s="22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2001</v>
      </c>
      <c r="H1743" s="20" t="str">
        <f>+T1743</f>
        <v/>
      </c>
      <c r="J1743" s="30"/>
      <c r="K1743" s="22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2002</v>
      </c>
      <c r="H1744" s="20" t="str">
        <f>+T1744</f>
        <v/>
      </c>
      <c r="J1744" s="30"/>
      <c r="K1744" s="22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2003</v>
      </c>
      <c r="H1745" s="20" t="str">
        <f>+T1745</f>
        <v/>
      </c>
      <c r="J1745" s="30"/>
      <c r="K1745" s="22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2004</v>
      </c>
      <c r="H1746" s="20" t="str">
        <f>+T1746</f>
        <v/>
      </c>
      <c r="J1746" s="30"/>
      <c r="K1746" s="22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2005</v>
      </c>
      <c r="H1747" s="20" t="str">
        <f>+T1747</f>
        <v/>
      </c>
      <c r="J1747" s="30"/>
      <c r="K1747" s="22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2006</v>
      </c>
      <c r="H1748" s="20" t="str">
        <f>+T1748</f>
        <v/>
      </c>
      <c r="J1748" s="30"/>
      <c r="K1748" s="22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2007</v>
      </c>
      <c r="H1749" s="20" t="str">
        <f>+T1749</f>
        <v/>
      </c>
      <c r="J1749" s="30"/>
      <c r="K1749" s="22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2008</v>
      </c>
      <c r="H1750" s="20" t="str">
        <f>+T1750</f>
        <v/>
      </c>
      <c r="J1750" s="30"/>
      <c r="K1750" s="22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2009</v>
      </c>
      <c r="H1751" s="20" t="str">
        <f>+T1751</f>
        <v/>
      </c>
      <c r="J1751" s="30"/>
      <c r="K1751" s="22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2010</v>
      </c>
      <c r="H1752" s="20" t="str">
        <f>+T1752</f>
        <v/>
      </c>
      <c r="J1752" s="30"/>
      <c r="K1752" s="22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2011</v>
      </c>
      <c r="H1753" s="20" t="str">
        <f>+T1753</f>
        <v/>
      </c>
      <c r="J1753" s="30"/>
      <c r="K1753" s="22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2012</v>
      </c>
      <c r="H1754" s="20" t="str">
        <f>+T1754</f>
        <v/>
      </c>
      <c r="J1754" s="30"/>
      <c r="K1754" s="22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2013</v>
      </c>
      <c r="H1755" s="20" t="str">
        <f>+T1755</f>
        <v/>
      </c>
      <c r="J1755" s="30"/>
      <c r="K1755" s="22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2014</v>
      </c>
      <c r="H1756" s="20" t="str">
        <f>+T1756</f>
        <v/>
      </c>
      <c r="J1756" s="30"/>
      <c r="K1756" s="22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2015</v>
      </c>
      <c r="H1757" s="20" t="str">
        <f>+T1757</f>
        <v/>
      </c>
      <c r="J1757" s="30"/>
      <c r="K1757" s="22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2016</v>
      </c>
      <c r="H1758" s="20" t="str">
        <f>+T1758</f>
        <v/>
      </c>
      <c r="J1758" s="30"/>
      <c r="K1758" s="22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2017</v>
      </c>
      <c r="H1759" s="20" t="str">
        <f>+T1759</f>
        <v/>
      </c>
      <c r="J1759" s="30"/>
      <c r="K1759" s="22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2018</v>
      </c>
      <c r="H1760" s="20" t="str">
        <f>+T1760</f>
        <v/>
      </c>
      <c r="J1760" s="30"/>
      <c r="K1760" s="22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2019</v>
      </c>
      <c r="H1761" s="20" t="str">
        <f>+T1761</f>
        <v/>
      </c>
      <c r="J1761" s="30"/>
      <c r="K1761" s="22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2020</v>
      </c>
      <c r="H1762" s="20" t="str">
        <f>+T1762</f>
        <v/>
      </c>
      <c r="J1762" s="30"/>
      <c r="K1762" s="22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2021</v>
      </c>
      <c r="H1763" s="20" t="str">
        <f>+T1763</f>
        <v/>
      </c>
      <c r="J1763" s="30"/>
      <c r="K1763" s="22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2022</v>
      </c>
      <c r="H1764" s="20" t="str">
        <f>+T1764</f>
        <v/>
      </c>
      <c r="J1764" s="30"/>
      <c r="K1764" s="22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2023</v>
      </c>
      <c r="H1765" s="20" t="str">
        <f>+T1765</f>
        <v/>
      </c>
      <c r="J1765" s="30"/>
      <c r="K1765" s="22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2024</v>
      </c>
      <c r="H1766" s="20" t="str">
        <f>+T1766</f>
        <v/>
      </c>
      <c r="J1766" s="30"/>
      <c r="K1766" s="22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2025</v>
      </c>
      <c r="H1767" s="20" t="str">
        <f>+T1767</f>
        <v/>
      </c>
      <c r="J1767" s="30"/>
      <c r="K1767" s="22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2026</v>
      </c>
      <c r="H1768" s="20" t="str">
        <f>+T1768</f>
        <v/>
      </c>
      <c r="J1768" s="30"/>
      <c r="K1768" s="22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2027</v>
      </c>
      <c r="H1769" s="20" t="str">
        <f>+T1769</f>
        <v/>
      </c>
      <c r="J1769" s="30"/>
      <c r="K1769" s="22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2028</v>
      </c>
      <c r="H1770" s="20" t="str">
        <f>+T1770</f>
        <v/>
      </c>
      <c r="J1770" s="30"/>
      <c r="K1770" s="22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2029</v>
      </c>
      <c r="H1771" s="20" t="str">
        <f>+T1771</f>
        <v/>
      </c>
      <c r="J1771" s="30"/>
      <c r="K1771" s="22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2030</v>
      </c>
      <c r="H1772" s="20" t="str">
        <f>+T1772</f>
        <v/>
      </c>
      <c r="J1772" s="30"/>
      <c r="K1772" s="22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2031</v>
      </c>
      <c r="H1773" s="20" t="str">
        <f>+T1773</f>
        <v/>
      </c>
      <c r="J1773" s="30"/>
      <c r="K1773" s="22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2032</v>
      </c>
      <c r="H1774" s="20" t="str">
        <f>+T1774</f>
        <v/>
      </c>
      <c r="J1774" s="30"/>
      <c r="K1774" s="22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2033</v>
      </c>
      <c r="H1775" s="20" t="str">
        <f>+T1775</f>
        <v/>
      </c>
      <c r="J1775" s="30"/>
      <c r="K1775" s="22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2034</v>
      </c>
      <c r="H1776" s="20" t="str">
        <f>+T1776</f>
        <v/>
      </c>
      <c r="J1776" s="30"/>
      <c r="K1776" s="22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2035</v>
      </c>
      <c r="H1777" s="20" t="str">
        <f>+T1777</f>
        <v/>
      </c>
      <c r="J1777" s="30"/>
      <c r="K1777" s="22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2036</v>
      </c>
      <c r="H1778" s="20" t="str">
        <f>+T1778</f>
        <v/>
      </c>
      <c r="J1778" s="30"/>
      <c r="K1778" s="22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2037</v>
      </c>
      <c r="H1779" s="20" t="str">
        <f>+T1779</f>
        <v/>
      </c>
      <c r="J1779" s="30"/>
      <c r="K1779" s="22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2038</v>
      </c>
      <c r="H1780" s="20" t="str">
        <f>+T1780</f>
        <v/>
      </c>
      <c r="J1780" s="30"/>
      <c r="K1780" s="22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2039</v>
      </c>
      <c r="H1781" s="20" t="str">
        <f>+T1781</f>
        <v/>
      </c>
      <c r="J1781" s="30"/>
      <c r="K1781" s="22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2040</v>
      </c>
      <c r="H1782" s="20" t="str">
        <f>+T1782</f>
        <v/>
      </c>
      <c r="J1782" s="30"/>
      <c r="K1782" s="22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2041</v>
      </c>
      <c r="H1783" s="20" t="str">
        <f>+T1783</f>
        <v/>
      </c>
      <c r="J1783" s="30"/>
      <c r="K1783" s="22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2042</v>
      </c>
      <c r="H1784" s="20" t="str">
        <f>+T1784</f>
        <v/>
      </c>
      <c r="J1784" s="30"/>
      <c r="K1784" s="22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2043</v>
      </c>
      <c r="H1785" s="20" t="str">
        <f>+T1785</f>
        <v/>
      </c>
      <c r="J1785" s="30"/>
      <c r="K1785" s="22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2044</v>
      </c>
      <c r="H1786" s="20" t="str">
        <f>+T1786</f>
        <v/>
      </c>
      <c r="J1786" s="30"/>
      <c r="K1786" s="22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2045</v>
      </c>
      <c r="H1787" s="20" t="str">
        <f>+T1787</f>
        <v/>
      </c>
      <c r="J1787" s="30"/>
      <c r="K1787" s="22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2046</v>
      </c>
      <c r="H1788" s="20" t="str">
        <f>+T1788</f>
        <v/>
      </c>
      <c r="J1788" s="30"/>
      <c r="K1788" s="22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2047</v>
      </c>
      <c r="H1789" s="20" t="str">
        <f>+T1789</f>
        <v/>
      </c>
      <c r="J1789" s="30"/>
      <c r="K1789" s="22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2048</v>
      </c>
      <c r="H1790" s="20" t="str">
        <f>+T1790</f>
        <v/>
      </c>
      <c r="J1790" s="30"/>
      <c r="K1790" s="22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2049</v>
      </c>
      <c r="H1791" s="20" t="str">
        <f>+T1791</f>
        <v/>
      </c>
      <c r="J1791" s="30"/>
      <c r="K1791" s="22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2050</v>
      </c>
      <c r="H1792" s="20" t="str">
        <f>+T1792</f>
        <v/>
      </c>
      <c r="J1792" s="30"/>
      <c r="K1792" s="22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2051</v>
      </c>
      <c r="H1793" s="20" t="str">
        <f>+T1793</f>
        <v/>
      </c>
      <c r="J1793" s="30"/>
      <c r="K1793" s="22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2052</v>
      </c>
      <c r="H1794" s="20" t="str">
        <f>+T1794</f>
        <v/>
      </c>
      <c r="J1794" s="30"/>
      <c r="K1794" s="22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2053</v>
      </c>
      <c r="H1795" s="20" t="str">
        <f>+T1795</f>
        <v/>
      </c>
      <c r="J1795" s="30"/>
      <c r="K1795" s="22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2054</v>
      </c>
      <c r="H1796" s="20" t="str">
        <f>+T1796</f>
        <v/>
      </c>
      <c r="J1796" s="30"/>
      <c r="K1796" s="22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2055</v>
      </c>
      <c r="H1797" s="20" t="str">
        <f>+T1797</f>
        <v/>
      </c>
      <c r="J1797" s="30"/>
      <c r="K1797" s="22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2056</v>
      </c>
      <c r="H1798" s="20" t="str">
        <f>+T1798</f>
        <v/>
      </c>
      <c r="J1798" s="30"/>
      <c r="K1798" s="22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2057</v>
      </c>
      <c r="H1799" s="20" t="str">
        <f>+T1799</f>
        <v/>
      </c>
      <c r="J1799" s="30"/>
      <c r="K1799" s="22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2058</v>
      </c>
      <c r="H1800" s="20" t="str">
        <f>+T1800</f>
        <v/>
      </c>
      <c r="J1800" s="30"/>
      <c r="K1800" s="22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2059</v>
      </c>
      <c r="H1801" s="20" t="str">
        <f>+T1801</f>
        <v/>
      </c>
      <c r="J1801" s="30"/>
      <c r="K1801" s="22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2060</v>
      </c>
      <c r="H1802" s="20" t="str">
        <f>+T1802</f>
        <v/>
      </c>
      <c r="J1802" s="30"/>
      <c r="K1802" s="22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2061</v>
      </c>
      <c r="H1803" s="20" t="str">
        <f>+T1803</f>
        <v/>
      </c>
      <c r="J1803" s="30"/>
      <c r="K1803" s="22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2062</v>
      </c>
      <c r="H1804" s="20" t="str">
        <f>+T1804</f>
        <v/>
      </c>
      <c r="J1804" s="30"/>
      <c r="K1804" s="22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2063</v>
      </c>
      <c r="H1805" s="20" t="str">
        <f>+T1805</f>
        <v/>
      </c>
      <c r="J1805" s="30"/>
      <c r="K1805" s="22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2064</v>
      </c>
      <c r="H1806" s="20" t="str">
        <f>+T1806</f>
        <v/>
      </c>
      <c r="J1806" s="30"/>
      <c r="K1806" s="22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2065</v>
      </c>
      <c r="H1807" s="20" t="str">
        <f>+T1807</f>
        <v/>
      </c>
      <c r="J1807" s="30"/>
      <c r="K1807" s="22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2066</v>
      </c>
      <c r="H1808" s="20" t="str">
        <f>+T1808</f>
        <v/>
      </c>
      <c r="J1808" s="30"/>
      <c r="K1808" s="22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2067</v>
      </c>
      <c r="H1809" s="20" t="str">
        <f>+T1809</f>
        <v/>
      </c>
      <c r="J1809" s="30"/>
      <c r="K1809" s="22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2068</v>
      </c>
      <c r="H1810" s="20" t="str">
        <f>+T1810</f>
        <v/>
      </c>
      <c r="J1810" s="30"/>
      <c r="K1810" s="22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2069</v>
      </c>
      <c r="H1811" s="20" t="str">
        <f>+T1811</f>
        <v/>
      </c>
      <c r="J1811" s="30"/>
      <c r="K1811" s="22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2070</v>
      </c>
      <c r="H1812" s="20" t="str">
        <f>+T1812</f>
        <v/>
      </c>
      <c r="J1812" s="30"/>
      <c r="K1812" s="22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2071</v>
      </c>
      <c r="H1813" s="20" t="str">
        <f>+T1813</f>
        <v/>
      </c>
      <c r="J1813" s="30"/>
      <c r="K1813" s="22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2072</v>
      </c>
      <c r="H1814" s="20" t="str">
        <f>+T1814</f>
        <v/>
      </c>
      <c r="J1814" s="30"/>
      <c r="K1814" s="22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2073</v>
      </c>
      <c r="H1815" s="20" t="str">
        <f>+T1815</f>
        <v/>
      </c>
      <c r="J1815" s="30"/>
      <c r="K1815" s="22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2074</v>
      </c>
      <c r="H1816" s="20" t="str">
        <f>+T1816</f>
        <v/>
      </c>
      <c r="J1816" s="30"/>
      <c r="K1816" s="22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2075</v>
      </c>
      <c r="H1817" s="20" t="str">
        <f>+T1817</f>
        <v/>
      </c>
      <c r="J1817" s="30"/>
      <c r="K1817" s="22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2076</v>
      </c>
      <c r="H1818" s="20" t="str">
        <f>+T1818</f>
        <v/>
      </c>
      <c r="J1818" s="30"/>
      <c r="K1818" s="22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2077</v>
      </c>
      <c r="H1819" s="20" t="str">
        <f>+T1819</f>
        <v/>
      </c>
      <c r="J1819" s="30"/>
      <c r="K1819" s="22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2078</v>
      </c>
      <c r="H1820" s="20" t="str">
        <f>+T1820</f>
        <v/>
      </c>
      <c r="J1820" s="30"/>
      <c r="K1820" s="22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2079</v>
      </c>
      <c r="H1821" s="20" t="str">
        <f>+T1821</f>
        <v/>
      </c>
      <c r="J1821" s="30"/>
      <c r="K1821" s="22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2080</v>
      </c>
      <c r="H1822" s="20" t="str">
        <f>+T1822</f>
        <v/>
      </c>
      <c r="J1822" s="30"/>
      <c r="K1822" s="22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2081</v>
      </c>
      <c r="H1823" s="20" t="str">
        <f>+T1823</f>
        <v/>
      </c>
      <c r="J1823" s="30"/>
      <c r="K1823" s="22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2082</v>
      </c>
      <c r="H1824" s="20" t="str">
        <f>+T1824</f>
        <v/>
      </c>
      <c r="J1824" s="30"/>
      <c r="K1824" s="22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2083</v>
      </c>
      <c r="H1825" s="20" t="str">
        <f>+T1825</f>
        <v/>
      </c>
      <c r="J1825" s="30"/>
      <c r="K1825" s="22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2084</v>
      </c>
      <c r="H1826" s="20" t="str">
        <f>+T1826</f>
        <v/>
      </c>
      <c r="J1826" s="30"/>
      <c r="K1826" s="22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2085</v>
      </c>
      <c r="H1827" s="20" t="str">
        <f>+T1827</f>
        <v/>
      </c>
      <c r="J1827" s="30"/>
      <c r="K1827" s="22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2086</v>
      </c>
      <c r="H1828" s="20" t="str">
        <f>+T1828</f>
        <v/>
      </c>
      <c r="J1828" s="30"/>
      <c r="K1828" s="22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2087</v>
      </c>
      <c r="H1829" s="20" t="str">
        <f>+T1829</f>
        <v/>
      </c>
      <c r="J1829" s="30"/>
      <c r="K1829" s="22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2088</v>
      </c>
      <c r="H1830" s="20" t="str">
        <f>+T1830</f>
        <v/>
      </c>
      <c r="J1830" s="30"/>
      <c r="K1830" s="22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2089</v>
      </c>
      <c r="H1831" s="20" t="str">
        <f>+T1831</f>
        <v/>
      </c>
      <c r="J1831" s="30"/>
      <c r="K1831" s="22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2090</v>
      </c>
      <c r="H1832" s="20" t="str">
        <f>+T1832</f>
        <v/>
      </c>
      <c r="J1832" s="30"/>
      <c r="K1832" s="22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2091</v>
      </c>
      <c r="H1833" s="20" t="str">
        <f>+T1833</f>
        <v/>
      </c>
      <c r="J1833" s="30"/>
      <c r="K1833" s="22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2092</v>
      </c>
      <c r="H1834" s="20" t="str">
        <f>+T1834</f>
        <v/>
      </c>
      <c r="J1834" s="30"/>
      <c r="K1834" s="22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2093</v>
      </c>
      <c r="H1835" s="20" t="str">
        <f>+T1835</f>
        <v/>
      </c>
      <c r="J1835" s="30"/>
      <c r="K1835" s="22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2094</v>
      </c>
      <c r="H1836" s="20" t="str">
        <f>+T1836</f>
        <v/>
      </c>
      <c r="J1836" s="30"/>
      <c r="K1836" s="22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2095</v>
      </c>
      <c r="H1837" s="20" t="str">
        <f>+T1837</f>
        <v/>
      </c>
      <c r="J1837" s="30"/>
      <c r="K1837" s="22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2096</v>
      </c>
      <c r="H1838" s="20" t="str">
        <f>+T1838</f>
        <v/>
      </c>
      <c r="J1838" s="30"/>
      <c r="K1838" s="22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2097</v>
      </c>
      <c r="H1839" s="20" t="str">
        <f>+T1839</f>
        <v/>
      </c>
      <c r="J1839" s="30"/>
      <c r="K1839" s="22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2098</v>
      </c>
      <c r="H1840" s="20" t="str">
        <f>+T1840</f>
        <v/>
      </c>
      <c r="J1840" s="30"/>
      <c r="K1840" s="22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2099</v>
      </c>
      <c r="H1841" s="20" t="str">
        <f>+T1841</f>
        <v/>
      </c>
      <c r="J1841" s="30"/>
      <c r="K1841" s="22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2100</v>
      </c>
      <c r="H1842" s="20" t="str">
        <f>+T1842</f>
        <v/>
      </c>
      <c r="J1842" s="30"/>
      <c r="K1842" s="22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2101</v>
      </c>
      <c r="H1843" s="20" t="str">
        <f>+T1843</f>
        <v/>
      </c>
      <c r="J1843" s="30"/>
      <c r="K1843" s="22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2102</v>
      </c>
      <c r="H1844" s="20" t="str">
        <f>+T1844</f>
        <v/>
      </c>
      <c r="J1844" s="30"/>
      <c r="K1844" s="22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2103</v>
      </c>
      <c r="H1845" s="20" t="str">
        <f>+T1845</f>
        <v/>
      </c>
      <c r="J1845" s="30"/>
      <c r="K1845" s="22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2104</v>
      </c>
      <c r="H1846" s="20" t="str">
        <f>+T1846</f>
        <v/>
      </c>
      <c r="J1846" s="30"/>
      <c r="K1846" s="22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2105</v>
      </c>
      <c r="H1847" s="20" t="str">
        <f>+T1847</f>
        <v/>
      </c>
      <c r="J1847" s="30"/>
      <c r="K1847" s="22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2106</v>
      </c>
      <c r="H1848" s="20" t="str">
        <f>+T1848</f>
        <v/>
      </c>
      <c r="J1848" s="30"/>
      <c r="K1848" s="22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2107</v>
      </c>
      <c r="H1849" s="20" t="str">
        <f>+T1849</f>
        <v/>
      </c>
      <c r="J1849" s="30"/>
      <c r="K1849" s="22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2108</v>
      </c>
      <c r="H1850" s="20" t="str">
        <f>+T1850</f>
        <v/>
      </c>
      <c r="J1850" s="30"/>
      <c r="K1850" s="22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2109</v>
      </c>
      <c r="H1851" s="20" t="str">
        <f>+T1851</f>
        <v/>
      </c>
      <c r="J1851" s="30"/>
      <c r="K1851" s="22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2110</v>
      </c>
      <c r="H1852" s="20" t="str">
        <f>+T1852</f>
        <v/>
      </c>
      <c r="J1852" s="30"/>
      <c r="K1852" s="22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2111</v>
      </c>
      <c r="H1853" s="20" t="str">
        <f>+T1853</f>
        <v/>
      </c>
      <c r="J1853" s="30"/>
      <c r="K1853" s="22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2112</v>
      </c>
      <c r="H1854" s="20" t="str">
        <f>+T1854</f>
        <v/>
      </c>
      <c r="J1854" s="30"/>
      <c r="K1854" s="22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2113</v>
      </c>
      <c r="H1855" s="20" t="str">
        <f>+T1855</f>
        <v/>
      </c>
      <c r="J1855" s="30"/>
      <c r="K1855" s="22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2114</v>
      </c>
      <c r="H1856" s="20" t="str">
        <f>+T1856</f>
        <v/>
      </c>
      <c r="J1856" s="30"/>
      <c r="K1856" s="22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2115</v>
      </c>
      <c r="H1857" s="20" t="str">
        <f>+T1857</f>
        <v/>
      </c>
      <c r="J1857" s="30"/>
      <c r="K1857" s="22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2116</v>
      </c>
      <c r="H1858" s="20" t="str">
        <f>+T1858</f>
        <v/>
      </c>
      <c r="J1858" s="30"/>
      <c r="K1858" s="22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2117</v>
      </c>
      <c r="H1859" s="20" t="str">
        <f>+T1859</f>
        <v/>
      </c>
      <c r="J1859" s="30"/>
      <c r="K1859" s="22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2118</v>
      </c>
      <c r="H1860" s="20" t="str">
        <f>+T1860</f>
        <v/>
      </c>
      <c r="J1860" s="30"/>
      <c r="K1860" s="22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2119</v>
      </c>
      <c r="H1861" s="20" t="str">
        <f>+T1861</f>
        <v/>
      </c>
      <c r="J1861" s="30"/>
      <c r="K1861" s="22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2120</v>
      </c>
      <c r="H1862" s="20" t="str">
        <f>+T1862</f>
        <v/>
      </c>
      <c r="J1862" s="30"/>
      <c r="K1862" s="22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2121</v>
      </c>
      <c r="H1863" s="20" t="str">
        <f>+T1863</f>
        <v/>
      </c>
      <c r="J1863" s="30"/>
      <c r="K1863" s="22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2122</v>
      </c>
      <c r="H1864" s="20" t="str">
        <f>+T1864</f>
        <v/>
      </c>
      <c r="J1864" s="30"/>
      <c r="K1864" s="22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2123</v>
      </c>
      <c r="H1865" s="20" t="str">
        <f>+T1865</f>
        <v/>
      </c>
      <c r="J1865" s="30"/>
      <c r="K1865" s="22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2124</v>
      </c>
      <c r="H1866" s="20" t="str">
        <f>+T1866</f>
        <v/>
      </c>
      <c r="J1866" s="30"/>
      <c r="K1866" s="22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2125</v>
      </c>
      <c r="H1867" s="20" t="str">
        <f>+T1867</f>
        <v/>
      </c>
      <c r="J1867" s="30"/>
      <c r="K1867" s="22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2126</v>
      </c>
      <c r="H1868" s="20" t="str">
        <f>+T1868</f>
        <v/>
      </c>
      <c r="J1868" s="30"/>
      <c r="K1868" s="22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2127</v>
      </c>
      <c r="H1869" s="20" t="str">
        <f>+T1869</f>
        <v/>
      </c>
      <c r="J1869" s="30"/>
      <c r="K1869" s="22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2128</v>
      </c>
      <c r="H1870" s="20" t="str">
        <f>+T1870</f>
        <v/>
      </c>
      <c r="J1870" s="30"/>
      <c r="K1870" s="22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2129</v>
      </c>
      <c r="H1871" s="20" t="str">
        <f>+T1871</f>
        <v/>
      </c>
      <c r="J1871" s="30"/>
      <c r="K1871" s="22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2130</v>
      </c>
      <c r="H1872" s="20" t="str">
        <f>+T1872</f>
        <v/>
      </c>
      <c r="J1872" s="30"/>
      <c r="K1872" s="22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2131</v>
      </c>
      <c r="H1873" s="20" t="str">
        <f>+T1873</f>
        <v/>
      </c>
      <c r="J1873" s="30"/>
      <c r="K1873" s="22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2132</v>
      </c>
      <c r="H1874" s="20" t="str">
        <f>+T1874</f>
        <v/>
      </c>
      <c r="J1874" s="30"/>
      <c r="K1874" s="22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2133</v>
      </c>
      <c r="H1875" s="20" t="str">
        <f>+T1875</f>
        <v/>
      </c>
      <c r="J1875" s="30"/>
      <c r="K1875" s="22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2134</v>
      </c>
      <c r="H1876" s="20" t="str">
        <f>+T1876</f>
        <v/>
      </c>
      <c r="J1876" s="30"/>
      <c r="K1876" s="22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2135</v>
      </c>
      <c r="H1877" s="20" t="str">
        <f>+T1877</f>
        <v/>
      </c>
      <c r="J1877" s="30"/>
      <c r="K1877" s="22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2136</v>
      </c>
      <c r="H1878" s="20" t="str">
        <f>+T1878</f>
        <v/>
      </c>
      <c r="J1878" s="30"/>
      <c r="K1878" s="22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2137</v>
      </c>
      <c r="H1879" s="20" t="str">
        <f>+T1879</f>
        <v/>
      </c>
      <c r="J1879" s="30"/>
      <c r="K1879" s="22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2138</v>
      </c>
      <c r="H1880" s="20" t="str">
        <f>+T1880</f>
        <v/>
      </c>
      <c r="J1880" s="30"/>
      <c r="K1880" s="22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2139</v>
      </c>
      <c r="H1881" s="20" t="str">
        <f>+T1881</f>
        <v/>
      </c>
      <c r="J1881" s="30"/>
      <c r="K1881" s="22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2140</v>
      </c>
      <c r="H1882" s="20" t="str">
        <f>+T1882</f>
        <v/>
      </c>
      <c r="J1882" s="30"/>
      <c r="K1882" s="22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2141</v>
      </c>
      <c r="H1883" s="20" t="str">
        <f>+T1883</f>
        <v/>
      </c>
      <c r="J1883" s="30"/>
      <c r="K1883" s="22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2142</v>
      </c>
      <c r="H1884" s="20" t="str">
        <f>+T1884</f>
        <v/>
      </c>
      <c r="J1884" s="30"/>
      <c r="K1884" s="22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2143</v>
      </c>
      <c r="H1885" s="20" t="str">
        <f>+T1885</f>
        <v/>
      </c>
      <c r="J1885" s="30"/>
      <c r="K1885" s="22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2144</v>
      </c>
      <c r="H1886" s="20" t="str">
        <f>+T1886</f>
        <v/>
      </c>
      <c r="J1886" s="30"/>
      <c r="K1886" s="22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2145</v>
      </c>
      <c r="H1887" s="20" t="str">
        <f>+T1887</f>
        <v/>
      </c>
      <c r="J1887" s="30"/>
      <c r="K1887" s="22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2146</v>
      </c>
      <c r="H1888" s="20" t="str">
        <f>+T1888</f>
        <v/>
      </c>
      <c r="J1888" s="30"/>
      <c r="K1888" s="22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2147</v>
      </c>
      <c r="H1889" s="20" t="str">
        <f>+T1889</f>
        <v/>
      </c>
      <c r="J1889" s="30"/>
      <c r="K1889" s="22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2148</v>
      </c>
      <c r="H1890" s="20" t="str">
        <f>+T1890</f>
        <v/>
      </c>
      <c r="J1890" s="30"/>
      <c r="K1890" s="22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2149</v>
      </c>
      <c r="H1891" s="20" t="str">
        <f>+T1891</f>
        <v/>
      </c>
      <c r="J1891" s="30"/>
      <c r="K1891" s="22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2150</v>
      </c>
      <c r="H1892" s="20" t="str">
        <f>+T1892</f>
        <v/>
      </c>
      <c r="J1892" s="30"/>
      <c r="K1892" s="22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2151</v>
      </c>
      <c r="H1893" s="20" t="str">
        <f>+T1893</f>
        <v/>
      </c>
      <c r="J1893" s="30"/>
      <c r="K1893" s="22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2152</v>
      </c>
      <c r="H1894" s="20" t="str">
        <f>+T1894</f>
        <v/>
      </c>
      <c r="J1894" s="30"/>
      <c r="K1894" s="22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2153</v>
      </c>
      <c r="H1895" s="20" t="str">
        <f>+T1895</f>
        <v/>
      </c>
      <c r="J1895" s="30"/>
      <c r="K1895" s="22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2154</v>
      </c>
      <c r="H1896" s="20" t="str">
        <f>+T1896</f>
        <v/>
      </c>
      <c r="J1896" s="30"/>
      <c r="K1896" s="22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2155</v>
      </c>
      <c r="H1897" s="20" t="str">
        <f>+T1897</f>
        <v/>
      </c>
      <c r="J1897" s="30"/>
      <c r="K1897" s="22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2156</v>
      </c>
      <c r="H1898" s="20" t="str">
        <f>+T1898</f>
        <v/>
      </c>
      <c r="J1898" s="30"/>
      <c r="K1898" s="22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2157</v>
      </c>
      <c r="H1899" s="20" t="str">
        <f>+T1899</f>
        <v/>
      </c>
      <c r="J1899" s="30"/>
      <c r="K1899" s="22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2158</v>
      </c>
      <c r="H1900" s="20" t="str">
        <f>+T1900</f>
        <v/>
      </c>
      <c r="J1900" s="30"/>
      <c r="K1900" s="22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2159</v>
      </c>
      <c r="H1901" s="20" t="str">
        <f>+T1901</f>
        <v/>
      </c>
      <c r="J1901" s="30"/>
      <c r="K1901" s="22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2160</v>
      </c>
      <c r="H1902" s="20" t="str">
        <f>+T1902</f>
        <v/>
      </c>
      <c r="J1902" s="30"/>
      <c r="K1902" s="22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2161</v>
      </c>
      <c r="H1903" s="20" t="str">
        <f>+T1903</f>
        <v/>
      </c>
      <c r="J1903" s="30"/>
      <c r="K1903" s="22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2162</v>
      </c>
      <c r="H1904" s="20" t="str">
        <f>+T1904</f>
        <v/>
      </c>
      <c r="J1904" s="30"/>
      <c r="K1904" s="22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2163</v>
      </c>
      <c r="H1905" s="20" t="str">
        <f>+T1905</f>
        <v/>
      </c>
      <c r="J1905" s="30"/>
      <c r="K1905" s="22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2164</v>
      </c>
      <c r="H1906" s="20" t="str">
        <f>+T1906</f>
        <v/>
      </c>
      <c r="J1906" s="30"/>
      <c r="K1906" s="22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2165</v>
      </c>
      <c r="H1907" s="20" t="str">
        <f>+T1907</f>
        <v/>
      </c>
      <c r="J1907" s="30"/>
      <c r="K1907" s="22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2166</v>
      </c>
      <c r="H1908" s="20" t="str">
        <f>+T1908</f>
        <v/>
      </c>
      <c r="J1908" s="30"/>
      <c r="K1908" s="22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2167</v>
      </c>
      <c r="H1909" s="20" t="str">
        <f>+T1909</f>
        <v/>
      </c>
      <c r="J1909" s="30"/>
      <c r="K1909" s="22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2168</v>
      </c>
      <c r="H1910" s="20" t="str">
        <f>+T1910</f>
        <v/>
      </c>
      <c r="J1910" s="30"/>
      <c r="K1910" s="22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2169</v>
      </c>
      <c r="H1911" s="20" t="str">
        <f>+T1911</f>
        <v/>
      </c>
      <c r="J1911" s="30"/>
      <c r="K1911" s="22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2170</v>
      </c>
      <c r="H1912" s="20" t="str">
        <f>+T1912</f>
        <v/>
      </c>
      <c r="J1912" s="30"/>
      <c r="K1912" s="22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2171</v>
      </c>
      <c r="H1913" s="20" t="str">
        <f>+T1913</f>
        <v/>
      </c>
      <c r="J1913" s="30"/>
      <c r="K1913" s="22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2172</v>
      </c>
      <c r="H1914" s="20" t="str">
        <f>+T1914</f>
        <v/>
      </c>
      <c r="J1914" s="30"/>
      <c r="K1914" s="22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2173</v>
      </c>
      <c r="H1915" s="20" t="str">
        <f>+T1915</f>
        <v/>
      </c>
      <c r="J1915" s="30"/>
      <c r="K1915" s="22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2174</v>
      </c>
      <c r="H1916" s="20" t="str">
        <f>+T1916</f>
        <v/>
      </c>
      <c r="J1916" s="30"/>
      <c r="K1916" s="22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2175</v>
      </c>
      <c r="H1917" s="20" t="str">
        <f>+T1917</f>
        <v/>
      </c>
      <c r="J1917" s="30"/>
      <c r="K1917" s="22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2176</v>
      </c>
      <c r="H1918" s="20" t="str">
        <f>+T1918</f>
        <v/>
      </c>
      <c r="J1918" s="30"/>
      <c r="K1918" s="22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2177</v>
      </c>
      <c r="H1919" s="20" t="str">
        <f>+T1919</f>
        <v/>
      </c>
      <c r="J1919" s="30"/>
      <c r="K1919" s="22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2178</v>
      </c>
      <c r="H1920" s="20" t="str">
        <f>+T1920</f>
        <v/>
      </c>
      <c r="J1920" s="30"/>
      <c r="K1920" s="22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2179</v>
      </c>
      <c r="H1921" s="20" t="str">
        <f>+T1921</f>
        <v/>
      </c>
      <c r="J1921" s="30"/>
      <c r="K1921" s="22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2180</v>
      </c>
      <c r="H1922" s="20" t="str">
        <f>+T1922</f>
        <v/>
      </c>
      <c r="J1922" s="30"/>
      <c r="K1922" s="22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2181</v>
      </c>
      <c r="H1923" s="20" t="str">
        <f>+T1923</f>
        <v/>
      </c>
      <c r="J1923" s="30"/>
      <c r="K1923" s="22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2182</v>
      </c>
      <c r="H1924" s="20" t="str">
        <f>+T1924</f>
        <v/>
      </c>
      <c r="J1924" s="30"/>
      <c r="K1924" s="22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2183</v>
      </c>
      <c r="H1925" s="20" t="str">
        <f>+T1925</f>
        <v/>
      </c>
      <c r="J1925" s="30"/>
      <c r="K1925" s="22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2184</v>
      </c>
      <c r="H1926" s="20" t="str">
        <f>+T1926</f>
        <v/>
      </c>
      <c r="J1926" s="30"/>
      <c r="K1926" s="22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2185</v>
      </c>
      <c r="H1927" s="20" t="str">
        <f>+T1927</f>
        <v/>
      </c>
      <c r="J1927" s="30"/>
      <c r="K1927" s="22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2186</v>
      </c>
      <c r="H1928" s="20" t="str">
        <f>+T1928</f>
        <v/>
      </c>
      <c r="J1928" s="30"/>
      <c r="K1928" s="22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2187</v>
      </c>
      <c r="H1929" s="20" t="str">
        <f>+T1929</f>
        <v/>
      </c>
      <c r="J1929" s="30"/>
      <c r="K1929" s="22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2188</v>
      </c>
      <c r="H1930" s="20" t="str">
        <f>+T1930</f>
        <v/>
      </c>
      <c r="J1930" s="30"/>
      <c r="K1930" s="22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2189</v>
      </c>
      <c r="H1931" s="20" t="str">
        <f>+T1931</f>
        <v/>
      </c>
      <c r="J1931" s="30"/>
      <c r="K1931" s="22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2190</v>
      </c>
      <c r="H1932" s="20" t="str">
        <f>+T1932</f>
        <v/>
      </c>
      <c r="J1932" s="30"/>
      <c r="K1932" s="22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2191</v>
      </c>
      <c r="H1933" s="20" t="str">
        <f>+T1933</f>
        <v/>
      </c>
      <c r="J1933" s="30"/>
      <c r="K1933" s="22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2192</v>
      </c>
      <c r="H1934" s="20" t="str">
        <f>+T1934</f>
        <v/>
      </c>
      <c r="J1934" s="30"/>
      <c r="K1934" s="22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2193</v>
      </c>
      <c r="H1935" s="20" t="str">
        <f>+T1935</f>
        <v/>
      </c>
      <c r="J1935" s="30"/>
      <c r="K1935" s="22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2194</v>
      </c>
      <c r="H1936" s="20" t="str">
        <f>+T1936</f>
        <v/>
      </c>
      <c r="J1936" s="30"/>
      <c r="K1936" s="22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2195</v>
      </c>
      <c r="H1937" s="20" t="str">
        <f>+T1937</f>
        <v/>
      </c>
      <c r="J1937" s="30"/>
      <c r="K1937" s="22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2196</v>
      </c>
      <c r="H1938" s="20" t="str">
        <f>+T1938</f>
        <v/>
      </c>
      <c r="J1938" s="30"/>
      <c r="K1938" s="22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2197</v>
      </c>
      <c r="H1939" s="20" t="str">
        <f>+T1939</f>
        <v/>
      </c>
      <c r="J1939" s="30"/>
      <c r="K1939" s="22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2198</v>
      </c>
      <c r="H1940" s="20" t="str">
        <f>+T1940</f>
        <v/>
      </c>
      <c r="J1940" s="30"/>
      <c r="K1940" s="22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2199</v>
      </c>
      <c r="H1941" s="20" t="str">
        <f>+T1941</f>
        <v/>
      </c>
      <c r="J1941" s="30"/>
      <c r="K1941" s="22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2200</v>
      </c>
      <c r="H1942" s="20" t="str">
        <f>+T1942</f>
        <v/>
      </c>
      <c r="J1942" s="30"/>
      <c r="K1942" s="22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2201</v>
      </c>
      <c r="H1943" s="20" t="str">
        <f>+T1943</f>
        <v/>
      </c>
      <c r="J1943" s="30"/>
      <c r="K1943" s="22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2202</v>
      </c>
      <c r="H1944" s="20" t="str">
        <f>+T1944</f>
        <v/>
      </c>
      <c r="J1944" s="30"/>
      <c r="K1944" s="22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2203</v>
      </c>
      <c r="H1945" s="20" t="str">
        <f>+T1945</f>
        <v/>
      </c>
      <c r="J1945" s="30"/>
      <c r="K1945" s="22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2204</v>
      </c>
      <c r="H1946" s="20" t="str">
        <f>+T1946</f>
        <v/>
      </c>
      <c r="J1946" s="30"/>
      <c r="K1946" s="22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2205</v>
      </c>
      <c r="H1947" s="20" t="str">
        <f>+T1947</f>
        <v/>
      </c>
      <c r="J1947" s="30"/>
      <c r="K1947" s="22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2206</v>
      </c>
      <c r="H1948" s="20" t="str">
        <f>+T1948</f>
        <v/>
      </c>
      <c r="J1948" s="30"/>
      <c r="K1948" s="22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2207</v>
      </c>
      <c r="H1949" s="20" t="str">
        <f>+T1949</f>
        <v/>
      </c>
      <c r="J1949" s="30"/>
      <c r="K1949" s="22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2208</v>
      </c>
      <c r="H1950" s="20" t="str">
        <f>+T1950</f>
        <v/>
      </c>
      <c r="J1950" s="30"/>
      <c r="K1950" s="22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2209</v>
      </c>
      <c r="H1951" s="20" t="str">
        <f>+T1951</f>
        <v/>
      </c>
      <c r="J1951" s="30"/>
      <c r="K1951" s="22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2210</v>
      </c>
      <c r="H1952" s="20" t="str">
        <f>+T1952</f>
        <v/>
      </c>
      <c r="J1952" s="30"/>
      <c r="K1952" s="22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2211</v>
      </c>
      <c r="H1953" s="20" t="str">
        <f>+T1953</f>
        <v/>
      </c>
      <c r="J1953" s="30"/>
      <c r="K1953" s="22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2212</v>
      </c>
      <c r="H1954" s="20" t="str">
        <f>+T1954</f>
        <v/>
      </c>
      <c r="J1954" s="30"/>
      <c r="K1954" s="22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2213</v>
      </c>
      <c r="H1955" s="20" t="str">
        <f>+T1955</f>
        <v/>
      </c>
      <c r="J1955" s="30"/>
      <c r="K1955" s="22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2214</v>
      </c>
      <c r="H1956" s="20" t="str">
        <f>+T1956</f>
        <v/>
      </c>
      <c r="J1956" s="30"/>
      <c r="K1956" s="22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2215</v>
      </c>
      <c r="H1957" s="20" t="str">
        <f>+T1957</f>
        <v/>
      </c>
      <c r="J1957" s="30"/>
      <c r="K1957" s="22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2216</v>
      </c>
      <c r="H1958" s="20" t="str">
        <f>+T1958</f>
        <v/>
      </c>
      <c r="J1958" s="30"/>
      <c r="K1958" s="22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2217</v>
      </c>
      <c r="H1959" s="20" t="str">
        <f>+T1959</f>
        <v/>
      </c>
      <c r="J1959" s="30"/>
      <c r="K1959" s="22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2218</v>
      </c>
      <c r="H1960" s="20" t="str">
        <f>+T1960</f>
        <v/>
      </c>
      <c r="J1960" s="30"/>
      <c r="K1960" s="22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2219</v>
      </c>
      <c r="H1961" s="20" t="str">
        <f>+T1961</f>
        <v/>
      </c>
      <c r="J1961" s="30"/>
      <c r="K1961" s="22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2220</v>
      </c>
      <c r="H1962" s="20" t="str">
        <f>+T1962</f>
        <v/>
      </c>
      <c r="J1962" s="30"/>
      <c r="K1962" s="22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2221</v>
      </c>
      <c r="H1963" s="20" t="str">
        <f>+T1963</f>
        <v/>
      </c>
      <c r="J1963" s="30"/>
      <c r="K1963" s="22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2222</v>
      </c>
      <c r="H1964" s="20" t="str">
        <f>+T1964</f>
        <v/>
      </c>
      <c r="J1964" s="30"/>
      <c r="K1964" s="22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2223</v>
      </c>
      <c r="H1965" s="20" t="str">
        <f>+T1965</f>
        <v/>
      </c>
      <c r="J1965" s="30"/>
      <c r="K1965" s="22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2224</v>
      </c>
      <c r="H1966" s="20" t="str">
        <f>+T1966</f>
        <v/>
      </c>
      <c r="J1966" s="30"/>
      <c r="K1966" s="22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2225</v>
      </c>
      <c r="H1967" s="20" t="str">
        <f>+T1967</f>
        <v/>
      </c>
      <c r="J1967" s="30"/>
      <c r="K1967" s="22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2226</v>
      </c>
      <c r="H1968" s="20" t="str">
        <f>+T1968</f>
        <v/>
      </c>
      <c r="J1968" s="30"/>
      <c r="K1968" s="22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2227</v>
      </c>
      <c r="H1969" s="20" t="str">
        <f>+T1969</f>
        <v/>
      </c>
      <c r="J1969" s="30"/>
      <c r="K1969" s="22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2228</v>
      </c>
      <c r="H1970" s="20" t="str">
        <f>+T1970</f>
        <v/>
      </c>
      <c r="J1970" s="30"/>
      <c r="K1970" s="22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2229</v>
      </c>
      <c r="H1971" s="20" t="str">
        <f>+T1971</f>
        <v/>
      </c>
      <c r="J1971" s="30"/>
      <c r="K1971" s="22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2230</v>
      </c>
      <c r="H1972" s="20" t="str">
        <f>+T1972</f>
        <v/>
      </c>
      <c r="J1972" s="30"/>
      <c r="K1972" s="22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2231</v>
      </c>
      <c r="H1973" s="20" t="str">
        <f>+T1973</f>
        <v/>
      </c>
      <c r="J1973" s="30"/>
      <c r="K1973" s="22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2232</v>
      </c>
      <c r="H1974" s="20" t="str">
        <f>+T1974</f>
        <v/>
      </c>
      <c r="J1974" s="30"/>
      <c r="K1974" s="22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2233</v>
      </c>
      <c r="H1975" s="20" t="str">
        <f>+T1975</f>
        <v/>
      </c>
      <c r="J1975" s="30"/>
      <c r="K1975" s="22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2234</v>
      </c>
      <c r="H1976" s="20" t="str">
        <f>+T1976</f>
        <v/>
      </c>
      <c r="J1976" s="30"/>
      <c r="K1976" s="22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2235</v>
      </c>
      <c r="H1977" s="20" t="str">
        <f>+T1977</f>
        <v/>
      </c>
      <c r="J1977" s="30"/>
      <c r="K1977" s="22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2236</v>
      </c>
      <c r="H1978" s="20" t="str">
        <f>+T1978</f>
        <v/>
      </c>
      <c r="J1978" s="30"/>
      <c r="K1978" s="22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2237</v>
      </c>
      <c r="H1979" s="20" t="str">
        <f>+T1979</f>
        <v/>
      </c>
      <c r="J1979" s="30"/>
      <c r="K1979" s="22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2238</v>
      </c>
      <c r="H1980" s="20" t="str">
        <f>+T1980</f>
        <v/>
      </c>
      <c r="J1980" s="30"/>
      <c r="K1980" s="22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2239</v>
      </c>
      <c r="H1981" s="20" t="str">
        <f>+T1981</f>
        <v/>
      </c>
      <c r="J1981" s="30"/>
      <c r="K1981" s="22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2240</v>
      </c>
      <c r="H1982" s="20" t="str">
        <f>+T1982</f>
        <v/>
      </c>
      <c r="J1982" s="30"/>
      <c r="K1982" s="22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2241</v>
      </c>
      <c r="H1983" s="20" t="str">
        <f>+T1983</f>
        <v/>
      </c>
      <c r="J1983" s="30"/>
      <c r="K1983" s="22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2242</v>
      </c>
      <c r="H1984" s="20" t="str">
        <f>+T1984</f>
        <v/>
      </c>
      <c r="J1984" s="30"/>
      <c r="K1984" s="22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2243</v>
      </c>
      <c r="H1985" s="20" t="str">
        <f>+T1985</f>
        <v/>
      </c>
      <c r="J1985" s="30"/>
      <c r="K1985" s="22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2244</v>
      </c>
      <c r="H1986" s="20" t="str">
        <f>+T1986</f>
        <v/>
      </c>
      <c r="J1986" s="30"/>
      <c r="K1986" s="22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2245</v>
      </c>
      <c r="H1987" s="20" t="str">
        <f>+T1987</f>
        <v/>
      </c>
      <c r="J1987" s="30"/>
      <c r="K1987" s="22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2246</v>
      </c>
      <c r="H1988" s="20" t="str">
        <f>+T1988</f>
        <v/>
      </c>
      <c r="J1988" s="30"/>
      <c r="K1988" s="22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2247</v>
      </c>
      <c r="H1989" s="20" t="str">
        <f>+T1989</f>
        <v/>
      </c>
      <c r="J1989" s="30"/>
      <c r="K1989" s="22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2248</v>
      </c>
      <c r="H1990" s="20" t="str">
        <f>+T1990</f>
        <v/>
      </c>
      <c r="J1990" s="30"/>
      <c r="K1990" s="22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2249</v>
      </c>
      <c r="H1991" s="20" t="str">
        <f>+T1991</f>
        <v/>
      </c>
      <c r="J1991" s="30"/>
      <c r="K1991" s="22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2250</v>
      </c>
      <c r="H1992" s="20" t="str">
        <f>+T1992</f>
        <v/>
      </c>
      <c r="J1992" s="30"/>
      <c r="K1992" s="22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2251</v>
      </c>
      <c r="H1993" s="20" t="str">
        <f>+T1993</f>
        <v/>
      </c>
      <c r="J1993" s="30"/>
      <c r="K1993" s="22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2252</v>
      </c>
      <c r="H1994" s="20" t="str">
        <f>+T1994</f>
        <v/>
      </c>
      <c r="J1994" s="30"/>
      <c r="K1994" s="22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2253</v>
      </c>
      <c r="H1995" s="42" t="str">
        <f>+T1995</f>
        <v/>
      </c>
      <c r="J1995" s="30"/>
      <c r="K1995" s="22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2254</v>
      </c>
      <c r="H1996" s="42" t="str">
        <f>+T1996</f>
        <v/>
      </c>
      <c r="J1996" s="30"/>
      <c r="K1996" s="22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2255</v>
      </c>
      <c r="H1997" s="42" t="str">
        <f>+T1997</f>
        <v/>
      </c>
      <c r="J1997" s="30"/>
      <c r="K1997" s="22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2256</v>
      </c>
      <c r="H1998" s="42" t="str">
        <f>+T1998</f>
        <v/>
      </c>
      <c r="J1998" s="30"/>
      <c r="K1998" s="22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2257</v>
      </c>
      <c r="H1999" s="42" t="str">
        <f>+T1999</f>
        <v/>
      </c>
      <c r="J1999" s="30"/>
      <c r="K1999" s="22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2258</v>
      </c>
      <c r="H2000" s="42" t="str">
        <f>+T2000</f>
        <v/>
      </c>
      <c r="J2000" s="30"/>
      <c r="K2000" s="22" t="str">
        <f>IF(I2000="","",IF(I2000="ENTRADA",ABS(J2000),-ABS(J2000)))</f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>
      <c r="K2001" s="22" t="str">
        <f>IF(I2001="","",IF(I2001="ENTRADA",ABS(J2001),-ABS(J2001)))</f>
        <v/>
      </c>
      <c r="R2001" s="34"/>
      <c r="S2001" s="34"/>
      <c r="T2001" t="str">
        <f>IF(C2001="","",UPPER(LEFT(SUBSTITUTE(C2001," ",""),3))&amp;"-"&amp;TEXT(B2001,"AAMMDD")&amp;"-1")</f>
        <v/>
      </c>
    </row>
    <row r="2002" spans="11:20">
      <c r="K2002" s="22" t="str">
        <f>IF(I2002="","",IF(I2002="ENTRADA",ABS(J2002),-ABS(J2002)))</f>
        <v/>
      </c>
      <c r="R2002" s="34"/>
      <c r="S2002" s="34"/>
      <c r="T2002" t="str">
        <f>IF(C2002="","",UPPER(LEFT(SUBSTITUTE(C2002," ",""),3))&amp;"-"&amp;TEXT(B2002,"AAMMDD")&amp;"-1")</f>
        <v/>
      </c>
    </row>
    <row r="2003" spans="11:20">
      <c r="K2003" s="22" t="str">
        <f>IF(I2003="","",IF(I2003="ENTRADA",ABS(J2003),-ABS(J2003)))</f>
        <v/>
      </c>
      <c r="R2003" s="34"/>
      <c r="S2003" s="34"/>
      <c r="T2003" t="str">
        <f>IF(C2003="","",UPPER(LEFT(SUBSTITUTE(C2003," ",""),3))&amp;"-"&amp;TEXT(B2003,"AAMMDD")&amp;"-1")</f>
        <v/>
      </c>
    </row>
    <row r="2004" spans="11:20">
      <c r="K2004" s="22" t="str">
        <f>IF(I2004="","",IF(I2004="ENTRADA",ABS(J2004),-ABS(J2004)))</f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>IF(I2005="","",IF(I2005="ENTRADA",ABS(J2005),-ABS(J2005)))</f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>IF(I2006="","",IF(I2006="ENTRADA",ABS(J2006),-ABS(J2006)))</f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>IF(I2007="","",IF(I2007="ENTRADA",ABS(J2007),-ABS(J2007)))</f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>IF(I2008="","",IF(I2008="ENTRADA",ABS(J2008),-ABS(J2008)))</f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>IF(I2009="","",IF(I2009="ENTRADA",ABS(J2009),-ABS(J2009)))</f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>IF(I2010="","",IF(I2010="ENTRADA",ABS(J2010),-ABS(J2010)))</f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>IF(I2011="","",IF(I2011="ENTRADA",ABS(J2011),-ABS(J2011)))</f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>IF(I2012="","",IF(I2012="ENTRADA",ABS(J2012),-ABS(J2012)))</f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>IF(I2013="","",IF(I2013="ENTRADA",ABS(J2013),-ABS(J2013)))</f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>IF(I2014="","",IF(I2014="ENTRADA",ABS(J2014),-ABS(J2014)))</f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>IF(I2015="","",IF(I2015="ENTRADA",ABS(J2015),-ABS(J2015)))</f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>IF(I2016="","",IF(I2016="ENTRADA",ABS(J2016),-ABS(J2016)))</f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>IF(I2017="","",IF(I2017="ENTRADA",ABS(J2017),-ABS(J2017)))</f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>IF(I2018="","",IF(I2018="ENTRADA",ABS(J2018),-ABS(J2018)))</f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>IF(I2019="","",IF(I2019="ENTRADA",ABS(J2019),-ABS(J2019)))</f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>IF(I2020="","",IF(I2020="ENTRADA",ABS(J2020),-ABS(J2020)))</f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Q5790" s="34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34"/>
      <c r="S6002" s="34"/>
      <c r="T6002" t="str">
        <f>IF(C6002="","",UPPER(LEFT(SUBSTITUTE(C6002," ",""),3))&amp;"-"&amp;TEXT(B6002,"AAMMDD")&amp;"-1")</f>
        <v/>
      </c>
    </row>
    <row r="6003" spans="18:20">
      <c r="R6003" s="34"/>
      <c r="S6003" s="34"/>
      <c r="T6003" t="str">
        <f>IF(C6003="","",UPPER(LEFT(SUBSTITUTE(C6003," ",""),3))&amp;"-"&amp;TEXT(B6003,"AAMMDD")&amp;"-1")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34"/>
      <c r="S6184" s="34"/>
      <c r="T6184" t="str">
        <f>IF(C6184="","",UPPER(LEFT(SUBSTITUTE(C6184," ",""),3))&amp;"-"&amp;TEXT(B6184,"AAMMDD")&amp;"-1")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9" t="str">
        <f>IF(H6699="","",H6699&amp;I6699)</f>
        <v/>
      </c>
      <c r="S6699" s="39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9" t="str">
        <f>IF(H6700="","",H6700&amp;I6700)</f>
        <v/>
      </c>
      <c r="S6700" s="39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B11996" s="48"/>
      <c r="T11996" t="str">
        <f>IF(C11996="","",UPPER(LEFT(SUBSTITUTE(C11996," ",""),3))&amp;"-"&amp;TEXT(B11996,"AAMMDD")&amp;"-1")</f>
        <v/>
      </c>
    </row>
    <row r="11997" spans="2:20">
      <c r="B11997" s="48"/>
      <c r="T11997" t="str">
        <f>IF(C11997="","",UPPER(LEFT(SUBSTITUTE(C11997," ",""),3))&amp;"-"&amp;TEXT(B11997,"AAMMDD")&amp;"-1")</f>
        <v/>
      </c>
    </row>
    <row r="11998" spans="2:20">
      <c r="B11998" s="48"/>
      <c r="T11998" t="str">
        <f>IF(C11998="","",UPPER(LEFT(SUBSTITUTE(C11998," ",""),3))&amp;"-"&amp;TEXT(B11998,"AAMMDD")&amp;"-1")</f>
        <v/>
      </c>
    </row>
  </sheetData>
  <phoneticPr fontId="9" type="noConversion"/>
  <conditionalFormatting sqref="A2:Q2 A3:P11 N11996:N11997 L499:Q1995 K219:K2020 A12:A2000 B12:P218 B11996:B11998 L219:P498 B219:J1995 Q3:Q498">
    <cfRule type="expression" dxfId="12" priority="3">
      <formula>$I2="ENTRADA"</formula>
    </cfRule>
    <cfRule type="expression" dxfId="11" priority="4">
      <formula>$I2="SALIDA"</formula>
    </cfRule>
  </conditionalFormatting>
  <conditionalFormatting sqref="Q5790">
    <cfRule type="expression" dxfId="10" priority="1">
      <formula>$I5790="ENTRADA"</formula>
    </cfRule>
    <cfRule type="expression" dxfId="9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C2:C295 C297:C1995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47" activePane="bottomLeft" state="frozen"/>
      <selection pane="bottomLeft" activeCell="B54" sqref="B54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2259</v>
      </c>
      <c r="B1" s="23" t="s">
        <v>2260</v>
      </c>
      <c r="C1" s="23" t="s">
        <v>2261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2262</v>
      </c>
      <c r="I1" s="18" t="s">
        <v>2263</v>
      </c>
      <c r="J1" s="18" t="s">
        <v>2264</v>
      </c>
      <c r="K1" s="18" t="s">
        <v>2265</v>
      </c>
    </row>
    <row r="2" spans="1:11">
      <c r="A2" s="16" t="s">
        <v>196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478</v>
      </c>
      <c r="J3" s="5">
        <f>IF(A3="","",SUMIFS(Movimientos!$K:$K,Movimientos!$H:$H,A3))</f>
        <v>10</v>
      </c>
      <c r="K3" s="13" t="str">
        <f t="shared" ca="1" si="1"/>
        <v>OK</v>
      </c>
    </row>
    <row r="4" spans="1:11">
      <c r="A4" s="16" t="s">
        <v>469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268</v>
      </c>
      <c r="J4" s="5">
        <f>IF(A4="","",SUMIFS(Movimientos!$K:$K,Movimientos!$H:$H,A4))</f>
        <v>210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296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2266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529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279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285</v>
      </c>
      <c r="J7" s="5">
        <f>IF(A7="","",SUMIFS(Movimientos!$K:$K,Movimientos!$H:$H,A7))</f>
        <v>70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211</v>
      </c>
      <c r="J8" s="5">
        <f>IF(A8="","",SUMIFS(Movimientos!$K:$K,Movimientos!$H:$H,A8))</f>
        <v>0</v>
      </c>
      <c r="K8" s="13" t="str">
        <f t="shared" ca="1" si="1"/>
        <v>SIN STOCK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505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152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493</v>
      </c>
      <c r="J11" s="5">
        <f>IF(A11="","",SUMIFS(Movimientos!$K:$K,Movimientos!$H:$H,A11))</f>
        <v>10920</v>
      </c>
      <c r="K11" s="13" t="str">
        <f t="shared" ca="1" si="1"/>
        <v>OK</v>
      </c>
    </row>
    <row r="12" spans="1:11">
      <c r="A12" s="16" t="s">
        <v>149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277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165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276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213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460</v>
      </c>
      <c r="J17" s="5">
        <f>IF(A17="","",SUMIFS(Movimientos!$K:$K,Movimientos!$H:$H,A17))</f>
        <v>38780</v>
      </c>
      <c r="K17" s="13" t="str">
        <f t="shared" ca="1" si="1"/>
        <v>OK</v>
      </c>
    </row>
    <row r="18" spans="1:11">
      <c r="A18" s="16" t="s">
        <v>201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521</v>
      </c>
      <c r="J18" s="5">
        <f>IF(A18="","",SUMIFS(Movimientos!$K:$K,Movimientos!$H:$H,A18))</f>
        <v>12610</v>
      </c>
      <c r="K18" s="13" t="str">
        <f t="shared" ca="1" si="1"/>
        <v>OK</v>
      </c>
    </row>
    <row r="19" spans="1:11">
      <c r="A19" s="16" t="s">
        <v>207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429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219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581</v>
      </c>
      <c r="J20" s="5">
        <f>IF(A20="","",SUMIFS(Movimientos!$K:$K,Movimientos!$H:$H,A20))</f>
        <v>2770</v>
      </c>
      <c r="K20" s="13" t="str">
        <f t="shared" ca="1" si="1"/>
        <v>OK</v>
      </c>
    </row>
    <row r="21" spans="1:11">
      <c r="A21" s="16" t="s">
        <v>209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429</v>
      </c>
      <c r="J21" s="5">
        <f>IF(A21="","",SUMIFS(Movimientos!$K:$K,Movimientos!$H:$H,A21))</f>
        <v>858</v>
      </c>
      <c r="K21" s="13" t="str">
        <f t="shared" ca="1" si="1"/>
        <v>OK</v>
      </c>
    </row>
    <row r="22" spans="1:11">
      <c r="A22" s="16" t="s">
        <v>467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156</v>
      </c>
      <c r="J22" s="5">
        <f>IF(A22="","",SUMIFS(Movimientos!$K:$K,Movimientos!$H:$H,A22))</f>
        <v>180</v>
      </c>
      <c r="K22" s="13" t="str">
        <f t="shared" ca="1" si="1"/>
        <v>PRÓXIMO A VENCER</v>
      </c>
    </row>
    <row r="23" spans="1:11">
      <c r="A23" s="16" t="s">
        <v>560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187</v>
      </c>
      <c r="J23" s="5">
        <f>IF(A23="","",SUMIFS(Movimientos!$K:$K,Movimientos!$H:$H,A23))</f>
        <v>180</v>
      </c>
      <c r="K23" s="13" t="str">
        <f t="shared" ca="1" si="1"/>
        <v>OK</v>
      </c>
    </row>
    <row r="24" spans="1:11">
      <c r="A24" s="16" t="s">
        <v>293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20</v>
      </c>
      <c r="K24" s="13" t="str">
        <f t="shared" ca="1" si="1"/>
        <v>OK</v>
      </c>
    </row>
    <row r="25" spans="1:11">
      <c r="A25" s="16" t="s">
        <v>237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315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345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313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365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306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349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317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319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323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325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327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143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>
        <f>IFERROR(INDEX(Movimientos!$F$2:$F$1995,MATCH(A37&amp;"ENTRADA",Movimientos!$R$2:$R$1995,0)),"-")</f>
        <v>0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461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-58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2267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1342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373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569</v>
      </c>
      <c r="J40" s="5">
        <f>IF(A40="","",SUMIFS(Movimientos!$K:$K,Movimientos!$H:$H,A40))</f>
        <v>2250</v>
      </c>
      <c r="K40" s="13" t="str">
        <f t="shared" ca="1" si="1"/>
        <v>OK</v>
      </c>
    </row>
    <row r="41" spans="1:11">
      <c r="A41" s="16" t="s">
        <v>347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311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321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>
        <f>IFERROR(INDEX(Movimientos!$F$2:$F$1995,MATCH(A43&amp;"ENTRADA",Movimientos!$R$2:$R$1995,0)),"-")</f>
        <v>0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445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>
        <f>IFERROR(INDEX(Movimientos!$F$2:$F$1995,MATCH(A44&amp;"ENTRADA",Movimientos!$R$2:$R$1995,0)),"-")</f>
        <v>0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363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407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2268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443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493</v>
      </c>
      <c r="B49" s="2" t="str">
        <f>IFERROR(INDEX(Movimientos!$C$2:$C$1995,MATCH(A49&amp;"ENTRADA",Movimientos!$R$2:$R$1995,0)),"-")</f>
        <v xml:space="preserve">Zinc Plus </v>
      </c>
      <c r="C49" s="2" t="str">
        <f>IFERROR(INDEX(Movimientos!$D$2:$D$1995,MATCH(A49&amp;"ENTRADA",Movimientos!$R$2:$R$1995,0)),"-")</f>
        <v xml:space="preserve">Keylate Zinc Plus </v>
      </c>
      <c r="D49" s="2" t="str">
        <f>IFERROR(INDEX(Movimientos!$E$2:$E$1995,MATCH(A49&amp;"ENTRADA",Movimientos!$R$2:$R$1995,0)),"-")</f>
        <v>Fertilizante</v>
      </c>
      <c r="E49" s="2">
        <f>IFERROR(INDEX(Movimientos!$F$2:$F$1995,MATCH(A49&amp;"ENTRADA",Movimientos!$R$2:$R$1995,0)),"-")</f>
        <v>0</v>
      </c>
      <c r="F49" s="2" t="str">
        <f>IFERROR(INDEX(Movimientos!$G$2:$G$1995,MATCH(A49&amp;"ENTRADA",Movimientos!$R$2:$R$1995,0)),"-")</f>
        <v>GS Agro</v>
      </c>
      <c r="G49" s="2" t="str">
        <f>IFERROR(INDEX(Movimientos!$L$2:$L$1995,MATCH(A49&amp;"ENTRADA",Movimientos!$R$2:$R$1995,0)),"-")</f>
        <v>L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19440</v>
      </c>
      <c r="K49" s="13" t="str">
        <f t="shared" ca="1" si="1"/>
        <v>OK</v>
      </c>
    </row>
    <row r="50" spans="1:11">
      <c r="A50" s="16" t="s">
        <v>495</v>
      </c>
      <c r="B50" s="2" t="str">
        <f>IFERROR(INDEX(Movimientos!$C$2:$C$1995,MATCH(A50&amp;"ENTRADA",Movimientos!$R$2:$R$1995,0)),"-")</f>
        <v>Hydra Hume</v>
      </c>
      <c r="C50" s="2" t="str">
        <f>IFERROR(INDEX(Movimientos!$D$2:$D$1995,MATCH(A50&amp;"ENTRADA",Movimientos!$R$2:$R$1995,0)),"-")</f>
        <v xml:space="preserve">Hydra hume </v>
      </c>
      <c r="D50" s="2" t="str">
        <f>IFERROR(INDEX(Movimientos!$E$2:$E$1995,MATCH(A50&amp;"ENTRADA",Movimientos!$R$2:$R$1995,0)),"-")</f>
        <v>Biológico</v>
      </c>
      <c r="E50" s="2" t="str">
        <f>IFERROR(INDEX(Movimientos!$F$2:$F$1995,MATCH(A50&amp;"ENTRADA",Movimientos!$R$2:$R$1995,0)),"-")</f>
        <v>Acidos Humicos</v>
      </c>
      <c r="F50" s="2" t="str">
        <f>IFERROR(INDEX(Movimientos!$G$2:$G$1995,MATCH(A50&amp;"ENTRADA",Movimientos!$R$2:$R$1995,0)),"-")</f>
        <v>Granicor</v>
      </c>
      <c r="G50" s="2" t="str">
        <f>IFERROR(INDEX(Movimientos!$L$2:$L$1995,MATCH(A50&amp;"ENTRADA",Movimientos!$R$2:$R$1995,0)),"-")</f>
        <v>L</v>
      </c>
      <c r="H50" s="17">
        <f>IFERROR(IF(INDEX(Movimientos!$M$2:$M$1995,MATCH(A50&amp;"ENTRADA",Movimientos!$R$2:$R$1995,0))=0,"S/D",INDEX(Movimientos!$M$2:$M$1995,MATCH(A50&amp;"ENTRADA",Movimientos!$R$2:$R$1995,0))),"S/D")</f>
        <v>46634</v>
      </c>
      <c r="I50" s="15">
        <f t="shared" ca="1" si="2"/>
        <v>402</v>
      </c>
      <c r="J50" s="5">
        <f>IF(A50="","",SUMIFS(Movimientos!$K:$K,Movimientos!$H:$H,A50))</f>
        <v>-20</v>
      </c>
      <c r="K50" s="13" t="str">
        <f t="shared" ca="1" si="1"/>
        <v>SIN STOCK</v>
      </c>
    </row>
    <row r="51" spans="1:11">
      <c r="A51" s="16" t="s">
        <v>551</v>
      </c>
      <c r="B51" s="2" t="str">
        <f>IFERROR(INDEX(Movimientos!$C$2:$C$1995,MATCH(A51&amp;"ENTRADA",Movimientos!$R$2:$R$1995,0)),"-")</f>
        <v xml:space="preserve">cripton xpro </v>
      </c>
      <c r="C51" s="2" t="str">
        <f>IFERROR(INDEX(Movimientos!$D$2:$D$1995,MATCH(A51&amp;"ENTRADA",Movimientos!$R$2:$R$1995,0)),"-")</f>
        <v>Protioconazol 175g/l trifloxistrobin 150g/l bixafen 125g/l</v>
      </c>
      <c r="D51" s="2" t="str">
        <f>IFERROR(INDEX(Movimientos!$E$2:$E$1995,MATCH(A51&amp;"ENTRADA",Movimientos!$R$2:$R$1995,0)),"-")</f>
        <v>Fungicida</v>
      </c>
      <c r="E51" s="2">
        <f>IFERROR(INDEX(Movimientos!$F$2:$F$1995,MATCH(A51&amp;"ENTRADA",Movimientos!$R$2:$R$1995,0)),"-")</f>
        <v>0</v>
      </c>
      <c r="F51" s="2" t="str">
        <f>IFERROR(INDEX(Movimientos!$G$2:$G$1995,MATCH(A51&amp;"ENTRADA",Movimientos!$R$2:$R$1995,0)),"-")</f>
        <v>Agromil</v>
      </c>
      <c r="G51" s="2" t="str">
        <f>IFERROR(INDEX(Movimientos!$L$2:$L$1995,MATCH(A51&amp;"ENTRADA",Movimientos!$R$2:$R$1995,0)),"-")</f>
        <v>L</v>
      </c>
      <c r="H51" s="17">
        <f>IFERROR(IF(INDEX(Movimientos!$M$2:$M$1995,MATCH(A51&amp;"ENTRADA",Movimientos!$R$2:$R$1995,0))=0,"S/D",INDEX(Movimientos!$M$2:$M$1995,MATCH(A51&amp;"ENTRADA",Movimientos!$R$2:$R$1995,0))),"S/D")</f>
        <v>46476</v>
      </c>
      <c r="I51" s="15">
        <f t="shared" ca="1" si="2"/>
        <v>244</v>
      </c>
      <c r="J51" s="5">
        <f>IF(A51="","",SUMIFS(Movimientos!$K:$K,Movimientos!$H:$H,A51))</f>
        <v>1930</v>
      </c>
      <c r="K51" s="13" t="str">
        <f t="shared" ca="1" si="1"/>
        <v>OK</v>
      </c>
    </row>
    <row r="52" spans="1:11">
      <c r="A52" s="16" t="s">
        <v>549</v>
      </c>
      <c r="B52" s="2" t="str">
        <f>IFERROR(INDEX(Movimientos!$C$2:$C$1995,MATCH(A52&amp;"ENTRADA",Movimientos!$R$2:$R$1995,0)),"-")</f>
        <v>vitagrow</v>
      </c>
      <c r="C52" s="2" t="str">
        <f>IFERROR(INDEX(Movimientos!$D$2:$D$1995,MATCH(A52&amp;"ENTRADA",Movimientos!$R$2:$R$1995,0)),"-")</f>
        <v xml:space="preserve">fertilizante foliar </v>
      </c>
      <c r="D52" s="2" t="str">
        <f>IFERROR(INDEX(Movimientos!$E$2:$E$1995,MATCH(A52&amp;"ENTRADA",Movimientos!$R$2:$R$1995,0)),"-")</f>
        <v>Fertilizante</v>
      </c>
      <c r="E52" s="2">
        <f>IFERROR(INDEX(Movimientos!$F$2:$F$1995,MATCH(A52&amp;"ENTRADA",Movimientos!$R$2:$R$1995,0)),"-")</f>
        <v>0</v>
      </c>
      <c r="F52" s="2" t="str">
        <f>IFERROR(INDEX(Movimientos!$G$2:$G$1995,MATCH(A52&amp;"ENTRADA",Movimientos!$R$2:$R$1995,0)),"-")</f>
        <v>Agromil</v>
      </c>
      <c r="G52" s="2" t="str">
        <f>IFERROR(INDEX(Movimientos!$L$2:$L$1995,MATCH(A52&amp;"ENTRADA",Movimientos!$R$2:$R$1995,0)),"-")</f>
        <v>kg</v>
      </c>
      <c r="H52" s="17">
        <f>IFERROR(IF(INDEX(Movimientos!$M$2:$M$1995,MATCH(A52&amp;"ENTRADA",Movimientos!$R$2:$R$1995,0))=0,"S/D",INDEX(Movimientos!$M$2:$M$1995,MATCH(A52&amp;"ENTRADA",Movimientos!$R$2:$R$1995,0))),"S/D")</f>
        <v>47098</v>
      </c>
      <c r="I52" s="15">
        <f t="shared" ca="1" si="2"/>
        <v>866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2269</v>
      </c>
      <c r="B53" s="2" t="str">
        <f>IFERROR(INDEX(Movimientos!$C$2:$C$1995,MATCH(A53&amp;"ENTRADA",Movimientos!$R$2:$R$1995,0)),"-")</f>
        <v xml:space="preserve">semilla comprada cebada </v>
      </c>
      <c r="C53" s="2" t="str">
        <f>IFERROR(INDEX(Movimientos!$D$2:$D$1995,MATCH(A53&amp;"ENTRADA",Movimientos!$R$2:$R$1995,0)),"-")</f>
        <v>cebada osiris</v>
      </c>
      <c r="D53" s="2" t="str">
        <f>IFERROR(INDEX(Movimientos!$E$2:$E$1995,MATCH(A53&amp;"ENTRADA",Movimientos!$R$2:$R$1995,0)),"-")</f>
        <v>Semilla</v>
      </c>
      <c r="E53" s="2">
        <f>IFERROR(INDEX(Movimientos!$F$2:$F$1995,MATCH(A53&amp;"ENTRADA",Movimientos!$R$2:$R$1995,0)),"-")</f>
        <v>0</v>
      </c>
      <c r="F53" s="2">
        <f>IFERROR(INDEX(Movimientos!$G$2:$G$1995,MATCH(A53&amp;"ENTRADA",Movimientos!$R$2:$R$1995,0)),"-")</f>
        <v>0</v>
      </c>
      <c r="G53" s="2" t="str">
        <f>IFERROR(INDEX(Movimientos!$L$2:$L$1995,MATCH(A53&amp;"ENTRADA",Movimientos!$R$2:$R$1995,0)),"-")</f>
        <v>kg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557</v>
      </c>
      <c r="B54" s="2" t="str">
        <f>IFERROR(INDEX(Movimientos!$C$2:$C$1995,MATCH(A54&amp;"ENTRADA",Movimientos!$R$2:$R$1995,0)),"-")</f>
        <v>Paradigm</v>
      </c>
      <c r="C54" s="2" t="str">
        <f>IFERROR(INDEX(Movimientos!$D$2:$D$1995,MATCH(A54&amp;"ENTRADA",Movimientos!$R$2:$R$1995,0)),"-")</f>
        <v>Florasulam 20,0% Halauxyfen metil 20,85% Equivalente ácido Halauxyfen metil 20,0%</v>
      </c>
      <c r="D54" s="2" t="str">
        <f>IFERROR(INDEX(Movimientos!$E$2:$E$1995,MATCH(A54&amp;"ENTRADA",Movimientos!$R$2:$R$1995,0)),"-")</f>
        <v>Herbicida</v>
      </c>
      <c r="E54" s="2" t="str">
        <f>IFERROR(INDEX(Movimientos!$F$2:$F$1995,MATCH(A54&amp;"ENTRADA",Movimientos!$R$2:$R$1995,0)),"-")</f>
        <v>Postemergente</v>
      </c>
      <c r="F54" s="2" t="str">
        <f>IFERROR(INDEX(Movimientos!$G$2:$G$1995,MATCH(A54&amp;"ENTRADA",Movimientos!$R$2:$R$1995,0)),"-")</f>
        <v>GS Agro</v>
      </c>
      <c r="G54" s="2" t="str">
        <f>IFERROR(INDEX(Movimientos!$L$2:$L$1995,MATCH(A54&amp;"ENTRADA",Movimientos!$R$2:$R$1995,0)),"-")</f>
        <v>kg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584</v>
      </c>
      <c r="B55" s="2" t="str">
        <f>IFERROR(INDEX(Movimientos!$C$2:$C$1995,MATCH(A55&amp;"ENTRADA",Movimientos!$R$2:$R$1995,0)),"-")</f>
        <v>Unico Max</v>
      </c>
      <c r="C55" s="2" t="str">
        <f>IFERROR(INDEX(Movimientos!$D$2:$D$1995,MATCH(A55&amp;"ENTRADA",Movimientos!$R$2:$R$1995,0)),"-")</f>
        <v>(Protioconazol 175 g/L + Piraclostrobin 142 g/L + Bixafen 125 g/L – SC)</v>
      </c>
      <c r="D55" s="2" t="str">
        <f>IFERROR(INDEX(Movimientos!$E$2:$E$1995,MATCH(A55&amp;"ENTRADA",Movimientos!$R$2:$R$1995,0)),"-")</f>
        <v>Fungicida</v>
      </c>
      <c r="E55" s="2">
        <f>IFERROR(INDEX(Movimientos!$F$2:$F$1995,MATCH(A55&amp;"ENTRADA",Movimientos!$R$2:$R$1995,0)),"-")</f>
        <v>0</v>
      </c>
      <c r="F55" s="2" t="str">
        <f>IFERROR(INDEX(Movimientos!$G$2:$G$1995,MATCH(A55&amp;"ENTRADA",Movimientos!$R$2:$R$1995,0)),"-")</f>
        <v>Proquimur</v>
      </c>
      <c r="G55" s="2" t="str">
        <f>IFERROR(INDEX(Movimientos!$L$2:$L$1995,MATCH(A55&amp;"ENTRADA",Movimientos!$R$2:$R$1995,0)),"-")</f>
        <v>L</v>
      </c>
      <c r="H55" s="17">
        <f>IFERROR(IF(INDEX(Movimientos!$M$2:$M$1995,MATCH(A55&amp;"ENTRADA",Movimientos!$R$2:$R$1995,0))=0,"S/D",INDEX(Movimientos!$M$2:$M$1995,MATCH(A55&amp;"ENTRADA",Movimientos!$R$2:$R$1995,0))),"S/D")</f>
        <v>46569</v>
      </c>
      <c r="I55" s="15">
        <f t="shared" ca="1" si="2"/>
        <v>337</v>
      </c>
      <c r="J55" s="5">
        <f>IF(A55="","",SUMIFS(Movimientos!$K:$K,Movimientos!$H:$H,A55))</f>
        <v>1405</v>
      </c>
      <c r="K55" s="13" t="str">
        <f t="shared" ca="1" si="1"/>
        <v>OK</v>
      </c>
    </row>
    <row r="56" spans="1:11">
      <c r="A56" s="16" t="s">
        <v>2270</v>
      </c>
      <c r="B56" s="2" t="str">
        <f>IFERROR(INDEX(Movimientos!$C$2:$C$1995,MATCH(A56&amp;"ENTRADA",Movimientos!$R$2:$R$1995,0)),"-")</f>
        <v xml:space="preserve">cripton xpro </v>
      </c>
      <c r="C56" s="2" t="str">
        <f>IFERROR(INDEX(Movimientos!$D$2:$D$1995,MATCH(A56&amp;"ENTRADA",Movimientos!$R$2:$R$1995,0)),"-")</f>
        <v>Protioconazol 175g/l trifloxistrobin 150g/l bixafen 125g/l</v>
      </c>
      <c r="D56" s="2" t="str">
        <f>IFERROR(INDEX(Movimientos!$E$2:$E$1995,MATCH(A56&amp;"ENTRADA",Movimientos!$R$2:$R$1995,0)),"-")</f>
        <v>Fungicida</v>
      </c>
      <c r="E56" s="2">
        <f>IFERROR(INDEX(Movimientos!$F$2:$F$1995,MATCH(A56&amp;"ENTRADA",Movimientos!$R$2:$R$1995,0)),"-")</f>
        <v>0</v>
      </c>
      <c r="F56" s="2" t="str">
        <f>IFERROR(INDEX(Movimientos!$G$2:$G$1995,MATCH(A56&amp;"ENTRADA",Movimientos!$R$2:$R$1995,0)),"-")</f>
        <v>Agroterra</v>
      </c>
      <c r="G56" s="2" t="str">
        <f>IFERROR(INDEX(Movimientos!$L$2:$L$1995,MATCH(A56&amp;"ENTRADA",Movimientos!$R$2:$R$1995,0)),"-")</f>
        <v>L</v>
      </c>
      <c r="H56" s="17">
        <f>IFERROR(IF(INDEX(Movimientos!$M$2:$M$1995,MATCH(A56&amp;"ENTRADA",Movimientos!$R$2:$R$1995,0))=0,"S/D",INDEX(Movimientos!$M$2:$M$1995,MATCH(A56&amp;"ENTRADA",Movimientos!$R$2:$R$1995,0))),"S/D")</f>
        <v>46584</v>
      </c>
      <c r="I56" s="15">
        <f t="shared" ca="1" si="2"/>
        <v>352</v>
      </c>
      <c r="J56" s="5">
        <f>IF(A56="","",SUMIFS(Movimientos!$K:$K,Movimientos!$H:$H,A56))</f>
        <v>1000</v>
      </c>
      <c r="K56" s="13" t="str">
        <f t="shared" ca="1" si="1"/>
        <v>OK</v>
      </c>
    </row>
    <row r="57" spans="1:11">
      <c r="A57" s="16" t="s">
        <v>2271</v>
      </c>
      <c r="B57" s="2" t="str">
        <f>IFERROR(INDEX(Movimientos!$C$2:$C$1995,MATCH(A57&amp;"ENTRADA",Movimientos!$R$2:$R$1995,0)),"-")</f>
        <v>-</v>
      </c>
      <c r="C57" s="2" t="str">
        <f>IFERROR(INDEX(Movimientos!$D$2:$D$1995,MATCH(A57&amp;"ENTRADA",Movimientos!$R$2:$R$1995,0)),"-")</f>
        <v>-</v>
      </c>
      <c r="D57" s="2" t="str">
        <f>IFERROR(INDEX(Movimientos!$E$2:$E$1995,MATCH(A57&amp;"ENTRADA",Movimientos!$R$2:$R$1995,0)),"-")</f>
        <v>-</v>
      </c>
      <c r="E57" s="2" t="str">
        <f>IFERROR(INDEX(Movimientos!$F$2:$F$1995,MATCH(A57&amp;"ENTRADA",Movimientos!$R$2:$R$1995,0)),"-")</f>
        <v>-</v>
      </c>
      <c r="F57" s="2" t="str">
        <f>IFERROR(INDEX(Movimientos!$G$2:$G$1995,MATCH(A57&amp;"ENTRADA",Movimientos!$R$2:$R$1995,0)),"-")</f>
        <v>-</v>
      </c>
      <c r="G57" s="2" t="str">
        <f>IFERROR(INDEX(Movimientos!$L$2:$L$1995,MATCH(A57&amp;"ENTRADA",Movimientos!$R$2:$R$1995,0)),"-")</f>
        <v>-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2272</v>
      </c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2273</v>
      </c>
      <c r="B59" s="2" t="str">
        <f>IFERROR(INDEX(Movimientos!$C$2:$C$1995,MATCH(A59&amp;"ENTRADA",Movimientos!$R$2:$R$1995,0)),"-")</f>
        <v>-</v>
      </c>
      <c r="C59" s="2" t="str">
        <f>IFERROR(INDEX(Movimientos!$D$2:$D$1995,MATCH(A59&amp;"ENTRADA",Movimientos!$R$2:$R$1995,0)),"-")</f>
        <v>-</v>
      </c>
      <c r="D59" s="2" t="str">
        <f>IFERROR(INDEX(Movimientos!$E$2:$E$1995,MATCH(A59&amp;"ENTRADA",Movimientos!$R$2:$R$1995,0)),"-")</f>
        <v>-</v>
      </c>
      <c r="E59" s="2" t="str">
        <f>IFERROR(INDEX(Movimientos!$F$2:$F$1995,MATCH(A59&amp;"ENTRADA",Movimientos!$R$2:$R$1995,0)),"-")</f>
        <v>-</v>
      </c>
      <c r="F59" s="2" t="str">
        <f>IFERROR(INDEX(Movimientos!$G$2:$G$1995,MATCH(A59&amp;"ENTRADA",Movimientos!$R$2:$R$1995,0)),"-")</f>
        <v>-</v>
      </c>
      <c r="G59" s="2" t="str">
        <f>IFERROR(INDEX(Movimientos!$L$2:$L$1995,MATCH(A59&amp;"ENTRADA",Movimientos!$R$2:$R$1995,0)),"-")</f>
        <v>-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2274</v>
      </c>
      <c r="B60" s="2" t="str">
        <f>IFERROR(INDEX(Movimientos!$C$2:$C$1995,MATCH(A60&amp;"ENTRADA",Movimientos!$R$2:$R$1995,0)),"-")</f>
        <v>-</v>
      </c>
      <c r="C60" s="2" t="str">
        <f>IFERROR(INDEX(Movimientos!$D$2:$D$1995,MATCH(A60&amp;"ENTRADA",Movimientos!$R$2:$R$1995,0)),"-")</f>
        <v>-</v>
      </c>
      <c r="D60" s="2" t="str">
        <f>IFERROR(INDEX(Movimientos!$E$2:$E$1995,MATCH(A60&amp;"ENTRADA",Movimientos!$R$2:$R$1995,0)),"-")</f>
        <v>-</v>
      </c>
      <c r="E60" s="2" t="str">
        <f>IFERROR(INDEX(Movimientos!$F$2:$F$1995,MATCH(A60&amp;"ENTRADA",Movimientos!$R$2:$R$1995,0)),"-")</f>
        <v>-</v>
      </c>
      <c r="F60" s="2" t="str">
        <f>IFERROR(INDEX(Movimientos!$G$2:$G$1995,MATCH(A60&amp;"ENTRADA",Movimientos!$R$2:$R$1995,0)),"-")</f>
        <v>-</v>
      </c>
      <c r="G60" s="2" t="str">
        <f>IFERROR(INDEX(Movimientos!$L$2:$L$1995,MATCH(A60&amp;"ENTRADA",Movimientos!$R$2:$R$1995,0)),"-")</f>
        <v>-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2275</v>
      </c>
      <c r="B61" s="2" t="str">
        <f>IFERROR(INDEX(Movimientos!$C$2:$C$1995,MATCH(A61&amp;"ENTRADA",Movimientos!$R$2:$R$1995,0)),"-")</f>
        <v>-</v>
      </c>
      <c r="C61" s="2" t="str">
        <f>IFERROR(INDEX(Movimientos!$D$2:$D$1995,MATCH(A61&amp;"ENTRADA",Movimientos!$R$2:$R$1995,0)),"-")</f>
        <v>-</v>
      </c>
      <c r="D61" s="2" t="str">
        <f>IFERROR(INDEX(Movimientos!$E$2:$E$1995,MATCH(A61&amp;"ENTRADA",Movimientos!$R$2:$R$1995,0)),"-")</f>
        <v>-</v>
      </c>
      <c r="E61" s="2" t="str">
        <f>IFERROR(INDEX(Movimientos!$F$2:$F$1995,MATCH(A61&amp;"ENTRADA",Movimientos!$R$2:$R$1995,0)),"-")</f>
        <v>-</v>
      </c>
      <c r="F61" s="2" t="str">
        <f>IFERROR(INDEX(Movimientos!$G$2:$G$1995,MATCH(A61&amp;"ENTRADA",Movimientos!$R$2:$R$1995,0)),"-")</f>
        <v>-</v>
      </c>
      <c r="G61" s="2" t="str">
        <f>IFERROR(INDEX(Movimientos!$L$2:$L$1995,MATCH(A61&amp;"ENTRADA",Movimientos!$R$2:$R$1995,0)),"-")</f>
        <v>-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2276</v>
      </c>
      <c r="B62" s="2" t="str">
        <f>IFERROR(INDEX(Movimientos!$C$2:$C$1995,MATCH(A62&amp;"ENTRADA",Movimientos!$R$2:$R$1995,0)),"-")</f>
        <v>-</v>
      </c>
      <c r="C62" s="2" t="str">
        <f>IFERROR(INDEX(Movimientos!$D$2:$D$1995,MATCH(A62&amp;"ENTRADA",Movimientos!$R$2:$R$1995,0)),"-")</f>
        <v>-</v>
      </c>
      <c r="D62" s="2" t="str">
        <f>IFERROR(INDEX(Movimientos!$E$2:$E$1995,MATCH(A62&amp;"ENTRADA",Movimientos!$R$2:$R$1995,0)),"-")</f>
        <v>-</v>
      </c>
      <c r="E62" s="2" t="str">
        <f>IFERROR(INDEX(Movimientos!$F$2:$F$1995,MATCH(A62&amp;"ENTRADA",Movimientos!$R$2:$R$1995,0)),"-")</f>
        <v>-</v>
      </c>
      <c r="F62" s="2" t="str">
        <f>IFERROR(INDEX(Movimientos!$G$2:$G$1995,MATCH(A62&amp;"ENTRADA",Movimientos!$R$2:$R$1995,0)),"-")</f>
        <v>-</v>
      </c>
      <c r="G62" s="2" t="str">
        <f>IFERROR(INDEX(Movimientos!$L$2:$L$1995,MATCH(A62&amp;"ENTRADA",Movimientos!$R$2:$R$1995,0)),"-")</f>
        <v>-</v>
      </c>
      <c r="H62" s="17" t="str">
        <f>IFERROR(IF(INDEX(Movimientos!$M$2:$M$1995,MATCH(A62&amp;"ENTRADA",Movimientos!$R$2:$R$1995,0))=0,"S/D",INDEX(Movimientos!$M$2:$M$1995,MATCH(A62&amp;"ENTRADA",Movimientos!$R$2:$R$1995,0))),"S/D")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2277</v>
      </c>
      <c r="B63" s="2" t="str">
        <f>IFERROR(INDEX(Movimientos!$C$2:$C$1995,MATCH(A63&amp;"ENTRADA",Movimientos!$R$2:$R$1995,0)),"-")</f>
        <v>-</v>
      </c>
      <c r="C63" s="2" t="str">
        <f>IFERROR(INDEX(Movimientos!$D$2:$D$1995,MATCH(A63&amp;"ENTRADA",Movimientos!$R$2:$R$1995,0)),"-")</f>
        <v>-</v>
      </c>
      <c r="D63" s="2" t="str">
        <f>IFERROR(INDEX(Movimientos!$E$2:$E$1995,MATCH(A63&amp;"ENTRADA",Movimientos!$R$2:$R$1995,0)),"-")</f>
        <v>-</v>
      </c>
      <c r="E63" s="2" t="str">
        <f>IFERROR(INDEX(Movimientos!$F$2:$F$1995,MATCH(A63&amp;"ENTRADA",Movimientos!$R$2:$R$1995,0)),"-")</f>
        <v>-</v>
      </c>
      <c r="F63" s="2" t="str">
        <f>IFERROR(INDEX(Movimientos!$G$2:$G$1995,MATCH(A63&amp;"ENTRADA",Movimientos!$R$2:$R$1995,0)),"-")</f>
        <v>-</v>
      </c>
      <c r="G63" s="2" t="str">
        <f>IFERROR(INDEX(Movimientos!$L$2:$L$1995,MATCH(A63&amp;"ENTRADA",Movimientos!$R$2:$R$1995,0)),"-")</f>
        <v>-</v>
      </c>
      <c r="H63" s="17" t="str">
        <f>IFERROR(IF(INDEX(Movimientos!$M$2:$M$1995,MATCH(A63&amp;"ENTRADA",Movimientos!$R$2:$R$1995,0))=0,"S/D",INDEX(Movimientos!$M$2:$M$1995,MATCH(A63&amp;"ENTRADA",Movimientos!$R$2:$R$1995,0))),"S/D")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2278</v>
      </c>
      <c r="B64" s="2" t="str">
        <f>IFERROR(INDEX(Movimientos!$C$2:$C$1995,MATCH(A64&amp;"ENTRADA",Movimientos!$R$2:$R$1995,0)),"-")</f>
        <v>-</v>
      </c>
      <c r="C64" s="2" t="str">
        <f>IFERROR(INDEX(Movimientos!$D$2:$D$1995,MATCH(A64&amp;"ENTRADA",Movimientos!$R$2:$R$1995,0)),"-")</f>
        <v>-</v>
      </c>
      <c r="D64" s="2" t="str">
        <f>IFERROR(INDEX(Movimientos!$E$2:$E$1995,MATCH(A64&amp;"ENTRADA",Movimientos!$R$2:$R$1995,0)),"-")</f>
        <v>-</v>
      </c>
      <c r="E64" s="2" t="str">
        <f>IFERROR(INDEX(Movimientos!$F$2:$F$1995,MATCH(A64&amp;"ENTRADA",Movimientos!$R$2:$R$1995,0)),"-")</f>
        <v>-</v>
      </c>
      <c r="F64" s="2" t="str">
        <f>IFERROR(INDEX(Movimientos!$G$2:$G$1995,MATCH(A64&amp;"ENTRADA",Movimientos!$R$2:$R$1995,0)),"-")</f>
        <v>-</v>
      </c>
      <c r="G64" s="2" t="str">
        <f>IFERROR(INDEX(Movimientos!$L$2:$L$1995,MATCH(A64&amp;"ENTRADA",Movimientos!$R$2:$R$1995,0)),"-")</f>
        <v>-</v>
      </c>
      <c r="H64" s="17" t="str">
        <f>IFERROR(IF(INDEX(Movimientos!$M$2:$M$1995,MATCH(A64&amp;"ENTRADA",Movimientos!$R$2:$R$1995,0))=0,"S/D",INDEX(Movimientos!$M$2:$M$1995,MATCH(A64&amp;"ENTRADA",Movimientos!$R$2:$R$1995,0))),"S/D")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2279</v>
      </c>
      <c r="B65" s="2" t="str">
        <f>IFERROR(INDEX(Movimientos!$C$2:$C$1995,MATCH(A65&amp;"ENTRADA",Movimientos!$R$2:$R$1995,0)),"-")</f>
        <v>-</v>
      </c>
      <c r="C65" s="2" t="str">
        <f>IFERROR(INDEX(Movimientos!$D$2:$D$1995,MATCH(A65&amp;"ENTRADA",Movimientos!$R$2:$R$1995,0)),"-")</f>
        <v>-</v>
      </c>
      <c r="D65" s="2" t="str">
        <f>IFERROR(INDEX(Movimientos!$E$2:$E$1995,MATCH(A65&amp;"ENTRADA",Movimientos!$R$2:$R$1995,0)),"-")</f>
        <v>-</v>
      </c>
      <c r="E65" s="2" t="str">
        <f>IFERROR(INDEX(Movimientos!$F$2:$F$1995,MATCH(A65&amp;"ENTRADA",Movimientos!$R$2:$R$1995,0)),"-")</f>
        <v>-</v>
      </c>
      <c r="F65" s="2" t="str">
        <f>IFERROR(INDEX(Movimientos!$G$2:$G$1995,MATCH(A65&amp;"ENTRADA",Movimientos!$R$2:$R$1995,0)),"-")</f>
        <v>-</v>
      </c>
      <c r="G65" s="2" t="str">
        <f>IFERROR(INDEX(Movimientos!$L$2:$L$1995,MATCH(A65&amp;"ENTRADA",Movimientos!$R$2:$R$1995,0)),"-")</f>
        <v>-</v>
      </c>
      <c r="H65" s="17" t="str">
        <f>IFERROR(IF(INDEX(Movimientos!$M$2:$M$1995,MATCH(A65&amp;"ENTRADA",Movimientos!$R$2:$R$1995,0))=0,"S/D",INDEX(Movimientos!$M$2:$M$1995,MATCH(A65&amp;"ENTRADA",Movimientos!$R$2:$R$1995,0))),"S/D")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2280</v>
      </c>
      <c r="B66" s="2" t="str">
        <f>IFERROR(INDEX(Movimientos!$C$2:$C$1995,MATCH(A66&amp;"ENTRADA",Movimientos!$R$2:$R$1995,0)),"-")</f>
        <v>-</v>
      </c>
      <c r="C66" s="2" t="str">
        <f>IFERROR(INDEX(Movimientos!$D$2:$D$1995,MATCH(A66&amp;"ENTRADA",Movimientos!$R$2:$R$1995,0)),"-")</f>
        <v>-</v>
      </c>
      <c r="D66" s="2" t="str">
        <f>IFERROR(INDEX(Movimientos!$E$2:$E$1995,MATCH(A66&amp;"ENTRADA",Movimientos!$R$2:$R$1995,0)),"-")</f>
        <v>-</v>
      </c>
      <c r="E66" s="2" t="str">
        <f>IFERROR(INDEX(Movimientos!$F$2:$F$1995,MATCH(A66&amp;"ENTRADA",Movimientos!$R$2:$R$1995,0)),"-")</f>
        <v>-</v>
      </c>
      <c r="F66" s="2" t="str">
        <f>IFERROR(INDEX(Movimientos!$G$2:$G$1995,MATCH(A66&amp;"ENTRADA",Movimientos!$R$2:$R$1995,0)),"-")</f>
        <v>-</v>
      </c>
      <c r="G66" s="2" t="str">
        <f>IFERROR(INDEX(Movimientos!$L$2:$L$1995,MATCH(A66&amp;"ENTRADA",Movimientos!$R$2:$R$1995,0)),"-")</f>
        <v>-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2281</v>
      </c>
      <c r="B67" s="2" t="str">
        <f>IFERROR(INDEX(Movimientos!$C$2:$C$1995,MATCH(A67&amp;"ENTRADA",Movimientos!$R$2:$R$1995,0)),"-")</f>
        <v>-</v>
      </c>
      <c r="C67" s="2" t="str">
        <f>IFERROR(INDEX(Movimientos!$D$2:$D$1995,MATCH(A67&amp;"ENTRADA",Movimientos!$R$2:$R$1995,0)),"-")</f>
        <v>-</v>
      </c>
      <c r="D67" s="2" t="str">
        <f>IFERROR(INDEX(Movimientos!$E$2:$E$1995,MATCH(A67&amp;"ENTRADA",Movimientos!$R$2:$R$1995,0)),"-")</f>
        <v>-</v>
      </c>
      <c r="E67" s="2" t="str">
        <f>IFERROR(INDEX(Movimientos!$F$2:$F$1995,MATCH(A67&amp;"ENTRADA",Movimientos!$R$2:$R$1995,0)),"-")</f>
        <v>-</v>
      </c>
      <c r="F67" s="2" t="str">
        <f>IFERROR(INDEX(Movimientos!$G$2:$G$1995,MATCH(A67&amp;"ENTRADA",Movimientos!$R$2:$R$1995,0)),"-")</f>
        <v>-</v>
      </c>
      <c r="G67" s="2" t="str">
        <f>IFERROR(INDEX(Movimientos!$L$2:$L$1995,MATCH(A67&amp;"ENTRADA",Movimientos!$R$2:$R$1995,0)),"-")</f>
        <v>-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2282</v>
      </c>
      <c r="B68" s="2" t="str">
        <f>IFERROR(INDEX(Movimientos!$C$2:$C$1995,MATCH(A68&amp;"ENTRADA",Movimientos!$R$2:$R$1995,0)),"-")</f>
        <v>-</v>
      </c>
      <c r="C68" s="2" t="str">
        <f>IFERROR(INDEX(Movimientos!$D$2:$D$1995,MATCH(A68&amp;"ENTRADA",Movimientos!$R$2:$R$1995,0)),"-")</f>
        <v>-</v>
      </c>
      <c r="D68" s="2" t="str">
        <f>IFERROR(INDEX(Movimientos!$E$2:$E$1995,MATCH(A68&amp;"ENTRADA",Movimientos!$R$2:$R$1995,0)),"-")</f>
        <v>-</v>
      </c>
      <c r="E68" s="2" t="str">
        <f>IFERROR(INDEX(Movimientos!$F$2:$F$1995,MATCH(A68&amp;"ENTRADA",Movimientos!$R$2:$R$1995,0)),"-")</f>
        <v>-</v>
      </c>
      <c r="F68" s="2" t="str">
        <f>IFERROR(INDEX(Movimientos!$G$2:$G$1995,MATCH(A68&amp;"ENTRADA",Movimientos!$R$2:$R$1995,0)),"-")</f>
        <v>-</v>
      </c>
      <c r="G68" s="2" t="str">
        <f>IFERROR(INDEX(Movimientos!$L$2:$L$1995,MATCH(A68&amp;"ENTRADA",Movimientos!$R$2:$R$1995,0)),"-")</f>
        <v>-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2283</v>
      </c>
      <c r="B69" s="2" t="str">
        <f>IFERROR(INDEX(Movimientos!$C$2:$C$1995,MATCH(A69&amp;"ENTRADA",Movimientos!$R$2:$R$1995,0)),"-")</f>
        <v>-</v>
      </c>
      <c r="C69" s="2" t="str">
        <f>IFERROR(INDEX(Movimientos!$D$2:$D$1995,MATCH(A69&amp;"ENTRADA",Movimientos!$R$2:$R$1995,0)),"-")</f>
        <v>-</v>
      </c>
      <c r="D69" s="2" t="str">
        <f>IFERROR(INDEX(Movimientos!$E$2:$E$1995,MATCH(A69&amp;"ENTRADA",Movimientos!$R$2:$R$1995,0)),"-")</f>
        <v>-</v>
      </c>
      <c r="E69" s="2" t="str">
        <f>IFERROR(INDEX(Movimientos!$F$2:$F$1995,MATCH(A69&amp;"ENTRADA",Movimientos!$R$2:$R$1995,0)),"-")</f>
        <v>-</v>
      </c>
      <c r="F69" s="2" t="str">
        <f>IFERROR(INDEX(Movimientos!$G$2:$G$1995,MATCH(A69&amp;"ENTRADA",Movimientos!$R$2:$R$1995,0)),"-")</f>
        <v>-</v>
      </c>
      <c r="G69" s="2" t="str">
        <f>IFERROR(INDEX(Movimientos!$L$2:$L$1995,MATCH(A69&amp;"ENTRADA",Movimientos!$R$2:$R$1995,0)),"-")</f>
        <v>-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2284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2285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2286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2287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2288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2289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2290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2291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2292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2293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2294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2295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2296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2297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2298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2299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2300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2301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2302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2303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2304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2305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2306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2307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2308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2309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2310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2311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2312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2313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2314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2315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2316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2317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2318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2319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2320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2321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2322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2323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2324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2325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2326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2327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2328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2329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2330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2331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2332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2333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2334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2335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2336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2337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2338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2339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2340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2341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2342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2343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2344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2345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2346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2347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2348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2349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2350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2351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2352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2353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2354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2355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2356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2357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2358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2359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2360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2361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2362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2363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2364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2365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2366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2367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2368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2369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2370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2371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2372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2373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2374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2375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2376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2377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2378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2379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2380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2381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2382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2383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2384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2385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2386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2387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2388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2389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2390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2391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2392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2393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2394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2395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2396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2397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2398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2399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2400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2401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2402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2403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2404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2405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2406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2407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2408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2409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2410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2411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2412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2413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2414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2415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2416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2417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2418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2419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2420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2421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2422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2423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2424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2425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2426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2427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2428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2429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2430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2431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2432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2433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2434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2435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2436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2437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2438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2439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2440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2441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2442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2443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2444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2445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2446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2447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2448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2449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2450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2451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2452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2453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2454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2455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2456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2457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2458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2459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2460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2461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2462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2463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2464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2465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2466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2467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2468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2469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2470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2471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2472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2473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2474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2475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2476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2477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2478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2479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2480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2481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2482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2483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2484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2485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2486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2487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2488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2489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2490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2491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2492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2493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2494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2495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2496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2497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2498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2499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2500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2501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2502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2503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2504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2505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2506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2507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2508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2509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2510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2511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2512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2513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2514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2515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2516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2517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2518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2519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2520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2521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2522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2523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2524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2525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2526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2527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2528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2529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2530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2531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2532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2533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2534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2535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2536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2537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2538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2539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2540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2541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2542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2543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2544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2545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2546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2547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2548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2549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2550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2551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2552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2553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2554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2555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2556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2557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2558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2559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2560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2561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2562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2563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2564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2565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2566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2567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2568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2569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2570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2571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2572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2573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2574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2575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2576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2577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2578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2579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2580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2581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2582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2583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2584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2585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2586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2587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2588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2589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2590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2591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2592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2593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2594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2595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2596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2597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2598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2599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2600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2601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2602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2603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2604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2605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2606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2607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2608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2609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2610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2611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2612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2613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2614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2615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2616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2617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2618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2619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2620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2621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2622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2623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2624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2625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2626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2627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2628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2629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2630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2631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2632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2633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2634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2635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2636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2637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2638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2639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2640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2641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2642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2643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2644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2645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2646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2647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2648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2649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2650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2651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2652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2653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2654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2655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2656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2657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2658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2659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2660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2661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2662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2663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2664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2665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2666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2667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2668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2669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2670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2671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2672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2673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2674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2675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2676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2677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2678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2679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2680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2681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2682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2683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2684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2685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2686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2687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2688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2689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2690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2691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2692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2693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2694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2695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2696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2697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2698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2699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2700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2701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2702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2703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2704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2705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2706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2707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2708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2709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2710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2711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2712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2713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2714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2715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2716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2717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2718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2719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2720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2721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2722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2723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2724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2725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2726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2727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2728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2729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2730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2731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2732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2733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2734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2735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2736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2737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2738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2739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2740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2741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2742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2743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2744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2745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2746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2747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2748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2749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2750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2751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2752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2753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2754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2755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2756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2757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2758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2759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2760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2761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2762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2763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2764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2765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2766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2767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2768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2769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2770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2771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2772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2773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2774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2775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2776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2777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2778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2779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2780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2781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2782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2783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2784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2785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2786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2787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2788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2789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2790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2791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2792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2793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2794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2795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2796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2797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2798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2799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2800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2801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2802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2803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2804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2805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2806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2807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2808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2809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2810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2811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2812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2813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2814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2815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2816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2817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2818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2819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2820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2821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2822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2823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2824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2825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2826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2827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2828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2829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2830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2831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2832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2833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2834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2835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2836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2837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2838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2839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2840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2841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2842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2843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2844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2845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2846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2847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2848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2849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2850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2851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2852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2853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2854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2855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2856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2857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2858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2859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2860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2861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2862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2863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2864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2865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2866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2867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2868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2869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2870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2871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2872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2873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2874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2875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2876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2877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2878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2879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2880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2881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2882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2883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2884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2885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2886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2887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2888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2889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2890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2891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2892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2893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2894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2895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2896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2897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2898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2899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2900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2901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2902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2903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2904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2905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2906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2907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2908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2909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2910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2911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2912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2913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2914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2915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2916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2917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2918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2919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2920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2921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2922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2923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2924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2925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2926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2927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2928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2929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2930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2931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2932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2933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2934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2935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2936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2937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2938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2939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2940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2941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2942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2943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2944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2945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2946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2947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2948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2949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2950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2951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2952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2953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2954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2955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2956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2957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2958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2959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2960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2961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2962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2963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2964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2965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2966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2967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2968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2969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2970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2971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2972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2973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2974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2975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2976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2977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2978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2979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2980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2981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2982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2983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2984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2985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2986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2987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2988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2989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2990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2991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2992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2993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2994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2995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2996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2997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2998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2999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3000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3001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3002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3003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3004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3005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3006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3007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3008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3009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3010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3011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3012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3013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3014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3015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3016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3017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3018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3019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3020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3021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3022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3023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3024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3025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3026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3027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3028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3029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3030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3031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3032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3033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3034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3035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3036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3037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3038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3039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3040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3041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3042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3043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3044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3045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3046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3047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3048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3049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3050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3051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3052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3053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3054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3055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3056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3057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3058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3059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3060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3061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3062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3063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3064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3065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3066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3067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3068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3069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3070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3071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3072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3073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3074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3075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3076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3077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3078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3079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3080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3081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3082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3083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3084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3085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3086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3087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3088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3089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3090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3091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3092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3093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3094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3095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3096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3097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3098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3099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3100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3101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3102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3103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3104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3105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3106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3107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3108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3109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3110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3111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3112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3113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3114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3115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3116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3117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3118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3119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3120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3121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3122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3123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3124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3125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3126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3127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3128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3129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3130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3131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3132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3133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3134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3135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3136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3137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3138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3139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3140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3141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3142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3143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3144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3145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3146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3147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3148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3149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3150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3151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3152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3153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3154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3155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3156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3157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3158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3159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3160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3161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3162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3163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3164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3165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3166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3167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3168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3169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3170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3171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3172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3173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3174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3175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3176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3177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3178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3179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3180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3181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3182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3183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3184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3185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3186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3187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3188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3189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3190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3191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3192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3193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3194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3195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3196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3197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3198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3199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3200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3201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3202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3203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3204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3205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3206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3207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3208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3209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3210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3">
      <formula>K2="OK"</formula>
    </cfRule>
    <cfRule type="expression" dxfId="6" priority="4">
      <formula>K2="PRÓXIMO A VENCER"</formula>
    </cfRule>
    <cfRule type="expression" dxfId="5" priority="5">
      <formula>K2="SIN STOCK"</formula>
    </cfRule>
    <cfRule type="expression" dxfId="4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112"/>
  <sheetViews>
    <sheetView showGridLines="0" workbookViewId="0">
      <pane ySplit="1" topLeftCell="A38" activePane="bottomLeft" state="frozen"/>
      <selection pane="bottomLeft" activeCell="A50" sqref="A50:XFD50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2260</v>
      </c>
      <c r="B1" s="18" t="s">
        <v>3211</v>
      </c>
      <c r="C1" s="18" t="s">
        <v>4</v>
      </c>
      <c r="D1" s="18" t="s">
        <v>5</v>
      </c>
      <c r="E1" s="18" t="s">
        <v>11</v>
      </c>
      <c r="F1" s="18" t="s">
        <v>3212</v>
      </c>
      <c r="G1" s="18" t="s">
        <v>3213</v>
      </c>
      <c r="H1" s="18" t="s">
        <v>3214</v>
      </c>
    </row>
    <row r="2" spans="1:8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10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210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0</v>
      </c>
      <c r="G7" s="9">
        <f>IF(A7="","",SUMIFS(Movimientos!$K:$K,Movimientos!$C:$C,A7))</f>
        <v>0</v>
      </c>
      <c r="H7" s="14" t="str">
        <f>IF(A7="","",IFERROR(IF(_xlfn.MINIFS(Stock_por_Lote!$H:$H,Stock_por_Lote!$B:$B,A7,Stock_por_Lote!$J:$J,"&gt;0")=0,"S/D",_xlfn.MINIFS(Stock_por_Lote!$H:$H,Stock_por_Lote!$B:$B,A7,Stock_por_Lote!$J:$J,"&gt;0")),"S/D"))</f>
        <v>S/D</v>
      </c>
    </row>
    <row r="8" spans="1:8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10920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2250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59180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13890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3450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858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180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180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226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229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>
        <f>IF(A34="","",IFERROR(INDEX(Movimientos!$F$2:$F$1995,MATCH(A34&amp;"ENTRADA",Movimientos!$S$2:$S$1995,0)),"-"))</f>
        <v>0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243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247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262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A38" t="s">
        <v>525</v>
      </c>
      <c r="B38" s="3" t="str">
        <f>IF(A38="","",IFERROR(INDEX(Movimientos!$D$2:$D$1995,MATCH(A38&amp;"ENTRADA",Movimientos!$S$2:$S$1995,0)),"-"))</f>
        <v xml:space="preserve">fertilizante foliar </v>
      </c>
      <c r="C38" s="3" t="str">
        <f>IF(A38="","",IFERROR(INDEX(Movimientos!$E$2:$E$1995,MATCH(A38&amp;"ENTRADA",Movimientos!$S$2:$S$1995,0)),"-"))</f>
        <v>Fertilizante</v>
      </c>
      <c r="D38" s="3">
        <f>IF(A38="","",IFERROR(INDEX(Movimientos!$F$2:$F$1995,MATCH(A38&amp;"ENTRADA",Movimientos!$S$2:$S$1995,0)),"-"))</f>
        <v>0</v>
      </c>
      <c r="E38" s="3" t="str">
        <f>IF(A38="","",IFERROR(INDEX(Movimientos!$L$2:$L$1995,MATCH(A38&amp;"ENTRADA",Movimientos!$S$2:$S$1995,0)),"-"))</f>
        <v>kg</v>
      </c>
      <c r="F38" s="8">
        <f>IF(A38="","",COUNTIFS(Stock_por_Lote!$B:$B,A38,Stock_por_Lote!$J:$J,"&gt;0"))</f>
        <v>0</v>
      </c>
      <c r="G38" s="9">
        <f>IF(A38="","",SUMIFS(Movimientos!$K:$K,Movimientos!$C:$C,A38))</f>
        <v>0</v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>S/D</v>
      </c>
    </row>
    <row r="39" spans="1:8" ht="14.25">
      <c r="A39" t="s">
        <v>265</v>
      </c>
      <c r="B39" s="3" t="str">
        <f>IF(A39="","",IFERROR(INDEX(Movimientos!$D$2:$D$1995,MATCH(A39&amp;"ENTRADA",Movimientos!$S$2:$S$1995,0)),"-"))</f>
        <v>Colza 45y95cl</v>
      </c>
      <c r="C39" s="3" t="str">
        <f>IF(A39="","",IFERROR(INDEX(Movimientos!$E$2:$E$1995,MATCH(A39&amp;"ENTRADA",Movimientos!$S$2:$S$1995,0)),"-"))</f>
        <v>Semilla</v>
      </c>
      <c r="D39" s="3">
        <f>IF(A39="","",IFERROR(INDEX(Movimientos!$F$2:$F$1995,MATCH(A39&amp;"ENTRADA",Movimientos!$S$2:$S$1995,0)),"-"))</f>
        <v>0</v>
      </c>
      <c r="E39" s="3" t="str">
        <f>IF(A39="","",IFERROR(INDEX(Movimientos!$L$2:$L$1995,MATCH(A39&amp;"ENTRADA",Movimientos!$S$2:$S$1995,0)),"-"))</f>
        <v>kg</v>
      </c>
      <c r="F39" s="8">
        <f>IF(A39="","",COUNTIFS(Stock_por_Lote!$B:$B,A39,Stock_por_Lote!$J:$J,"&gt;0"))</f>
        <v>0</v>
      </c>
      <c r="G39" s="9">
        <f>IF(A39="","",SUMIFS(Movimientos!$K:$K,Movimientos!$C:$C,A39))</f>
        <v>0</v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>S/D</v>
      </c>
    </row>
    <row r="40" spans="1:8" ht="14.25">
      <c r="A40" t="s">
        <v>281</v>
      </c>
      <c r="B40" s="3" t="str">
        <f>IF(A40="","",IFERROR(INDEX(Movimientos!$D$2:$D$1995,MATCH(A40&amp;"ENTRADA",Movimientos!$S$2:$S$1995,0)),"-"))</f>
        <v xml:space="preserve">Hydra hume </v>
      </c>
      <c r="C40" s="3" t="str">
        <f>IF(A40="","",IFERROR(INDEX(Movimientos!$E$2:$E$1995,MATCH(A40&amp;"ENTRADA",Movimientos!$S$2:$S$1995,0)),"-"))</f>
        <v>Biológico</v>
      </c>
      <c r="D40" s="3" t="str">
        <f>IF(A40="","",IFERROR(INDEX(Movimientos!$F$2:$F$1995,MATCH(A40&amp;"ENTRADA",Movimientos!$S$2:$S$1995,0)),"-"))</f>
        <v>Acidos Humicos</v>
      </c>
      <c r="E40" s="3" t="str">
        <f>IF(A40="","",IFERROR(INDEX(Movimientos!$L$2:$L$1995,MATCH(A40&amp;"ENTRADA",Movimientos!$S$2:$S$1995,0)),"-"))</f>
        <v>L</v>
      </c>
      <c r="F40" s="8">
        <f>IF(A40="","",COUNTIFS(Stock_por_Lote!$B:$B,A40,Stock_por_Lote!$J:$J,"&gt;0"))</f>
        <v>0</v>
      </c>
      <c r="G40" s="9">
        <f>IF(A40="","",SUMIFS(Movimientos!$K:$K,Movimientos!$C:$C,A40))</f>
        <v>-20</v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>S/D</v>
      </c>
    </row>
    <row r="41" spans="1:8" ht="14.25">
      <c r="A41" t="s">
        <v>69</v>
      </c>
      <c r="B41" s="3" t="str">
        <f>IF(A41="","",IFERROR(INDEX(Movimientos!$D$2:$D$1995,MATCH(A41&amp;"ENTRADA",Movimientos!$S$2:$S$1995,0)),"-"))</f>
        <v>Silobolsa 9 pies</v>
      </c>
      <c r="C41" s="3" t="str">
        <f>IF(A41="","",IFERROR(INDEX(Movimientos!$E$2:$E$1995,MATCH(A41&amp;"ENTRADA",Movimientos!$S$2:$S$1995,0)),"-"))</f>
        <v>Silobolsa</v>
      </c>
      <c r="D41" s="3">
        <f>IF(A41="","",IFERROR(INDEX(Movimientos!$F$2:$F$1995,MATCH(A41&amp;"ENTRADA",Movimientos!$S$2:$S$1995,0)),"-"))</f>
        <v>0</v>
      </c>
      <c r="E41" s="3" t="str">
        <f>IF(A41="","",IFERROR(INDEX(Movimientos!$L$2:$L$1995,MATCH(A41&amp;"ENTRADA",Movimientos!$S$2:$S$1995,0)),"-"))</f>
        <v>unidad</v>
      </c>
      <c r="F41" s="8">
        <f>IF(A41="","",COUNTIFS(Stock_por_Lote!$B:$B,A41,Stock_por_Lote!$J:$J,"&gt;0"))</f>
        <v>0</v>
      </c>
      <c r="G41" s="9">
        <f>IF(A41="","",SUMIFS(Movimientos!$K:$K,Movimientos!$C:$C,A41))</f>
        <v>0</v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>S/D</v>
      </c>
    </row>
    <row r="42" spans="1:8">
      <c r="A42" t="s">
        <v>297</v>
      </c>
      <c r="B42" s="3" t="str">
        <f>IF(A42="","",IFERROR(INDEX(Movimientos!$D$2:$D$1995,MATCH(A42&amp;"ENTRADA",Movimientos!$S$2:$S$1995,0)),"-"))</f>
        <v xml:space="preserve">festuca elodie </v>
      </c>
      <c r="C42" s="3" t="str">
        <f>IF(A42="","",IFERROR(INDEX(Movimientos!$E$2:$E$1995,MATCH(A42&amp;"ENTRADA",Movimientos!$S$2:$S$1995,0)),"-"))</f>
        <v>Semilla</v>
      </c>
      <c r="D42" s="3" t="str">
        <f>IF(A42="","",IFERROR(INDEX(Movimientos!$F$2:$F$1995,MATCH(A42&amp;"ENTRADA",Movimientos!$S$2:$S$1995,0)),"-"))</f>
        <v>Festuca</v>
      </c>
      <c r="E42" s="3" t="str">
        <f>IF(A42="","",IFERROR(INDEX(Movimientos!$L$2:$L$1995,MATCH(A42&amp;"ENTRADA",Movimientos!$S$2:$S$1995,0)),"-"))</f>
        <v>kg</v>
      </c>
      <c r="F42" s="8">
        <f>IF(A42="","",COUNTIFS(Stock_por_Lote!$B:$B,A42,Stock_por_Lote!$J:$J,"&gt;0"))</f>
        <v>0</v>
      </c>
      <c r="G42" s="9">
        <f>IF(A42="","",SUMIFS(Movimientos!$K:$K,Movimientos!$C:$C,A42))</f>
        <v>0</v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>S/D</v>
      </c>
    </row>
    <row r="43" spans="1:8">
      <c r="A43" t="s">
        <v>302</v>
      </c>
      <c r="B43" s="3" t="str">
        <f>IF(A43="","",IFERROR(INDEX(Movimientos!$D$2:$D$1995,MATCH(A43&amp;"ENTRADA",Movimientos!$S$2:$S$1995,0)),"-"))</f>
        <v xml:space="preserve">trebol blanco zapican </v>
      </c>
      <c r="C43" s="3" t="str">
        <f>IF(A43="","",IFERROR(INDEX(Movimientos!$E$2:$E$1995,MATCH(A43&amp;"ENTRADA",Movimientos!$S$2:$S$1995,0)),"-"))</f>
        <v>Semilla</v>
      </c>
      <c r="D43" s="3" t="str">
        <f>IF(A43="","",IFERROR(INDEX(Movimientos!$F$2:$F$1995,MATCH(A43&amp;"ENTRADA",Movimientos!$S$2:$S$1995,0)),"-"))</f>
        <v>Trebol Blanco</v>
      </c>
      <c r="E43" s="3" t="str">
        <f>IF(A43="","",IFERROR(INDEX(Movimientos!$L$2:$L$1995,MATCH(A43&amp;"ENTRADA",Movimientos!$S$2:$S$1995,0)),"-"))</f>
        <v>kg</v>
      </c>
      <c r="F43" s="8">
        <f>IF(A43="","",COUNTIFS(Stock_por_Lote!$B:$B,A43,Stock_por_Lote!$J:$J,"&gt;0"))</f>
        <v>1</v>
      </c>
      <c r="G43" s="9">
        <f>IF(A43="","",SUMIFS(Movimientos!$K:$K,Movimientos!$C:$C,A43))</f>
        <v>100</v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>S/D</v>
      </c>
    </row>
    <row r="44" spans="1:8">
      <c r="A44" t="s">
        <v>89</v>
      </c>
      <c r="B44" s="3" t="str">
        <f>IF(A44="","",IFERROR(INDEX(Movimientos!$D$2:$D$1995,MATCH(A44&amp;"ENTRADA",Movimientos!$S$2:$S$1995,0)),"-"))</f>
        <v>Fluroxypyr meptyl 34,91% + Halauxyfen methyl 1.64% + Cloquintocet mexyl 1.57%</v>
      </c>
      <c r="C44" s="3" t="str">
        <f>IF(A44="","",IFERROR(INDEX(Movimientos!$E$2:$E$1995,MATCH(A44&amp;"ENTRADA",Movimientos!$S$2:$S$1995,0)),"-"))</f>
        <v>Herbicida</v>
      </c>
      <c r="D44" s="3" t="str">
        <f>IF(A44="","",IFERROR(INDEX(Movimientos!$F$2:$F$1995,MATCH(A44&amp;"ENTRADA",Movimientos!$S$2:$S$1995,0)),"-"))</f>
        <v>Postemergente</v>
      </c>
      <c r="E44" s="3" t="str">
        <f>IF(A44="","",IFERROR(INDEX(Movimientos!$L$2:$L$1995,MATCH(A44&amp;"ENTRADA",Movimientos!$S$2:$S$1995,0)),"-"))</f>
        <v>L</v>
      </c>
      <c r="F44" s="8">
        <f>IF(A44="","",COUNTIFS(Stock_por_Lote!$B:$B,A44,Stock_por_Lote!$J:$J,"&gt;0"))</f>
        <v>1</v>
      </c>
      <c r="G44" s="9">
        <f>IF(A44="","",SUMIFS(Movimientos!$K:$K,Movimientos!$C:$C,A44))</f>
        <v>2250</v>
      </c>
      <c r="H44" s="14">
        <f>IF(A44="","",IFERROR(IF(_xlfn.MINIFS(Stock_por_Lote!$H:$H,Stock_por_Lote!$B:$B,A44,Stock_por_Lote!$J:$J,"&gt;0")=0,"S/D",_xlfn.MINIFS(Stock_por_Lote!$H:$H,Stock_por_Lote!$B:$B,A44,Stock_por_Lote!$J:$J,"&gt;0")),"S/D"))</f>
        <v>46801</v>
      </c>
    </row>
    <row r="45" spans="1:8" ht="14.25">
      <c r="A45" t="s">
        <v>423</v>
      </c>
      <c r="B45" s="3" t="str">
        <f>IF(A45="","",IFERROR(INDEX(Movimientos!$D$2:$D$1995,MATCH(A45&amp;"ENTRADA",Movimientos!$S$2:$S$1995,0)),"-"))</f>
        <v>semilla trigo tipa</v>
      </c>
      <c r="C45" s="3" t="str">
        <f>IF(A45="","",IFERROR(INDEX(Movimientos!$E$2:$E$1995,MATCH(A45&amp;"ENTRADA",Movimientos!$S$2:$S$1995,0)),"-"))</f>
        <v>Semilla</v>
      </c>
      <c r="D45" s="3">
        <f>IF(A45="","",IFERROR(INDEX(Movimientos!$F$2:$F$1995,MATCH(A45&amp;"ENTRADA",Movimientos!$S$2:$S$1995,0)),"-"))</f>
        <v>0</v>
      </c>
      <c r="E45" s="3" t="str">
        <f>IF(A45="","",IFERROR(INDEX(Movimientos!$L$2:$L$1995,MATCH(A45&amp;"ENTRADA",Movimientos!$S$2:$S$1995,0)),"-"))</f>
        <v>kg</v>
      </c>
      <c r="F45" s="8">
        <f>IF(A45="","",COUNTIFS(Stock_por_Lote!$B:$B,A45,Stock_por_Lote!$J:$J,"&gt;0"))</f>
        <v>0</v>
      </c>
      <c r="G45" s="9">
        <f>IF(A45="","",SUMIFS(Movimientos!$K:$K,Movimientos!$C:$C,A45))</f>
        <v>0</v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>S/D</v>
      </c>
    </row>
    <row r="46" spans="1:8">
      <c r="A46" t="s">
        <v>426</v>
      </c>
      <c r="B46" s="3" t="str">
        <f>IF(A46="","",IFERROR(INDEX(Movimientos!$D$2:$D$1995,MATCH(A46&amp;"ENTRADA",Movimientos!$S$2:$S$1995,0)),"-"))</f>
        <v>semillatrigo aromo</v>
      </c>
      <c r="C46" s="3" t="str">
        <f>IF(A46="","",IFERROR(INDEX(Movimientos!$E$2:$E$1995,MATCH(A46&amp;"ENTRADA",Movimientos!$S$2:$S$1995,0)),"-"))</f>
        <v>Semilla</v>
      </c>
      <c r="D46" s="3">
        <f>IF(A46="","",IFERROR(INDEX(Movimientos!$F$2:$F$1995,MATCH(A46&amp;"ENTRADA",Movimientos!$S$2:$S$1995,0)),"-"))</f>
        <v>0</v>
      </c>
      <c r="E46" s="3" t="str">
        <f>IF(A46="","",IFERROR(INDEX(Movimientos!$L$2:$L$1995,MATCH(A46&amp;"ENTRADA",Movimientos!$S$2:$S$1995,0)),"-"))</f>
        <v>kg</v>
      </c>
      <c r="F46" s="8">
        <f>IF(A46="","",COUNTIFS(Stock_por_Lote!$B:$B,A46,Stock_por_Lote!$J:$J,"&gt;0"))</f>
        <v>0</v>
      </c>
      <c r="G46" s="9">
        <f>IF(A46="","",SUMIFS(Movimientos!$K:$K,Movimientos!$C:$C,A46))</f>
        <v>0</v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>S/D</v>
      </c>
    </row>
    <row r="47" spans="1:8">
      <c r="A47" t="s">
        <v>154</v>
      </c>
      <c r="B47" s="3" t="str">
        <f>IF(A47="","",IFERROR(INDEX(Movimientos!$D$2:$D$1995,MATCH(A47&amp;"ENTRADA",Movimientos!$S$2:$S$1995,0)),"-"))</f>
        <v>Nuola 300</v>
      </c>
      <c r="C47" s="3" t="str">
        <f>IF(A47="","",IFERROR(INDEX(Movimientos!$E$2:$E$1995,MATCH(A47&amp;"ENTRADA",Movimientos!$S$2:$S$1995,0)),"-"))</f>
        <v>Semilla</v>
      </c>
      <c r="D47" s="3" t="str">
        <f>IF(A47="","",IFERROR(INDEX(Movimientos!$F$2:$F$1995,MATCH(A47&amp;"ENTRADA",Movimientos!$S$2:$S$1995,0)),"-"))</f>
        <v>Colza</v>
      </c>
      <c r="E47" s="3" t="str">
        <f>IF(A47="","",IFERROR(INDEX(Movimientos!$L$2:$L$1995,MATCH(A47&amp;"ENTRADA",Movimientos!$S$2:$S$1995,0)),"-"))</f>
        <v>kg</v>
      </c>
      <c r="F47" s="8">
        <f>IF(A47="","",COUNTIFS(Stock_por_Lote!$B:$B,A47,Stock_por_Lote!$J:$J,"&gt;0"))</f>
        <v>1</v>
      </c>
      <c r="G47" s="9">
        <f>IF(A47="","",SUMIFS(Movimientos!$K:$K,Movimientos!$C:$C,A47))</f>
        <v>0</v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>S/D</v>
      </c>
    </row>
    <row r="48" spans="1:8" ht="14.25">
      <c r="A48" t="s">
        <v>489</v>
      </c>
      <c r="B48" s="3" t="str">
        <f>IF(A48="","",IFERROR(INDEX(Movimientos!$D$2:$D$1995,MATCH(A48&amp;"ENTRADA",Movimientos!$S$2:$S$1995,0)),"-"))</f>
        <v xml:space="preserve">Keylate Zinc Plus </v>
      </c>
      <c r="C48" s="3" t="str">
        <f>IF(A48="","",IFERROR(INDEX(Movimientos!$E$2:$E$1995,MATCH(A48&amp;"ENTRADA",Movimientos!$S$2:$S$1995,0)),"-"))</f>
        <v>Fertilizante</v>
      </c>
      <c r="D48" s="3">
        <f>IF(A48="","",IFERROR(INDEX(Movimientos!$F$2:$F$1995,MATCH(A48&amp;"ENTRADA",Movimientos!$S$2:$S$1995,0)),"-"))</f>
        <v>0</v>
      </c>
      <c r="E48" s="3" t="str">
        <f>IF(A48="","",IFERROR(INDEX(Movimientos!$L$2:$L$1995,MATCH(A48&amp;"ENTRADA",Movimientos!$S$2:$S$1995,0)),"-"))</f>
        <v>L</v>
      </c>
      <c r="F48" s="8">
        <f>IF(A48="","",COUNTIFS(Stock_por_Lote!$B:$B,A48,Stock_por_Lote!$J:$J,"&gt;0"))</f>
        <v>1</v>
      </c>
      <c r="G48" s="9">
        <f>IF(A48="","",SUMIFS(Movimientos!$K:$K,Movimientos!$C:$C,A48))</f>
        <v>19440</v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>S/D</v>
      </c>
    </row>
    <row r="49" spans="1:8">
      <c r="A49" t="s">
        <v>489</v>
      </c>
      <c r="B49" s="3" t="str">
        <f>IF(A49="","",IFERROR(INDEX(Movimientos!$D$2:$D$1995,MATCH(A49&amp;"ENTRADA",Movimientos!$S$2:$S$1995,0)),"-"))</f>
        <v xml:space="preserve">Keylate Zinc Plus </v>
      </c>
      <c r="C49" s="3" t="str">
        <f>IF(A49="","",IFERROR(INDEX(Movimientos!$E$2:$E$1995,MATCH(A49&amp;"ENTRADA",Movimientos!$S$2:$S$1995,0)),"-"))</f>
        <v>Fertilizante</v>
      </c>
      <c r="D49" s="3">
        <f>IF(A49="","",IFERROR(INDEX(Movimientos!$F$2:$F$1995,MATCH(A49&amp;"ENTRADA",Movimientos!$S$2:$S$1995,0)),"-"))</f>
        <v>0</v>
      </c>
      <c r="E49" s="3" t="str">
        <f>IF(A49="","",IFERROR(INDEX(Movimientos!$L$2:$L$1995,MATCH(A49&amp;"ENTRADA",Movimientos!$S$2:$S$1995,0)),"-"))</f>
        <v>L</v>
      </c>
      <c r="F49" s="8">
        <f>IF(A49="","",COUNTIFS(Stock_por_Lote!$B:$B,A49,Stock_por_Lote!$J:$J,"&gt;0"))</f>
        <v>1</v>
      </c>
      <c r="G49" s="9">
        <f>IF(A49="","",SUMIFS(Movimientos!$K:$K,Movimientos!$C:$C,A49))</f>
        <v>19440</v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>S/D</v>
      </c>
    </row>
    <row r="50" spans="1:8">
      <c r="A50" t="s">
        <v>512</v>
      </c>
      <c r="B50" s="3" t="str">
        <f>IF(A50="","",IFERROR(INDEX(Movimientos!$D$2:$D$1995,MATCH(A50&amp;"ENTRADA",Movimientos!$S$2:$S$1995,0)),"-"))</f>
        <v>(Protioconazol 175 g/L + Piraclostrobin 142 g/L + Bixafen 125 g/L – SC)</v>
      </c>
      <c r="C50" s="3" t="str">
        <f>IF(A50="","",IFERROR(INDEX(Movimientos!$E$2:$E$1995,MATCH(A50&amp;"ENTRADA",Movimientos!$S$2:$S$1995,0)),"-"))</f>
        <v>Fungicida</v>
      </c>
      <c r="D50" s="3">
        <f>IF(A50="","",IFERROR(INDEX(Movimientos!$F$2:$F$1995,MATCH(A50&amp;"ENTRADA",Movimientos!$S$2:$S$1995,0)),"-"))</f>
        <v>0</v>
      </c>
      <c r="E50" s="3" t="str">
        <f>IF(A50="","",IFERROR(INDEX(Movimientos!$L$2:$L$1995,MATCH(A50&amp;"ENTRADA",Movimientos!$S$2:$S$1995,0)),"-"))</f>
        <v>L</v>
      </c>
      <c r="F50" s="8">
        <f>IF(A50="","",COUNTIFS(Stock_por_Lote!$B:$B,A50,Stock_por_Lote!$J:$J,"&gt;0"))</f>
        <v>1</v>
      </c>
      <c r="G50" s="9">
        <f>IF(A50="","",SUMIFS(Movimientos!$K:$K,Movimientos!$C:$C,A50))</f>
        <v>1405</v>
      </c>
      <c r="H50" s="14">
        <f>IF(A50="","",IFERROR(IF(_xlfn.MINIFS(Stock_por_Lote!$H:$H,Stock_por_Lote!$B:$B,A50,Stock_por_Lote!$J:$J,"&gt;0")=0,"S/D",_xlfn.MINIFS(Stock_por_Lote!$H:$H,Stock_por_Lote!$B:$B,A50,Stock_por_Lote!$J:$J,"&gt;0")),"S/D"))</f>
        <v>46569</v>
      </c>
    </row>
    <row r="51" spans="1:8" ht="14.25">
      <c r="A51" t="s">
        <v>522</v>
      </c>
      <c r="B51" s="3" t="str">
        <f>IF(A51="","",IFERROR(INDEX(Movimientos!$D$2:$D$1995,MATCH(A51&amp;"ENTRADA",Movimientos!$S$2:$S$1995,0)),"-"))</f>
        <v>Protioconazol 175g/l trifloxistrobin 150g/l bixafen 125g/l</v>
      </c>
      <c r="C51" s="3" t="str">
        <f>IF(A51="","",IFERROR(INDEX(Movimientos!$E$2:$E$1995,MATCH(A51&amp;"ENTRADA",Movimientos!$S$2:$S$1995,0)),"-"))</f>
        <v>Fungicida</v>
      </c>
      <c r="D51" s="3">
        <f>IF(A51="","",IFERROR(INDEX(Movimientos!$F$2:$F$1995,MATCH(A51&amp;"ENTRADA",Movimientos!$S$2:$S$1995,0)),"-"))</f>
        <v>0</v>
      </c>
      <c r="E51" s="3" t="str">
        <f>IF(A51="","",IFERROR(INDEX(Movimientos!$L$2:$L$1995,MATCH(A51&amp;"ENTRADA",Movimientos!$S$2:$S$1995,0)),"-"))</f>
        <v>L</v>
      </c>
      <c r="F51" s="8">
        <f>IF(A51="","",COUNTIFS(Stock_por_Lote!$B:$B,A51,Stock_por_Lote!$J:$J,"&gt;0"))</f>
        <v>2</v>
      </c>
      <c r="G51" s="9">
        <f>IF(A51="","",SUMIFS(Movimientos!$K:$K,Movimientos!$C:$C,A51))</f>
        <v>2930</v>
      </c>
      <c r="H51" s="14">
        <f>IF(A51="","",IFERROR(IF(_xlfn.MINIFS(Stock_por_Lote!$H:$H,Stock_por_Lote!$B:$B,A51,Stock_por_Lote!$J:$J,"&gt;0")=0,"S/D",_xlfn.MINIFS(Stock_por_Lote!$H:$H,Stock_por_Lote!$B:$B,A51,Stock_por_Lote!$J:$J,"&gt;0")),"S/D"))</f>
        <v>46476</v>
      </c>
    </row>
    <row r="52" spans="1:8" ht="14.25">
      <c r="A52" t="s">
        <v>532</v>
      </c>
      <c r="B52" s="3" t="str">
        <f>IF(A52="","",IFERROR(INDEX(Movimientos!$D$2:$D$1995,MATCH(A52&amp;"ENTRADA",Movimientos!$S$2:$S$1995,0)),"-"))</f>
        <v>Florasulam 20,0% Halauxyfen metil 20,85% Equivalente ácido Halauxyfen metil 20,0%</v>
      </c>
      <c r="C52" s="3" t="str">
        <f>IF(A52="","",IFERROR(INDEX(Movimientos!$E$2:$E$1995,MATCH(A52&amp;"ENTRADA",Movimientos!$S$2:$S$1995,0)),"-"))</f>
        <v>Herbicida</v>
      </c>
      <c r="D52" s="3" t="str">
        <f>IF(A52="","",IFERROR(INDEX(Movimientos!$F$2:$F$1995,MATCH(A52&amp;"ENTRADA",Movimientos!$S$2:$S$1995,0)),"-"))</f>
        <v>Postemergente</v>
      </c>
      <c r="E52" s="3" t="str">
        <f>IF(A52="","",IFERROR(INDEX(Movimientos!$L$2:$L$1995,MATCH(A52&amp;"ENTRADA",Movimientos!$S$2:$S$1995,0)),"-"))</f>
        <v>kg</v>
      </c>
      <c r="F52" s="8">
        <f>IF(A52="","",COUNTIFS(Stock_por_Lote!$B:$B,A52,Stock_por_Lote!$J:$J,"&gt;0"))</f>
        <v>0</v>
      </c>
      <c r="G52" s="9">
        <f>IF(A52="","",SUMIFS(Movimientos!$K:$K,Movimientos!$C:$C,A52))</f>
        <v>0</v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>S/D</v>
      </c>
    </row>
    <row r="53" spans="1:8" ht="14.25">
      <c r="A53" t="s">
        <v>554</v>
      </c>
      <c r="B53" s="3" t="str">
        <f>IF(A53="","",IFERROR(INDEX(Movimientos!$D$2:$D$1995,MATCH(A53&amp;"ENTRADA",Movimientos!$S$2:$S$1995,0)),"-"))</f>
        <v>cebada osiris</v>
      </c>
      <c r="C53" s="3" t="str">
        <f>IF(A53="","",IFERROR(INDEX(Movimientos!$E$2:$E$1995,MATCH(A53&amp;"ENTRADA",Movimientos!$S$2:$S$1995,0)),"-"))</f>
        <v>Semilla</v>
      </c>
      <c r="D53" s="3">
        <f>IF(A53="","",IFERROR(INDEX(Movimientos!$F$2:$F$1995,MATCH(A53&amp;"ENTRADA",Movimientos!$S$2:$S$1995,0)),"-"))</f>
        <v>0</v>
      </c>
      <c r="E53" s="3" t="str">
        <f>IF(A53="","",IFERROR(INDEX(Movimientos!$L$2:$L$1995,MATCH(A53&amp;"ENTRADA",Movimientos!$S$2:$S$1995,0)),"-"))</f>
        <v>kg</v>
      </c>
      <c r="F53" s="8">
        <f>IF(A53="","",COUNTIFS(Stock_por_Lote!$B:$B,A53,Stock_por_Lote!$J:$J,"&gt;0"))</f>
        <v>1</v>
      </c>
      <c r="G53" s="9">
        <f>IF(A53="","",SUMIFS(Movimientos!$K:$K,Movimientos!$C:$C,A53))</f>
        <v>1700</v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>S/D</v>
      </c>
    </row>
    <row r="54" spans="1:8" ht="14.25">
      <c r="A54" t="s">
        <v>573</v>
      </c>
      <c r="B54" s="3" t="str">
        <f>IF(A54="","",IFERROR(INDEX(Movimientos!$D$2:$D$1995,MATCH(A54&amp;"ENTRADA",Movimientos!$S$2:$S$1995,0)),"-"))</f>
        <v>Ácidos Húmicos / L-Triptofano puro / L- Metionina pura / Acreciactiv</v>
      </c>
      <c r="C54" s="3" t="str">
        <f>IF(A54="","",IFERROR(INDEX(Movimientos!$E$2:$E$1995,MATCH(A54&amp;"ENTRADA",Movimientos!$S$2:$S$1995,0)),"-"))</f>
        <v xml:space="preserve">Bioestimulante </v>
      </c>
      <c r="D54" s="3">
        <f>IF(A54="","",IFERROR(INDEX(Movimientos!$F$2:$F$1995,MATCH(A54&amp;"ENTRADA",Movimientos!$S$2:$S$1995,0)),"-"))</f>
        <v>0</v>
      </c>
      <c r="E54" s="3" t="str">
        <f>IF(A54="","",IFERROR(INDEX(Movimientos!$L$2:$L$1995,MATCH(A54&amp;"ENTRADA",Movimientos!$S$2:$S$1995,0)),"-"))</f>
        <v>L</v>
      </c>
      <c r="F54" s="8">
        <f>IF(A54="","",COUNTIFS(Stock_por_Lote!$B:$B,A54,Stock_por_Lote!$J:$J,"&gt;0"))</f>
        <v>0</v>
      </c>
      <c r="G54" s="9">
        <f>IF(A54="","",SUMIFS(Movimientos!$K:$K,Movimientos!$C:$C,A54))</f>
        <v>0</v>
      </c>
      <c r="H54" s="14" t="str">
        <f>IF(A54="","",IFERROR(IF(_xlfn.MINIFS(Stock_por_Lote!$H:$H,Stock_por_Lote!$B:$B,A54,Stock_por_Lote!$J:$J,"&gt;0")=0,"S/D",_xlfn.MINIFS(Stock_por_Lote!$H:$H,Stock_por_Lote!$B:$B,A54,Stock_por_Lote!$J:$J,"&gt;0")),"S/D"))</f>
        <v>S/D</v>
      </c>
    </row>
    <row r="55" spans="1:8" ht="14.25">
      <c r="A55" t="s">
        <v>577</v>
      </c>
      <c r="B55" s="3">
        <f>IF(A55="","",IFERROR(INDEX(Movimientos!$D$2:$D$1995,MATCH(A55&amp;"ENTRADA",Movimientos!$S$2:$S$1995,0)),"-"))</f>
        <v>0</v>
      </c>
      <c r="C55" s="3">
        <f>IF(A55="","",IFERROR(INDEX(Movimientos!$E$2:$E$1995,MATCH(A55&amp;"ENTRADA",Movimientos!$S$2:$S$1995,0)),"-"))</f>
        <v>0</v>
      </c>
      <c r="D55" s="3">
        <f>IF(A55="","",IFERROR(INDEX(Movimientos!$F$2:$F$1995,MATCH(A55&amp;"ENTRADA",Movimientos!$S$2:$S$1995,0)),"-"))</f>
        <v>0</v>
      </c>
      <c r="E55" s="3" t="str">
        <f>IF(A55="","",IFERROR(INDEX(Movimientos!$L$2:$L$1995,MATCH(A55&amp;"ENTRADA",Movimientos!$S$2:$S$1995,0)),"-"))</f>
        <v>L</v>
      </c>
      <c r="F55" s="8">
        <f>IF(A55="","",COUNTIFS(Stock_por_Lote!$B:$B,A55,Stock_por_Lote!$J:$J,"&gt;0"))</f>
        <v>0</v>
      </c>
      <c r="G55" s="9">
        <f>IF(A55="","",SUMIFS(Movimientos!$K:$K,Movimientos!$C:$C,A55))</f>
        <v>0</v>
      </c>
      <c r="H55" s="14" t="str">
        <f>IF(A55="","",IFERROR(IF(_xlfn.MINIFS(Stock_por_Lote!$H:$H,Stock_por_Lote!$B:$B,A55,Stock_por_Lote!$J:$J,"&gt;0")=0,"S/D",_xlfn.MINIFS(Stock_por_Lote!$H:$H,Stock_por_Lote!$B:$B,A55,Stock_por_Lote!$J:$J,"&gt;0")),"S/D"))</f>
        <v>S/D</v>
      </c>
    </row>
    <row r="56" spans="1:8" ht="14.25">
      <c r="A56" t="s">
        <v>525</v>
      </c>
      <c r="B56" s="3" t="str">
        <f>IF(A56="","",IFERROR(INDEX(Movimientos!$D$2:$D$1995,MATCH(A56&amp;"ENTRADA",Movimientos!$S$2:$S$1995,0)),"-"))</f>
        <v xml:space="preserve">fertilizante foliar </v>
      </c>
      <c r="C56" s="3" t="str">
        <f>IF(A56="","",IFERROR(INDEX(Movimientos!$E$2:$E$1995,MATCH(A56&amp;"ENTRADA",Movimientos!$S$2:$S$1995,0)),"-"))</f>
        <v>Fertilizante</v>
      </c>
      <c r="D56" s="3">
        <f>IF(A56="","",IFERROR(INDEX(Movimientos!$F$2:$F$1995,MATCH(A56&amp;"ENTRADA",Movimientos!$S$2:$S$1995,0)),"-"))</f>
        <v>0</v>
      </c>
      <c r="E56" s="3" t="str">
        <f>IF(A56="","",IFERROR(INDEX(Movimientos!$L$2:$L$1995,MATCH(A56&amp;"ENTRADA",Movimientos!$S$2:$S$1995,0)),"-"))</f>
        <v>kg</v>
      </c>
      <c r="F56" s="8">
        <f>IF(A56="","",COUNTIFS(Stock_por_Lote!$B:$B,A56,Stock_por_Lote!$J:$J,"&gt;0"))</f>
        <v>0</v>
      </c>
      <c r="G56" s="9">
        <f>IF(A56="","",SUMIFS(Movimientos!$K:$K,Movimientos!$C:$C,A56))</f>
        <v>0</v>
      </c>
      <c r="H56" s="14" t="str">
        <f>IF(A56="","",IFERROR(IF(_xlfn.MINIFS(Stock_por_Lote!$H:$H,Stock_por_Lote!$B:$B,A56,Stock_por_Lote!$J:$J,"&gt;0")=0,"S/D",_xlfn.MINIFS(Stock_por_Lote!$H:$H,Stock_por_Lote!$B:$B,A56,Stock_por_Lote!$J:$J,"&gt;0")),"S/D"))</f>
        <v>S/D</v>
      </c>
    </row>
    <row r="57" spans="1:8" ht="14.25">
      <c r="B57" s="3" t="str">
        <f>IF(A57="","",IFERROR(INDEX(Movimientos!$D$2:$D$1995,MATCH(A57&amp;"ENTRADA",Movimientos!$S$2:$S$1995,0)),"-"))</f>
        <v/>
      </c>
      <c r="C57" s="3" t="str">
        <f>IF(A57="","",IFERROR(INDEX(Movimientos!$E$2:$E$1995,MATCH(A57&amp;"ENTRADA",Movimientos!$S$2:$S$1995,0)),"-"))</f>
        <v/>
      </c>
      <c r="D57" s="3" t="str">
        <f>IF(A57="","",IFERROR(INDEX(Movimientos!$F$2:$F$1995,MATCH(A57&amp;"ENTRADA",Movimientos!$S$2:$S$1995,0)),"-"))</f>
        <v/>
      </c>
      <c r="E57" s="3" t="str">
        <f>IF(A57="","",IFERROR(INDEX(Movimientos!$L$2:$L$1995,MATCH(A57&amp;"ENTRADA",Movimientos!$S$2:$S$1995,0)),"-"))</f>
        <v/>
      </c>
      <c r="F57" s="8" t="str">
        <f>IF(A57="","",COUNTIFS(Stock_por_Lote!$B:$B,A57,Stock_por_Lote!$J:$J,"&gt;0"))</f>
        <v/>
      </c>
      <c r="G57" s="9" t="str">
        <f>IF(A57="","",SUMIFS(Movimientos!$K:$K,Movimientos!$C:$C,A57))</f>
        <v/>
      </c>
      <c r="H57" s="14" t="str">
        <f>IF(A57="","",IFERROR(IF(_xlfn.MINIFS(Stock_por_Lote!$H:$H,Stock_por_Lote!$B:$B,A57,Stock_por_Lote!$J:$J,"&gt;0")=0,"S/D",_xlfn.MINIFS(Stock_por_Lote!$H:$H,Stock_por_Lote!$B:$B,A57,Stock_por_Lote!$J:$J,"&gt;0")),"S/D"))</f>
        <v/>
      </c>
    </row>
    <row r="58" spans="1:8" ht="14.25">
      <c r="B58" s="3" t="str">
        <f>IF(A58="","",IFERROR(INDEX(Movimientos!$D$2:$D$1995,MATCH(A58&amp;"ENTRADA",Movimientos!$S$2:$S$1995,0)),"-"))</f>
        <v/>
      </c>
      <c r="C58" s="3" t="str">
        <f>IF(A58="","",IFERROR(INDEX(Movimientos!$E$2:$E$1995,MATCH(A58&amp;"ENTRADA",Movimientos!$S$2:$S$1995,0)),"-"))</f>
        <v/>
      </c>
      <c r="D58" s="3" t="str">
        <f>IF(A58="","",IFERROR(INDEX(Movimientos!$F$2:$F$1995,MATCH(A58&amp;"ENTRADA",Movimientos!$S$2:$S$1995,0)),"-"))</f>
        <v/>
      </c>
      <c r="E58" s="3" t="str">
        <f>IF(A58="","",IFERROR(INDEX(Movimientos!$L$2:$L$1995,MATCH(A58&amp;"ENTRADA",Movimientos!$S$2:$S$1995,0)),"-"))</f>
        <v/>
      </c>
      <c r="F58" s="8" t="str">
        <f>IF(A58="","",COUNTIFS(Stock_por_Lote!$B:$B,A58,Stock_por_Lote!$J:$J,"&gt;0"))</f>
        <v/>
      </c>
      <c r="G58" s="9" t="str">
        <f>IF(A58="","",SUMIFS(Movimientos!$K:$K,Movimientos!$C:$C,A58))</f>
        <v/>
      </c>
      <c r="H58" s="14" t="str">
        <f>IF(A58="","",IFERROR(IF(_xlfn.MINIFS(Stock_por_Lote!$H:$H,Stock_por_Lote!$B:$B,A58,Stock_por_Lote!$J:$J,"&gt;0")=0,"S/D",_xlfn.MINIFS(Stock_por_Lote!$H:$H,Stock_por_Lote!$B:$B,A58,Stock_por_Lote!$J:$J,"&gt;0")),"S/D"))</f>
        <v/>
      </c>
    </row>
    <row r="59" spans="1:8" ht="14.25">
      <c r="B59" s="3" t="str">
        <f>IF(A59="","",IFERROR(INDEX(Movimientos!$D$2:$D$1995,MATCH(A59&amp;"ENTRADA",Movimientos!$S$2:$S$1995,0)),"-"))</f>
        <v/>
      </c>
      <c r="C59" s="3" t="str">
        <f>IF(A59="","",IFERROR(INDEX(Movimientos!$E$2:$E$1995,MATCH(A59&amp;"ENTRADA",Movimientos!$S$2:$S$1995,0)),"-"))</f>
        <v/>
      </c>
      <c r="D59" s="3" t="str">
        <f>IF(A59="","",IFERROR(INDEX(Movimientos!$F$2:$F$1995,MATCH(A59&amp;"ENTRADA",Movimientos!$S$2:$S$1995,0)),"-"))</f>
        <v/>
      </c>
      <c r="E59" s="3" t="str">
        <f>IF(A59="","",IFERROR(INDEX(Movimientos!$L$2:$L$1995,MATCH(A59&amp;"ENTRADA",Movimientos!$S$2:$S$1995,0)),"-"))</f>
        <v/>
      </c>
      <c r="F59" s="8" t="str">
        <f>IF(A59="","",COUNTIFS(Stock_por_Lote!$B:$B,A59,Stock_por_Lote!$J:$J,"&gt;0"))</f>
        <v/>
      </c>
      <c r="G59" s="9" t="str">
        <f>IF(A59="","",SUMIFS(Movimientos!$K:$K,Movimientos!$C:$C,A59))</f>
        <v/>
      </c>
      <c r="H59" s="14" t="str">
        <f>IF(A59="","",IFERROR(IF(_xlfn.MINIFS(Stock_por_Lote!$H:$H,Stock_por_Lote!$B:$B,A59,Stock_por_Lote!$J:$J,"&gt;0")=0,"S/D",_xlfn.MINIFS(Stock_por_Lote!$H:$H,Stock_por_Lote!$B:$B,A59,Stock_por_Lote!$J:$J,"&gt;0")),"S/D"))</f>
        <v/>
      </c>
    </row>
    <row r="60" spans="1:8" ht="14.25">
      <c r="B60" s="3" t="str">
        <f>IF(A60="","",IFERROR(INDEX(Movimientos!$D$2:$D$1995,MATCH(A60&amp;"ENTRADA",Movimientos!$S$2:$S$1995,0)),"-"))</f>
        <v/>
      </c>
      <c r="C60" s="3" t="str">
        <f>IF(A60="","",IFERROR(INDEX(Movimientos!$E$2:$E$1995,MATCH(A60&amp;"ENTRADA",Movimientos!$S$2:$S$1995,0)),"-"))</f>
        <v/>
      </c>
      <c r="D60" s="3" t="str">
        <f>IF(A60="","",IFERROR(INDEX(Movimientos!$F$2:$F$1995,MATCH(A60&amp;"ENTRADA",Movimientos!$S$2:$S$1995,0)),"-"))</f>
        <v/>
      </c>
      <c r="E60" s="3" t="str">
        <f>IF(A60="","",IFERROR(INDEX(Movimientos!$L$2:$L$1995,MATCH(A60&amp;"ENTRADA",Movimientos!$S$2:$S$1995,0)),"-"))</f>
        <v/>
      </c>
      <c r="F60" s="8" t="str">
        <f>IF(A60="","",COUNTIFS(Stock_por_Lote!$B:$B,A60,Stock_por_Lote!$J:$J,"&gt;0"))</f>
        <v/>
      </c>
      <c r="G60" s="9" t="str">
        <f>IF(A60="","",SUMIFS(Movimientos!$K:$K,Movimientos!$C:$C,A60))</f>
        <v/>
      </c>
      <c r="H60" s="14" t="str">
        <f>IF(A60="","",IFERROR(IF(_xlfn.MINIFS(Stock_por_Lote!$H:$H,Stock_por_Lote!$B:$B,A60,Stock_por_Lote!$J:$J,"&gt;0")=0,"S/D",_xlfn.MINIFS(Stock_por_Lote!$H:$H,Stock_por_Lote!$B:$B,A60,Stock_por_Lote!$J:$J,"&gt;0")),"S/D"))</f>
        <v/>
      </c>
    </row>
    <row r="61" spans="1:8" ht="14.25">
      <c r="B61" s="3" t="str">
        <f>IF(A61="","",IFERROR(INDEX(Movimientos!$D$2:$D$1995,MATCH(A61&amp;"ENTRADA",Movimientos!$S$2:$S$1995,0)),"-"))</f>
        <v/>
      </c>
      <c r="C61" s="3" t="str">
        <f>IF(A61="","",IFERROR(INDEX(Movimientos!$E$2:$E$1995,MATCH(A61&amp;"ENTRADA",Movimientos!$S$2:$S$1995,0)),"-"))</f>
        <v/>
      </c>
      <c r="D61" s="3" t="str">
        <f>IF(A61="","",IFERROR(INDEX(Movimientos!$F$2:$F$1995,MATCH(A61&amp;"ENTRADA",Movimientos!$S$2:$S$1995,0)),"-"))</f>
        <v/>
      </c>
      <c r="E61" s="3" t="str">
        <f>IF(A61="","",IFERROR(INDEX(Movimientos!$L$2:$L$1995,MATCH(A61&amp;"ENTRADA",Movimientos!$S$2:$S$1995,0)),"-"))</f>
        <v/>
      </c>
      <c r="F61" s="8" t="str">
        <f>IF(A61="","",COUNTIFS(Stock_por_Lote!$B:$B,A61,Stock_por_Lote!$J:$J,"&gt;0"))</f>
        <v/>
      </c>
      <c r="G61" s="9" t="str">
        <f>IF(A61="","",SUMIFS(Movimientos!$K:$K,Movimientos!$C:$C,A61))</f>
        <v/>
      </c>
      <c r="H61" s="14" t="str">
        <f>IF(A61="","",IFERROR(IF(_xlfn.MINIFS(Stock_por_Lote!$H:$H,Stock_por_Lote!$B:$B,A61,Stock_por_Lote!$J:$J,"&gt;0")=0,"S/D",_xlfn.MINIFS(Stock_por_Lote!$H:$H,Stock_por_Lote!$B:$B,A61,Stock_por_Lote!$J:$J,"&gt;0")),"S/D"))</f>
        <v/>
      </c>
    </row>
    <row r="62" spans="1:8" ht="14.25">
      <c r="B62" s="3" t="str">
        <f>IF(A62="","",IFERROR(INDEX(Movimientos!$D$2:$D$1995,MATCH(A62&amp;"ENTRADA",Movimientos!$S$2:$S$1995,0)),"-"))</f>
        <v/>
      </c>
      <c r="C62" s="3" t="str">
        <f>IF(A62="","",IFERROR(INDEX(Movimientos!$E$2:$E$1995,MATCH(A62&amp;"ENTRADA",Movimientos!$S$2:$S$1995,0)),"-"))</f>
        <v/>
      </c>
      <c r="D62" s="3" t="str">
        <f>IF(A62="","",IFERROR(INDEX(Movimientos!$F$2:$F$1995,MATCH(A62&amp;"ENTRADA",Movimientos!$S$2:$S$1995,0)),"-"))</f>
        <v/>
      </c>
      <c r="E62" s="3" t="str">
        <f>IF(A62="","",IFERROR(INDEX(Movimientos!$L$2:$L$1995,MATCH(A62&amp;"ENTRADA",Movimientos!$S$2:$S$1995,0)),"-"))</f>
        <v/>
      </c>
      <c r="F62" s="8" t="str">
        <f>IF(A62="","",COUNTIFS(Stock_por_Lote!$B:$B,A62,Stock_por_Lote!$J:$J,"&gt;0"))</f>
        <v/>
      </c>
      <c r="G62" s="9" t="str">
        <f>IF(A62="","",SUMIFS(Movimientos!$K:$K,Movimientos!$C:$C,A62))</f>
        <v/>
      </c>
      <c r="H62" s="14" t="str">
        <f>IF(A62="","",IFERROR(IF(_xlfn.MINIFS(Stock_por_Lote!$H:$H,Stock_por_Lote!$B:$B,A62,Stock_por_Lote!$J:$J,"&gt;0")=0,"S/D",_xlfn.MINIFS(Stock_por_Lote!$H:$H,Stock_por_Lote!$B:$B,A62,Stock_por_Lote!$J:$J,"&gt;0")),"S/D"))</f>
        <v/>
      </c>
    </row>
    <row r="63" spans="1:8" ht="14.25">
      <c r="B63" s="3" t="str">
        <f>IF(A63="","",IFERROR(INDEX(Movimientos!$D$2:$D$1995,MATCH(A63&amp;"ENTRADA",Movimientos!$S$2:$S$1995,0)),"-"))</f>
        <v/>
      </c>
      <c r="C63" s="3" t="str">
        <f>IF(A63="","",IFERROR(INDEX(Movimientos!$E$2:$E$1995,MATCH(A63&amp;"ENTRADA",Movimientos!$S$2:$S$1995,0)),"-"))</f>
        <v/>
      </c>
      <c r="D63" s="3" t="str">
        <f>IF(A63="","",IFERROR(INDEX(Movimientos!$F$2:$F$1995,MATCH(A63&amp;"ENTRADA",Movimientos!$S$2:$S$1995,0)),"-"))</f>
        <v/>
      </c>
      <c r="E63" s="3" t="str">
        <f>IF(A63="","",IFERROR(INDEX(Movimientos!$L$2:$L$1995,MATCH(A63&amp;"ENTRADA",Movimientos!$S$2:$S$1995,0)),"-"))</f>
        <v/>
      </c>
      <c r="F63" s="8" t="str">
        <f>IF(A63="","",COUNTIFS(Stock_por_Lote!$B:$B,A63,Stock_por_Lote!$J:$J,"&gt;0"))</f>
        <v/>
      </c>
      <c r="G63" s="9" t="str">
        <f>IF(A63="","",SUMIFS(Movimientos!$K:$K,Movimientos!$C:$C,A63))</f>
        <v/>
      </c>
      <c r="H63" s="14" t="str">
        <f>IF(A63="","",IFERROR(IF(_xlfn.MINIFS(Stock_por_Lote!$H:$H,Stock_por_Lote!$B:$B,A63,Stock_por_Lote!$J:$J,"&gt;0")=0,"S/D",_xlfn.MINIFS(Stock_por_Lote!$H:$H,Stock_por_Lote!$B:$B,A63,Stock_por_Lote!$J:$J,"&gt;0")),"S/D"))</f>
        <v/>
      </c>
    </row>
    <row r="64" spans="1:8" ht="14.25">
      <c r="B64" s="3" t="str">
        <f>IF(A64="","",IFERROR(INDEX(Movimientos!$D$2:$D$1995,MATCH(A64&amp;"ENTRADA",Movimientos!$S$2:$S$1995,0)),"-"))</f>
        <v/>
      </c>
      <c r="C64" s="3" t="str">
        <f>IF(A64="","",IFERROR(INDEX(Movimientos!$E$2:$E$1995,MATCH(A64&amp;"ENTRADA",Movimientos!$S$2:$S$1995,0)),"-"))</f>
        <v/>
      </c>
      <c r="D64" s="3" t="str">
        <f>IF(A64="","",IFERROR(INDEX(Movimientos!$F$2:$F$1995,MATCH(A64&amp;"ENTRADA",Movimientos!$S$2:$S$1995,0)),"-"))</f>
        <v/>
      </c>
      <c r="E64" s="3" t="str">
        <f>IF(A64="","",IFERROR(INDEX(Movimientos!$L$2:$L$1995,MATCH(A64&amp;"ENTRADA",Movimientos!$S$2:$S$1995,0)),"-"))</f>
        <v/>
      </c>
      <c r="F64" s="8" t="str">
        <f>IF(A64="","",COUNTIFS(Stock_por_Lote!$B:$B,A64,Stock_por_Lote!$J:$J,"&gt;0"))</f>
        <v/>
      </c>
      <c r="G64" s="9" t="str">
        <f>IF(A64="","",SUMIFS(Movimientos!$K:$K,Movimientos!$C:$C,A64))</f>
        <v/>
      </c>
      <c r="H64" s="14" t="str">
        <f>IF(A64="","",IFERROR(IF(_xlfn.MINIFS(Stock_por_Lote!$H:$H,Stock_por_Lote!$B:$B,A64,Stock_por_Lote!$J:$J,"&gt;0")=0,"S/D",_xlfn.MINIFS(Stock_por_Lote!$H:$H,Stock_por_Lote!$B:$B,A64,Stock_por_Lote!$J:$J,"&gt;0")),"S/D"))</f>
        <v/>
      </c>
    </row>
    <row r="65" spans="2:8" ht="14.25">
      <c r="B65" s="3" t="str">
        <f>IF(A65="","",IFERROR(INDEX(Movimientos!$D$2:$D$1995,MATCH(A65&amp;"ENTRADA",Movimientos!$S$2:$S$1995,0)),"-"))</f>
        <v/>
      </c>
      <c r="C65" s="3" t="str">
        <f>IF(A65="","",IFERROR(INDEX(Movimientos!$E$2:$E$1995,MATCH(A65&amp;"ENTRADA",Movimientos!$S$2:$S$1995,0)),"-"))</f>
        <v/>
      </c>
      <c r="D65" s="3" t="str">
        <f>IF(A65="","",IFERROR(INDEX(Movimientos!$F$2:$F$1995,MATCH(A65&amp;"ENTRADA",Movimientos!$S$2:$S$1995,0)),"-"))</f>
        <v/>
      </c>
      <c r="E65" s="3" t="str">
        <f>IF(A65="","",IFERROR(INDEX(Movimientos!$L$2:$L$1995,MATCH(A65&amp;"ENTRADA",Movimientos!$S$2:$S$1995,0)),"-"))</f>
        <v/>
      </c>
      <c r="F65" s="8" t="str">
        <f>IF(A65="","",COUNTIFS(Stock_por_Lote!$B:$B,A65,Stock_por_Lote!$J:$J,"&gt;0"))</f>
        <v/>
      </c>
      <c r="G65" s="9" t="str">
        <f>IF(A65="","",SUMIFS(Movimientos!$K:$K,Movimientos!$C:$C,A65))</f>
        <v/>
      </c>
      <c r="H65" s="14" t="str">
        <f>IF(A65="","",IFERROR(IF(_xlfn.MINIFS(Stock_por_Lote!$H:$H,Stock_por_Lote!$B:$B,A65,Stock_por_Lote!$J:$J,"&gt;0")=0,"S/D",_xlfn.MINIFS(Stock_por_Lote!$H:$H,Stock_por_Lote!$B:$B,A65,Stock_por_Lote!$J:$J,"&gt;0")),"S/D"))</f>
        <v/>
      </c>
    </row>
    <row r="66" spans="2:8" ht="14.25">
      <c r="B66" s="3" t="str">
        <f>IF(A66="","",IFERROR(INDEX(Movimientos!$D$2:$D$1995,MATCH(A66&amp;"ENTRADA",Movimientos!$S$2:$S$1995,0)),"-"))</f>
        <v/>
      </c>
      <c r="C66" s="3" t="str">
        <f>IF(A66="","",IFERROR(INDEX(Movimientos!$E$2:$E$1995,MATCH(A66&amp;"ENTRADA",Movimientos!$S$2:$S$1995,0)),"-"))</f>
        <v/>
      </c>
      <c r="D66" s="3" t="str">
        <f>IF(A66="","",IFERROR(INDEX(Movimientos!$F$2:$F$1995,MATCH(A66&amp;"ENTRADA",Movimientos!$S$2:$S$1995,0)),"-"))</f>
        <v/>
      </c>
      <c r="E66" s="3" t="str">
        <f>IF(A66="","",IFERROR(INDEX(Movimientos!$L$2:$L$1995,MATCH(A66&amp;"ENTRADA",Movimientos!$S$2:$S$1995,0)),"-"))</f>
        <v/>
      </c>
      <c r="F66" s="8" t="str">
        <f>IF(A66="","",COUNTIFS(Stock_por_Lote!$B:$B,A66,Stock_por_Lote!$J:$J,"&gt;0"))</f>
        <v/>
      </c>
      <c r="G66" s="9" t="str">
        <f>IF(A66="","",SUMIFS(Movimientos!$K:$K,Movimientos!$C:$C,A66))</f>
        <v/>
      </c>
      <c r="H66" s="14" t="str">
        <f>IF(A66="","",IFERROR(IF(_xlfn.MINIFS(Stock_por_Lote!$H:$H,Stock_por_Lote!$B:$B,A66,Stock_por_Lote!$J:$J,"&gt;0")=0,"S/D",_xlfn.MINIFS(Stock_por_Lote!$H:$H,Stock_por_Lote!$B:$B,A66,Stock_por_Lote!$J:$J,"&gt;0")),"S/D"))</f>
        <v/>
      </c>
    </row>
    <row r="67" spans="2:8" ht="14.25">
      <c r="B67" s="3" t="str">
        <f>IF(A67="","",IFERROR(INDEX(Movimientos!$D$2:$D$1995,MATCH(A67&amp;"ENTRADA",Movimientos!$S$2:$S$1995,0)),"-"))</f>
        <v/>
      </c>
      <c r="C67" s="3" t="str">
        <f>IF(A67="","",IFERROR(INDEX(Movimientos!$E$2:$E$1995,MATCH(A67&amp;"ENTRADA",Movimientos!$S$2:$S$1995,0)),"-"))</f>
        <v/>
      </c>
      <c r="D67" s="3" t="str">
        <f>IF(A67="","",IFERROR(INDEX(Movimientos!$F$2:$F$1995,MATCH(A67&amp;"ENTRADA",Movimientos!$S$2:$S$1995,0)),"-"))</f>
        <v/>
      </c>
      <c r="E67" s="3" t="str">
        <f>IF(A67="","",IFERROR(INDEX(Movimientos!$L$2:$L$1995,MATCH(A67&amp;"ENTRADA",Movimientos!$S$2:$S$1995,0)),"-"))</f>
        <v/>
      </c>
      <c r="F67" s="8" t="str">
        <f>IF(A67="","",COUNTIFS(Stock_por_Lote!$B:$B,A67,Stock_por_Lote!$J:$J,"&gt;0"))</f>
        <v/>
      </c>
      <c r="G67" s="9" t="str">
        <f>IF(A67="","",SUMIFS(Movimientos!$K:$K,Movimientos!$C:$C,A67))</f>
        <v/>
      </c>
      <c r="H67" s="14" t="str">
        <f>IF(A67="","",IFERROR(IF(_xlfn.MINIFS(Stock_por_Lote!$H:$H,Stock_por_Lote!$B:$B,A67,Stock_por_Lote!$J:$J,"&gt;0")=0,"S/D",_xlfn.MINIFS(Stock_por_Lote!$H:$H,Stock_por_Lote!$B:$B,A67,Stock_por_Lote!$J:$J,"&gt;0")),"S/D"))</f>
        <v/>
      </c>
    </row>
    <row r="68" spans="2:8" ht="14.25">
      <c r="B68" s="3" t="str">
        <f>IF(A68="","",IFERROR(INDEX(Movimientos!$D$2:$D$1995,MATCH(A68&amp;"ENTRADA",Movimientos!$S$2:$S$1995,0)),"-"))</f>
        <v/>
      </c>
      <c r="C68" s="3" t="str">
        <f>IF(A68="","",IFERROR(INDEX(Movimientos!$E$2:$E$1995,MATCH(A68&amp;"ENTRADA",Movimientos!$S$2:$S$1995,0)),"-"))</f>
        <v/>
      </c>
      <c r="D68" s="3" t="str">
        <f>IF(A68="","",IFERROR(INDEX(Movimientos!$F$2:$F$1995,MATCH(A68&amp;"ENTRADA",Movimientos!$S$2:$S$1995,0)),"-"))</f>
        <v/>
      </c>
      <c r="E68" s="3" t="str">
        <f>IF(A68="","",IFERROR(INDEX(Movimientos!$L$2:$L$1995,MATCH(A68&amp;"ENTRADA",Movimientos!$S$2:$S$1995,0)),"-"))</f>
        <v/>
      </c>
      <c r="F68" s="8" t="str">
        <f>IF(A68="","",COUNTIFS(Stock_por_Lote!$B:$B,A68,Stock_por_Lote!$J:$J,"&gt;0"))</f>
        <v/>
      </c>
      <c r="G68" s="9" t="str">
        <f>IF(A68="","",SUMIFS(Movimientos!$K:$K,Movimientos!$C:$C,A68))</f>
        <v/>
      </c>
      <c r="H68" s="14" t="str">
        <f>IF(A68="","",IFERROR(IF(_xlfn.MINIFS(Stock_por_Lote!$H:$H,Stock_por_Lote!$B:$B,A68,Stock_por_Lote!$J:$J,"&gt;0")=0,"S/D",_xlfn.MINIFS(Stock_por_Lote!$H:$H,Stock_por_Lote!$B:$B,A68,Stock_por_Lote!$J:$J,"&gt;0")),"S/D"))</f>
        <v/>
      </c>
    </row>
    <row r="69" spans="2:8" ht="14.25">
      <c r="B69" s="3" t="str">
        <f>IF(A69="","",IFERROR(INDEX(Movimientos!$D$2:$D$1995,MATCH(A69&amp;"ENTRADA",Movimientos!$S$2:$S$1995,0)),"-"))</f>
        <v/>
      </c>
      <c r="C69" s="3" t="str">
        <f>IF(A69="","",IFERROR(INDEX(Movimientos!$E$2:$E$1995,MATCH(A69&amp;"ENTRADA",Movimientos!$S$2:$S$1995,0)),"-"))</f>
        <v/>
      </c>
      <c r="D69" s="3" t="str">
        <f>IF(A69="","",IFERROR(INDEX(Movimientos!$F$2:$F$1995,MATCH(A69&amp;"ENTRADA",Movimientos!$S$2:$S$1995,0)),"-"))</f>
        <v/>
      </c>
      <c r="E69" s="3" t="str">
        <f>IF(A69="","",IFERROR(INDEX(Movimientos!$L$2:$L$1995,MATCH(A69&amp;"ENTRADA",Movimientos!$S$2:$S$1995,0)),"-"))</f>
        <v/>
      </c>
      <c r="F69" s="8" t="str">
        <f>IF(A69="","",COUNTIFS(Stock_por_Lote!$B:$B,A69,Stock_por_Lote!$J:$J,"&gt;0"))</f>
        <v/>
      </c>
      <c r="G69" s="9" t="str">
        <f>IF(A69="","",SUMIFS(Movimientos!$K:$K,Movimientos!$C:$C,A69))</f>
        <v/>
      </c>
      <c r="H69" s="14" t="str">
        <f>IF(A69="","",IFERROR(IF(_xlfn.MINIFS(Stock_por_Lote!$H:$H,Stock_por_Lote!$B:$B,A69,Stock_por_Lote!$J:$J,"&gt;0")=0,"S/D",_xlfn.MINIFS(Stock_por_Lote!$H:$H,Stock_por_Lote!$B:$B,A69,Stock_por_Lote!$J:$J,"&gt;0")),"S/D"))</f>
        <v/>
      </c>
    </row>
    <row r="70" spans="2:8" ht="14.25">
      <c r="B70" s="3" t="str">
        <f>IF(A70="","",IFERROR(INDEX(Movimientos!$D$2:$D$1995,MATCH(A70&amp;"ENTRADA",Movimientos!$S$2:$S$1995,0)),"-"))</f>
        <v/>
      </c>
      <c r="C70" s="3" t="str">
        <f>IF(A70="","",IFERROR(INDEX(Movimientos!$E$2:$E$1995,MATCH(A70&amp;"ENTRADA",Movimientos!$S$2:$S$1995,0)),"-"))</f>
        <v/>
      </c>
      <c r="D70" s="3" t="str">
        <f>IF(A70="","",IFERROR(INDEX(Movimientos!$F$2:$F$1995,MATCH(A70&amp;"ENTRADA",Movimientos!$S$2:$S$1995,0)),"-"))</f>
        <v/>
      </c>
      <c r="E70" s="3" t="str">
        <f>IF(A70="","",IFERROR(INDEX(Movimientos!$L$2:$L$1995,MATCH(A70&amp;"ENTRADA",Movimientos!$S$2:$S$1995,0)),"-"))</f>
        <v/>
      </c>
      <c r="F70" s="8" t="str">
        <f>IF(A70="","",COUNTIFS(Stock_por_Lote!$B:$B,A70,Stock_por_Lote!$J:$J,"&gt;0"))</f>
        <v/>
      </c>
      <c r="G70" s="9" t="str">
        <f>IF(A70="","",SUMIFS(Movimientos!$K:$K,Movimientos!$C:$C,A70))</f>
        <v/>
      </c>
      <c r="H70" s="14" t="str">
        <f>IF(A70="","",IFERROR(IF(_xlfn.MINIFS(Stock_por_Lote!$H:$H,Stock_por_Lote!$B:$B,A70,Stock_por_Lote!$J:$J,"&gt;0")=0,"S/D",_xlfn.MINIFS(Stock_por_Lote!$H:$H,Stock_por_Lote!$B:$B,A70,Stock_por_Lote!$J:$J,"&gt;0")),"S/D"))</f>
        <v/>
      </c>
    </row>
    <row r="71" spans="2:8" ht="14.25">
      <c r="B71" s="3" t="str">
        <f>IF(A71="","",IFERROR(INDEX(Movimientos!$D$2:$D$1995,MATCH(A71&amp;"ENTRADA",Movimientos!$S$2:$S$1995,0)),"-"))</f>
        <v/>
      </c>
      <c r="C71" s="3" t="str">
        <f>IF(A71="","",IFERROR(INDEX(Movimientos!$E$2:$E$1995,MATCH(A71&amp;"ENTRADA",Movimientos!$S$2:$S$1995,0)),"-"))</f>
        <v/>
      </c>
      <c r="D71" s="3" t="str">
        <f>IF(A71="","",IFERROR(INDEX(Movimientos!$F$2:$F$1995,MATCH(A71&amp;"ENTRADA",Movimientos!$S$2:$S$1995,0)),"-"))</f>
        <v/>
      </c>
      <c r="E71" s="3" t="str">
        <f>IF(A71="","",IFERROR(INDEX(Movimientos!$L$2:$L$1995,MATCH(A71&amp;"ENTRADA",Movimientos!$S$2:$S$1995,0)),"-"))</f>
        <v/>
      </c>
      <c r="F71" s="8" t="str">
        <f>IF(A71="","",COUNTIFS(Stock_por_Lote!$B:$B,A71,Stock_por_Lote!$J:$J,"&gt;0"))</f>
        <v/>
      </c>
      <c r="G71" s="9" t="str">
        <f>IF(A71="","",SUMIFS(Movimientos!$K:$K,Movimientos!$C:$C,A71))</f>
        <v/>
      </c>
      <c r="H71" s="14" t="str">
        <f>IF(A71="","",IFERROR(IF(_xlfn.MINIFS(Stock_por_Lote!$H:$H,Stock_por_Lote!$B:$B,A71,Stock_por_Lote!$J:$J,"&gt;0")=0,"S/D",_xlfn.MINIFS(Stock_por_Lote!$H:$H,Stock_por_Lote!$B:$B,A71,Stock_por_Lote!$J:$J,"&gt;0")),"S/D"))</f>
        <v/>
      </c>
    </row>
    <row r="72" spans="2:8" ht="14.25">
      <c r="B72" s="3" t="str">
        <f>IF(A72="","",IFERROR(INDEX(Movimientos!$D$2:$D$1995,MATCH(A72&amp;"ENTRADA",Movimientos!$S$2:$S$1995,0)),"-"))</f>
        <v/>
      </c>
      <c r="C72" s="3" t="str">
        <f>IF(A72="","",IFERROR(INDEX(Movimientos!$E$2:$E$1995,MATCH(A72&amp;"ENTRADA",Movimientos!$S$2:$S$1995,0)),"-"))</f>
        <v/>
      </c>
      <c r="D72" s="3" t="str">
        <f>IF(A72="","",IFERROR(INDEX(Movimientos!$F$2:$F$1995,MATCH(A72&amp;"ENTRADA",Movimientos!$S$2:$S$1995,0)),"-"))</f>
        <v/>
      </c>
      <c r="E72" s="3" t="str">
        <f>IF(A72="","",IFERROR(INDEX(Movimientos!$L$2:$L$1995,MATCH(A72&amp;"ENTRADA",Movimientos!$S$2:$S$1995,0)),"-"))</f>
        <v/>
      </c>
      <c r="F72" s="8" t="str">
        <f>IF(A72="","",COUNTIFS(Stock_por_Lote!$B:$B,A72,Stock_por_Lote!$J:$J,"&gt;0"))</f>
        <v/>
      </c>
      <c r="G72" s="9" t="str">
        <f>IF(A72="","",SUMIFS(Movimientos!$K:$K,Movimientos!$C:$C,A72))</f>
        <v/>
      </c>
      <c r="H72" s="14" t="str">
        <f>IF(A72="","",IFERROR(IF(_xlfn.MINIFS(Stock_por_Lote!$H:$H,Stock_por_Lote!$B:$B,A72,Stock_por_Lote!$J:$J,"&gt;0")=0,"S/D",_xlfn.MINIFS(Stock_por_Lote!$H:$H,Stock_por_Lote!$B:$B,A72,Stock_por_Lote!$J:$J,"&gt;0")),"S/D"))</f>
        <v/>
      </c>
    </row>
    <row r="73" spans="2:8" ht="14.25">
      <c r="B73" s="3" t="str">
        <f>IF(A73="","",IFERROR(INDEX(Movimientos!$D$2:$D$1995,MATCH(A73&amp;"ENTRADA",Movimientos!$S$2:$S$1995,0)),"-"))</f>
        <v/>
      </c>
      <c r="C73" s="3" t="str">
        <f>IF(A73="","",IFERROR(INDEX(Movimientos!$E$2:$E$1995,MATCH(A73&amp;"ENTRADA",Movimientos!$S$2:$S$1995,0)),"-"))</f>
        <v/>
      </c>
      <c r="D73" s="3" t="str">
        <f>IF(A73="","",IFERROR(INDEX(Movimientos!$F$2:$F$1995,MATCH(A73&amp;"ENTRADA",Movimientos!$S$2:$S$1995,0)),"-"))</f>
        <v/>
      </c>
      <c r="E73" s="3" t="str">
        <f>IF(A73="","",IFERROR(INDEX(Movimientos!$L$2:$L$1995,MATCH(A73&amp;"ENTRADA",Movimientos!$S$2:$S$1995,0)),"-"))</f>
        <v/>
      </c>
      <c r="F73" s="8" t="str">
        <f>IF(A73="","",COUNTIFS(Stock_por_Lote!$B:$B,A73,Stock_por_Lote!$J:$J,"&gt;0"))</f>
        <v/>
      </c>
      <c r="G73" s="9" t="str">
        <f>IF(A73="","",SUMIFS(Movimientos!$K:$K,Movimientos!$C:$C,A73))</f>
        <v/>
      </c>
      <c r="H73" s="14" t="str">
        <f>IF(A73="","",IFERROR(IF(_xlfn.MINIFS(Stock_por_Lote!$H:$H,Stock_por_Lote!$B:$B,A73,Stock_por_Lote!$J:$J,"&gt;0")=0,"S/D",_xlfn.MINIFS(Stock_por_Lote!$H:$H,Stock_por_Lote!$B:$B,A73,Stock_por_Lote!$J:$J,"&gt;0")),"S/D"))</f>
        <v/>
      </c>
    </row>
    <row r="74" spans="2:8" ht="14.25">
      <c r="B74" s="3" t="str">
        <f>IF(A74="","",IFERROR(INDEX(Movimientos!$D$2:$D$1995,MATCH(A74&amp;"ENTRADA",Movimientos!$S$2:$S$1995,0)),"-"))</f>
        <v/>
      </c>
      <c r="C74" s="3" t="str">
        <f>IF(A74="","",IFERROR(INDEX(Movimientos!$E$2:$E$1995,MATCH(A74&amp;"ENTRADA",Movimientos!$S$2:$S$1995,0)),"-"))</f>
        <v/>
      </c>
      <c r="D74" s="3" t="str">
        <f>IF(A74="","",IFERROR(INDEX(Movimientos!$F$2:$F$1995,MATCH(A74&amp;"ENTRADA",Movimientos!$S$2:$S$1995,0)),"-"))</f>
        <v/>
      </c>
      <c r="E74" s="3" t="str">
        <f>IF(A74="","",IFERROR(INDEX(Movimientos!$L$2:$L$1995,MATCH(A74&amp;"ENTRADA",Movimientos!$S$2:$S$1995,0)),"-"))</f>
        <v/>
      </c>
      <c r="F74" s="8" t="str">
        <f>IF(A74="","",COUNTIFS(Stock_por_Lote!$B:$B,A74,Stock_por_Lote!$J:$J,"&gt;0"))</f>
        <v/>
      </c>
      <c r="G74" s="9" t="str">
        <f>IF(A74="","",SUMIFS(Movimientos!$K:$K,Movimientos!$C:$C,A74))</f>
        <v/>
      </c>
      <c r="H74" s="14" t="str">
        <f>IF(A74="","",IFERROR(IF(_xlfn.MINIFS(Stock_por_Lote!$H:$H,Stock_por_Lote!$B:$B,A74,Stock_por_Lote!$J:$J,"&gt;0")=0,"S/D",_xlfn.MINIFS(Stock_por_Lote!$H:$H,Stock_por_Lote!$B:$B,A74,Stock_por_Lote!$J:$J,"&gt;0")),"S/D"))</f>
        <v/>
      </c>
    </row>
    <row r="75" spans="2:8" ht="14.25">
      <c r="B75" s="3" t="str">
        <f>IF(A75="","",IFERROR(INDEX(Movimientos!$D$2:$D$1995,MATCH(A75&amp;"ENTRADA",Movimientos!$S$2:$S$1995,0)),"-"))</f>
        <v/>
      </c>
      <c r="C75" s="3" t="str">
        <f>IF(A75="","",IFERROR(INDEX(Movimientos!$E$2:$E$1995,MATCH(A75&amp;"ENTRADA",Movimientos!$S$2:$S$1995,0)),"-"))</f>
        <v/>
      </c>
      <c r="D75" s="3" t="str">
        <f>IF(A75="","",IFERROR(INDEX(Movimientos!$F$2:$F$1995,MATCH(A75&amp;"ENTRADA",Movimientos!$S$2:$S$1995,0)),"-"))</f>
        <v/>
      </c>
      <c r="E75" s="3" t="str">
        <f>IF(A75="","",IFERROR(INDEX(Movimientos!$L$2:$L$1995,MATCH(A75&amp;"ENTRADA",Movimientos!$S$2:$S$1995,0)),"-"))</f>
        <v/>
      </c>
      <c r="F75" s="8" t="str">
        <f>IF(A75="","",COUNTIFS(Stock_por_Lote!$B:$B,A75,Stock_por_Lote!$J:$J,"&gt;0"))</f>
        <v/>
      </c>
      <c r="G75" s="9" t="str">
        <f>IF(A75="","",SUMIFS(Movimientos!$K:$K,Movimientos!$C:$C,A75))</f>
        <v/>
      </c>
      <c r="H75" s="14" t="str">
        <f>IF(A75="","",IFERROR(IF(_xlfn.MINIFS(Stock_por_Lote!$H:$H,Stock_por_Lote!$B:$B,A75,Stock_por_Lote!$J:$J,"&gt;0")=0,"S/D",_xlfn.MINIFS(Stock_por_Lote!$H:$H,Stock_por_Lote!$B:$B,A75,Stock_por_Lote!$J:$J,"&gt;0")),"S/D"))</f>
        <v/>
      </c>
    </row>
    <row r="76" spans="2:8" ht="14.25">
      <c r="B76" s="3" t="str">
        <f>IF(A76="","",IFERROR(INDEX(Movimientos!$D$2:$D$1995,MATCH(A76&amp;"ENTRADA",Movimientos!$S$2:$S$1995,0)),"-"))</f>
        <v/>
      </c>
      <c r="C76" s="3" t="str">
        <f>IF(A76="","",IFERROR(INDEX(Movimientos!$E$2:$E$1995,MATCH(A76&amp;"ENTRADA",Movimientos!$S$2:$S$1995,0)),"-"))</f>
        <v/>
      </c>
      <c r="D76" s="3" t="str">
        <f>IF(A76="","",IFERROR(INDEX(Movimientos!$F$2:$F$1995,MATCH(A76&amp;"ENTRADA",Movimientos!$S$2:$S$1995,0)),"-"))</f>
        <v/>
      </c>
      <c r="E76" s="3" t="str">
        <f>IF(A76="","",IFERROR(INDEX(Movimientos!$L$2:$L$1995,MATCH(A76&amp;"ENTRADA",Movimientos!$S$2:$S$1995,0)),"-"))</f>
        <v/>
      </c>
      <c r="F76" s="8" t="str">
        <f>IF(A76="","",COUNTIFS(Stock_por_Lote!$B:$B,A76,Stock_por_Lote!$J:$J,"&gt;0"))</f>
        <v/>
      </c>
      <c r="G76" s="9" t="str">
        <f>IF(A76="","",SUMIFS(Movimientos!$K:$K,Movimientos!$C:$C,A76))</f>
        <v/>
      </c>
      <c r="H76" s="14" t="str">
        <f>IF(A76="","",IFERROR(IF(_xlfn.MINIFS(Stock_por_Lote!$H:$H,Stock_por_Lote!$B:$B,A76,Stock_por_Lote!$J:$J,"&gt;0")=0,"S/D",_xlfn.MINIFS(Stock_por_Lote!$H:$H,Stock_por_Lote!$B:$B,A76,Stock_por_Lote!$J:$J,"&gt;0")),"S/D"))</f>
        <v/>
      </c>
    </row>
    <row r="77" spans="2:8" ht="14.25">
      <c r="B77" s="3" t="str">
        <f>IF(A77="","",IFERROR(INDEX(Movimientos!$D$2:$D$1995,MATCH(A77&amp;"ENTRADA",Movimientos!$S$2:$S$1995,0)),"-"))</f>
        <v/>
      </c>
      <c r="C77" s="3" t="str">
        <f>IF(A77="","",IFERROR(INDEX(Movimientos!$E$2:$E$1995,MATCH(A77&amp;"ENTRADA",Movimientos!$S$2:$S$1995,0)),"-"))</f>
        <v/>
      </c>
      <c r="D77" s="3" t="str">
        <f>IF(A77="","",IFERROR(INDEX(Movimientos!$F$2:$F$1995,MATCH(A77&amp;"ENTRADA",Movimientos!$S$2:$S$1995,0)),"-"))</f>
        <v/>
      </c>
      <c r="E77" s="3" t="str">
        <f>IF(A77="","",IFERROR(INDEX(Movimientos!$L$2:$L$1995,MATCH(A77&amp;"ENTRADA",Movimientos!$S$2:$S$1995,0)),"-"))</f>
        <v/>
      </c>
      <c r="F77" s="8" t="str">
        <f>IF(A77="","",COUNTIFS(Stock_por_Lote!$B:$B,A77,Stock_por_Lote!$J:$J,"&gt;0"))</f>
        <v/>
      </c>
      <c r="G77" s="9" t="str">
        <f>IF(A77="","",SUMIFS(Movimientos!$K:$K,Movimientos!$C:$C,A77))</f>
        <v/>
      </c>
      <c r="H77" s="14" t="str">
        <f>IF(A77="","",IFERROR(IF(_xlfn.MINIFS(Stock_por_Lote!$H:$H,Stock_por_Lote!$B:$B,A77,Stock_por_Lote!$J:$J,"&gt;0")=0,"S/D",_xlfn.MINIFS(Stock_por_Lote!$H:$H,Stock_por_Lote!$B:$B,A77,Stock_por_Lote!$J:$J,"&gt;0")),"S/D"))</f>
        <v/>
      </c>
    </row>
    <row r="78" spans="2:8" ht="14.25">
      <c r="B78" s="3" t="str">
        <f>IF(A78="","",IFERROR(INDEX(Movimientos!$D$2:$D$1995,MATCH(A78&amp;"ENTRADA",Movimientos!$S$2:$S$1995,0)),"-"))</f>
        <v/>
      </c>
      <c r="C78" s="3" t="str">
        <f>IF(A78="","",IFERROR(INDEX(Movimientos!$E$2:$E$1995,MATCH(A78&amp;"ENTRADA",Movimientos!$S$2:$S$1995,0)),"-"))</f>
        <v/>
      </c>
      <c r="D78" s="3" t="str">
        <f>IF(A78="","",IFERROR(INDEX(Movimientos!$F$2:$F$1995,MATCH(A78&amp;"ENTRADA",Movimientos!$S$2:$S$1995,0)),"-"))</f>
        <v/>
      </c>
      <c r="E78" s="3" t="str">
        <f>IF(A78="","",IFERROR(INDEX(Movimientos!$L$2:$L$1995,MATCH(A78&amp;"ENTRADA",Movimientos!$S$2:$S$1995,0)),"-"))</f>
        <v/>
      </c>
      <c r="F78" s="8" t="str">
        <f>IF(A78="","",COUNTIFS(Stock_por_Lote!$B:$B,A78,Stock_por_Lote!$J:$J,"&gt;0"))</f>
        <v/>
      </c>
      <c r="G78" s="9" t="str">
        <f>IF(A78="","",SUMIFS(Movimientos!$K:$K,Movimientos!$C:$C,A78))</f>
        <v/>
      </c>
      <c r="H78" s="14" t="str">
        <f>IF(A78="","",IFERROR(IF(_xlfn.MINIFS(Stock_por_Lote!$H:$H,Stock_por_Lote!$B:$B,A78,Stock_por_Lote!$J:$J,"&gt;0")=0,"S/D",_xlfn.MINIFS(Stock_por_Lote!$H:$H,Stock_por_Lote!$B:$B,A78,Stock_por_Lote!$J:$J,"&gt;0")),"S/D"))</f>
        <v/>
      </c>
    </row>
    <row r="79" spans="2:8" ht="14.25">
      <c r="B79" s="3" t="str">
        <f>IF(A79="","",IFERROR(INDEX(Movimientos!$D$2:$D$1995,MATCH(A79&amp;"ENTRADA",Movimientos!$S$2:$S$1995,0)),"-"))</f>
        <v/>
      </c>
      <c r="C79" s="3" t="str">
        <f>IF(A79="","",IFERROR(INDEX(Movimientos!$E$2:$E$1995,MATCH(A79&amp;"ENTRADA",Movimientos!$S$2:$S$1995,0)),"-"))</f>
        <v/>
      </c>
      <c r="D79" s="3" t="str">
        <f>IF(A79="","",IFERROR(INDEX(Movimientos!$F$2:$F$1995,MATCH(A79&amp;"ENTRADA",Movimientos!$S$2:$S$1995,0)),"-"))</f>
        <v/>
      </c>
      <c r="E79" s="3" t="str">
        <f>IF(A79="","",IFERROR(INDEX(Movimientos!$L$2:$L$1995,MATCH(A79&amp;"ENTRADA",Movimientos!$S$2:$S$1995,0)),"-"))</f>
        <v/>
      </c>
      <c r="F79" s="8" t="str">
        <f>IF(A79="","",COUNTIFS(Stock_por_Lote!$B:$B,A79,Stock_por_Lote!$J:$J,"&gt;0"))</f>
        <v/>
      </c>
      <c r="G79" s="9" t="str">
        <f>IF(A79="","",SUMIFS(Movimientos!$K:$K,Movimientos!$C:$C,A79))</f>
        <v/>
      </c>
      <c r="H79" s="14" t="str">
        <f>IF(A79="","",IFERROR(IF(_xlfn.MINIFS(Stock_por_Lote!$H:$H,Stock_por_Lote!$B:$B,A79,Stock_por_Lote!$J:$J,"&gt;0")=0,"S/D",_xlfn.MINIFS(Stock_por_Lote!$H:$H,Stock_por_Lote!$B:$B,A79,Stock_por_Lote!$J:$J,"&gt;0")),"S/D"))</f>
        <v/>
      </c>
    </row>
    <row r="80" spans="2:8" ht="14.25">
      <c r="B80" s="3" t="str">
        <f>IF(A80="","",IFERROR(INDEX(Movimientos!$D$2:$D$1995,MATCH(A80&amp;"ENTRADA",Movimientos!$S$2:$S$1995,0)),"-"))</f>
        <v/>
      </c>
      <c r="C80" s="3" t="str">
        <f>IF(A80="","",IFERROR(INDEX(Movimientos!$E$2:$E$1995,MATCH(A80&amp;"ENTRADA",Movimientos!$S$2:$S$1995,0)),"-"))</f>
        <v/>
      </c>
      <c r="D80" s="3" t="str">
        <f>IF(A80="","",IFERROR(INDEX(Movimientos!$F$2:$F$1995,MATCH(A80&amp;"ENTRADA",Movimientos!$S$2:$S$1995,0)),"-"))</f>
        <v/>
      </c>
      <c r="E80" s="3" t="str">
        <f>IF(A80="","",IFERROR(INDEX(Movimientos!$L$2:$L$1995,MATCH(A80&amp;"ENTRADA",Movimientos!$S$2:$S$1995,0)),"-"))</f>
        <v/>
      </c>
      <c r="F80" s="8" t="str">
        <f>IF(A80="","",COUNTIFS(Stock_por_Lote!$B:$B,A80,Stock_por_Lote!$J:$J,"&gt;0"))</f>
        <v/>
      </c>
      <c r="G80" s="9" t="str">
        <f>IF(A80="","",SUMIFS(Movimientos!$K:$K,Movimientos!$C:$C,A80))</f>
        <v/>
      </c>
      <c r="H80" s="14" t="str">
        <f>IF(A80="","",IFERROR(IF(_xlfn.MINIFS(Stock_por_Lote!$H:$H,Stock_por_Lote!$B:$B,A80,Stock_por_Lote!$J:$J,"&gt;0")=0,"S/D",_xlfn.MINIFS(Stock_por_Lote!$H:$H,Stock_por_Lote!$B:$B,A80,Stock_por_Lote!$J:$J,"&gt;0")),"S/D"))</f>
        <v/>
      </c>
    </row>
    <row r="81" spans="2:8" ht="14.25">
      <c r="B81" s="3" t="str">
        <f>IF(A81="","",IFERROR(INDEX(Movimientos!$D$2:$D$1995,MATCH(A81&amp;"ENTRADA",Movimientos!$S$2:$S$1995,0)),"-"))</f>
        <v/>
      </c>
      <c r="C81" s="3" t="str">
        <f>IF(A81="","",IFERROR(INDEX(Movimientos!$E$2:$E$1995,MATCH(A81&amp;"ENTRADA",Movimientos!$S$2:$S$1995,0)),"-"))</f>
        <v/>
      </c>
      <c r="D81" s="3" t="str">
        <f>IF(A81="","",IFERROR(INDEX(Movimientos!$F$2:$F$1995,MATCH(A81&amp;"ENTRADA",Movimientos!$S$2:$S$1995,0)),"-"))</f>
        <v/>
      </c>
      <c r="E81" s="3" t="str">
        <f>IF(A81="","",IFERROR(INDEX(Movimientos!$L$2:$L$1995,MATCH(A81&amp;"ENTRADA",Movimientos!$S$2:$S$1995,0)),"-"))</f>
        <v/>
      </c>
      <c r="F81" s="8" t="str">
        <f>IF(A81="","",COUNTIFS(Stock_por_Lote!$B:$B,A81,Stock_por_Lote!$J:$J,"&gt;0"))</f>
        <v/>
      </c>
      <c r="G81" s="9" t="str">
        <f>IF(A81="","",SUMIFS(Movimientos!$K:$K,Movimientos!$C:$C,A81))</f>
        <v/>
      </c>
      <c r="H81" s="14" t="str">
        <f>IF(A81="","",IFERROR(IF(_xlfn.MINIFS(Stock_por_Lote!$H:$H,Stock_por_Lote!$B:$B,A81,Stock_por_Lote!$J:$J,"&gt;0")=0,"S/D",_xlfn.MINIFS(Stock_por_Lote!$H:$H,Stock_por_Lote!$B:$B,A81,Stock_por_Lote!$J:$J,"&gt;0")),"S/D"))</f>
        <v/>
      </c>
    </row>
    <row r="82" spans="2:8" ht="14.25">
      <c r="B82" s="3" t="str">
        <f>IF(A82="","",IFERROR(INDEX(Movimientos!$D$2:$D$1995,MATCH(A82&amp;"ENTRADA",Movimientos!$S$2:$S$1995,0)),"-"))</f>
        <v/>
      </c>
      <c r="C82" s="3" t="str">
        <f>IF(A82="","",IFERROR(INDEX(Movimientos!$E$2:$E$1995,MATCH(A82&amp;"ENTRADA",Movimientos!$S$2:$S$1995,0)),"-"))</f>
        <v/>
      </c>
      <c r="D82" s="3" t="str">
        <f>IF(A82="","",IFERROR(INDEX(Movimientos!$F$2:$F$1995,MATCH(A82&amp;"ENTRADA",Movimientos!$S$2:$S$1995,0)),"-"))</f>
        <v/>
      </c>
      <c r="E82" s="3" t="str">
        <f>IF(A82="","",IFERROR(INDEX(Movimientos!$L$2:$L$1995,MATCH(A82&amp;"ENTRADA",Movimientos!$S$2:$S$1995,0)),"-"))</f>
        <v/>
      </c>
      <c r="F82" s="8" t="str">
        <f>IF(A82="","",COUNTIFS(Stock_por_Lote!$B:$B,A82,Stock_por_Lote!$J:$J,"&gt;0"))</f>
        <v/>
      </c>
      <c r="G82" s="9" t="str">
        <f>IF(A82="","",SUMIFS(Movimientos!$K:$K,Movimientos!$C:$C,A82))</f>
        <v/>
      </c>
      <c r="H82" s="14" t="str">
        <f>IF(A82="","",IFERROR(IF(_xlfn.MINIFS(Stock_por_Lote!$H:$H,Stock_por_Lote!$B:$B,A82,Stock_por_Lote!$J:$J,"&gt;0")=0,"S/D",_xlfn.MINIFS(Stock_por_Lote!$H:$H,Stock_por_Lote!$B:$B,A82,Stock_por_Lote!$J:$J,"&gt;0")),"S/D"))</f>
        <v/>
      </c>
    </row>
    <row r="83" spans="2:8" ht="14.25">
      <c r="B83" s="3" t="str">
        <f>IF(A83="","",IFERROR(INDEX(Movimientos!$D$2:$D$1995,MATCH(A83&amp;"ENTRADA",Movimientos!$S$2:$S$1995,0)),"-"))</f>
        <v/>
      </c>
      <c r="C83" s="3" t="str">
        <f>IF(A83="","",IFERROR(INDEX(Movimientos!$E$2:$E$1995,MATCH(A83&amp;"ENTRADA",Movimientos!$S$2:$S$1995,0)),"-"))</f>
        <v/>
      </c>
      <c r="D83" s="3" t="str">
        <f>IF(A83="","",IFERROR(INDEX(Movimientos!$F$2:$F$1995,MATCH(A83&amp;"ENTRADA",Movimientos!$S$2:$S$1995,0)),"-"))</f>
        <v/>
      </c>
      <c r="E83" s="3" t="str">
        <f>IF(A83="","",IFERROR(INDEX(Movimientos!$L$2:$L$1995,MATCH(A83&amp;"ENTRADA",Movimientos!$S$2:$S$1995,0)),"-"))</f>
        <v/>
      </c>
      <c r="F83" s="8" t="str">
        <f>IF(A83="","",COUNTIFS(Stock_por_Lote!$B:$B,A83,Stock_por_Lote!$J:$J,"&gt;0"))</f>
        <v/>
      </c>
      <c r="G83" s="9" t="str">
        <f>IF(A83="","",SUMIFS(Movimientos!$K:$K,Movimientos!$C:$C,A83))</f>
        <v/>
      </c>
      <c r="H83" s="14" t="str">
        <f>IF(A83="","",IFERROR(IF(_xlfn.MINIFS(Stock_por_Lote!$H:$H,Stock_por_Lote!$B:$B,A83,Stock_por_Lote!$J:$J,"&gt;0")=0,"S/D",_xlfn.MINIFS(Stock_por_Lote!$H:$H,Stock_por_Lote!$B:$B,A83,Stock_por_Lote!$J:$J,"&gt;0")),"S/D"))</f>
        <v/>
      </c>
    </row>
    <row r="84" spans="2:8" ht="14.25">
      <c r="B84" s="3" t="str">
        <f>IF(A84="","",IFERROR(INDEX(Movimientos!$D$2:$D$1995,MATCH(A84&amp;"ENTRADA",Movimientos!$S$2:$S$1995,0)),"-"))</f>
        <v/>
      </c>
      <c r="C84" s="3" t="str">
        <f>IF(A84="","",IFERROR(INDEX(Movimientos!$E$2:$E$1995,MATCH(A84&amp;"ENTRADA",Movimientos!$S$2:$S$1995,0)),"-"))</f>
        <v/>
      </c>
      <c r="D84" s="3" t="str">
        <f>IF(A84="","",IFERROR(INDEX(Movimientos!$F$2:$F$1995,MATCH(A84&amp;"ENTRADA",Movimientos!$S$2:$S$1995,0)),"-"))</f>
        <v/>
      </c>
      <c r="E84" s="3" t="str">
        <f>IF(A84="","",IFERROR(INDEX(Movimientos!$L$2:$L$1995,MATCH(A84&amp;"ENTRADA",Movimientos!$S$2:$S$1995,0)),"-"))</f>
        <v/>
      </c>
      <c r="F84" s="8" t="str">
        <f>IF(A84="","",COUNTIFS(Stock_por_Lote!$B:$B,A84,Stock_por_Lote!$J:$J,"&gt;0"))</f>
        <v/>
      </c>
      <c r="G84" s="9" t="str">
        <f>IF(A84="","",SUMIFS(Movimientos!$K:$K,Movimientos!$C:$C,A84))</f>
        <v/>
      </c>
      <c r="H84" s="14" t="str">
        <f>IF(A84="","",IFERROR(IF(_xlfn.MINIFS(Stock_por_Lote!$H:$H,Stock_por_Lote!$B:$B,A84,Stock_por_Lote!$J:$J,"&gt;0")=0,"S/D",_xlfn.MINIFS(Stock_por_Lote!$H:$H,Stock_por_Lote!$B:$B,A84,Stock_por_Lote!$J:$J,"&gt;0")),"S/D"))</f>
        <v/>
      </c>
    </row>
    <row r="85" spans="2:8" ht="14.25">
      <c r="B85" s="3" t="str">
        <f>IF(A85="","",IFERROR(INDEX(Movimientos!$D$2:$D$1995,MATCH(A85&amp;"ENTRADA",Movimientos!$S$2:$S$1995,0)),"-"))</f>
        <v/>
      </c>
      <c r="C85" s="3" t="str">
        <f>IF(A85="","",IFERROR(INDEX(Movimientos!$E$2:$E$1995,MATCH(A85&amp;"ENTRADA",Movimientos!$S$2:$S$1995,0)),"-"))</f>
        <v/>
      </c>
      <c r="D85" s="3" t="str">
        <f>IF(A85="","",IFERROR(INDEX(Movimientos!$F$2:$F$1995,MATCH(A85&amp;"ENTRADA",Movimientos!$S$2:$S$1995,0)),"-"))</f>
        <v/>
      </c>
      <c r="E85" s="3" t="str">
        <f>IF(A85="","",IFERROR(INDEX(Movimientos!$L$2:$L$1995,MATCH(A85&amp;"ENTRADA",Movimientos!$S$2:$S$1995,0)),"-"))</f>
        <v/>
      </c>
      <c r="F85" s="8" t="str">
        <f>IF(A85="","",COUNTIFS(Stock_por_Lote!$B:$B,A85,Stock_por_Lote!$J:$J,"&gt;0"))</f>
        <v/>
      </c>
      <c r="G85" s="9" t="str">
        <f>IF(A85="","",SUMIFS(Movimientos!$K:$K,Movimientos!$C:$C,A85))</f>
        <v/>
      </c>
      <c r="H85" s="14" t="str">
        <f>IF(A85="","",IFERROR(IF(_xlfn.MINIFS(Stock_por_Lote!$H:$H,Stock_por_Lote!$B:$B,A85,Stock_por_Lote!$J:$J,"&gt;0")=0,"S/D",_xlfn.MINIFS(Stock_por_Lote!$H:$H,Stock_por_Lote!$B:$B,A85,Stock_por_Lote!$J:$J,"&gt;0")),"S/D"))</f>
        <v/>
      </c>
    </row>
    <row r="86" spans="2:8" ht="14.25">
      <c r="B86" s="3" t="str">
        <f>IF(A86="","",IFERROR(INDEX(Movimientos!$D$2:$D$1995,MATCH(A86&amp;"ENTRADA",Movimientos!$S$2:$S$1995,0)),"-"))</f>
        <v/>
      </c>
      <c r="C86" s="3" t="str">
        <f>IF(A86="","",IFERROR(INDEX(Movimientos!$E$2:$E$1995,MATCH(A86&amp;"ENTRADA",Movimientos!$S$2:$S$1995,0)),"-"))</f>
        <v/>
      </c>
      <c r="D86" s="3" t="str">
        <f>IF(A86="","",IFERROR(INDEX(Movimientos!$F$2:$F$1995,MATCH(A86&amp;"ENTRADA",Movimientos!$S$2:$S$1995,0)),"-"))</f>
        <v/>
      </c>
      <c r="E86" s="3" t="str">
        <f>IF(A86="","",IFERROR(INDEX(Movimientos!$L$2:$L$1995,MATCH(A86&amp;"ENTRADA",Movimientos!$S$2:$S$1995,0)),"-"))</f>
        <v/>
      </c>
      <c r="F86" s="8" t="str">
        <f>IF(A86="","",COUNTIFS(Stock_por_Lote!$B:$B,A86,Stock_por_Lote!$J:$J,"&gt;0"))</f>
        <v/>
      </c>
      <c r="G86" s="9" t="str">
        <f>IF(A86="","",SUMIFS(Movimientos!$K:$K,Movimientos!$C:$C,A86))</f>
        <v/>
      </c>
      <c r="H86" s="14" t="str">
        <f>IF(A86="","",IFERROR(IF(_xlfn.MINIFS(Stock_por_Lote!$H:$H,Stock_por_Lote!$B:$B,A86,Stock_por_Lote!$J:$J,"&gt;0")=0,"S/D",_xlfn.MINIFS(Stock_por_Lote!$H:$H,Stock_por_Lote!$B:$B,A86,Stock_por_Lote!$J:$J,"&gt;0")),"S/D"))</f>
        <v/>
      </c>
    </row>
    <row r="87" spans="2:8" ht="14.25">
      <c r="B87" s="3" t="str">
        <f>IF(A87="","",IFERROR(INDEX(Movimientos!$D$2:$D$1995,MATCH(A87&amp;"ENTRADA",Movimientos!$S$2:$S$1995,0)),"-"))</f>
        <v/>
      </c>
      <c r="C87" s="3" t="str">
        <f>IF(A87="","",IFERROR(INDEX(Movimientos!$E$2:$E$1995,MATCH(A87&amp;"ENTRADA",Movimientos!$S$2:$S$1995,0)),"-"))</f>
        <v/>
      </c>
      <c r="D87" s="3" t="str">
        <f>IF(A87="","",IFERROR(INDEX(Movimientos!$F$2:$F$1995,MATCH(A87&amp;"ENTRADA",Movimientos!$S$2:$S$1995,0)),"-"))</f>
        <v/>
      </c>
      <c r="E87" s="3" t="str">
        <f>IF(A87="","",IFERROR(INDEX(Movimientos!$L$2:$L$1995,MATCH(A87&amp;"ENTRADA",Movimientos!$S$2:$S$1995,0)),"-"))</f>
        <v/>
      </c>
      <c r="F87" s="8" t="str">
        <f>IF(A87="","",COUNTIFS(Stock_por_Lote!$B:$B,A87,Stock_por_Lote!$J:$J,"&gt;0"))</f>
        <v/>
      </c>
      <c r="G87" s="9" t="str">
        <f>IF(A87="","",SUMIFS(Movimientos!$K:$K,Movimientos!$C:$C,A87))</f>
        <v/>
      </c>
      <c r="H87" s="14" t="str">
        <f>IF(A87="","",IFERROR(IF(_xlfn.MINIFS(Stock_por_Lote!$H:$H,Stock_por_Lote!$B:$B,A87,Stock_por_Lote!$J:$J,"&gt;0")=0,"S/D",_xlfn.MINIFS(Stock_por_Lote!$H:$H,Stock_por_Lote!$B:$B,A87,Stock_por_Lote!$J:$J,"&gt;0")),"S/D"))</f>
        <v/>
      </c>
    </row>
    <row r="88" spans="2:8" ht="14.25">
      <c r="B88" s="3" t="str">
        <f>IF(A88="","",IFERROR(INDEX(Movimientos!$D$2:$D$1995,MATCH(A88&amp;"ENTRADA",Movimientos!$S$2:$S$1995,0)),"-"))</f>
        <v/>
      </c>
      <c r="C88" s="3" t="str">
        <f>IF(A88="","",IFERROR(INDEX(Movimientos!$E$2:$E$1995,MATCH(A88&amp;"ENTRADA",Movimientos!$S$2:$S$1995,0)),"-"))</f>
        <v/>
      </c>
      <c r="D88" s="3" t="str">
        <f>IF(A88="","",IFERROR(INDEX(Movimientos!$F$2:$F$1995,MATCH(A88&amp;"ENTRADA",Movimientos!$S$2:$S$1995,0)),"-"))</f>
        <v/>
      </c>
      <c r="E88" s="3" t="str">
        <f>IF(A88="","",IFERROR(INDEX(Movimientos!$L$2:$L$1995,MATCH(A88&amp;"ENTRADA",Movimientos!$S$2:$S$1995,0)),"-"))</f>
        <v/>
      </c>
      <c r="F88" s="8" t="str">
        <f>IF(A88="","",COUNTIFS(Stock_por_Lote!$B:$B,A88,Stock_por_Lote!$J:$J,"&gt;0"))</f>
        <v/>
      </c>
      <c r="G88" s="9" t="str">
        <f>IF(A88="","",SUMIFS(Movimientos!$K:$K,Movimientos!$C:$C,A88))</f>
        <v/>
      </c>
      <c r="H88" s="14" t="str">
        <f>IF(A88="","",IFERROR(IF(_xlfn.MINIFS(Stock_por_Lote!$H:$H,Stock_por_Lote!$B:$B,A88,Stock_por_Lote!$J:$J,"&gt;0")=0,"S/D",_xlfn.MINIFS(Stock_por_Lote!$H:$H,Stock_por_Lote!$B:$B,A88,Stock_por_Lote!$J:$J,"&gt;0")),"S/D"))</f>
        <v/>
      </c>
    </row>
    <row r="89" spans="2:8" ht="14.25">
      <c r="B89" s="3" t="str">
        <f>IF(A89="","",IFERROR(INDEX(Movimientos!$D$2:$D$1995,MATCH(A89&amp;"ENTRADA",Movimientos!$S$2:$S$1995,0)),"-"))</f>
        <v/>
      </c>
      <c r="C89" s="3" t="str">
        <f>IF(A89="","",IFERROR(INDEX(Movimientos!$E$2:$E$1995,MATCH(A89&amp;"ENTRADA",Movimientos!$S$2:$S$1995,0)),"-"))</f>
        <v/>
      </c>
      <c r="D89" s="3" t="str">
        <f>IF(A89="","",IFERROR(INDEX(Movimientos!$F$2:$F$1995,MATCH(A89&amp;"ENTRADA",Movimientos!$S$2:$S$1995,0)),"-"))</f>
        <v/>
      </c>
      <c r="E89" s="3" t="str">
        <f>IF(A89="","",IFERROR(INDEX(Movimientos!$L$2:$L$1995,MATCH(A89&amp;"ENTRADA",Movimientos!$S$2:$S$1995,0)),"-"))</f>
        <v/>
      </c>
      <c r="F89" s="8" t="str">
        <f>IF(A89="","",COUNTIFS(Stock_por_Lote!$B:$B,A89,Stock_por_Lote!$J:$J,"&gt;0"))</f>
        <v/>
      </c>
      <c r="G89" s="9" t="str">
        <f>IF(A89="","",SUMIFS(Movimientos!$K:$K,Movimientos!$C:$C,A89))</f>
        <v/>
      </c>
      <c r="H89" s="14" t="str">
        <f>IF(A89="","",IFERROR(IF(_xlfn.MINIFS(Stock_por_Lote!$H:$H,Stock_por_Lote!$B:$B,A89,Stock_por_Lote!$J:$J,"&gt;0")=0,"S/D",_xlfn.MINIFS(Stock_por_Lote!$H:$H,Stock_por_Lote!$B:$B,A89,Stock_por_Lote!$J:$J,"&gt;0")),"S/D"))</f>
        <v/>
      </c>
    </row>
    <row r="90" spans="2:8" ht="14.25">
      <c r="B90" s="3" t="str">
        <f>IF(A90="","",IFERROR(INDEX(Movimientos!$D$2:$D$1995,MATCH(A90&amp;"ENTRADA",Movimientos!$S$2:$S$1995,0)),"-"))</f>
        <v/>
      </c>
      <c r="C90" s="3" t="str">
        <f>IF(A90="","",IFERROR(INDEX(Movimientos!$E$2:$E$1995,MATCH(A90&amp;"ENTRADA",Movimientos!$S$2:$S$1995,0)),"-"))</f>
        <v/>
      </c>
      <c r="D90" s="3" t="str">
        <f>IF(A90="","",IFERROR(INDEX(Movimientos!$F$2:$F$1995,MATCH(A90&amp;"ENTRADA",Movimientos!$S$2:$S$1995,0)),"-"))</f>
        <v/>
      </c>
      <c r="E90" s="3" t="str">
        <f>IF(A90="","",IFERROR(INDEX(Movimientos!$L$2:$L$1995,MATCH(A90&amp;"ENTRADA",Movimientos!$S$2:$S$1995,0)),"-"))</f>
        <v/>
      </c>
      <c r="F90" s="8" t="str">
        <f>IF(A90="","",COUNTIFS(Stock_por_Lote!$B:$B,A90,Stock_por_Lote!$J:$J,"&gt;0"))</f>
        <v/>
      </c>
      <c r="G90" s="9" t="str">
        <f>IF(A90="","",SUMIFS(Movimientos!$K:$K,Movimientos!$C:$C,A90))</f>
        <v/>
      </c>
      <c r="H90" s="14" t="str">
        <f>IF(A90="","",IFERROR(IF(_xlfn.MINIFS(Stock_por_Lote!$H:$H,Stock_por_Lote!$B:$B,A90,Stock_por_Lote!$J:$J,"&gt;0")=0,"S/D",_xlfn.MINIFS(Stock_por_Lote!$H:$H,Stock_por_Lote!$B:$B,A90,Stock_por_Lote!$J:$J,"&gt;0")),"S/D"))</f>
        <v/>
      </c>
    </row>
    <row r="91" spans="2:8" ht="14.25">
      <c r="B91" s="3" t="str">
        <f>IF(A91="","",IFERROR(INDEX(Movimientos!$D$2:$D$1995,MATCH(A91&amp;"ENTRADA",Movimientos!$S$2:$S$1995,0)),"-"))</f>
        <v/>
      </c>
      <c r="C91" s="3" t="str">
        <f>IF(A91="","",IFERROR(INDEX(Movimientos!$E$2:$E$1995,MATCH(A91&amp;"ENTRADA",Movimientos!$S$2:$S$1995,0)),"-"))</f>
        <v/>
      </c>
      <c r="D91" s="3" t="str">
        <f>IF(A91="","",IFERROR(INDEX(Movimientos!$F$2:$F$1995,MATCH(A91&amp;"ENTRADA",Movimientos!$S$2:$S$1995,0)),"-"))</f>
        <v/>
      </c>
      <c r="E91" s="3" t="str">
        <f>IF(A91="","",IFERROR(INDEX(Movimientos!$L$2:$L$1995,MATCH(A91&amp;"ENTRADA",Movimientos!$S$2:$S$1995,0)),"-"))</f>
        <v/>
      </c>
      <c r="F91" s="8" t="str">
        <f>IF(A91="","",COUNTIFS(Stock_por_Lote!$B:$B,A91,Stock_por_Lote!$J:$J,"&gt;0"))</f>
        <v/>
      </c>
      <c r="G91" s="9" t="str">
        <f>IF(A91="","",SUMIFS(Movimientos!$K:$K,Movimientos!$C:$C,A91))</f>
        <v/>
      </c>
      <c r="H91" s="14" t="str">
        <f>IF(A91="","",IFERROR(IF(_xlfn.MINIFS(Stock_por_Lote!$H:$H,Stock_por_Lote!$B:$B,A91,Stock_por_Lote!$J:$J,"&gt;0")=0,"S/D",_xlfn.MINIFS(Stock_por_Lote!$H:$H,Stock_por_Lote!$B:$B,A91,Stock_por_Lote!$J:$J,"&gt;0")),"S/D"))</f>
        <v/>
      </c>
    </row>
    <row r="92" spans="2:8" ht="14.25">
      <c r="B92" s="3" t="str">
        <f>IF(A92="","",IFERROR(INDEX(Movimientos!$D$2:$D$1995,MATCH(A92&amp;"ENTRADA",Movimientos!$S$2:$S$1995,0)),"-"))</f>
        <v/>
      </c>
      <c r="C92" s="3" t="str">
        <f>IF(A92="","",IFERROR(INDEX(Movimientos!$E$2:$E$1995,MATCH(A92&amp;"ENTRADA",Movimientos!$S$2:$S$1995,0)),"-"))</f>
        <v/>
      </c>
      <c r="D92" s="3" t="str">
        <f>IF(A92="","",IFERROR(INDEX(Movimientos!$F$2:$F$1995,MATCH(A92&amp;"ENTRADA",Movimientos!$S$2:$S$1995,0)),"-"))</f>
        <v/>
      </c>
      <c r="E92" s="3" t="str">
        <f>IF(A92="","",IFERROR(INDEX(Movimientos!$L$2:$L$1995,MATCH(A92&amp;"ENTRADA",Movimientos!$S$2:$S$1995,0)),"-"))</f>
        <v/>
      </c>
      <c r="F92" s="8" t="str">
        <f>IF(A92="","",COUNTIFS(Stock_por_Lote!$B:$B,A92,Stock_por_Lote!$J:$J,"&gt;0"))</f>
        <v/>
      </c>
      <c r="G92" s="9" t="str">
        <f>IF(A92="","",SUMIFS(Movimientos!$K:$K,Movimientos!$C:$C,A92))</f>
        <v/>
      </c>
      <c r="H92" s="14" t="str">
        <f>IF(A92="","",IFERROR(IF(_xlfn.MINIFS(Stock_por_Lote!$H:$H,Stock_por_Lote!$B:$B,A92,Stock_por_Lote!$J:$J,"&gt;0")=0,"S/D",_xlfn.MINIFS(Stock_por_Lote!$H:$H,Stock_por_Lote!$B:$B,A92,Stock_por_Lote!$J:$J,"&gt;0")),"S/D"))</f>
        <v/>
      </c>
    </row>
    <row r="93" spans="2:8" ht="14.25">
      <c r="B93" s="3" t="str">
        <f>IF(A93="","",IFERROR(INDEX(Movimientos!$D$2:$D$1995,MATCH(A93&amp;"ENTRADA",Movimientos!$S$2:$S$1995,0)),"-"))</f>
        <v/>
      </c>
      <c r="C93" s="3" t="str">
        <f>IF(A93="","",IFERROR(INDEX(Movimientos!$E$2:$E$1995,MATCH(A93&amp;"ENTRADA",Movimientos!$S$2:$S$1995,0)),"-"))</f>
        <v/>
      </c>
      <c r="D93" s="3" t="str">
        <f>IF(A93="","",IFERROR(INDEX(Movimientos!$F$2:$F$1995,MATCH(A93&amp;"ENTRADA",Movimientos!$S$2:$S$1995,0)),"-"))</f>
        <v/>
      </c>
      <c r="E93" s="3" t="str">
        <f>IF(A93="","",IFERROR(INDEX(Movimientos!$L$2:$L$1995,MATCH(A93&amp;"ENTRADA",Movimientos!$S$2:$S$1995,0)),"-"))</f>
        <v/>
      </c>
      <c r="F93" s="8" t="str">
        <f>IF(A93="","",COUNTIFS(Stock_por_Lote!$B:$B,A93,Stock_por_Lote!$J:$J,"&gt;0"))</f>
        <v/>
      </c>
      <c r="G93" s="9" t="str">
        <f>IF(A93="","",SUMIFS(Movimientos!$K:$K,Movimientos!$C:$C,A93))</f>
        <v/>
      </c>
      <c r="H93" s="14" t="str">
        <f>IF(A93="","",IFERROR(IF(_xlfn.MINIFS(Stock_por_Lote!$H:$H,Stock_por_Lote!$B:$B,A93,Stock_por_Lote!$J:$J,"&gt;0")=0,"S/D",_xlfn.MINIFS(Stock_por_Lote!$H:$H,Stock_por_Lote!$B:$B,A93,Stock_por_Lote!$J:$J,"&gt;0")),"S/D"))</f>
        <v/>
      </c>
    </row>
    <row r="94" spans="2:8" ht="14.25">
      <c r="B94" s="3" t="str">
        <f>IF(A94="","",IFERROR(INDEX(Movimientos!$D$2:$D$1995,MATCH(A94&amp;"ENTRADA",Movimientos!$S$2:$S$1995,0)),"-"))</f>
        <v/>
      </c>
      <c r="C94" s="3" t="str">
        <f>IF(A94="","",IFERROR(INDEX(Movimientos!$E$2:$E$1995,MATCH(A94&amp;"ENTRADA",Movimientos!$S$2:$S$1995,0)),"-"))</f>
        <v/>
      </c>
      <c r="D94" s="3" t="str">
        <f>IF(A94="","",IFERROR(INDEX(Movimientos!$F$2:$F$1995,MATCH(A94&amp;"ENTRADA",Movimientos!$S$2:$S$1995,0)),"-"))</f>
        <v/>
      </c>
      <c r="E94" s="3" t="str">
        <f>IF(A94="","",IFERROR(INDEX(Movimientos!$L$2:$L$1995,MATCH(A94&amp;"ENTRADA",Movimientos!$S$2:$S$1995,0)),"-"))</f>
        <v/>
      </c>
      <c r="F94" s="8" t="str">
        <f>IF(A94="","",COUNTIFS(Stock_por_Lote!$B:$B,A94,Stock_por_Lote!$J:$J,"&gt;0"))</f>
        <v/>
      </c>
      <c r="G94" s="9" t="str">
        <f>IF(A94="","",SUMIFS(Movimientos!$K:$K,Movimientos!$C:$C,A94))</f>
        <v/>
      </c>
      <c r="H94" s="14" t="str">
        <f>IF(A94="","",IFERROR(IF(_xlfn.MINIFS(Stock_por_Lote!$H:$H,Stock_por_Lote!$B:$B,A94,Stock_por_Lote!$J:$J,"&gt;0")=0,"S/D",_xlfn.MINIFS(Stock_por_Lote!$H:$H,Stock_por_Lote!$B:$B,A94,Stock_por_Lote!$J:$J,"&gt;0")),"S/D"))</f>
        <v/>
      </c>
    </row>
    <row r="95" spans="2:8" ht="14.25">
      <c r="B95" s="3" t="str">
        <f>IF(A95="","",IFERROR(INDEX(Movimientos!$D$2:$D$1995,MATCH(A95&amp;"ENTRADA",Movimientos!$S$2:$S$1995,0)),"-"))</f>
        <v/>
      </c>
      <c r="C95" s="3" t="str">
        <f>IF(A95="","",IFERROR(INDEX(Movimientos!$E$2:$E$1995,MATCH(A95&amp;"ENTRADA",Movimientos!$S$2:$S$1995,0)),"-"))</f>
        <v/>
      </c>
      <c r="D95" s="3" t="str">
        <f>IF(A95="","",IFERROR(INDEX(Movimientos!$F$2:$F$1995,MATCH(A95&amp;"ENTRADA",Movimientos!$S$2:$S$1995,0)),"-"))</f>
        <v/>
      </c>
      <c r="E95" s="3" t="str">
        <f>IF(A95="","",IFERROR(INDEX(Movimientos!$L$2:$L$1995,MATCH(A95&amp;"ENTRADA",Movimientos!$S$2:$S$1995,0)),"-"))</f>
        <v/>
      </c>
      <c r="F95" s="8" t="str">
        <f>IF(A95="","",COUNTIFS(Stock_por_Lote!$B:$B,A95,Stock_por_Lote!$J:$J,"&gt;0"))</f>
        <v/>
      </c>
      <c r="G95" s="9" t="str">
        <f>IF(A95="","",SUMIFS(Movimientos!$K:$K,Movimientos!$C:$C,A95))</f>
        <v/>
      </c>
      <c r="H95" s="14" t="str">
        <f>IF(A95="","",IFERROR(IF(_xlfn.MINIFS(Stock_por_Lote!$H:$H,Stock_por_Lote!$B:$B,A95,Stock_por_Lote!$J:$J,"&gt;0")=0,"S/D",_xlfn.MINIFS(Stock_por_Lote!$H:$H,Stock_por_Lote!$B:$B,A95,Stock_por_Lote!$J:$J,"&gt;0")),"S/D"))</f>
        <v/>
      </c>
    </row>
    <row r="96" spans="2:8" ht="14.25">
      <c r="B96" s="3" t="str">
        <f>IF(A96="","",IFERROR(INDEX(Movimientos!$D$2:$D$1995,MATCH(A96&amp;"ENTRADA",Movimientos!$S$2:$S$1995,0)),"-"))</f>
        <v/>
      </c>
      <c r="C96" s="3" t="str">
        <f>IF(A96="","",IFERROR(INDEX(Movimientos!$E$2:$E$1995,MATCH(A96&amp;"ENTRADA",Movimientos!$S$2:$S$1995,0)),"-"))</f>
        <v/>
      </c>
      <c r="D96" s="3" t="str">
        <f>IF(A96="","",IFERROR(INDEX(Movimientos!$F$2:$F$1995,MATCH(A96&amp;"ENTRADA",Movimientos!$S$2:$S$1995,0)),"-"))</f>
        <v/>
      </c>
      <c r="E96" s="3" t="str">
        <f>IF(A96="","",IFERROR(INDEX(Movimientos!$L$2:$L$1995,MATCH(A96&amp;"ENTRADA",Movimientos!$S$2:$S$1995,0)),"-"))</f>
        <v/>
      </c>
      <c r="F96" s="8" t="str">
        <f>IF(A96="","",COUNTIFS(Stock_por_Lote!$B:$B,A96,Stock_por_Lote!$J:$J,"&gt;0"))</f>
        <v/>
      </c>
      <c r="G96" s="9" t="str">
        <f>IF(A96="","",SUMIFS(Movimientos!$K:$K,Movimientos!$C:$C,A96))</f>
        <v/>
      </c>
      <c r="H96" s="14" t="str">
        <f>IF(A96="","",IFERROR(IF(_xlfn.MINIFS(Stock_por_Lote!$H:$H,Stock_por_Lote!$B:$B,A96,Stock_por_Lote!$J:$J,"&gt;0")=0,"S/D",_xlfn.MINIFS(Stock_por_Lote!$H:$H,Stock_por_Lote!$B:$B,A96,Stock_por_Lote!$J:$J,"&gt;0")),"S/D"))</f>
        <v/>
      </c>
    </row>
    <row r="97" spans="2:8" ht="14.25">
      <c r="B97" s="3" t="str">
        <f>IF(A97="","",IFERROR(INDEX(Movimientos!$D$2:$D$1995,MATCH(A97&amp;"ENTRADA",Movimientos!$S$2:$S$1995,0)),"-"))</f>
        <v/>
      </c>
      <c r="C97" s="3" t="str">
        <f>IF(A97="","",IFERROR(INDEX(Movimientos!$E$2:$E$1995,MATCH(A97&amp;"ENTRADA",Movimientos!$S$2:$S$1995,0)),"-"))</f>
        <v/>
      </c>
      <c r="D97" s="3" t="str">
        <f>IF(A97="","",IFERROR(INDEX(Movimientos!$F$2:$F$1995,MATCH(A97&amp;"ENTRADA",Movimientos!$S$2:$S$1995,0)),"-"))</f>
        <v/>
      </c>
      <c r="E97" s="3" t="str">
        <f>IF(A97="","",IFERROR(INDEX(Movimientos!$L$2:$L$1995,MATCH(A97&amp;"ENTRADA",Movimientos!$S$2:$S$1995,0)),"-"))</f>
        <v/>
      </c>
      <c r="F97" s="8" t="str">
        <f>IF(A97="","",COUNTIFS(Stock_por_Lote!$B:$B,A97,Stock_por_Lote!$J:$J,"&gt;0"))</f>
        <v/>
      </c>
      <c r="G97" s="9" t="str">
        <f>IF(A97="","",SUMIFS(Movimientos!$K:$K,Movimientos!$C:$C,A97))</f>
        <v/>
      </c>
      <c r="H97" s="14" t="str">
        <f>IF(A97="","",IFERROR(IF(_xlfn.MINIFS(Stock_por_Lote!$H:$H,Stock_por_Lote!$B:$B,A97,Stock_por_Lote!$J:$J,"&gt;0")=0,"S/D",_xlfn.MINIFS(Stock_por_Lote!$H:$H,Stock_por_Lote!$B:$B,A97,Stock_por_Lote!$J:$J,"&gt;0")),"S/D"))</f>
        <v/>
      </c>
    </row>
    <row r="98" spans="2:8" ht="14.25">
      <c r="B98" s="3" t="str">
        <f>IF(A98="","",IFERROR(INDEX(Movimientos!$D$2:$D$1995,MATCH(A98&amp;"ENTRADA",Movimientos!$S$2:$S$1995,0)),"-"))</f>
        <v/>
      </c>
      <c r="C98" s="3" t="str">
        <f>IF(A98="","",IFERROR(INDEX(Movimientos!$E$2:$E$1995,MATCH(A98&amp;"ENTRADA",Movimientos!$S$2:$S$1995,0)),"-"))</f>
        <v/>
      </c>
      <c r="D98" s="3" t="str">
        <f>IF(A98="","",IFERROR(INDEX(Movimientos!$F$2:$F$1995,MATCH(A98&amp;"ENTRADA",Movimientos!$S$2:$S$1995,0)),"-"))</f>
        <v/>
      </c>
      <c r="E98" s="3" t="str">
        <f>IF(A98="","",IFERROR(INDEX(Movimientos!$L$2:$L$1995,MATCH(A98&amp;"ENTRADA",Movimientos!$S$2:$S$1995,0)),"-"))</f>
        <v/>
      </c>
      <c r="F98" s="8" t="str">
        <f>IF(A98="","",COUNTIFS(Stock_por_Lote!$B:$B,A98,Stock_por_Lote!$J:$J,"&gt;0"))</f>
        <v/>
      </c>
      <c r="G98" s="9" t="str">
        <f>IF(A98="","",SUMIFS(Movimientos!$K:$K,Movimientos!$C:$C,A98))</f>
        <v/>
      </c>
      <c r="H98" s="14" t="str">
        <f>IF(A98="","",IFERROR(IF(_xlfn.MINIFS(Stock_por_Lote!$H:$H,Stock_por_Lote!$B:$B,A98,Stock_por_Lote!$J:$J,"&gt;0")=0,"S/D",_xlfn.MINIFS(Stock_por_Lote!$H:$H,Stock_por_Lote!$B:$B,A98,Stock_por_Lote!$J:$J,"&gt;0")),"S/D"))</f>
        <v/>
      </c>
    </row>
    <row r="99" spans="2:8" ht="14.25">
      <c r="B99" s="3" t="str">
        <f>IF(A99="","",IFERROR(INDEX(Movimientos!$D$2:$D$1995,MATCH(A99&amp;"ENTRADA",Movimientos!$S$2:$S$1995,0)),"-"))</f>
        <v/>
      </c>
      <c r="C99" s="3" t="str">
        <f>IF(A99="","",IFERROR(INDEX(Movimientos!$E$2:$E$1995,MATCH(A99&amp;"ENTRADA",Movimientos!$S$2:$S$1995,0)),"-"))</f>
        <v/>
      </c>
      <c r="D99" s="3" t="str">
        <f>IF(A99="","",IFERROR(INDEX(Movimientos!$F$2:$F$1995,MATCH(A99&amp;"ENTRADA",Movimientos!$S$2:$S$1995,0)),"-"))</f>
        <v/>
      </c>
      <c r="E99" s="3" t="str">
        <f>IF(A99="","",IFERROR(INDEX(Movimientos!$L$2:$L$1995,MATCH(A99&amp;"ENTRADA",Movimientos!$S$2:$S$1995,0)),"-"))</f>
        <v/>
      </c>
      <c r="F99" s="8" t="str">
        <f>IF(A99="","",COUNTIFS(Stock_por_Lote!$B:$B,A99,Stock_por_Lote!$J:$J,"&gt;0"))</f>
        <v/>
      </c>
      <c r="G99" s="9" t="str">
        <f>IF(A99="","",SUMIFS(Movimientos!$K:$K,Movimientos!$C:$C,A99))</f>
        <v/>
      </c>
      <c r="H99" s="14" t="str">
        <f>IF(A99="","",IFERROR(IF(_xlfn.MINIFS(Stock_por_Lote!$H:$H,Stock_por_Lote!$B:$B,A99,Stock_por_Lote!$J:$J,"&gt;0")=0,"S/D",_xlfn.MINIFS(Stock_por_Lote!$H:$H,Stock_por_Lote!$B:$B,A99,Stock_por_Lote!$J:$J,"&gt;0")),"S/D"))</f>
        <v/>
      </c>
    </row>
    <row r="100" spans="2:8" ht="14.25">
      <c r="B100" s="3" t="str">
        <f>IF(A100="","",IFERROR(INDEX(Movimientos!$D$2:$D$1995,MATCH(A100&amp;"ENTRADA",Movimientos!$S$2:$S$1995,0)),"-"))</f>
        <v/>
      </c>
      <c r="C100" s="3" t="str">
        <f>IF(A100="","",IFERROR(INDEX(Movimientos!$E$2:$E$1995,MATCH(A100&amp;"ENTRADA",Movimientos!$S$2:$S$1995,0)),"-"))</f>
        <v/>
      </c>
      <c r="D100" s="3" t="str">
        <f>IF(A100="","",IFERROR(INDEX(Movimientos!$F$2:$F$1995,MATCH(A100&amp;"ENTRADA",Movimientos!$S$2:$S$1995,0)),"-"))</f>
        <v/>
      </c>
      <c r="E100" s="3" t="str">
        <f>IF(A100="","",IFERROR(INDEX(Movimientos!$L$2:$L$1995,MATCH(A100&amp;"ENTRADA",Movimientos!$S$2:$S$1995,0)),"-"))</f>
        <v/>
      </c>
      <c r="F100" s="8" t="str">
        <f>IF(A100="","",COUNTIFS(Stock_por_Lote!$B:$B,A100,Stock_por_Lote!$J:$J,"&gt;0"))</f>
        <v/>
      </c>
      <c r="G100" s="9" t="str">
        <f>IF(A100="","",SUMIFS(Movimientos!$K:$K,Movimientos!$C:$C,A100))</f>
        <v/>
      </c>
      <c r="H100" s="14" t="str">
        <f>IF(A100="","",IFERROR(IF(_xlfn.MINIFS(Stock_por_Lote!$H:$H,Stock_por_Lote!$B:$B,A100,Stock_por_Lote!$J:$J,"&gt;0")=0,"S/D",_xlfn.MINIFS(Stock_por_Lote!$H:$H,Stock_por_Lote!$B:$B,A100,Stock_por_Lote!$J:$J,"&gt;0")),"S/D"))</f>
        <v/>
      </c>
    </row>
    <row r="101" spans="2:8" ht="14.25">
      <c r="B101" s="3" t="str">
        <f>IF(A101="","",IFERROR(INDEX(Movimientos!$D$2:$D$1995,MATCH(A101&amp;"ENTRADA",Movimientos!$S$2:$S$1995,0)),"-"))</f>
        <v/>
      </c>
      <c r="C101" s="3" t="str">
        <f>IF(A101="","",IFERROR(INDEX(Movimientos!$E$2:$E$1995,MATCH(A101&amp;"ENTRADA",Movimientos!$S$2:$S$1995,0)),"-"))</f>
        <v/>
      </c>
      <c r="D101" s="3" t="str">
        <f>IF(A101="","",IFERROR(INDEX(Movimientos!$F$2:$F$1995,MATCH(A101&amp;"ENTRADA",Movimientos!$S$2:$S$1995,0)),"-"))</f>
        <v/>
      </c>
      <c r="E101" s="3" t="str">
        <f>IF(A101="","",IFERROR(INDEX(Movimientos!$L$2:$L$1995,MATCH(A101&amp;"ENTRADA",Movimientos!$S$2:$S$1995,0)),"-"))</f>
        <v/>
      </c>
      <c r="F101" s="8" t="str">
        <f>IF(A101="","",COUNTIFS(Stock_por_Lote!$B:$B,A101,Stock_por_Lote!$J:$J,"&gt;0"))</f>
        <v/>
      </c>
      <c r="G101" s="9" t="str">
        <f>IF(A101="","",SUMIFS(Movimientos!$K:$K,Movimientos!$C:$C,A101))</f>
        <v/>
      </c>
      <c r="H101" s="14" t="str">
        <f>IF(A101="","",IFERROR(IF(_xlfn.MINIFS(Stock_por_Lote!$H:$H,Stock_por_Lote!$B:$B,A101,Stock_por_Lote!$J:$J,"&gt;0")=0,"S/D",_xlfn.MINIFS(Stock_por_Lote!$H:$H,Stock_por_Lote!$B:$B,A101,Stock_por_Lote!$J:$J,"&gt;0")),"S/D"))</f>
        <v/>
      </c>
    </row>
    <row r="102" spans="2:8" ht="14.25">
      <c r="B102" s="3" t="str">
        <f>IF(A102="","",IFERROR(INDEX(Movimientos!$D$2:$D$1995,MATCH(A102&amp;"ENTRADA",Movimientos!$S$2:$S$1995,0)),"-"))</f>
        <v/>
      </c>
      <c r="C102" s="3" t="str">
        <f>IF(A102="","",IFERROR(INDEX(Movimientos!$E$2:$E$1995,MATCH(A102&amp;"ENTRADA",Movimientos!$S$2:$S$1995,0)),"-"))</f>
        <v/>
      </c>
      <c r="D102" s="3" t="str">
        <f>IF(A102="","",IFERROR(INDEX(Movimientos!$F$2:$F$1995,MATCH(A102&amp;"ENTRADA",Movimientos!$S$2:$S$1995,0)),"-"))</f>
        <v/>
      </c>
      <c r="E102" s="3" t="str">
        <f>IF(A102="","",IFERROR(INDEX(Movimientos!$L$2:$L$1995,MATCH(A102&amp;"ENTRADA",Movimientos!$S$2:$S$1995,0)),"-"))</f>
        <v/>
      </c>
      <c r="F102" s="8" t="str">
        <f>IF(A102="","",COUNTIFS(Stock_por_Lote!$B:$B,A102,Stock_por_Lote!$J:$J,"&gt;0"))</f>
        <v/>
      </c>
      <c r="G102" s="9" t="str">
        <f>IF(A102="","",SUMIFS(Movimientos!$K:$K,Movimientos!$C:$C,A102))</f>
        <v/>
      </c>
      <c r="H102" s="14" t="str">
        <f>IF(A102="","",IFERROR(IF(_xlfn.MINIFS(Stock_por_Lote!$H:$H,Stock_por_Lote!$B:$B,A102,Stock_por_Lote!$J:$J,"&gt;0")=0,"S/D",_xlfn.MINIFS(Stock_por_Lote!$H:$H,Stock_por_Lote!$B:$B,A102,Stock_por_Lote!$J:$J,"&gt;0")),"S/D"))</f>
        <v/>
      </c>
    </row>
    <row r="103" spans="2:8" ht="14.25">
      <c r="B103" s="3" t="str">
        <f>IF(A103="","",IFERROR(INDEX(Movimientos!$D$2:$D$1995,MATCH(A103&amp;"ENTRADA",Movimientos!$S$2:$S$1995,0)),"-"))</f>
        <v/>
      </c>
      <c r="C103" s="3" t="str">
        <f>IF(A103="","",IFERROR(INDEX(Movimientos!$E$2:$E$1995,MATCH(A103&amp;"ENTRADA",Movimientos!$S$2:$S$1995,0)),"-"))</f>
        <v/>
      </c>
      <c r="D103" s="3" t="str">
        <f>IF(A103="","",IFERROR(INDEX(Movimientos!$F$2:$F$1995,MATCH(A103&amp;"ENTRADA",Movimientos!$S$2:$S$1995,0)),"-"))</f>
        <v/>
      </c>
      <c r="E103" s="3" t="str">
        <f>IF(A103="","",IFERROR(INDEX(Movimientos!$L$2:$L$1995,MATCH(A103&amp;"ENTRADA",Movimientos!$S$2:$S$1995,0)),"-"))</f>
        <v/>
      </c>
      <c r="F103" s="8" t="str">
        <f>IF(A103="","",COUNTIFS(Stock_por_Lote!$B:$B,A103,Stock_por_Lote!$J:$J,"&gt;0"))</f>
        <v/>
      </c>
      <c r="G103" s="9" t="str">
        <f>IF(A103="","",SUMIFS(Movimientos!$K:$K,Movimientos!$C:$C,A103))</f>
        <v/>
      </c>
      <c r="H103" s="14" t="str">
        <f>IF(A103="","",IFERROR(IF(_xlfn.MINIFS(Stock_por_Lote!$H:$H,Stock_por_Lote!$B:$B,A103,Stock_por_Lote!$J:$J,"&gt;0")=0,"S/D",_xlfn.MINIFS(Stock_por_Lote!$H:$H,Stock_por_Lote!$B:$B,A103,Stock_por_Lote!$J:$J,"&gt;0")),"S/D"))</f>
        <v/>
      </c>
    </row>
    <row r="104" spans="2:8" ht="14.25">
      <c r="B104" s="3" t="str">
        <f>IF(A104="","",IFERROR(INDEX(Movimientos!$D$2:$D$1995,MATCH(A104&amp;"ENTRADA",Movimientos!$S$2:$S$1995,0)),"-"))</f>
        <v/>
      </c>
      <c r="C104" s="3" t="str">
        <f>IF(A104="","",IFERROR(INDEX(Movimientos!$E$2:$E$1995,MATCH(A104&amp;"ENTRADA",Movimientos!$S$2:$S$1995,0)),"-"))</f>
        <v/>
      </c>
      <c r="D104" s="3" t="str">
        <f>IF(A104="","",IFERROR(INDEX(Movimientos!$F$2:$F$1995,MATCH(A104&amp;"ENTRADA",Movimientos!$S$2:$S$1995,0)),"-"))</f>
        <v/>
      </c>
      <c r="E104" s="3" t="str">
        <f>IF(A104="","",IFERROR(INDEX(Movimientos!$L$2:$L$1995,MATCH(A104&amp;"ENTRADA",Movimientos!$S$2:$S$1995,0)),"-"))</f>
        <v/>
      </c>
      <c r="F104" s="8" t="str">
        <f>IF(A104="","",COUNTIFS(Stock_por_Lote!$B:$B,A104,Stock_por_Lote!$J:$J,"&gt;0"))</f>
        <v/>
      </c>
      <c r="G104" s="9" t="str">
        <f>IF(A104="","",SUMIFS(Movimientos!$K:$K,Movimientos!$C:$C,A104))</f>
        <v/>
      </c>
      <c r="H104" s="14" t="str">
        <f>IF(A104="","",IFERROR(IF(_xlfn.MINIFS(Stock_por_Lote!$H:$H,Stock_por_Lote!$B:$B,A104,Stock_por_Lote!$J:$J,"&gt;0")=0,"S/D",_xlfn.MINIFS(Stock_por_Lote!$H:$H,Stock_por_Lote!$B:$B,A104,Stock_por_Lote!$J:$J,"&gt;0")),"S/D"))</f>
        <v/>
      </c>
    </row>
    <row r="105" spans="2:8" ht="14.25">
      <c r="B105" s="3" t="str">
        <f>IF(A105="","",IFERROR(INDEX(Movimientos!$D$2:$D$1995,MATCH(A105&amp;"ENTRADA",Movimientos!$S$2:$S$1995,0)),"-"))</f>
        <v/>
      </c>
      <c r="C105" s="3" t="str">
        <f>IF(A105="","",IFERROR(INDEX(Movimientos!$E$2:$E$1995,MATCH(A105&amp;"ENTRADA",Movimientos!$S$2:$S$1995,0)),"-"))</f>
        <v/>
      </c>
      <c r="D105" s="3" t="str">
        <f>IF(A105="","",IFERROR(INDEX(Movimientos!$F$2:$F$1995,MATCH(A105&amp;"ENTRADA",Movimientos!$S$2:$S$1995,0)),"-"))</f>
        <v/>
      </c>
      <c r="E105" s="3" t="str">
        <f>IF(A105="","",IFERROR(INDEX(Movimientos!$L$2:$L$1995,MATCH(A105&amp;"ENTRADA",Movimientos!$S$2:$S$1995,0)),"-"))</f>
        <v/>
      </c>
      <c r="F105" s="8" t="str">
        <f>IF(A105="","",COUNTIFS(Stock_por_Lote!$B:$B,A105,Stock_por_Lote!$J:$J,"&gt;0"))</f>
        <v/>
      </c>
      <c r="G105" s="9" t="str">
        <f>IF(A105="","",SUMIFS(Movimientos!$K:$K,Movimientos!$C:$C,A105))</f>
        <v/>
      </c>
      <c r="H105" s="14" t="str">
        <f>IF(A105="","",IFERROR(IF(_xlfn.MINIFS(Stock_por_Lote!$H:$H,Stock_por_Lote!$B:$B,A105,Stock_por_Lote!$J:$J,"&gt;0")=0,"S/D",_xlfn.MINIFS(Stock_por_Lote!$H:$H,Stock_por_Lote!$B:$B,A105,Stock_por_Lote!$J:$J,"&gt;0")),"S/D"))</f>
        <v/>
      </c>
    </row>
    <row r="106" spans="2:8" ht="14.25">
      <c r="B106" s="3" t="str">
        <f>IF(A106="","",IFERROR(INDEX(Movimientos!$D$2:$D$1995,MATCH(A106&amp;"ENTRADA",Movimientos!$S$2:$S$1995,0)),"-"))</f>
        <v/>
      </c>
      <c r="C106" s="3" t="str">
        <f>IF(A106="","",IFERROR(INDEX(Movimientos!$E$2:$E$1995,MATCH(A106&amp;"ENTRADA",Movimientos!$S$2:$S$1995,0)),"-"))</f>
        <v/>
      </c>
      <c r="D106" s="3" t="str">
        <f>IF(A106="","",IFERROR(INDEX(Movimientos!$F$2:$F$1995,MATCH(A106&amp;"ENTRADA",Movimientos!$S$2:$S$1995,0)),"-"))</f>
        <v/>
      </c>
      <c r="E106" s="3" t="str">
        <f>IF(A106="","",IFERROR(INDEX(Movimientos!$L$2:$L$1995,MATCH(A106&amp;"ENTRADA",Movimientos!$S$2:$S$1995,0)),"-"))</f>
        <v/>
      </c>
      <c r="F106" s="8" t="str">
        <f>IF(A106="","",COUNTIFS(Stock_por_Lote!$B:$B,A106,Stock_por_Lote!$J:$J,"&gt;0"))</f>
        <v/>
      </c>
      <c r="G106" s="9" t="str">
        <f>IF(A106="","",SUMIFS(Movimientos!$K:$K,Movimientos!$C:$C,A106))</f>
        <v/>
      </c>
      <c r="H106" s="14" t="str">
        <f>IF(A106="","",IFERROR(IF(_xlfn.MINIFS(Stock_por_Lote!$H:$H,Stock_por_Lote!$B:$B,A106,Stock_por_Lote!$J:$J,"&gt;0")=0,"S/D",_xlfn.MINIFS(Stock_por_Lote!$H:$H,Stock_por_Lote!$B:$B,A106,Stock_por_Lote!$J:$J,"&gt;0")),"S/D"))</f>
        <v/>
      </c>
    </row>
    <row r="107" spans="2:8" ht="14.25">
      <c r="B107" s="3" t="str">
        <f>IF(A107="","",IFERROR(INDEX(Movimientos!$D$2:$D$1995,MATCH(A107&amp;"ENTRADA",Movimientos!$S$2:$S$1995,0)),"-"))</f>
        <v/>
      </c>
      <c r="C107" s="3" t="str">
        <f>IF(A107="","",IFERROR(INDEX(Movimientos!$E$2:$E$1995,MATCH(A107&amp;"ENTRADA",Movimientos!$S$2:$S$1995,0)),"-"))</f>
        <v/>
      </c>
      <c r="D107" s="3" t="str">
        <f>IF(A107="","",IFERROR(INDEX(Movimientos!$F$2:$F$1995,MATCH(A107&amp;"ENTRADA",Movimientos!$S$2:$S$1995,0)),"-"))</f>
        <v/>
      </c>
      <c r="E107" s="3" t="str">
        <f>IF(A107="","",IFERROR(INDEX(Movimientos!$L$2:$L$1995,MATCH(A107&amp;"ENTRADA",Movimientos!$S$2:$S$1995,0)),"-"))</f>
        <v/>
      </c>
      <c r="F107" s="8" t="str">
        <f>IF(A107="","",COUNTIFS(Stock_por_Lote!$B:$B,A107,Stock_por_Lote!$J:$J,"&gt;0"))</f>
        <v/>
      </c>
      <c r="G107" s="9" t="str">
        <f>IF(A107="","",SUMIFS(Movimientos!$K:$K,Movimientos!$C:$C,A107))</f>
        <v/>
      </c>
      <c r="H107" s="14" t="str">
        <f>IF(A107="","",IFERROR(IF(_xlfn.MINIFS(Stock_por_Lote!$H:$H,Stock_por_Lote!$B:$B,A107,Stock_por_Lote!$J:$J,"&gt;0")=0,"S/D",_xlfn.MINIFS(Stock_por_Lote!$H:$H,Stock_por_Lote!$B:$B,A107,Stock_por_Lote!$J:$J,"&gt;0")),"S/D"))</f>
        <v/>
      </c>
    </row>
    <row r="108" spans="2:8" ht="14.25">
      <c r="B108" s="3" t="str">
        <f>IF(A108="","",IFERROR(INDEX(Movimientos!$D$2:$D$1995,MATCH(A108&amp;"ENTRADA",Movimientos!$S$2:$S$1995,0)),"-"))</f>
        <v/>
      </c>
      <c r="C108" s="3" t="str">
        <f>IF(A108="","",IFERROR(INDEX(Movimientos!$E$2:$E$1995,MATCH(A108&amp;"ENTRADA",Movimientos!$S$2:$S$1995,0)),"-"))</f>
        <v/>
      </c>
      <c r="D108" s="3" t="str">
        <f>IF(A108="","",IFERROR(INDEX(Movimientos!$F$2:$F$1995,MATCH(A108&amp;"ENTRADA",Movimientos!$S$2:$S$1995,0)),"-"))</f>
        <v/>
      </c>
      <c r="E108" s="3" t="str">
        <f>IF(A108="","",IFERROR(INDEX(Movimientos!$L$2:$L$1995,MATCH(A108&amp;"ENTRADA",Movimientos!$S$2:$S$1995,0)),"-"))</f>
        <v/>
      </c>
      <c r="F108" s="8" t="str">
        <f>IF(A108="","",COUNTIFS(Stock_por_Lote!$B:$B,A108,Stock_por_Lote!$J:$J,"&gt;0"))</f>
        <v/>
      </c>
      <c r="G108" s="9" t="str">
        <f>IF(A108="","",SUMIFS(Movimientos!$K:$K,Movimientos!$C:$C,A108))</f>
        <v/>
      </c>
      <c r="H108" s="14" t="str">
        <f>IF(A108="","",IFERROR(IF(_xlfn.MINIFS(Stock_por_Lote!$H:$H,Stock_por_Lote!$B:$B,A108,Stock_por_Lote!$J:$J,"&gt;0")=0,"S/D",_xlfn.MINIFS(Stock_por_Lote!$H:$H,Stock_por_Lote!$B:$B,A108,Stock_por_Lote!$J:$J,"&gt;0")),"S/D"))</f>
        <v/>
      </c>
    </row>
    <row r="109" spans="2:8" ht="14.25">
      <c r="B109" s="3" t="str">
        <f>IF(A109="","",IFERROR(INDEX(Movimientos!$D$2:$D$1995,MATCH(A109&amp;"ENTRADA",Movimientos!$S$2:$S$1995,0)),"-"))</f>
        <v/>
      </c>
      <c r="C109" s="3" t="str">
        <f>IF(A109="","",IFERROR(INDEX(Movimientos!$E$2:$E$1995,MATCH(A109&amp;"ENTRADA",Movimientos!$S$2:$S$1995,0)),"-"))</f>
        <v/>
      </c>
      <c r="D109" s="3" t="str">
        <f>IF(A109="","",IFERROR(INDEX(Movimientos!$F$2:$F$1995,MATCH(A109&amp;"ENTRADA",Movimientos!$S$2:$S$1995,0)),"-"))</f>
        <v/>
      </c>
      <c r="E109" s="3" t="str">
        <f>IF(A109="","",IFERROR(INDEX(Movimientos!$L$2:$L$1995,MATCH(A109&amp;"ENTRADA",Movimientos!$S$2:$S$1995,0)),"-"))</f>
        <v/>
      </c>
      <c r="F109" s="8" t="str">
        <f>IF(A109="","",COUNTIFS(Stock_por_Lote!$B:$B,A109,Stock_por_Lote!$J:$J,"&gt;0"))</f>
        <v/>
      </c>
      <c r="G109" s="9" t="str">
        <f>IF(A109="","",SUMIFS(Movimientos!$K:$K,Movimientos!$C:$C,A109))</f>
        <v/>
      </c>
      <c r="H109" s="14" t="str">
        <f>IF(A109="","",IFERROR(IF(_xlfn.MINIFS(Stock_por_Lote!$H:$H,Stock_por_Lote!$B:$B,A109,Stock_por_Lote!$J:$J,"&gt;0")=0,"S/D",_xlfn.MINIFS(Stock_por_Lote!$H:$H,Stock_por_Lote!$B:$B,A109,Stock_por_Lote!$J:$J,"&gt;0")),"S/D"))</f>
        <v/>
      </c>
    </row>
    <row r="110" spans="2:8" ht="14.25">
      <c r="B110" s="3" t="str">
        <f>IF(A110="","",IFERROR(INDEX(Movimientos!$D$2:$D$1995,MATCH(A110&amp;"ENTRADA",Movimientos!$S$2:$S$1995,0)),"-"))</f>
        <v/>
      </c>
      <c r="C110" s="3" t="str">
        <f>IF(A110="","",IFERROR(INDEX(Movimientos!$E$2:$E$1995,MATCH(A110&amp;"ENTRADA",Movimientos!$S$2:$S$1995,0)),"-"))</f>
        <v/>
      </c>
      <c r="D110" s="3" t="str">
        <f>IF(A110="","",IFERROR(INDEX(Movimientos!$F$2:$F$1995,MATCH(A110&amp;"ENTRADA",Movimientos!$S$2:$S$1995,0)),"-"))</f>
        <v/>
      </c>
      <c r="E110" s="3" t="str">
        <f>IF(A110="","",IFERROR(INDEX(Movimientos!$L$2:$L$1995,MATCH(A110&amp;"ENTRADA",Movimientos!$S$2:$S$1995,0)),"-"))</f>
        <v/>
      </c>
      <c r="F110" s="8" t="str">
        <f>IF(A110="","",COUNTIFS(Stock_por_Lote!$B:$B,A110,Stock_por_Lote!$J:$J,"&gt;0"))</f>
        <v/>
      </c>
      <c r="G110" s="9" t="str">
        <f>IF(A110="","",SUMIFS(Movimientos!$K:$K,Movimientos!$C:$C,A110))</f>
        <v/>
      </c>
      <c r="H110" s="14" t="str">
        <f>IF(A110="","",IFERROR(IF(_xlfn.MINIFS(Stock_por_Lote!$H:$H,Stock_por_Lote!$B:$B,A110,Stock_por_Lote!$J:$J,"&gt;0")=0,"S/D",_xlfn.MINIFS(Stock_por_Lote!$H:$H,Stock_por_Lote!$B:$B,A110,Stock_por_Lote!$J:$J,"&gt;0")),"S/D"))</f>
        <v/>
      </c>
    </row>
    <row r="111" spans="2:8" ht="14.25">
      <c r="B111" s="3" t="str">
        <f>IF(A111="","",IFERROR(INDEX(Movimientos!$D$2:$D$1995,MATCH(A111&amp;"ENTRADA",Movimientos!$S$2:$S$1995,0)),"-"))</f>
        <v/>
      </c>
      <c r="C111" s="3" t="str">
        <f>IF(A111="","",IFERROR(INDEX(Movimientos!$E$2:$E$1995,MATCH(A111&amp;"ENTRADA",Movimientos!$S$2:$S$1995,0)),"-"))</f>
        <v/>
      </c>
      <c r="D111" s="3" t="str">
        <f>IF(A111="","",IFERROR(INDEX(Movimientos!$F$2:$F$1995,MATCH(A111&amp;"ENTRADA",Movimientos!$S$2:$S$1995,0)),"-"))</f>
        <v/>
      </c>
      <c r="E111" s="3" t="str">
        <f>IF(A111="","",IFERROR(INDEX(Movimientos!$L$2:$L$1995,MATCH(A111&amp;"ENTRADA",Movimientos!$S$2:$S$1995,0)),"-"))</f>
        <v/>
      </c>
      <c r="F111" s="8" t="str">
        <f>IF(A111="","",COUNTIFS(Stock_por_Lote!$B:$B,A111,Stock_por_Lote!$J:$J,"&gt;0"))</f>
        <v/>
      </c>
      <c r="G111" s="9" t="str">
        <f>IF(A111="","",SUMIFS(Movimientos!$K:$K,Movimientos!$C:$C,A111))</f>
        <v/>
      </c>
      <c r="H111" s="14" t="str">
        <f>IF(A111="","",IFERROR(IF(_xlfn.MINIFS(Stock_por_Lote!$H:$H,Stock_por_Lote!$B:$B,A111,Stock_por_Lote!$J:$J,"&gt;0")=0,"S/D",_xlfn.MINIFS(Stock_por_Lote!$H:$H,Stock_por_Lote!$B:$B,A111,Stock_por_Lote!$J:$J,"&gt;0")),"S/D"))</f>
        <v/>
      </c>
    </row>
    <row r="112" spans="2:8" ht="14.25">
      <c r="B112" s="3" t="str">
        <f>IF(A112="","",IFERROR(INDEX(Movimientos!$D$2:$D$1995,MATCH(A112&amp;"ENTRADA",Movimientos!$S$2:$S$1995,0)),"-"))</f>
        <v/>
      </c>
      <c r="C112" s="3" t="str">
        <f>IF(A112="","",IFERROR(INDEX(Movimientos!$E$2:$E$1995,MATCH(A112&amp;"ENTRADA",Movimientos!$S$2:$S$1995,0)),"-"))</f>
        <v/>
      </c>
      <c r="D112" s="3" t="str">
        <f>IF(A112="","",IFERROR(INDEX(Movimientos!$F$2:$F$1995,MATCH(A112&amp;"ENTRADA",Movimientos!$S$2:$S$1995,0)),"-"))</f>
        <v/>
      </c>
      <c r="E112" s="3" t="str">
        <f>IF(A112="","",IFERROR(INDEX(Movimientos!$L$2:$L$1995,MATCH(A112&amp;"ENTRADA",Movimientos!$S$2:$S$1995,0)),"-"))</f>
        <v/>
      </c>
      <c r="F112" s="8" t="str">
        <f>IF(A112="","",COUNTIFS(Stock_por_Lote!$B:$B,A112,Stock_por_Lote!$J:$J,"&gt;0"))</f>
        <v/>
      </c>
      <c r="G112" s="9" t="str">
        <f>IF(A112="","",SUMIFS(Movimientos!$K:$K,Movimientos!$C:$C,A112))</f>
        <v/>
      </c>
      <c r="H112" s="14" t="str">
        <f>IF(A112="","",IFERROR(IF(_xlfn.MINIFS(Stock_por_Lote!$H:$H,Stock_por_Lote!$B:$B,A112,Stock_por_Lote!$J:$J,"&gt;0")=0,"S/D",_xlfn.MINIFS(Stock_por_Lote!$H:$H,Stock_por_Lote!$B:$B,A112,Stock_por_Lote!$J:$J,"&gt;0")),"S/D"))</f>
        <v/>
      </c>
    </row>
  </sheetData>
  <autoFilter ref="A1:H112" xr:uid="{00000000-0001-0000-0200-000000000000}"/>
  <conditionalFormatting sqref="A9">
    <cfRule type="expression" dxfId="3" priority="3">
      <formula>$I9="ENTRADA"</formula>
    </cfRule>
    <cfRule type="expression" dxfId="2" priority="4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 A39:A55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56"/>
  <sheetViews>
    <sheetView showGridLines="0" topLeftCell="A2" workbookViewId="0">
      <selection activeCell="G7" sqref="G7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2260</v>
      </c>
      <c r="B1" s="23" t="s">
        <v>3215</v>
      </c>
      <c r="C1" s="23" t="s">
        <v>4</v>
      </c>
      <c r="D1" s="23" t="s">
        <v>5</v>
      </c>
      <c r="E1" s="23" t="s">
        <v>6</v>
      </c>
      <c r="F1" s="23" t="s">
        <v>3216</v>
      </c>
      <c r="G1" s="23" t="s">
        <v>11</v>
      </c>
      <c r="H1" s="23" t="s">
        <v>3217</v>
      </c>
    </row>
    <row r="2" spans="1:8">
      <c r="A2" t="s">
        <v>22</v>
      </c>
      <c r="B2" t="s">
        <v>23</v>
      </c>
      <c r="C2" s="24" t="s">
        <v>3218</v>
      </c>
      <c r="D2" s="24" t="s">
        <v>3219</v>
      </c>
      <c r="E2" s="24" t="s">
        <v>35</v>
      </c>
      <c r="F2" s="24" t="s">
        <v>27</v>
      </c>
      <c r="G2" s="24" t="s">
        <v>36</v>
      </c>
      <c r="H2" s="10" t="s">
        <v>211</v>
      </c>
    </row>
    <row r="3" spans="1:8">
      <c r="A3" t="s">
        <v>31</v>
      </c>
      <c r="B3" t="s">
        <v>104</v>
      </c>
      <c r="C3" s="24" t="s">
        <v>514</v>
      </c>
      <c r="D3" s="24" t="s">
        <v>3220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3221</v>
      </c>
      <c r="E4" s="24" t="s">
        <v>76</v>
      </c>
      <c r="G4" s="24" t="s">
        <v>3222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3223</v>
      </c>
      <c r="E5" s="10" t="s">
        <v>26</v>
      </c>
      <c r="G5" s="24" t="s">
        <v>3224</v>
      </c>
      <c r="H5" s="10" t="s">
        <v>380</v>
      </c>
    </row>
    <row r="6" spans="1:8">
      <c r="A6" t="s">
        <v>49</v>
      </c>
      <c r="B6" t="s">
        <v>278</v>
      </c>
      <c r="C6" s="24" t="s">
        <v>491</v>
      </c>
      <c r="D6" s="24" t="s">
        <v>45</v>
      </c>
      <c r="E6" s="24" t="s">
        <v>82</v>
      </c>
      <c r="G6" s="24" t="s">
        <v>72</v>
      </c>
      <c r="H6" s="10" t="s">
        <v>235</v>
      </c>
    </row>
    <row r="7" spans="1:8">
      <c r="A7" t="s">
        <v>53</v>
      </c>
      <c r="B7" t="s">
        <v>54</v>
      </c>
      <c r="C7" s="24" t="s">
        <v>283</v>
      </c>
      <c r="D7" s="24" t="s">
        <v>34</v>
      </c>
      <c r="E7" s="24" t="s">
        <v>116</v>
      </c>
      <c r="G7" s="24" t="s">
        <v>628</v>
      </c>
      <c r="H7" t="s">
        <v>216</v>
      </c>
    </row>
    <row r="8" spans="1:8">
      <c r="A8" t="s">
        <v>58</v>
      </c>
      <c r="B8" t="s">
        <v>59</v>
      </c>
      <c r="C8" s="24" t="s">
        <v>130</v>
      </c>
      <c r="D8" s="24" t="s">
        <v>3225</v>
      </c>
      <c r="E8" s="24" t="s">
        <v>131</v>
      </c>
      <c r="G8" s="24" t="s">
        <v>55</v>
      </c>
      <c r="H8" t="s">
        <v>307</v>
      </c>
    </row>
    <row r="9" spans="1:8">
      <c r="A9" t="s">
        <v>74</v>
      </c>
      <c r="B9" t="s">
        <v>75</v>
      </c>
      <c r="C9" s="24" t="s">
        <v>69</v>
      </c>
      <c r="D9" s="24" t="s">
        <v>3226</v>
      </c>
      <c r="E9" s="24" t="s">
        <v>156</v>
      </c>
      <c r="G9" s="10" t="s">
        <v>3227</v>
      </c>
      <c r="H9" t="s">
        <v>309</v>
      </c>
    </row>
    <row r="10" spans="1:8">
      <c r="A10" t="s">
        <v>69</v>
      </c>
      <c r="B10" t="s">
        <v>70</v>
      </c>
      <c r="C10" s="24" t="s">
        <v>575</v>
      </c>
      <c r="D10" s="24" t="s">
        <v>3228</v>
      </c>
      <c r="E10" s="24" t="s">
        <v>164</v>
      </c>
      <c r="H10" t="s">
        <v>329</v>
      </c>
    </row>
    <row r="11" spans="1:8">
      <c r="A11" t="s">
        <v>79</v>
      </c>
      <c r="B11" t="s">
        <v>80</v>
      </c>
      <c r="C11" s="24"/>
      <c r="D11" s="24" t="s">
        <v>3229</v>
      </c>
      <c r="E11" s="24" t="s">
        <v>178</v>
      </c>
      <c r="H11" t="s">
        <v>385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  <c r="H12" t="s">
        <v>587</v>
      </c>
    </row>
    <row r="13" spans="1:8">
      <c r="A13" t="s">
        <v>89</v>
      </c>
      <c r="B13" t="s">
        <v>90</v>
      </c>
      <c r="C13" s="24"/>
      <c r="D13" s="24" t="s">
        <v>3230</v>
      </c>
      <c r="E13" t="s">
        <v>3231</v>
      </c>
    </row>
    <row r="14" spans="1:8">
      <c r="A14" t="s">
        <v>111</v>
      </c>
      <c r="B14" t="s">
        <v>112</v>
      </c>
      <c r="C14" s="24"/>
      <c r="D14" s="24" t="s">
        <v>3232</v>
      </c>
      <c r="E14" t="s">
        <v>3233</v>
      </c>
    </row>
    <row r="15" spans="1:8">
      <c r="A15" t="s">
        <v>107</v>
      </c>
      <c r="B15" t="s">
        <v>108</v>
      </c>
      <c r="C15" s="24"/>
      <c r="D15" s="24" t="s">
        <v>3234</v>
      </c>
      <c r="E15" t="s">
        <v>257</v>
      </c>
    </row>
    <row r="16" spans="1:8">
      <c r="A16" t="s">
        <v>114</v>
      </c>
      <c r="B16" t="s">
        <v>115</v>
      </c>
      <c r="D16" s="24" t="s">
        <v>3235</v>
      </c>
      <c r="E16" t="s">
        <v>299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3236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256</v>
      </c>
    </row>
    <row r="27" spans="1:4">
      <c r="A27" t="s">
        <v>176</v>
      </c>
      <c r="B27" t="s">
        <v>177</v>
      </c>
      <c r="D27" t="s">
        <v>284</v>
      </c>
    </row>
    <row r="28" spans="1:4">
      <c r="A28" t="s">
        <v>180</v>
      </c>
      <c r="B28" t="s">
        <v>181</v>
      </c>
      <c r="D28" t="s">
        <v>3237</v>
      </c>
    </row>
    <row r="29" spans="1:4">
      <c r="A29" t="s">
        <v>184</v>
      </c>
      <c r="B29" t="s">
        <v>185</v>
      </c>
      <c r="D29" t="s">
        <v>3238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226</v>
      </c>
      <c r="B32" t="s">
        <v>227</v>
      </c>
    </row>
    <row r="33" spans="1:2">
      <c r="A33" t="s">
        <v>229</v>
      </c>
      <c r="B33" t="s">
        <v>229</v>
      </c>
    </row>
    <row r="34" spans="1:2">
      <c r="A34" t="s">
        <v>125</v>
      </c>
      <c r="B34" t="s">
        <v>126</v>
      </c>
    </row>
    <row r="35" spans="1:2">
      <c r="A35" t="s">
        <v>243</v>
      </c>
      <c r="B35" t="s">
        <v>244</v>
      </c>
    </row>
    <row r="36" spans="1:2">
      <c r="A36" t="s">
        <v>247</v>
      </c>
      <c r="B36" t="s">
        <v>248</v>
      </c>
    </row>
    <row r="37" spans="1:2">
      <c r="A37" t="s">
        <v>254</v>
      </c>
      <c r="B37" t="s">
        <v>255</v>
      </c>
    </row>
    <row r="38" spans="1:2">
      <c r="A38" t="s">
        <v>259</v>
      </c>
      <c r="B38" t="s">
        <v>260</v>
      </c>
    </row>
    <row r="39" spans="1:2">
      <c r="A39" t="s">
        <v>262</v>
      </c>
      <c r="B39" t="s">
        <v>263</v>
      </c>
    </row>
    <row r="40" spans="1:2">
      <c r="A40" t="s">
        <v>265</v>
      </c>
      <c r="B40" t="s">
        <v>265</v>
      </c>
    </row>
    <row r="41" spans="1:2">
      <c r="A41" t="s">
        <v>281</v>
      </c>
      <c r="B41" t="s">
        <v>282</v>
      </c>
    </row>
    <row r="42" spans="1:2">
      <c r="A42" t="s">
        <v>297</v>
      </c>
      <c r="B42" t="s">
        <v>298</v>
      </c>
    </row>
    <row r="43" spans="1:2">
      <c r="A43" t="s">
        <v>302</v>
      </c>
      <c r="B43" t="s">
        <v>303</v>
      </c>
    </row>
    <row r="44" spans="1:2">
      <c r="A44" t="s">
        <v>3239</v>
      </c>
      <c r="B44" t="s">
        <v>424</v>
      </c>
    </row>
    <row r="45" spans="1:2">
      <c r="A45" t="s">
        <v>426</v>
      </c>
      <c r="B45" t="s">
        <v>427</v>
      </c>
    </row>
    <row r="46" spans="1:2">
      <c r="A46" s="49" t="s">
        <v>489</v>
      </c>
      <c r="B46" t="s">
        <v>490</v>
      </c>
    </row>
    <row r="47" spans="1:2">
      <c r="A47" t="s">
        <v>512</v>
      </c>
      <c r="B47" t="s">
        <v>513</v>
      </c>
    </row>
    <row r="48" spans="1:2">
      <c r="A48" t="s">
        <v>522</v>
      </c>
      <c r="B48" t="s">
        <v>523</v>
      </c>
    </row>
    <row r="49" spans="1:2">
      <c r="A49" t="s">
        <v>525</v>
      </c>
      <c r="B49" t="s">
        <v>526</v>
      </c>
    </row>
    <row r="50" spans="1:2">
      <c r="A50" t="s">
        <v>532</v>
      </c>
      <c r="B50" t="s">
        <v>533</v>
      </c>
    </row>
    <row r="51" spans="1:2">
      <c r="A51" t="s">
        <v>554</v>
      </c>
      <c r="B51" t="s">
        <v>555</v>
      </c>
    </row>
    <row r="52" spans="1:2">
      <c r="A52" t="s">
        <v>573</v>
      </c>
      <c r="B52" t="s">
        <v>574</v>
      </c>
    </row>
    <row r="53" spans="1:2">
      <c r="A53" t="s">
        <v>577</v>
      </c>
      <c r="B53" t="s">
        <v>627</v>
      </c>
    </row>
    <row r="54" spans="1:2">
      <c r="A54" t="s">
        <v>630</v>
      </c>
    </row>
    <row r="55" spans="1:2">
      <c r="A55" t="s">
        <v>626</v>
      </c>
    </row>
    <row r="56" spans="1:2">
      <c r="A56" t="s">
        <v>632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3240</v>
      </c>
    </row>
    <row r="2" spans="1:2">
      <c r="B2" t="s">
        <v>3241</v>
      </c>
    </row>
    <row r="3" spans="1:2" ht="18" customHeight="1">
      <c r="A3" s="11" t="s">
        <v>3242</v>
      </c>
      <c r="B3" s="12"/>
    </row>
    <row r="4" spans="1:2" ht="30" customHeight="1">
      <c r="A4" s="25" t="s">
        <v>3243</v>
      </c>
      <c r="B4" s="26" t="s">
        <v>3244</v>
      </c>
    </row>
    <row r="5" spans="1:2" ht="30" customHeight="1">
      <c r="A5" s="25" t="s">
        <v>3245</v>
      </c>
      <c r="B5" s="26" t="s">
        <v>3246</v>
      </c>
    </row>
    <row r="6" spans="1:2" ht="30" customHeight="1">
      <c r="A6" s="25" t="s">
        <v>3247</v>
      </c>
      <c r="B6" s="26" t="s">
        <v>3248</v>
      </c>
    </row>
    <row r="7" spans="1:2" ht="18" customHeight="1">
      <c r="A7" s="27"/>
      <c r="B7" s="27"/>
    </row>
    <row r="8" spans="1:2" ht="18" customHeight="1">
      <c r="A8" s="11" t="s">
        <v>3249</v>
      </c>
      <c r="B8" s="12"/>
    </row>
    <row r="9" spans="1:2" ht="30" customHeight="1">
      <c r="A9" s="25" t="s">
        <v>3250</v>
      </c>
      <c r="B9" s="26" t="s">
        <v>3251</v>
      </c>
    </row>
    <row r="10" spans="1:2" ht="30" customHeight="1">
      <c r="A10" s="25" t="s">
        <v>3252</v>
      </c>
      <c r="B10" s="26" t="s">
        <v>3253</v>
      </c>
    </row>
    <row r="11" spans="1:2" ht="30" customHeight="1">
      <c r="A11" s="25" t="s">
        <v>3254</v>
      </c>
      <c r="B11" s="26" t="s">
        <v>3255</v>
      </c>
    </row>
    <row r="12" spans="1:2" ht="30" customHeight="1">
      <c r="A12" s="25" t="s">
        <v>3256</v>
      </c>
      <c r="B12" s="26" t="s">
        <v>3257</v>
      </c>
    </row>
    <row r="13" spans="1:2" ht="30" customHeight="1">
      <c r="A13" s="25" t="s">
        <v>3258</v>
      </c>
      <c r="B13" s="26" t="s">
        <v>3259</v>
      </c>
    </row>
    <row r="14" spans="1:2" ht="18" customHeight="1">
      <c r="A14" s="27"/>
      <c r="B14" s="27"/>
    </row>
    <row r="15" spans="1:2" ht="18" customHeight="1">
      <c r="A15" s="11" t="s">
        <v>3260</v>
      </c>
      <c r="B15" s="12"/>
    </row>
    <row r="16" spans="1:2" ht="30" customHeight="1">
      <c r="A16" s="25" t="s">
        <v>3261</v>
      </c>
      <c r="B16" s="26" t="s">
        <v>3262</v>
      </c>
    </row>
    <row r="17" spans="1:2" ht="18" customHeight="1">
      <c r="A17" s="27"/>
      <c r="B17" s="27"/>
    </row>
    <row r="18" spans="1:2" ht="18" customHeight="1">
      <c r="A18" s="11" t="s">
        <v>3263</v>
      </c>
      <c r="B18" s="12"/>
    </row>
    <row r="19" spans="1:2" ht="30" customHeight="1">
      <c r="A19" s="25" t="s">
        <v>3264</v>
      </c>
      <c r="B19" s="26" t="s">
        <v>3265</v>
      </c>
    </row>
    <row r="20" spans="1:2" ht="30" customHeight="1">
      <c r="A20" s="25" t="s">
        <v>3266</v>
      </c>
      <c r="B20" s="26" t="s">
        <v>3267</v>
      </c>
    </row>
    <row r="21" spans="1:2" ht="30" customHeight="1">
      <c r="A21" s="25" t="s">
        <v>3268</v>
      </c>
      <c r="B21" s="26" t="s">
        <v>3269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294339B-35B7-4743-B34B-97DDAED0EEF0}"/>
</file>

<file path=customXml/itemProps2.xml><?xml version="1.0" encoding="utf-8"?>
<ds:datastoreItem xmlns:ds="http://schemas.openxmlformats.org/officeDocument/2006/customXml" ds:itemID="{9F7B3009-C52E-4D66-81EE-EDC55AE40F61}"/>
</file>

<file path=customXml/itemProps3.xml><?xml version="1.0" encoding="utf-8"?>
<ds:datastoreItem xmlns:ds="http://schemas.openxmlformats.org/officeDocument/2006/customXml" ds:itemID="{2729620E-34FA-47C5-A97A-8372DD9A4CBE}"/>
</file>

<file path=customXml/itemProps4.xml><?xml version="1.0" encoding="utf-8"?>
<ds:datastoreItem xmlns:ds="http://schemas.openxmlformats.org/officeDocument/2006/customXml" ds:itemID="{FF06CDD4-6CD8-41B6-81B7-B8F8F77245D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2026-07-29T16:57:44Z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