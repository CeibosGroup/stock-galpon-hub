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B23F738B-3988-4E7F-873A-91B764B79A7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9" i="1" l="1"/>
  <c r="T70" i="1"/>
  <c r="T71" i="1"/>
  <c r="T72" i="1"/>
  <c r="T73" i="1"/>
  <c r="T74" i="1"/>
  <c r="T75" i="1"/>
  <c r="T76" i="1"/>
  <c r="T77" i="1"/>
  <c r="K999" i="2"/>
  <c r="K1000" i="2"/>
  <c r="K1001" i="2"/>
  <c r="K1002" i="2"/>
  <c r="K1003" i="2"/>
  <c r="K1004" i="2"/>
  <c r="K1005" i="2"/>
  <c r="K29" i="1"/>
  <c r="S29" i="1"/>
  <c r="T29" i="1"/>
  <c r="H29" i="1" s="1"/>
  <c r="R29" i="1" s="1"/>
  <c r="K21" i="1"/>
  <c r="K22" i="1"/>
  <c r="K23" i="1"/>
  <c r="K24" i="1"/>
  <c r="K25" i="1"/>
  <c r="K26" i="1"/>
  <c r="K27" i="1"/>
  <c r="K28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0" i="1"/>
  <c r="T30" i="1"/>
  <c r="H30" i="1" s="1"/>
  <c r="S31" i="1"/>
  <c r="T31" i="1"/>
  <c r="H31" i="1" s="1"/>
  <c r="S32" i="1"/>
  <c r="T32" i="1"/>
  <c r="H32" i="1" s="1"/>
  <c r="S33" i="1"/>
  <c r="T33" i="1"/>
  <c r="H33" i="1" s="1"/>
  <c r="S34" i="1"/>
  <c r="T34" i="1"/>
  <c r="S35" i="1"/>
  <c r="T35" i="1"/>
  <c r="S36" i="1"/>
  <c r="T36" i="1"/>
  <c r="H36" i="1" s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S70" i="1"/>
  <c r="S71" i="1"/>
  <c r="S72" i="1"/>
  <c r="S73" i="1"/>
  <c r="S74" i="1"/>
  <c r="S75" i="1"/>
  <c r="S76" i="1"/>
  <c r="S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R1998" i="1"/>
  <c r="S1998" i="1"/>
  <c r="T1998" i="1"/>
  <c r="R1999" i="1"/>
  <c r="S1999" i="1"/>
  <c r="T1999" i="1"/>
  <c r="R2000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0" i="1"/>
  <c r="R31" i="1"/>
  <c r="R32" i="1"/>
  <c r="R33" i="1"/>
  <c r="R34" i="1"/>
  <c r="R35" i="1"/>
  <c r="R36" i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2" i="1"/>
  <c r="R63" i="1"/>
  <c r="R64" i="1"/>
  <c r="R65" i="1"/>
  <c r="R66" i="1"/>
  <c r="R67" i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3" i="1"/>
  <c r="H4" i="1"/>
  <c r="H5" i="1"/>
  <c r="H6" i="1"/>
  <c r="H7" i="1"/>
  <c r="H8" i="1"/>
  <c r="H2" i="1"/>
  <c r="H500" i="1"/>
  <c r="R500" i="1" s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J28" i="2"/>
  <c r="J29" i="2"/>
  <c r="J30" i="2"/>
  <c r="J31" i="2"/>
  <c r="J32" i="2"/>
  <c r="J33" i="2"/>
  <c r="J34" i="2"/>
  <c r="J35" i="2"/>
  <c r="J36" i="2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R61" i="1" l="1"/>
  <c r="J18" i="2"/>
  <c r="K18" i="2" s="1"/>
  <c r="E20" i="3"/>
  <c r="E21" i="3"/>
  <c r="E22" i="3"/>
  <c r="E23" i="3"/>
  <c r="E24" i="3"/>
  <c r="E25" i="3"/>
  <c r="D20" i="3"/>
  <c r="D21" i="3"/>
  <c r="D22" i="3"/>
  <c r="D23" i="3"/>
  <c r="D24" i="3"/>
  <c r="D25" i="3"/>
  <c r="C20" i="3"/>
  <c r="C21" i="3"/>
  <c r="C22" i="3"/>
  <c r="C23" i="3"/>
  <c r="C24" i="3"/>
  <c r="C25" i="3"/>
  <c r="B20" i="3"/>
  <c r="B21" i="3"/>
  <c r="B22" i="3"/>
  <c r="B23" i="3"/>
  <c r="B24" i="3"/>
  <c r="B25" i="3"/>
  <c r="H15" i="1"/>
  <c r="B16" i="3"/>
  <c r="B17" i="3"/>
  <c r="E12" i="3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K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K10" i="2" s="1"/>
  <c r="B6" i="2"/>
  <c r="C4" i="2"/>
  <c r="E7" i="2"/>
  <c r="D7" i="2"/>
  <c r="G7" i="2"/>
  <c r="H9" i="2"/>
  <c r="I9" i="2" s="1"/>
  <c r="K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K12" i="2" l="1"/>
  <c r="K4" i="2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K748" i="2" s="1"/>
  <c r="J749" i="2"/>
  <c r="K749" i="2" s="1"/>
  <c r="J750" i="2"/>
  <c r="K750" i="2" s="1"/>
  <c r="J751" i="2"/>
  <c r="K751" i="2" s="1"/>
  <c r="J752" i="2"/>
  <c r="K752" i="2" s="1"/>
  <c r="J753" i="2"/>
  <c r="K753" i="2" s="1"/>
  <c r="J754" i="2"/>
  <c r="K754" i="2" s="1"/>
  <c r="J755" i="2"/>
  <c r="K755" i="2" s="1"/>
  <c r="J756" i="2"/>
  <c r="K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K780" i="2" s="1"/>
  <c r="J781" i="2"/>
  <c r="K781" i="2" s="1"/>
  <c r="J782" i="2"/>
  <c r="K782" i="2" s="1"/>
  <c r="J783" i="2"/>
  <c r="K783" i="2" s="1"/>
  <c r="J784" i="2"/>
  <c r="K784" i="2" s="1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K798" i="2" s="1"/>
  <c r="J799" i="2"/>
  <c r="K799" i="2" s="1"/>
  <c r="J800" i="2"/>
  <c r="K800" i="2" s="1"/>
  <c r="J801" i="2"/>
  <c r="K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K810" i="2" s="1"/>
  <c r="J811" i="2"/>
  <c r="K811" i="2" s="1"/>
  <c r="J812" i="2"/>
  <c r="K812" i="2" s="1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J843" i="2"/>
  <c r="K843" i="2" s="1"/>
  <c r="J844" i="2"/>
  <c r="K844" i="2" s="1"/>
  <c r="J845" i="2"/>
  <c r="K845" i="2" s="1"/>
  <c r="J846" i="2"/>
  <c r="K846" i="2" s="1"/>
  <c r="J847" i="2"/>
  <c r="K847" i="2" s="1"/>
  <c r="J848" i="2"/>
  <c r="K848" i="2" s="1"/>
  <c r="J849" i="2"/>
  <c r="K849" i="2" s="1"/>
  <c r="J850" i="2"/>
  <c r="K850" i="2" s="1"/>
  <c r="J851" i="2"/>
  <c r="K851" i="2" s="1"/>
  <c r="J852" i="2"/>
  <c r="K852" i="2" s="1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K875" i="2" s="1"/>
  <c r="J876" i="2"/>
  <c r="K876" i="2" s="1"/>
  <c r="J877" i="2"/>
  <c r="K877" i="2" s="1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K890" i="2" s="1"/>
  <c r="J891" i="2"/>
  <c r="K891" i="2" s="1"/>
  <c r="J892" i="2"/>
  <c r="K892" i="2" s="1"/>
  <c r="J893" i="2"/>
  <c r="K893" i="2" s="1"/>
  <c r="J894" i="2"/>
  <c r="K894" i="2" s="1"/>
  <c r="J895" i="2"/>
  <c r="K895" i="2" s="1"/>
  <c r="J896" i="2"/>
  <c r="K896" i="2" s="1"/>
  <c r="J897" i="2"/>
  <c r="K897" i="2" s="1"/>
  <c r="J898" i="2"/>
  <c r="K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K906" i="2" s="1"/>
  <c r="J907" i="2"/>
  <c r="K907" i="2" s="1"/>
  <c r="J908" i="2"/>
  <c r="K908" i="2" s="1"/>
  <c r="J909" i="2"/>
  <c r="K909" i="2" s="1"/>
  <c r="J910" i="2"/>
  <c r="K910" i="2" s="1"/>
  <c r="J911" i="2"/>
  <c r="K911" i="2" s="1"/>
  <c r="J912" i="2"/>
  <c r="K912" i="2" s="1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K932" i="2" s="1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K938" i="2" s="1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K954" i="2" s="1"/>
  <c r="J955" i="2"/>
  <c r="K955" i="2" s="1"/>
  <c r="J956" i="2"/>
  <c r="K956" i="2" s="1"/>
  <c r="J957" i="2"/>
  <c r="K957" i="2" s="1"/>
  <c r="J958" i="2"/>
  <c r="K958" i="2" s="1"/>
  <c r="J959" i="2"/>
  <c r="K959" i="2" s="1"/>
  <c r="J960" i="2"/>
  <c r="K960" i="2" s="1"/>
  <c r="J961" i="2"/>
  <c r="K961" i="2" s="1"/>
  <c r="J962" i="2"/>
  <c r="K962" i="2" s="1"/>
  <c r="J963" i="2"/>
  <c r="K963" i="2" s="1"/>
  <c r="J964" i="2"/>
  <c r="K964" i="2" s="1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K973" i="2" s="1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K988" i="2" s="1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997" i="2"/>
  <c r="K997" i="2" s="1"/>
  <c r="J998" i="2"/>
  <c r="K998" i="2" s="1"/>
  <c r="J7" i="2"/>
  <c r="K7" i="2" s="1"/>
  <c r="R15" i="1"/>
  <c r="J13" i="2"/>
  <c r="K13" i="2" s="1"/>
  <c r="J14" i="2"/>
  <c r="K14" i="2" s="1"/>
  <c r="J15" i="2"/>
  <c r="J16" i="2"/>
  <c r="J17" i="2"/>
  <c r="J19" i="2"/>
  <c r="J20" i="2"/>
  <c r="J21" i="2"/>
  <c r="J22" i="2"/>
  <c r="J23" i="2"/>
  <c r="J24" i="2"/>
  <c r="J25" i="2"/>
  <c r="J26" i="2"/>
  <c r="J27" i="2"/>
  <c r="J37" i="2"/>
  <c r="K37" i="2" s="1"/>
  <c r="J38" i="2"/>
  <c r="K38" i="2" s="1"/>
  <c r="J39" i="2"/>
  <c r="K39" i="2" s="1"/>
  <c r="J40" i="2"/>
  <c r="K40" i="2" s="1"/>
  <c r="J41" i="2"/>
  <c r="K41" i="2" s="1"/>
  <c r="J42" i="2"/>
  <c r="K42" i="2" s="1"/>
  <c r="J43" i="2"/>
  <c r="K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K173" i="2" s="1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K189" i="2" s="1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K237" i="2" s="1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K254" i="2" s="1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J545" i="2"/>
  <c r="K545" i="2" s="1"/>
  <c r="J546" i="2"/>
  <c r="K546" i="2" s="1"/>
  <c r="I12" i="2"/>
  <c r="B15" i="2" l="1"/>
  <c r="C15" i="2"/>
  <c r="D15" i="2"/>
  <c r="E15" i="2"/>
  <c r="F15" i="2"/>
  <c r="G15" i="2"/>
  <c r="H15" i="2"/>
  <c r="I15" i="2" s="1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K17" i="2" s="1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I21" i="2" s="1"/>
  <c r="K21" i="2" s="1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B25" i="2"/>
  <c r="C25" i="2"/>
  <c r="D25" i="2"/>
  <c r="E25" i="2"/>
  <c r="F25" i="2"/>
  <c r="G25" i="2"/>
  <c r="H25" i="2"/>
  <c r="K25" i="2" s="1"/>
  <c r="B26" i="2"/>
  <c r="C26" i="2"/>
  <c r="D26" i="2"/>
  <c r="E26" i="2"/>
  <c r="F26" i="2"/>
  <c r="G26" i="2"/>
  <c r="H26" i="2"/>
  <c r="K26" i="2" s="1"/>
  <c r="B27" i="2"/>
  <c r="C27" i="2"/>
  <c r="D27" i="2"/>
  <c r="E27" i="2"/>
  <c r="F27" i="2"/>
  <c r="G27" i="2"/>
  <c r="H27" i="2"/>
  <c r="K27" i="2" s="1"/>
  <c r="B28" i="2"/>
  <c r="C28" i="2"/>
  <c r="D28" i="2"/>
  <c r="E28" i="2"/>
  <c r="F28" i="2"/>
  <c r="G28" i="2"/>
  <c r="H28" i="2"/>
  <c r="K28" i="2" s="1"/>
  <c r="B29" i="2"/>
  <c r="C29" i="2"/>
  <c r="D29" i="2"/>
  <c r="E29" i="2"/>
  <c r="F29" i="2"/>
  <c r="G29" i="2"/>
  <c r="H29" i="2"/>
  <c r="K29" i="2" s="1"/>
  <c r="B30" i="2"/>
  <c r="C30" i="2"/>
  <c r="D30" i="2"/>
  <c r="E30" i="2"/>
  <c r="F30" i="2"/>
  <c r="G30" i="2"/>
  <c r="H30" i="2"/>
  <c r="K30" i="2" s="1"/>
  <c r="B31" i="2"/>
  <c r="C31" i="2"/>
  <c r="D31" i="2"/>
  <c r="E31" i="2"/>
  <c r="F31" i="2"/>
  <c r="G31" i="2"/>
  <c r="H31" i="2"/>
  <c r="K31" i="2" s="1"/>
  <c r="B32" i="2"/>
  <c r="C32" i="2"/>
  <c r="D32" i="2"/>
  <c r="E32" i="2"/>
  <c r="F32" i="2"/>
  <c r="G32" i="2"/>
  <c r="H32" i="2"/>
  <c r="K32" i="2" s="1"/>
  <c r="B33" i="2"/>
  <c r="C33" i="2"/>
  <c r="D33" i="2"/>
  <c r="E33" i="2"/>
  <c r="F33" i="2"/>
  <c r="G33" i="2"/>
  <c r="H33" i="2"/>
  <c r="K33" i="2" s="1"/>
  <c r="B34" i="2"/>
  <c r="C34" i="2"/>
  <c r="D34" i="2"/>
  <c r="E34" i="2"/>
  <c r="F34" i="2"/>
  <c r="G34" i="2"/>
  <c r="H34" i="2"/>
  <c r="K34" i="2" s="1"/>
  <c r="B35" i="2"/>
  <c r="C35" i="2"/>
  <c r="D35" i="2"/>
  <c r="E35" i="2"/>
  <c r="F35" i="2"/>
  <c r="G35" i="2"/>
  <c r="H35" i="2"/>
  <c r="K35" i="2" s="1"/>
  <c r="B36" i="2"/>
  <c r="C36" i="2"/>
  <c r="D36" i="2"/>
  <c r="E36" i="2"/>
  <c r="F36" i="2"/>
  <c r="G36" i="2"/>
  <c r="H36" i="2"/>
  <c r="K36" i="2" s="1"/>
  <c r="B37" i="2"/>
  <c r="C37" i="2"/>
  <c r="D37" i="2"/>
  <c r="E37" i="2"/>
  <c r="F37" i="2"/>
  <c r="G37" i="2"/>
  <c r="H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I36" i="2" l="1"/>
  <c r="I35" i="2"/>
  <c r="I34" i="2"/>
  <c r="I33" i="2"/>
  <c r="I32" i="2"/>
  <c r="I31" i="2"/>
  <c r="I30" i="2"/>
  <c r="I29" i="2"/>
  <c r="I28" i="2"/>
  <c r="H26" i="3"/>
  <c r="H27" i="3"/>
  <c r="H28" i="3"/>
  <c r="H29" i="3"/>
  <c r="H30" i="3"/>
  <c r="H31" i="3"/>
  <c r="H32" i="3"/>
  <c r="H33" i="3"/>
  <c r="F26" i="3"/>
  <c r="F27" i="3"/>
  <c r="F28" i="3"/>
  <c r="F29" i="3"/>
  <c r="F30" i="3"/>
  <c r="F31" i="3"/>
  <c r="F32" i="3"/>
  <c r="F33" i="3"/>
  <c r="I996" i="2"/>
  <c r="I997" i="2"/>
  <c r="I994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I37" i="2"/>
  <c r="I26" i="2"/>
  <c r="I23" i="2"/>
  <c r="K23" i="2" s="1"/>
  <c r="I20" i="2"/>
  <c r="K20" i="2" s="1"/>
  <c r="I17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I25" i="2"/>
  <c r="I22" i="2"/>
  <c r="K22" i="2" s="1"/>
  <c r="I19" i="2"/>
  <c r="K19" i="2" s="1"/>
  <c r="I16" i="2"/>
  <c r="K16" i="2" s="1"/>
  <c r="I998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I27" i="2"/>
  <c r="I24" i="2"/>
  <c r="K24" i="2" s="1"/>
  <c r="I18" i="2"/>
  <c r="H25" i="3"/>
  <c r="H20" i="3"/>
  <c r="H23" i="3"/>
  <c r="F22" i="3"/>
  <c r="H17" i="3"/>
  <c r="F16" i="3"/>
  <c r="F19" i="3"/>
  <c r="H15" i="3"/>
  <c r="F15" i="3"/>
  <c r="H12" i="3"/>
  <c r="F24" i="3"/>
  <c r="H21" i="3"/>
  <c r="F20" i="3"/>
  <c r="F23" i="3"/>
  <c r="H18" i="3"/>
  <c r="F17" i="3"/>
  <c r="H13" i="3"/>
  <c r="F13" i="3"/>
  <c r="F12" i="3"/>
  <c r="H11" i="3"/>
  <c r="H24" i="3"/>
  <c r="F25" i="3"/>
  <c r="H22" i="3"/>
  <c r="F21" i="3"/>
  <c r="H16" i="3"/>
  <c r="F18" i="3"/>
  <c r="H14" i="3"/>
  <c r="F11" i="3"/>
  <c r="H19" i="3"/>
  <c r="F14" i="3"/>
  <c r="F8" i="3"/>
  <c r="H5" i="3"/>
  <c r="H9" i="3"/>
  <c r="H8" i="3"/>
  <c r="H7" i="3"/>
  <c r="F4" i="3"/>
  <c r="H6" i="3"/>
  <c r="F7" i="3"/>
  <c r="F10" i="3"/>
  <c r="F6" i="3"/>
  <c r="F9" i="3"/>
  <c r="H10" i="3"/>
  <c r="H4" i="3"/>
  <c r="F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<sst xmlns="http://schemas.openxmlformats.org/spreadsheetml/2006/main" count="3762" uniqueCount="3205">
  <si>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</si>
  <si>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</si>
  <si>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</si>
  <si>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</si>
  <si>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</si>
  <si>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</si>
  <si>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</si>
  <si>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</si>
  <si>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</si>
  <si>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</si>
  <si>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</si>
  <si>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</si>
  <si>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</si>
  <si>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</si>
  <si>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</si>
  <si>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</si>
  <si>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</si>
  <si>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</si>
  <si>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</si>
  <si>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</si>
  <si>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</si>
  <si>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</si>
  <si>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</si>
  <si>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</si>
  <si>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</si>
  <si>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</si>
  <si>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</si>
  <si>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</si>
  <si>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</si>
  <si>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</si>
  <si>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</si>
  <si>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</si>
  <si>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</si>
  <si>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</si>
  <si>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</si>
  <si>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</si>
  <si>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</si>
  <si>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</si>
  <si>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</si>
  <si>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</si>
  <si>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</si>
  <si>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</si>
  <si>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</si>
  <si>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</si>
  <si>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</si>
  <si>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</si>
  <si>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</si>
  <si>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</si>
  <si>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</si>
  <si>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</si>
  <si>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</si>
  <si>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</si>
  <si>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</si>
  <si>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</si>
  <si>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</si>
  <si>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</si>
  <si>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</si>
  <si>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</si>
  <si>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</si>
  <si>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</si>
  <si>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</si>
  <si>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</si>
  <si>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</si>
  <si>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</si>
  <si>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</si>
  <si>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</si>
  <si>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</si>
  <si>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</si>
  <si>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</si>
  <si>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</si>
  <si>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</si>
  <si>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</si>
  <si>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</si>
  <si>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</si>
  <si>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</si>
  <si>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</si>
  <si>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</si>
  <si>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</si>
  <si>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</si>
  <si>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</si>
  <si>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</si>
  <si>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</si>
  <si>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</si>
  <si>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</si>
  <si>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</si>
  <si>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</si>
  <si>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</si>
  <si>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</si>
  <si>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</si>
  <si>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</si>
  <si>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</si>
  <si>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</si>
  <si>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</si>
  <si>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</si>
  <si>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</si>
  <si>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</si>
  <si>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</si>
  <si>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</si>
  <si>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</si>
  <si>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</si>
  <si>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</si>
  <si>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</si>
  <si>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</si>
  <si>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</si>
  <si>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</si>
  <si>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</si>
  <si>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</si>
  <si>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</si>
  <si>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</si>
  <si>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</si>
  <si>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</si>
  <si>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</si>
  <si>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</si>
  <si>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</si>
  <si>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</si>
  <si>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</si>
  <si>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</si>
  <si>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</si>
  <si>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</si>
  <si>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</si>
  <si>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</si>
  <si>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</si>
  <si>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</si>
  <si>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</si>
  <si>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</si>
  <si>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</si>
  <si>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</si>
  <si>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</si>
  <si>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</si>
  <si>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</si>
  <si>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</si>
  <si>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</si>
  <si>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</si>
  <si>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</si>
  <si>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</si>
  <si>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</si>
  <si>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</si>
  <si>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</si>
  <si>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</si>
  <si>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</si>
  <si>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</si>
  <si>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</si>
  <si>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</si>
  <si>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</si>
  <si>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</si>
  <si>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</si>
  <si>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</si>
  <si>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</si>
  <si>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</si>
  <si>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</si>
  <si>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</si>
  <si>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</si>
  <si>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</si>
  <si>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</si>
  <si>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</si>
  <si>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</si>
  <si>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</si>
  <si>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</si>
  <si>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</si>
  <si>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</si>
  <si>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</si>
  <si>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</si>
  <si>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</si>
  <si>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</si>
  <si>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</si>
  <si>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</si>
  <si>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</si>
  <si>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</si>
  <si>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</si>
  <si>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</si>
  <si>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</si>
  <si>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</si>
  <si>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</si>
  <si>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</si>
  <si>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</si>
  <si>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</si>
  <si>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</si>
  <si>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</si>
  <si>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</si>
  <si>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</si>
  <si>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</si>
  <si>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</si>
  <si>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</si>
  <si>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</si>
  <si>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</si>
  <si>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</si>
  <si>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</si>
  <si>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</si>
  <si>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</si>
  <si>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</si>
  <si>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</si>
  <si>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</si>
  <si>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</si>
  <si>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</si>
  <si>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</si>
  <si>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</si>
  <si>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</si>
  <si>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</si>
  <si>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</si>
  <si>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</si>
  <si>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</si>
  <si>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</si>
  <si>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</si>
  <si>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MOV-056</t>
  </si>
  <si>
    <t>MOV-057</t>
  </si>
  <si>
    <t>MOV-058</t>
  </si>
  <si>
    <t>MOV-059</t>
  </si>
  <si>
    <t>260410-024</t>
  </si>
  <si>
    <t>MOV-060</t>
  </si>
  <si>
    <t>MOV-061</t>
  </si>
  <si>
    <t>MOV-062</t>
  </si>
  <si>
    <t>MOV-063</t>
  </si>
  <si>
    <t>MOV-064</t>
  </si>
  <si>
    <t>MOV-065</t>
  </si>
  <si>
    <t>260414-029</t>
  </si>
  <si>
    <t>MOV-066</t>
  </si>
  <si>
    <t>MOV-067</t>
  </si>
  <si>
    <t>Colza continuum Cl</t>
  </si>
  <si>
    <t>Continuum CL</t>
  </si>
  <si>
    <t>MOV-068</t>
  </si>
  <si>
    <t>21704/2026</t>
  </si>
  <si>
    <t>Colza Hyola Solstice cl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</si>
  <si>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</si>
  <si>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</si>
  <si>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</si>
  <si>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</si>
  <si>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</si>
  <si>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</si>
  <si>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</si>
  <si>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</si>
  <si>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</si>
  <si>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</si>
  <si>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</si>
  <si>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</si>
  <si>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</si>
  <si>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</si>
  <si>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</si>
  <si>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</si>
  <si>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</si>
  <si>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</si>
  <si>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</si>
  <si>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</si>
  <si>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</si>
  <si>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</si>
  <si>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</si>
  <si>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</si>
  <si>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</si>
  <si>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</si>
  <si>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</si>
  <si>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</si>
  <si>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</si>
  <si>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</si>
  <si>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</si>
  <si>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</si>
  <si>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</si>
  <si>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</si>
  <si>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</si>
  <si>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</si>
  <si>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</si>
  <si>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</si>
  <si>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</si>
  <si>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</si>
  <si>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</si>
  <si>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</si>
  <si>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</si>
  <si>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</si>
  <si>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</si>
  <si>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</si>
  <si>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</si>
  <si>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</si>
  <si>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</si>
  <si>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</si>
  <si>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</si>
  <si>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</si>
  <si>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</si>
  <si>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</si>
  <si>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</si>
  <si>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</si>
  <si>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</si>
  <si>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</si>
  <si>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</si>
  <si>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</si>
  <si>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</si>
  <si>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</si>
  <si>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</si>
  <si>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</si>
  <si>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</si>
  <si>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</si>
  <si>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</si>
  <si>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</si>
  <si>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</si>
  <si>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</si>
  <si>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</si>
  <si>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</si>
  <si>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</si>
  <si>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</si>
  <si>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</si>
  <si>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</si>
  <si>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</si>
  <si>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</si>
  <si>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</si>
  <si>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</si>
  <si>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</si>
  <si>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</si>
  <si>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</si>
  <si>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</si>
  <si>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</si>
  <si>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</si>
  <si>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</si>
  <si>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</si>
  <si>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</si>
  <si>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</si>
  <si>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</si>
  <si>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</si>
  <si>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</si>
  <si>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</si>
  <si>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</si>
  <si>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</si>
  <si>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</si>
  <si>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</si>
  <si>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</si>
  <si>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</si>
  <si>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</si>
  <si>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</si>
  <si>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</si>
  <si>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</si>
  <si>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</si>
  <si>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</si>
  <si>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</si>
  <si>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</si>
  <si>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</si>
  <si>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</si>
  <si>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</si>
  <si>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</si>
  <si>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</si>
  <si>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</si>
  <si>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</si>
  <si>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</si>
  <si>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</si>
  <si>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</si>
  <si>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</si>
  <si>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</si>
  <si>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</si>
  <si>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</si>
  <si>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</si>
  <si>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</si>
  <si>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</si>
  <si>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</si>
  <si>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</si>
  <si>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</si>
  <si>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</si>
  <si>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</si>
  <si>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</si>
  <si>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</si>
  <si>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</si>
  <si>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</si>
  <si>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</si>
  <si>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</si>
  <si>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</si>
  <si>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</si>
  <si>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</si>
  <si>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</si>
  <si>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</si>
  <si>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</si>
  <si>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</si>
  <si>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</si>
  <si>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</si>
  <si>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</si>
  <si>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</si>
  <si>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</si>
  <si>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</si>
  <si>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</si>
  <si>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</si>
  <si>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</si>
  <si>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</si>
  <si>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</si>
  <si>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</si>
  <si>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</si>
  <si>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</si>
  <si>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</si>
  <si>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</si>
  <si>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</si>
  <si>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</si>
  <si>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</si>
  <si>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</si>
  <si>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</si>
  <si>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</si>
  <si>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</si>
  <si>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</si>
  <si>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</si>
  <si>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</si>
  <si>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</si>
  <si>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</si>
  <si>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</si>
  <si>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</si>
  <si>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</si>
  <si>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</si>
  <si>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</si>
  <si>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</si>
  <si>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</si>
  <si>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</si>
  <si>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</si>
  <si>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</si>
  <si>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</si>
  <si>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</si>
  <si>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</si>
  <si>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</si>
  <si>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</si>
  <si>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</si>
  <si>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</si>
  <si>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</si>
  <si>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</si>
  <si>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</si>
  <si>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</si>
  <si>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</si>
  <si>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</si>
  <si>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</si>
  <si>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</si>
  <si>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</si>
  <si>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</si>
  <si>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</si>
  <si>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</si>
  <si>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</si>
  <si>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</si>
  <si>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</si>
  <si>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</si>
  <si>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</si>
  <si>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</si>
  <si>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</si>
  <si>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</si>
  <si>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</si>
  <si>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</si>
  <si>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</si>
  <si>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</si>
  <si>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</si>
  <si>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</si>
  <si>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</si>
  <si>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</si>
  <si>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</si>
  <si>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</si>
  <si>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</si>
  <si>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</si>
  <si>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</si>
  <si>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</si>
  <si>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</si>
  <si>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</si>
  <si>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</si>
  <si>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</si>
  <si>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</si>
  <si>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</si>
  <si>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</si>
  <si>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</si>
  <si>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</si>
  <si>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</si>
  <si>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</si>
  <si>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</si>
  <si>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</si>
  <si>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</si>
  <si>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</si>
  <si>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</si>
  <si>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</si>
  <si>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</si>
  <si>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</si>
  <si>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</si>
  <si>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</si>
  <si>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</si>
  <si>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</si>
  <si>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</si>
  <si>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</si>
  <si>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</si>
  <si>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</si>
  <si>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</si>
  <si>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</si>
  <si>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</si>
  <si>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</si>
  <si>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</si>
  <si>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</si>
  <si>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</si>
  <si>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</si>
  <si>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</si>
  <si>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</si>
  <si>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</si>
  <si>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</si>
  <si>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</si>
  <si>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</si>
  <si>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</si>
  <si>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</si>
  <si>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</si>
  <si>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</si>
  <si>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</si>
  <si>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</si>
  <si>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</si>
  <si>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</si>
  <si>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</si>
  <si>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</si>
  <si>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</si>
  <si>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</si>
  <si>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</si>
  <si>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</si>
  <si>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</si>
  <si>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</si>
  <si>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</si>
  <si>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</si>
  <si>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</si>
  <si>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</si>
  <si>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</si>
  <si>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</si>
  <si>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</si>
  <si>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</si>
  <si>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</si>
  <si>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</si>
  <si>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</si>
  <si>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</si>
  <si>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</si>
  <si>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</si>
  <si>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</si>
  <si>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</si>
  <si>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</si>
  <si>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</si>
  <si>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</si>
  <si>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</si>
  <si>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</si>
  <si>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</si>
  <si>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</si>
  <si>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</si>
  <si>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</si>
  <si>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</si>
  <si>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</si>
  <si>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</si>
  <si>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</si>
  <si>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</si>
  <si>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</si>
  <si>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</si>
  <si>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</si>
  <si>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</si>
  <si>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</si>
  <si>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</si>
  <si>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</si>
  <si>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</si>
  <si>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</si>
  <si>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</si>
  <si>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</si>
  <si>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</si>
  <si>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</si>
  <si>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</si>
  <si>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</si>
  <si>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</si>
  <si>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</si>
  <si>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</si>
  <si>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</si>
  <si>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</si>
  <si>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</si>
  <si>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</si>
  <si>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</si>
  <si>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</si>
  <si>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</si>
  <si>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</si>
  <si>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</si>
  <si>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</si>
  <si>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</si>
  <si>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</si>
  <si>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</si>
  <si>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</si>
  <si>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</si>
  <si>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</si>
  <si>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</si>
  <si>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</si>
  <si>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</si>
  <si>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</si>
  <si>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</si>
  <si>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</si>
  <si>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</si>
  <si>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</si>
  <si>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</si>
  <si>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</si>
  <si>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</si>
  <si>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</si>
  <si>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</si>
  <si>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</si>
  <si>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</si>
  <si>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</si>
  <si>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</si>
  <si>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</si>
  <si>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</si>
  <si>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</si>
  <si>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</si>
  <si>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</si>
  <si>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</si>
  <si>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</si>
  <si>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</si>
  <si>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</si>
  <si>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</si>
  <si>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</si>
  <si>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</si>
  <si>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</si>
  <si>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</si>
  <si>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</si>
  <si>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</si>
  <si>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</si>
  <si>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</si>
  <si>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</si>
  <si>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</si>
  <si>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</si>
  <si>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</si>
  <si>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</si>
  <si>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</si>
  <si>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</si>
  <si>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</si>
  <si>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</si>
  <si>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</si>
  <si>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</si>
  <si>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</si>
  <si>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</si>
  <si>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</si>
  <si>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</si>
  <si>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</si>
  <si>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</si>
  <si>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</si>
  <si>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</si>
  <si>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</si>
  <si>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</si>
  <si>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</si>
  <si>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</si>
  <si>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</si>
  <si>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</si>
  <si>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</si>
  <si>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</si>
  <si>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</si>
  <si>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</si>
  <si>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</si>
  <si>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</si>
  <si>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</si>
  <si>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</si>
  <si>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</si>
  <si>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</si>
  <si>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</si>
  <si>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</si>
  <si>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</si>
  <si>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</si>
  <si>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</si>
  <si>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</si>
  <si>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</si>
  <si>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</si>
  <si>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</si>
  <si>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</si>
  <si>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</si>
  <si>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</si>
  <si>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</si>
  <si>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</si>
  <si>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</si>
  <si>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</si>
  <si>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</si>
  <si>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</si>
  <si>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</si>
  <si>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</si>
  <si>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</si>
  <si>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</si>
  <si>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</si>
  <si>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</si>
  <si>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</si>
  <si>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</si>
  <si>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</si>
  <si>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</si>
  <si>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</si>
  <si>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</si>
  <si>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</si>
  <si>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</si>
  <si>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</si>
  <si>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</si>
  <si>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</si>
  <si>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</si>
  <si>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</si>
  <si>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</si>
  <si>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</si>
  <si>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</si>
  <si>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</si>
  <si>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</si>
  <si>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</si>
  <si>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</si>
  <si>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</si>
  <si>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</si>
  <si>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</si>
  <si>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</si>
  <si>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</si>
  <si>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</si>
  <si>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</si>
  <si>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</si>
  <si>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</si>
  <si>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</si>
  <si>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</si>
  <si>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</si>
  <si>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</si>
  <si>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</si>
  <si>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</si>
  <si>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</si>
  <si>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</si>
  <si>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</si>
  <si>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</si>
  <si>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</si>
  <si>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</si>
  <si>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</si>
  <si>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</si>
  <si>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</si>
  <si>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</si>
  <si>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</si>
  <si>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</si>
  <si>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</si>
  <si>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</si>
  <si>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</si>
  <si>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</si>
  <si>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</si>
  <si>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</si>
  <si>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</si>
  <si>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</si>
  <si>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</si>
  <si>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</si>
  <si>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</si>
  <si>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</si>
  <si>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</si>
  <si>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</si>
  <si>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</si>
  <si>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</si>
  <si>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</si>
  <si>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</si>
  <si>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</si>
  <si>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</si>
  <si>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</si>
  <si>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</si>
  <si>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</si>
  <si>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</si>
  <si>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</si>
  <si>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</si>
  <si>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</si>
  <si>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</si>
  <si>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</si>
  <si>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</si>
  <si>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</si>
  <si>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</si>
  <si>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</si>
  <si>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</si>
  <si>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</si>
  <si>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</si>
  <si>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</si>
  <si>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</si>
  <si>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</si>
  <si>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</si>
  <si>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</si>
  <si>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</si>
  <si>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</si>
  <si>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</si>
  <si>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</si>
  <si>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</si>
  <si>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</si>
  <si>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</si>
  <si>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</si>
  <si>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</si>
  <si>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</si>
  <si>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</si>
  <si>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</si>
  <si>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</si>
  <si>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</si>
  <si>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</si>
  <si>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</si>
  <si>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</si>
  <si>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</si>
  <si>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</si>
  <si>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</si>
  <si>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</si>
  <si>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</si>
  <si>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</si>
  <si>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</si>
  <si>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</si>
  <si>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</si>
  <si>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</si>
  <si>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</si>
  <si>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</si>
  <si>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</si>
  <si>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</si>
  <si>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</si>
  <si>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</si>
  <si>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</si>
  <si>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</si>
  <si>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</si>
  <si>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</si>
  <si>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</si>
  <si>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</si>
  <si>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</si>
  <si>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</si>
  <si>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</si>
  <si>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</si>
  <si>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</si>
  <si>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</si>
  <si>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</si>
  <si>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</si>
  <si>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</si>
  <si>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</si>
  <si>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</si>
  <si>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</si>
  <si>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</si>
  <si>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</si>
  <si>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</si>
  <si>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</si>
  <si>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</si>
  <si>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</si>
  <si>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</si>
  <si>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</si>
  <si>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</si>
  <si>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</si>
  <si>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</si>
  <si>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</si>
  <si>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</si>
  <si>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</si>
  <si>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</si>
  <si>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</si>
  <si>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</si>
  <si>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</si>
  <si>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</si>
  <si>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</si>
  <si>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</si>
  <si>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</si>
  <si>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</si>
  <si>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</si>
  <si>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</si>
  <si>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</si>
  <si>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</si>
  <si>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</si>
  <si>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</si>
  <si>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</si>
  <si>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</si>
  <si>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</si>
  <si>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</si>
  <si>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</si>
  <si>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</si>
  <si>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</si>
  <si>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</si>
  <si>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</si>
  <si>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</si>
  <si>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</si>
  <si>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</si>
  <si>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</si>
  <si>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</si>
  <si>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</si>
  <si>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</si>
  <si>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</si>
  <si>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</si>
  <si>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</si>
  <si>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</si>
  <si>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</si>
  <si>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</si>
  <si>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</si>
  <si>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</si>
  <si>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</si>
  <si>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</si>
  <si>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</si>
  <si>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</si>
  <si>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</si>
  <si>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</si>
  <si>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</si>
  <si>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</si>
  <si>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</si>
  <si>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</si>
  <si>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</si>
  <si>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</si>
  <si>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</si>
  <si>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</si>
  <si>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</si>
  <si>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</si>
  <si>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</si>
  <si>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</si>
  <si>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</si>
  <si>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</si>
  <si>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</si>
  <si>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</si>
  <si>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</si>
  <si>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</si>
  <si>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</si>
  <si>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</si>
  <si>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</si>
  <si>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</si>
  <si>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</si>
  <si>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</si>
  <si>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</si>
  <si>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</si>
  <si>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</si>
  <si>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</si>
  <si>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</si>
  <si>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</si>
  <si>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</si>
  <si>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</si>
  <si>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</si>
  <si>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</si>
  <si>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</si>
  <si>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</si>
  <si>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</si>
  <si>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</si>
  <si>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</si>
  <si>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</si>
  <si>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</si>
  <si>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</si>
  <si>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</si>
  <si>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</si>
  <si>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</si>
  <si>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</si>
  <si>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</si>
  <si>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</si>
  <si>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</si>
  <si>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</si>
  <si>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</si>
  <si>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</si>
  <si>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</si>
  <si>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</si>
  <si>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</si>
  <si>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</si>
  <si>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</si>
  <si>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</si>
  <si>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</si>
  <si>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</si>
  <si>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</si>
  <si>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</si>
  <si>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</si>
  <si>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</si>
  <si>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</si>
  <si>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</si>
  <si>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</si>
  <si>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</si>
  <si>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</si>
  <si>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</si>
  <si>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</si>
  <si>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</si>
  <si>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</si>
  <si>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</si>
  <si>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</si>
  <si>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</si>
  <si>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</si>
  <si>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</si>
  <si>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</si>
  <si>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</si>
  <si>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</si>
  <si>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</si>
  <si>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</si>
  <si>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</si>
  <si>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</si>
  <si>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</si>
  <si>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</si>
  <si>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</si>
  <si>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</si>
  <si>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</si>
  <si>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</si>
  <si>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</si>
  <si>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</si>
  <si>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</si>
  <si>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</si>
  <si>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</si>
  <si>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</si>
  <si>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</si>
  <si>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</si>
  <si>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</si>
  <si>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</si>
  <si>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</si>
  <si>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</si>
  <si>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</si>
  <si>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</si>
  <si>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</si>
  <si>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</si>
  <si>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</si>
  <si>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</si>
  <si>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</si>
  <si>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</si>
  <si>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</si>
  <si>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</si>
  <si>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</si>
  <si>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</si>
  <si>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</si>
  <si>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</si>
  <si>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</si>
  <si>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</si>
  <si>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</si>
  <si>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</si>
  <si>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</si>
  <si>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</si>
  <si>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</si>
  <si>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</si>
  <si>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</si>
  <si>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</si>
  <si>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</si>
  <si>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</si>
  <si>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</si>
  <si>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</si>
  <si>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</si>
  <si>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</si>
  <si>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</si>
  <si>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</si>
  <si>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</si>
  <si>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</si>
  <si>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</si>
  <si>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</si>
  <si>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</si>
  <si>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</si>
  <si>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</si>
  <si>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</si>
  <si>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</si>
  <si>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</si>
  <si>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</si>
  <si>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</si>
  <si>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</si>
  <si>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</si>
  <si>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</si>
  <si>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</si>
  <si>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</si>
  <si>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</si>
  <si>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</si>
  <si>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</si>
  <si>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</si>
  <si>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</si>
  <si>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</si>
  <si>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</si>
  <si>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</si>
  <si>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</si>
  <si>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</si>
  <si>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</si>
  <si>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</si>
  <si>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</si>
  <si>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</si>
  <si>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</si>
  <si>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</si>
  <si>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</si>
  <si>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</si>
  <si>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</si>
  <si>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</si>
  <si>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</si>
  <si>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</si>
  <si>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</si>
  <si>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</si>
  <si>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</si>
  <si>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</si>
  <si>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</si>
  <si>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</si>
  <si>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</si>
  <si>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</si>
  <si>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</si>
  <si>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</si>
  <si>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</si>
  <si>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</si>
  <si>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</si>
  <si>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</si>
  <si>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</si>
  <si>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</si>
  <si>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</si>
  <si>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</si>
  <si>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</si>
  <si>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</si>
  <si>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</si>
  <si>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</si>
  <si>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</si>
  <si>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</si>
  <si>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</si>
  <si>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</si>
  <si>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</si>
  <si>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</si>
  <si>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</si>
  <si>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</si>
  <si>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</si>
  <si>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</si>
  <si>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</si>
  <si>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</si>
  <si>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</si>
  <si>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</si>
  <si>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</si>
  <si>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</si>
  <si>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</si>
  <si>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</si>
  <si>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</si>
  <si>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</si>
  <si>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</si>
  <si>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</si>
  <si>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</si>
  <si>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</si>
  <si>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</si>
  <si>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</si>
  <si>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</si>
  <si>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</si>
  <si>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</si>
  <si>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</si>
  <si>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</si>
  <si>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</si>
  <si>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</si>
  <si>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</si>
  <si>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</si>
  <si>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</si>
  <si>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</si>
  <si>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</si>
  <si>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</si>
  <si>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</si>
  <si>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</si>
  <si>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</si>
  <si>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</si>
  <si>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</si>
  <si>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</si>
  <si>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</si>
  <si>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</si>
  <si>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</si>
  <si>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</si>
  <si>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</si>
  <si>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</si>
  <si>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</si>
  <si>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</si>
  <si>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</si>
  <si>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</si>
  <si>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</si>
  <si>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</si>
  <si>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</si>
  <si>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</si>
  <si>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</si>
  <si>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</si>
  <si>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</si>
  <si>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</si>
  <si>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</si>
  <si>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</si>
  <si>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</si>
  <si>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</si>
  <si>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</si>
  <si>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</si>
  <si>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</si>
  <si>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</si>
  <si>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</si>
  <si>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</si>
  <si>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</si>
  <si>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</si>
  <si>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</si>
  <si>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</si>
  <si>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</si>
  <si>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</si>
  <si>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</si>
  <si>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</si>
  <si>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</si>
  <si>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</si>
  <si>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</si>
  <si>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</si>
  <si>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</si>
  <si>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</si>
  <si>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</si>
  <si>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</si>
  <si>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</si>
  <si>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</si>
  <si>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</si>
  <si>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</si>
  <si>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</si>
  <si>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</si>
  <si>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</si>
  <si>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</si>
  <si>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</si>
  <si>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</si>
  <si>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</si>
  <si>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</si>
  <si>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</si>
  <si>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</si>
  <si>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</si>
  <si>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</si>
  <si>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</si>
  <si>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</si>
  <si>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</si>
  <si>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</si>
  <si>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</si>
  <si>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</si>
  <si>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</si>
  <si>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</si>
  <si>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</si>
  <si>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</si>
  <si>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</si>
  <si>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</si>
  <si>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</si>
  <si>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</si>
  <si>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</si>
  <si>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</si>
  <si>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</si>
  <si>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</si>
  <si>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</si>
  <si>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</si>
  <si>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</si>
  <si>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</si>
  <si>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</si>
  <si>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</si>
  <si>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</si>
  <si>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</si>
  <si>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</si>
  <si>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</si>
  <si>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</si>
  <si>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</si>
  <si>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</si>
  <si>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</si>
  <si>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</si>
  <si>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</si>
  <si>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</si>
  <si>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</si>
  <si>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</si>
  <si>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</si>
  <si>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</si>
  <si>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</si>
  <si>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</si>
  <si>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</si>
  <si>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</si>
  <si>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</si>
  <si>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</si>
  <si>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</si>
  <si>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</si>
  <si>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</si>
  <si>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</si>
  <si>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</si>
  <si>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</si>
  <si>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</si>
  <si>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</si>
  <si>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</si>
  <si>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</si>
  <si>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</si>
  <si>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</si>
  <si>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</si>
  <si>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</si>
  <si>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</si>
  <si>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</si>
  <si>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</si>
  <si>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</si>
  <si>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</si>
  <si>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</si>
  <si>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</si>
  <si>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</si>
  <si>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</si>
  <si>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</si>
  <si>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</si>
  <si>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</si>
  <si>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</si>
  <si>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</si>
  <si>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</si>
  <si>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</si>
  <si>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</si>
  <si>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</si>
  <si>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</si>
  <si>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</si>
  <si>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</si>
  <si>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</si>
  <si>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</si>
  <si>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</si>
  <si>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</si>
  <si>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</si>
  <si>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</si>
  <si>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</si>
  <si>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</si>
  <si>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</si>
  <si>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</si>
  <si>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</si>
  <si>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</si>
  <si>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</si>
  <si>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</si>
  <si>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</si>
  <si>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</si>
  <si>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</si>
  <si>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</si>
  <si>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</si>
  <si>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</si>
  <si>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</si>
  <si>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</si>
  <si>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</si>
  <si>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</si>
  <si>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</si>
  <si>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</si>
  <si>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</si>
  <si>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</si>
  <si>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</si>
  <si>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</si>
  <si>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</si>
  <si>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</si>
  <si>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</si>
  <si>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</si>
  <si>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</si>
  <si>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</si>
  <si>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</si>
  <si>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</si>
  <si>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</si>
  <si>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</si>
  <si>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</si>
  <si>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</si>
  <si>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</si>
  <si>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</si>
  <si>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</si>
  <si>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</si>
  <si>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</si>
  <si>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</si>
  <si>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</si>
  <si>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</si>
  <si>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</si>
  <si>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</si>
  <si>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</si>
  <si>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</si>
  <si>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</si>
  <si>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</si>
  <si>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</si>
  <si>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</si>
  <si>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</si>
  <si>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</si>
  <si>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</si>
  <si>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</si>
  <si>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</si>
  <si>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</si>
  <si>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</si>
  <si>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</si>
  <si>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</si>
  <si>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</si>
  <si>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</si>
  <si>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</si>
  <si>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</si>
  <si>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</si>
  <si>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</si>
  <si>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</si>
  <si>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</si>
  <si>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</si>
  <si>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</si>
  <si>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</si>
  <si>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</si>
  <si>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</si>
  <si>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</si>
  <si>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</si>
  <si>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</si>
  <si>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</si>
  <si>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</si>
  <si>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</si>
  <si>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</si>
  <si>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</si>
  <si>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</si>
  <si>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</si>
  <si>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</si>
  <si>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</si>
  <si>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</si>
  <si>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</si>
  <si>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</si>
  <si>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</si>
  <si>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</si>
  <si>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</si>
  <si>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</si>
  <si>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</si>
  <si>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</si>
  <si>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</si>
  <si>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</si>
  <si>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</si>
  <si>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</si>
  <si>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</si>
  <si>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</si>
  <si>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</si>
  <si>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</si>
  <si>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</si>
  <si>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</si>
  <si>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</si>
  <si>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</si>
  <si>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</si>
  <si>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</si>
  <si>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</si>
  <si>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</si>
  <si>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</si>
  <si>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</si>
  <si>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</si>
  <si>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</si>
  <si>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</si>
  <si>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</si>
  <si>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</si>
  <si>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</si>
  <si>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</si>
  <si>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</si>
  <si>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</si>
  <si>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</si>
  <si>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</si>
  <si>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</si>
  <si>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</si>
  <si>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</si>
  <si>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</si>
  <si>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</si>
  <si>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</si>
  <si>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</si>
  <si>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</si>
  <si>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</si>
  <si>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</si>
  <si>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</si>
  <si>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</si>
  <si>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</si>
  <si>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</si>
  <si>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</si>
  <si>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</si>
  <si>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</si>
  <si>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</si>
  <si>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</si>
  <si>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</si>
  <si>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</si>
  <si>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</si>
  <si>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</si>
  <si>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</si>
  <si>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</si>
  <si>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</si>
  <si>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</si>
  <si>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</si>
  <si>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</si>
  <si>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</si>
  <si>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</si>
  <si>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</si>
  <si>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</si>
  <si>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</si>
  <si>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</si>
  <si>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</si>
  <si>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</si>
  <si>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</si>
  <si>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</si>
  <si>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</si>
  <si>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</si>
  <si>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</si>
  <si>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</si>
  <si>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</si>
  <si>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</si>
  <si>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</si>
  <si>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</si>
  <si>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</si>
  <si>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</si>
  <si>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</si>
  <si>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</si>
  <si>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</si>
  <si>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</si>
  <si>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</si>
  <si>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</si>
  <si>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</si>
  <si>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</si>
  <si>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</si>
  <si>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</si>
  <si>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</si>
  <si>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</si>
  <si>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</si>
  <si>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</si>
  <si>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</si>
  <si>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</si>
  <si>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</si>
  <si>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</si>
  <si>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</si>
  <si>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</si>
  <si>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</si>
  <si>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</si>
  <si>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</si>
  <si>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</si>
  <si>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</si>
  <si>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</si>
  <si>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</si>
  <si>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</si>
  <si>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</si>
  <si>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</si>
  <si>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</si>
  <si>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</si>
  <si>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</si>
  <si>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</si>
  <si>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</si>
  <si>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</si>
  <si>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</si>
  <si>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</si>
  <si>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</si>
  <si>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</si>
  <si>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</si>
  <si>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</si>
  <si>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</si>
  <si>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</si>
  <si>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</si>
  <si>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</si>
  <si>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</si>
  <si>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</si>
  <si>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</si>
  <si>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</si>
  <si>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</si>
  <si>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</si>
  <si>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</si>
  <si>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</si>
  <si>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</si>
  <si>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</si>
  <si>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</si>
  <si>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</si>
  <si>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</si>
  <si>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</si>
  <si>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</si>
  <si>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</si>
  <si>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</si>
  <si>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</si>
  <si>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</si>
  <si>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</si>
  <si>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</si>
  <si>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</si>
  <si>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</si>
  <si>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</si>
  <si>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</si>
  <si>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</si>
  <si>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</si>
  <si>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</si>
  <si>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</si>
  <si>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</si>
  <si>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</si>
  <si>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</si>
  <si>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</si>
  <si>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</si>
  <si>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</si>
  <si>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</si>
  <si>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</si>
  <si>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</si>
  <si>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</si>
  <si>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</si>
  <si>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</si>
  <si>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</si>
  <si>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</si>
  <si>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</si>
  <si>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</si>
  <si>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</si>
  <si>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</si>
  <si>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</si>
  <si>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</si>
  <si>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</si>
  <si>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</si>
  <si>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</si>
  <si>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</si>
  <si>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</si>
  <si>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</si>
  <si>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</si>
  <si>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</si>
  <si>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</si>
  <si>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</si>
  <si>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</si>
  <si>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</si>
  <si>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</si>
  <si>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</si>
  <si>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</si>
  <si>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</si>
  <si>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</si>
  <si>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</si>
  <si>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</si>
  <si>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</si>
  <si>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</si>
  <si>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</si>
  <si>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</si>
  <si>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</si>
  <si>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</si>
  <si>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</si>
  <si>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</si>
  <si>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</si>
  <si>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</si>
  <si>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</si>
  <si>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</si>
  <si>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</si>
  <si>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</si>
  <si>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</si>
  <si>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</si>
  <si>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</si>
  <si>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</si>
  <si>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</si>
  <si>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</si>
  <si>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</si>
  <si>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</si>
  <si>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</si>
  <si>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</si>
  <si>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</si>
  <si>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</si>
  <si>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</si>
  <si>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</si>
  <si>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</si>
  <si>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</si>
  <si>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</si>
  <si>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</si>
  <si>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</si>
  <si>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</si>
  <si>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</si>
  <si>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</si>
  <si>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</si>
  <si>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</si>
  <si>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</si>
  <si>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</si>
  <si>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</si>
  <si>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</si>
  <si>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</si>
  <si>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</si>
  <si>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</si>
  <si>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</si>
  <si>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</si>
  <si>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</si>
  <si>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</si>
  <si>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</si>
  <si>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</si>
  <si>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</si>
  <si>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</si>
  <si>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</si>
  <si>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</si>
  <si>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</si>
  <si>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</si>
  <si>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</si>
  <si>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</si>
  <si>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</si>
  <si>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</si>
  <si>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</si>
  <si>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</si>
  <si>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</si>
  <si>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</si>
  <si>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</si>
  <si>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</si>
  <si>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</si>
  <si>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</si>
  <si>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</si>
  <si>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</si>
  <si>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</si>
  <si>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</si>
  <si>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</si>
  <si>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</si>
  <si>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</si>
  <si>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</si>
  <si>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</si>
  <si>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</si>
  <si>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</si>
  <si>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</si>
  <si>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</si>
  <si>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</si>
  <si>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</si>
  <si>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</si>
  <si>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</si>
  <si>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</si>
  <si>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</si>
  <si>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</si>
  <si>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</si>
  <si>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</si>
  <si>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</si>
  <si>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</si>
  <si>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</si>
  <si>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</si>
  <si>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</si>
  <si>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</si>
  <si>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</si>
  <si>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</si>
  <si>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</si>
  <si>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</si>
  <si>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</si>
  <si>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</si>
  <si>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</si>
  <si>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</si>
  <si>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</si>
  <si>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</si>
  <si>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</si>
  <si>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</si>
  <si>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</si>
  <si>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</si>
  <si>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</si>
  <si>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</si>
  <si>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</si>
  <si>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</si>
  <si>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</si>
  <si>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</si>
  <si>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</si>
  <si>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</si>
  <si>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</si>
  <si>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</si>
  <si>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</si>
  <si>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</si>
  <si>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</si>
  <si>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</si>
  <si>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</si>
  <si>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</si>
  <si>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</si>
  <si>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</si>
  <si>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</si>
  <si>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</si>
  <si>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</si>
  <si>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</si>
  <si>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</si>
  <si>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</si>
  <si>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</si>
  <si>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</si>
  <si>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</si>
  <si>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</si>
  <si>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</si>
  <si>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</si>
  <si>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</si>
  <si>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</si>
  <si>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</si>
  <si>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</si>
  <si>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</si>
  <si>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</si>
  <si>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</si>
  <si>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</si>
  <si>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</si>
  <si>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</si>
  <si>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</si>
  <si>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</si>
  <si>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</si>
  <si>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</si>
  <si>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</si>
  <si>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</si>
  <si>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</si>
  <si>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</si>
  <si>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</si>
  <si>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</si>
  <si>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</si>
  <si>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</si>
  <si>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</si>
  <si>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</si>
  <si>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</si>
  <si>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</si>
  <si>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</si>
  <si>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</si>
  <si>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</si>
  <si>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</si>
  <si>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</si>
  <si>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</si>
  <si>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</si>
  <si>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</si>
  <si>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</si>
  <si>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</si>
  <si>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</si>
  <si>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</si>
  <si>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</si>
  <si>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</si>
  <si>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</si>
  <si>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</si>
  <si>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</si>
  <si>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</si>
  <si>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</si>
  <si>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</si>
  <si>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</si>
  <si>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</si>
  <si>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</si>
  <si>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</si>
  <si>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</si>
  <si>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</si>
  <si>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</si>
  <si>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</si>
  <si>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</si>
  <si>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</si>
  <si>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</si>
  <si>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</si>
  <si>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</si>
  <si>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</si>
  <si>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</si>
  <si>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</si>
  <si>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</si>
  <si>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</si>
  <si>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</si>
  <si>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</si>
  <si>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</si>
  <si>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</si>
  <si>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</si>
  <si>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</si>
  <si>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</si>
  <si>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</si>
  <si>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</si>
  <si>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</si>
  <si>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</si>
  <si>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</si>
  <si>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</si>
  <si>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</si>
  <si>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</si>
  <si>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</si>
  <si>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</si>
  <si>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</si>
  <si>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</si>
  <si>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</si>
  <si>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</si>
  <si>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</si>
  <si>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</si>
  <si>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</si>
  <si>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</si>
  <si>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</si>
  <si>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</si>
  <si>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</si>
  <si>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</si>
  <si>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</si>
  <si>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</si>
  <si>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</si>
  <si>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</si>
  <si>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</si>
  <si>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</si>
  <si>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</si>
  <si>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</si>
  <si>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</si>
  <si>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</si>
  <si>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</si>
  <si>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</si>
  <si>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</si>
  <si>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</si>
  <si>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</si>
  <si>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</si>
  <si>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</si>
  <si>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</si>
  <si>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</si>
  <si>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</si>
  <si>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</si>
  <si>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</si>
  <si>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</si>
  <si>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</si>
  <si>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</si>
  <si>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</si>
  <si>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</si>
  <si>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</si>
  <si>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</si>
  <si>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</si>
  <si>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</si>
  <si>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</si>
  <si>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</si>
  <si>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</si>
  <si>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</si>
  <si>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</si>
  <si>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</si>
  <si>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</si>
  <si>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</si>
  <si>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</si>
  <si>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</si>
  <si>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</si>
  <si>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</si>
  <si>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</si>
  <si>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</si>
  <si>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</si>
  <si>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</si>
  <si>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</si>
  <si>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</si>
  <si>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</si>
  <si>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</si>
  <si>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</si>
  <si>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</si>
  <si>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</si>
  <si>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</si>
  <si>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</si>
  <si>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</si>
  <si>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</si>
  <si>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</si>
  <si>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</si>
  <si>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</si>
  <si>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</si>
  <si>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</si>
  <si>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</si>
  <si>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</si>
  <si>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</si>
  <si>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</si>
  <si>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</si>
  <si>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</si>
  <si>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</si>
  <si>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</si>
  <si>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</si>
  <si>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</si>
  <si>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</si>
  <si>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</si>
  <si>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</si>
  <si>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</si>
  <si>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</si>
  <si>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</si>
  <si>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</si>
  <si>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</si>
  <si>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</si>
  <si>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</si>
  <si>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</si>
  <si>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</si>
  <si>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</si>
  <si>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</si>
  <si>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</si>
  <si>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</si>
  <si>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</si>
  <si>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</si>
  <si>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</si>
  <si>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</si>
  <si>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</si>
  <si>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</si>
  <si>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</si>
  <si>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</si>
  <si>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</si>
  <si>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</si>
  <si>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</si>
  <si>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</si>
  <si>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</si>
  <si>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</si>
  <si>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</si>
  <si>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</si>
  <si>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</si>
  <si>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</si>
  <si>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</si>
  <si>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</si>
  <si>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</si>
  <si>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</si>
  <si>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</si>
  <si>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</si>
  <si>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</si>
  <si>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</si>
  <si>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</si>
  <si>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</si>
  <si>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</si>
  <si>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</si>
  <si>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</si>
  <si>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</si>
  <si>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</si>
  <si>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</si>
  <si>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</si>
  <si>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</si>
  <si>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</si>
  <si>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</si>
  <si>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</si>
  <si>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</si>
  <si>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</si>
  <si>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</si>
  <si>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</si>
  <si>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</si>
  <si>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</si>
  <si>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</si>
  <si>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</si>
  <si>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</si>
  <si>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</si>
  <si>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</si>
  <si>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</si>
  <si>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</si>
  <si>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</si>
  <si>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</si>
  <si>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</si>
  <si>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</si>
  <si>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</si>
  <si>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</si>
  <si>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</si>
  <si>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</si>
  <si>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</si>
  <si>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</si>
  <si>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</si>
  <si>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</si>
  <si>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</si>
  <si>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</si>
  <si>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</si>
  <si>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</si>
  <si>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</si>
  <si>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</si>
  <si>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</si>
  <si>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</si>
  <si>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</si>
  <si>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</si>
  <si>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</si>
  <si>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</si>
  <si>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</si>
  <si>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</si>
  <si>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</si>
  <si>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</si>
  <si>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</si>
  <si>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</si>
  <si>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</si>
  <si>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</si>
  <si>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</si>
  <si>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</si>
  <si>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</si>
  <si>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</si>
  <si>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</si>
  <si>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</si>
  <si>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</si>
  <si>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</si>
  <si>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</si>
  <si>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</si>
  <si>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</si>
  <si>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</si>
  <si>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</si>
  <si>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</si>
  <si>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</si>
  <si>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</si>
  <si>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</si>
  <si>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</si>
  <si>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</si>
  <si>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</si>
  <si>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</si>
  <si>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</si>
  <si>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</si>
  <si>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</si>
  <si>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</si>
  <si>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</si>
  <si>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</si>
  <si>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</si>
  <si>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</si>
  <si>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</si>
  <si>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</si>
  <si>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</si>
  <si>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</si>
  <si>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</si>
  <si>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</si>
  <si>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</si>
  <si>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</si>
  <si>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</si>
  <si>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</si>
  <si>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</si>
  <si>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</si>
  <si>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</si>
  <si>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</si>
  <si>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</si>
  <si>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</si>
  <si>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</si>
  <si>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</si>
  <si>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</si>
  <si>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</si>
  <si>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</si>
  <si>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</si>
  <si>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</si>
  <si>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</si>
  <si>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</si>
  <si>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</si>
  <si>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</si>
  <si>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</si>
  <si>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</si>
  <si>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</si>
  <si>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</si>
  <si>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</si>
  <si>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</si>
  <si>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</si>
  <si>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</si>
  <si>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</si>
  <si>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</si>
  <si>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</si>
  <si>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</si>
  <si>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</si>
  <si>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</si>
  <si>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</si>
  <si>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</si>
  <si>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</si>
  <si>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</si>
  <si>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</si>
  <si>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</si>
  <si>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</si>
  <si>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</si>
  <si>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</si>
  <si>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</si>
  <si>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</si>
  <si>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</si>
  <si>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</si>
  <si>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</si>
  <si>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</si>
  <si>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</si>
  <si>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</si>
  <si>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</si>
  <si>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</si>
  <si>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</si>
  <si>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</si>
  <si>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</si>
  <si>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</si>
  <si>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</si>
  <si>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</si>
  <si>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</si>
  <si>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</si>
  <si>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</si>
  <si>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</si>
  <si>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</si>
  <si>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</si>
  <si>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</si>
  <si>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</si>
  <si>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</si>
  <si>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</si>
  <si>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</si>
  <si>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</si>
  <si>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</si>
  <si>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</si>
  <si>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</si>
  <si>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</si>
  <si>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</si>
  <si>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</si>
  <si>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</si>
  <si>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</si>
  <si>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</si>
  <si>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</si>
  <si>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</si>
  <si>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</si>
  <si>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</si>
  <si>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</si>
  <si>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</si>
  <si>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</si>
  <si>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</si>
  <si>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</si>
  <si>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</si>
  <si>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</si>
  <si>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</si>
  <si>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</si>
  <si>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</si>
  <si>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</si>
  <si>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</si>
  <si>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</si>
  <si>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</si>
  <si>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</si>
  <si>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</si>
  <si>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</si>
  <si>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</si>
  <si>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</si>
  <si>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</si>
  <si>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</si>
  <si>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</si>
  <si>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</si>
  <si>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</si>
  <si>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</si>
  <si>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</si>
  <si>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</si>
  <si>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</si>
  <si>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</si>
  <si>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</si>
  <si>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</si>
  <si>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</si>
  <si>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</si>
  <si>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</si>
  <si>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</si>
  <si>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</si>
  <si>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</si>
  <si>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</si>
  <si>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</si>
  <si>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</si>
  <si>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</si>
  <si>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</si>
  <si>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</si>
  <si>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</si>
  <si>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</si>
  <si>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</si>
  <si>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</si>
  <si>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</si>
  <si>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</si>
  <si>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</si>
  <si>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</si>
  <si>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</si>
  <si>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</si>
  <si>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</si>
  <si>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</si>
  <si>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</si>
  <si>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</si>
  <si>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</si>
  <si>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</si>
  <si>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</si>
  <si>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</si>
  <si>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</si>
  <si>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</si>
  <si>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</si>
  <si>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</si>
  <si>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</si>
  <si>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</si>
  <si>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</si>
  <si>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</si>
  <si>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</si>
  <si>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</si>
  <si>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</si>
  <si>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</si>
  <si>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</si>
  <si>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</si>
  <si>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</si>
  <si>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</si>
  <si>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</si>
  <si>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</si>
  <si>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</si>
  <si>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</si>
  <si>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</si>
  <si>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</si>
  <si>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</si>
  <si>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</si>
  <si>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</si>
  <si>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</si>
  <si>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</si>
  <si>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</si>
  <si>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</si>
  <si>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</si>
  <si>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</si>
  <si>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</si>
  <si>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</si>
  <si>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</si>
  <si>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</si>
  <si>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</si>
  <si>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</si>
  <si>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</si>
  <si>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</si>
  <si>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</si>
  <si>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</si>
  <si>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</si>
  <si>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</si>
  <si>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</si>
  <si>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</si>
  <si>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</si>
  <si>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260401-006</t>
  </si>
  <si>
    <t>260410-023</t>
  </si>
  <si>
    <t>260414-031</t>
  </si>
  <si>
    <t>260415-032</t>
  </si>
  <si>
    <t>260416-035</t>
  </si>
  <si>
    <t>260416-036</t>
  </si>
  <si>
    <t>260417-037</t>
  </si>
  <si>
    <t>260417-038</t>
  </si>
  <si>
    <t>260417-039</t>
  </si>
  <si>
    <t>260417-040</t>
  </si>
  <si>
    <t>260417-041</t>
  </si>
  <si>
    <t>260417-042</t>
  </si>
  <si>
    <t>260417-043</t>
  </si>
  <si>
    <t>260417-044</t>
  </si>
  <si>
    <t>260417-045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</si>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</sst>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J64" workbookViewId="0">
      <selection activeCell="T68" sqref="T68:T7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customWidth="1"/>
    <col min="19" max="19" width="23.28515625" customWidth="1"/>
    <col min="20" max="20" width="13.5703125" customWidth="1"/>
    <col min="21" max="21" width="16.28515625" customWidth="1"/>
  </cols>
  <sheetData>
    <row r="1" spans="1:21" ht="27.75" customHeight="1">
      <c r="A1" s="20" t="s">
        <v>0</v>
      </c>
      <c r="B1" s="20" t="s">
        <v>1</v>
      </c>
      <c r="C1" s="21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t="s">
        <v>17</v>
      </c>
      <c r="S1" t="s">
        <v>18</v>
      </c>
      <c r="T1" t="s">
        <v>19</v>
      </c>
      <c r="U1" s="20" t="s">
        <v>20</v>
      </c>
    </row>
    <row r="2" spans="1:21">
      <c r="A2" s="22" t="s">
        <v>21</v>
      </c>
      <c r="B2" s="23">
        <v>46105</v>
      </c>
      <c r="C2" s="22" t="s">
        <v>22</v>
      </c>
      <c r="D2" s="22" t="s">
        <v>23</v>
      </c>
      <c r="E2" s="22" t="s">
        <v>24</v>
      </c>
      <c r="F2" s="22" t="s">
        <v>25</v>
      </c>
      <c r="G2" s="22" t="s">
        <v>26</v>
      </c>
      <c r="H2" s="22" t="str">
        <f>+T2</f>
        <v>260324-001</v>
      </c>
      <c r="I2" s="22" t="s">
        <v>27</v>
      </c>
      <c r="J2" s="30">
        <v>3400</v>
      </c>
      <c r="K2" s="24">
        <f>IF(I2="","",IF(I2="ENTRADA",ABS(J2),-ABS(J2)))</f>
        <v>3400</v>
      </c>
      <c r="L2" s="22" t="s">
        <v>28</v>
      </c>
      <c r="M2" s="23"/>
      <c r="N2" s="22">
        <v>47144</v>
      </c>
      <c r="O2" s="22"/>
      <c r="P2" s="22">
        <v>14229</v>
      </c>
      <c r="Q2" s="23">
        <v>46106</v>
      </c>
      <c r="R2" s="24" t="str">
        <f>IF(H2="","",H2&amp;I2)</f>
        <v>260324-001ENTRADA</v>
      </c>
      <c r="S2" s="24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2" t="s">
        <v>30</v>
      </c>
      <c r="B3" s="23">
        <v>46113</v>
      </c>
      <c r="C3" s="22" t="s">
        <v>31</v>
      </c>
      <c r="D3" s="22" t="s">
        <v>32</v>
      </c>
      <c r="E3" s="22" t="s">
        <v>33</v>
      </c>
      <c r="F3" s="22" t="s">
        <v>34</v>
      </c>
      <c r="G3" s="22" t="s">
        <v>35</v>
      </c>
      <c r="H3" s="22" t="str">
        <f t="shared" ref="H3:H8" si="0">+T3</f>
        <v>260401-002</v>
      </c>
      <c r="I3" s="22" t="s">
        <v>27</v>
      </c>
      <c r="J3" s="30">
        <v>700</v>
      </c>
      <c r="K3" s="24">
        <f>IF(I3="","",IF(I3="ENTRADA",ABS(J3),-ABS(J3)))</f>
        <v>700</v>
      </c>
      <c r="L3" s="22" t="s">
        <v>36</v>
      </c>
      <c r="M3" s="23">
        <v>46710</v>
      </c>
      <c r="N3" s="22">
        <v>12383</v>
      </c>
      <c r="O3" s="22"/>
      <c r="P3" s="22">
        <v>14327</v>
      </c>
      <c r="Q3" s="23">
        <v>46123</v>
      </c>
      <c r="R3" s="24" t="str">
        <f t="shared" ref="R3:R12" si="1">IF(H3="","",H3&amp;I3)</f>
        <v>260401-002ENTRADA</v>
      </c>
      <c r="S3" s="24" t="str">
        <f t="shared" ref="S3:S12" si="2"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2" t="s">
        <v>38</v>
      </c>
      <c r="B4" s="23">
        <v>46113</v>
      </c>
      <c r="C4" s="22" t="s">
        <v>39</v>
      </c>
      <c r="D4" s="22" t="s">
        <v>40</v>
      </c>
      <c r="E4" s="22" t="s">
        <v>33</v>
      </c>
      <c r="F4" s="22" t="s">
        <v>34</v>
      </c>
      <c r="G4" s="22" t="s">
        <v>35</v>
      </c>
      <c r="H4" s="22" t="str">
        <f t="shared" si="0"/>
        <v>260401-003</v>
      </c>
      <c r="I4" s="22" t="s">
        <v>27</v>
      </c>
      <c r="J4" s="30">
        <v>300</v>
      </c>
      <c r="K4" s="24">
        <f>IF(I4="","",IF(I4="ENTRADA",ABS(J4),-ABS(J4)))</f>
        <v>300</v>
      </c>
      <c r="L4" s="22" t="s">
        <v>36</v>
      </c>
      <c r="M4" s="23">
        <v>46500</v>
      </c>
      <c r="N4" s="22">
        <v>12383</v>
      </c>
      <c r="O4" s="22"/>
      <c r="P4" s="22">
        <v>14327</v>
      </c>
      <c r="Q4" s="23">
        <v>46123</v>
      </c>
      <c r="R4" s="24" t="str">
        <f t="shared" si="1"/>
        <v>260401-003ENTRADA</v>
      </c>
      <c r="S4" s="24" t="str">
        <f t="shared" si="2"/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2" t="s">
        <v>42</v>
      </c>
      <c r="B5" s="23">
        <v>46113</v>
      </c>
      <c r="C5" s="22" t="s">
        <v>43</v>
      </c>
      <c r="D5" s="22" t="s">
        <v>44</v>
      </c>
      <c r="E5" s="22" t="s">
        <v>33</v>
      </c>
      <c r="F5" s="22" t="s">
        <v>45</v>
      </c>
      <c r="G5" s="22" t="s">
        <v>35</v>
      </c>
      <c r="H5" s="22" t="str">
        <f t="shared" si="0"/>
        <v>260401-004</v>
      </c>
      <c r="I5" s="22" t="s">
        <v>27</v>
      </c>
      <c r="J5" s="30">
        <v>2700</v>
      </c>
      <c r="K5" s="24">
        <v>2700</v>
      </c>
      <c r="L5" s="22" t="s">
        <v>36</v>
      </c>
      <c r="M5" s="23">
        <v>46528</v>
      </c>
      <c r="N5" s="22">
        <v>12383</v>
      </c>
      <c r="O5" s="22"/>
      <c r="P5" s="22">
        <v>14327</v>
      </c>
      <c r="Q5" s="23">
        <v>46123</v>
      </c>
      <c r="R5" s="24" t="str">
        <f t="shared" si="1"/>
        <v>260401-004ENTRADA</v>
      </c>
      <c r="S5" s="24" t="str">
        <f t="shared" si="2"/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2" t="s">
        <v>47</v>
      </c>
      <c r="B6" s="23">
        <v>46113</v>
      </c>
      <c r="C6" s="22" t="s">
        <v>43</v>
      </c>
      <c r="D6" s="22" t="s">
        <v>44</v>
      </c>
      <c r="E6" s="22" t="s">
        <v>33</v>
      </c>
      <c r="F6" s="22" t="s">
        <v>45</v>
      </c>
      <c r="G6" s="22" t="s">
        <v>35</v>
      </c>
      <c r="H6" s="22" t="str">
        <f t="shared" si="0"/>
        <v>260401-005</v>
      </c>
      <c r="I6" s="22" t="s">
        <v>27</v>
      </c>
      <c r="J6" s="30">
        <v>100</v>
      </c>
      <c r="K6" s="24">
        <f t="shared" ref="K6:K69" si="3">IF(I6="","",IF(I6="ENTRADA",ABS(J6),-ABS(J6)))</f>
        <v>100</v>
      </c>
      <c r="L6" s="22" t="s">
        <v>36</v>
      </c>
      <c r="M6" s="23">
        <v>46761</v>
      </c>
      <c r="N6" s="22">
        <v>12383</v>
      </c>
      <c r="O6" s="22"/>
      <c r="P6" s="22">
        <v>14327</v>
      </c>
      <c r="Q6" s="23">
        <v>46123</v>
      </c>
      <c r="R6" s="24" t="str">
        <f t="shared" si="1"/>
        <v>260401-005ENTRADA</v>
      </c>
      <c r="S6" s="24" t="str">
        <f t="shared" si="2"/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2" t="s">
        <v>48</v>
      </c>
      <c r="B7" s="23">
        <v>46113</v>
      </c>
      <c r="C7" s="22" t="s">
        <v>49</v>
      </c>
      <c r="D7" s="22" t="s">
        <v>50</v>
      </c>
      <c r="E7" s="22" t="s">
        <v>33</v>
      </c>
      <c r="F7" s="22" t="s">
        <v>34</v>
      </c>
      <c r="G7" s="22" t="s">
        <v>35</v>
      </c>
      <c r="H7" s="22" t="str">
        <f t="shared" si="0"/>
        <v>260401-006</v>
      </c>
      <c r="I7" s="22" t="s">
        <v>27</v>
      </c>
      <c r="J7" s="30">
        <v>300</v>
      </c>
      <c r="K7" s="24">
        <f t="shared" si="3"/>
        <v>300</v>
      </c>
      <c r="L7" s="22" t="s">
        <v>36</v>
      </c>
      <c r="M7" s="23">
        <v>46517</v>
      </c>
      <c r="N7" s="22">
        <v>12383</v>
      </c>
      <c r="O7" s="22"/>
      <c r="P7" s="22">
        <v>14327</v>
      </c>
      <c r="Q7" s="23">
        <v>46123</v>
      </c>
      <c r="R7" s="24" t="str">
        <f t="shared" si="1"/>
        <v>260401-006ENTRADA</v>
      </c>
      <c r="S7" s="24" t="str">
        <f t="shared" si="2"/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2" t="s">
        <v>52</v>
      </c>
      <c r="B8" s="23">
        <v>46113</v>
      </c>
      <c r="C8" s="22" t="s">
        <v>53</v>
      </c>
      <c r="D8" s="22" t="s">
        <v>54</v>
      </c>
      <c r="E8" s="22" t="s">
        <v>33</v>
      </c>
      <c r="F8" s="22" t="s">
        <v>34</v>
      </c>
      <c r="G8" s="22" t="s">
        <v>35</v>
      </c>
      <c r="H8" s="22" t="str">
        <f t="shared" si="0"/>
        <v>260401-007</v>
      </c>
      <c r="I8" s="22" t="s">
        <v>27</v>
      </c>
      <c r="J8" s="30">
        <v>300</v>
      </c>
      <c r="K8" s="24">
        <f t="shared" si="3"/>
        <v>300</v>
      </c>
      <c r="L8" s="22" t="s">
        <v>55</v>
      </c>
      <c r="M8" s="23">
        <v>46443</v>
      </c>
      <c r="N8" s="22">
        <v>12383</v>
      </c>
      <c r="O8" s="22"/>
      <c r="P8" s="22">
        <v>14327</v>
      </c>
      <c r="Q8" s="23">
        <v>46123</v>
      </c>
      <c r="R8" s="24" t="str">
        <f t="shared" si="1"/>
        <v>260401-007ENTRADA</v>
      </c>
      <c r="S8" s="24" t="str">
        <f t="shared" si="2"/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2" t="s">
        <v>57</v>
      </c>
      <c r="B9" s="23">
        <v>46113</v>
      </c>
      <c r="C9" s="22" t="s">
        <v>58</v>
      </c>
      <c r="D9" s="22" t="s">
        <v>59</v>
      </c>
      <c r="E9" s="22" t="s">
        <v>33</v>
      </c>
      <c r="F9" s="22" t="s">
        <v>34</v>
      </c>
      <c r="G9" s="22" t="s">
        <v>35</v>
      </c>
      <c r="H9" s="22" t="str">
        <f>+T9</f>
        <v>260401-008</v>
      </c>
      <c r="I9" s="22" t="s">
        <v>27</v>
      </c>
      <c r="J9" s="30">
        <v>4800</v>
      </c>
      <c r="K9" s="24">
        <f t="shared" si="3"/>
        <v>4800</v>
      </c>
      <c r="L9" s="22" t="s">
        <v>36</v>
      </c>
      <c r="M9" s="23">
        <v>46737</v>
      </c>
      <c r="N9" s="22">
        <v>12383</v>
      </c>
      <c r="O9" s="22"/>
      <c r="P9" s="22">
        <v>14327</v>
      </c>
      <c r="Q9" s="23">
        <v>46123</v>
      </c>
      <c r="R9" s="24" t="str">
        <f t="shared" si="1"/>
        <v>260401-008ENTRADA</v>
      </c>
      <c r="S9" s="24" t="str">
        <f t="shared" si="2"/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2" t="s">
        <v>61</v>
      </c>
      <c r="B10" s="23">
        <v>46113</v>
      </c>
      <c r="C10" t="s">
        <v>43</v>
      </c>
      <c r="D10" t="s">
        <v>62</v>
      </c>
      <c r="E10" t="s">
        <v>33</v>
      </c>
      <c r="F10" t="s">
        <v>45</v>
      </c>
      <c r="H10" s="22" t="s">
        <v>63</v>
      </c>
      <c r="I10" t="s">
        <v>64</v>
      </c>
      <c r="J10" s="31">
        <v>100</v>
      </c>
      <c r="K10" s="24">
        <f t="shared" si="3"/>
        <v>-100</v>
      </c>
      <c r="L10" t="s">
        <v>36</v>
      </c>
      <c r="M10" s="23"/>
      <c r="N10" s="4">
        <v>59307</v>
      </c>
      <c r="O10" t="s">
        <v>65</v>
      </c>
      <c r="P10" s="4">
        <v>1624</v>
      </c>
      <c r="Q10" s="23">
        <v>46123</v>
      </c>
      <c r="R10" s="24" t="str">
        <f t="shared" si="1"/>
        <v>260401-004SALIDA</v>
      </c>
      <c r="S10" s="24" t="str">
        <f t="shared" si="2"/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2" t="s">
        <v>66</v>
      </c>
      <c r="B11" s="23">
        <v>46113</v>
      </c>
      <c r="C11" t="s">
        <v>58</v>
      </c>
      <c r="D11" t="s">
        <v>59</v>
      </c>
      <c r="E11" t="s">
        <v>33</v>
      </c>
      <c r="F11" t="s">
        <v>34</v>
      </c>
      <c r="H11" s="22" t="s">
        <v>67</v>
      </c>
      <c r="I11" t="s">
        <v>64</v>
      </c>
      <c r="J11" s="31">
        <v>360</v>
      </c>
      <c r="K11" s="24">
        <f t="shared" si="3"/>
        <v>-360</v>
      </c>
      <c r="L11" t="s">
        <v>36</v>
      </c>
      <c r="M11" s="23"/>
      <c r="N11" s="4">
        <v>59307</v>
      </c>
      <c r="O11" t="s">
        <v>65</v>
      </c>
      <c r="P11" s="4">
        <v>1624</v>
      </c>
      <c r="Q11" s="23">
        <v>46123</v>
      </c>
      <c r="R11" s="24" t="str">
        <f t="shared" si="1"/>
        <v>260401-008SALIDA</v>
      </c>
      <c r="S11" s="24" t="str">
        <f t="shared" si="2"/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2" t="s">
        <v>68</v>
      </c>
      <c r="B12" s="23">
        <v>46118</v>
      </c>
      <c r="C12" t="s">
        <v>69</v>
      </c>
      <c r="D12" t="s">
        <v>70</v>
      </c>
      <c r="E12" t="s">
        <v>69</v>
      </c>
      <c r="G12" t="s">
        <v>71</v>
      </c>
      <c r="H12" s="22" t="str">
        <f t="shared" ref="H12:H76" si="4">+T12</f>
        <v>260406-011</v>
      </c>
      <c r="I12" t="s">
        <v>27</v>
      </c>
      <c r="J12" s="31">
        <v>3</v>
      </c>
      <c r="K12" s="24">
        <f t="shared" si="3"/>
        <v>3</v>
      </c>
      <c r="L12" t="s">
        <v>72</v>
      </c>
      <c r="M12" s="23"/>
      <c r="N12" s="4">
        <v>3141</v>
      </c>
      <c r="P12" s="22">
        <v>14311</v>
      </c>
      <c r="Q12" s="23">
        <v>46122</v>
      </c>
      <c r="R12" s="24" t="str">
        <f t="shared" si="1"/>
        <v>260406-011ENTRADA</v>
      </c>
      <c r="S12" s="24" t="str">
        <f t="shared" si="2"/>
        <v>SilobolsaENTRADA</v>
      </c>
      <c r="T12" t="str">
        <f t="shared" ref="T12:T75" si="5">IF(OR(C12="",I12&lt;&gt;"ENTRADA"),"",TEXT(B12,"AAMMDD")&amp;"-"&amp;TEXT(VALUE(SUBSTITUTE(A12,"MOV-","")),"000"))</f>
        <v>260406-011</v>
      </c>
    </row>
    <row r="13" spans="1:21">
      <c r="A13" s="22" t="s">
        <v>73</v>
      </c>
      <c r="B13" s="23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2" t="str">
        <f t="shared" si="4"/>
        <v>260407-012</v>
      </c>
      <c r="I13" t="s">
        <v>27</v>
      </c>
      <c r="J13" s="31">
        <v>12500</v>
      </c>
      <c r="K13" s="24">
        <f t="shared" si="3"/>
        <v>12500</v>
      </c>
      <c r="L13" t="s">
        <v>36</v>
      </c>
      <c r="M13" s="23">
        <v>46725</v>
      </c>
      <c r="N13" s="4">
        <v>69750</v>
      </c>
      <c r="P13" s="22">
        <v>14291</v>
      </c>
      <c r="Q13" s="23">
        <v>46119</v>
      </c>
      <c r="R13" s="24" t="str">
        <f t="shared" ref="R13:R76" si="6">IF(H13="","",H13&amp;I13)</f>
        <v>260407-012ENTRADA</v>
      </c>
      <c r="S13" s="24" t="str">
        <f t="shared" ref="S13:S76" si="7">IF(C13="","",C13&amp;I13)</f>
        <v>Dedalo eliteENTRADA</v>
      </c>
      <c r="T13" t="str">
        <f t="shared" si="5"/>
        <v>260407-012</v>
      </c>
      <c r="U13" t="s">
        <v>77</v>
      </c>
    </row>
    <row r="14" spans="1:21">
      <c r="A14" s="22" t="s">
        <v>78</v>
      </c>
      <c r="B14" s="23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2" t="str">
        <f t="shared" si="4"/>
        <v>260408-013</v>
      </c>
      <c r="I14" t="s">
        <v>27</v>
      </c>
      <c r="J14" s="31">
        <v>14000</v>
      </c>
      <c r="K14" s="24">
        <f t="shared" si="3"/>
        <v>14000</v>
      </c>
      <c r="L14" t="s">
        <v>28</v>
      </c>
      <c r="M14" s="23"/>
      <c r="N14" s="4">
        <v>42865</v>
      </c>
      <c r="P14" s="22">
        <v>14310</v>
      </c>
      <c r="Q14" s="23">
        <v>46122</v>
      </c>
      <c r="R14" s="24" t="str">
        <f t="shared" si="6"/>
        <v>260408-013ENTRADA</v>
      </c>
      <c r="S14" s="24" t="str">
        <f t="shared" si="7"/>
        <v>Raigrás E284ENTRADA</v>
      </c>
      <c r="T14" t="str">
        <f t="shared" si="5"/>
        <v>260408-013</v>
      </c>
      <c r="U14" t="s">
        <v>83</v>
      </c>
    </row>
    <row r="15" spans="1:21">
      <c r="A15" s="22" t="s">
        <v>84</v>
      </c>
      <c r="B15" s="23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2" t="str">
        <f>+T15</f>
        <v>260408-014</v>
      </c>
      <c r="I15" t="s">
        <v>27</v>
      </c>
      <c r="J15" s="31">
        <v>1140</v>
      </c>
      <c r="K15" s="24">
        <f t="shared" si="3"/>
        <v>1140</v>
      </c>
      <c r="L15" t="s">
        <v>36</v>
      </c>
      <c r="M15" s="23">
        <v>46509</v>
      </c>
      <c r="N15" s="4">
        <v>12416</v>
      </c>
      <c r="P15" s="22">
        <v>14326</v>
      </c>
      <c r="Q15" s="23">
        <v>46123</v>
      </c>
      <c r="R15" s="24" t="str">
        <f t="shared" si="6"/>
        <v>260408-014ENTRADA</v>
      </c>
      <c r="S15" s="24" t="str">
        <f t="shared" si="7"/>
        <v>Starane XtraENTRADA</v>
      </c>
      <c r="T15" t="str">
        <f t="shared" si="5"/>
        <v>260408-014</v>
      </c>
      <c r="U15" t="s">
        <v>87</v>
      </c>
    </row>
    <row r="16" spans="1:21">
      <c r="A16" s="22" t="s">
        <v>88</v>
      </c>
      <c r="B16" s="23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2" t="str">
        <f t="shared" si="4"/>
        <v>260408-015</v>
      </c>
      <c r="I16" t="s">
        <v>27</v>
      </c>
      <c r="J16" s="31">
        <v>500</v>
      </c>
      <c r="K16" s="24">
        <f t="shared" si="3"/>
        <v>500</v>
      </c>
      <c r="L16" t="s">
        <v>36</v>
      </c>
      <c r="M16" s="23">
        <v>46397</v>
      </c>
      <c r="N16" s="4">
        <v>12416</v>
      </c>
      <c r="P16" s="22">
        <v>14326</v>
      </c>
      <c r="Q16" s="23">
        <v>46123</v>
      </c>
      <c r="R16" s="24" t="str">
        <f t="shared" si="6"/>
        <v>260408-015ENTRADA</v>
      </c>
      <c r="S16" s="24" t="str">
        <f t="shared" si="7"/>
        <v>PixxaroENTRADA</v>
      </c>
      <c r="T16" t="str">
        <f t="shared" si="5"/>
        <v>260408-015</v>
      </c>
      <c r="U16" t="s">
        <v>91</v>
      </c>
    </row>
    <row r="17" spans="1:21">
      <c r="A17" s="22" t="s">
        <v>92</v>
      </c>
      <c r="B17" s="23">
        <v>46120</v>
      </c>
      <c r="C17" t="s">
        <v>74</v>
      </c>
      <c r="D17" t="s">
        <v>75</v>
      </c>
      <c r="E17" t="s">
        <v>33</v>
      </c>
      <c r="F17" t="s">
        <v>34</v>
      </c>
      <c r="H17" s="22" t="s">
        <v>93</v>
      </c>
      <c r="I17" t="s">
        <v>64</v>
      </c>
      <c r="J17" s="31">
        <v>600</v>
      </c>
      <c r="K17" s="24">
        <f t="shared" si="3"/>
        <v>-600</v>
      </c>
      <c r="L17" t="s">
        <v>36</v>
      </c>
      <c r="M17" s="23"/>
      <c r="N17" s="4">
        <v>59310</v>
      </c>
      <c r="O17" t="s">
        <v>94</v>
      </c>
      <c r="P17" s="22">
        <v>1625</v>
      </c>
      <c r="Q17" s="23">
        <v>46123</v>
      </c>
      <c r="R17" s="24" t="str">
        <f t="shared" si="6"/>
        <v>260407-012SALIDA</v>
      </c>
      <c r="S17" s="24" t="str">
        <f t="shared" si="7"/>
        <v>Dedalo eliteSALIDA</v>
      </c>
      <c r="T17" t="str">
        <f t="shared" si="5"/>
        <v/>
      </c>
    </row>
    <row r="18" spans="1:21">
      <c r="A18" s="22" t="s">
        <v>95</v>
      </c>
      <c r="B18" s="23">
        <v>46120</v>
      </c>
      <c r="C18" t="s">
        <v>53</v>
      </c>
      <c r="D18" t="s">
        <v>54</v>
      </c>
      <c r="E18" t="s">
        <v>33</v>
      </c>
      <c r="F18" t="s">
        <v>34</v>
      </c>
      <c r="H18" s="22" t="s">
        <v>96</v>
      </c>
      <c r="I18" t="s">
        <v>64</v>
      </c>
      <c r="J18" s="31">
        <v>15</v>
      </c>
      <c r="K18" s="24">
        <f t="shared" si="3"/>
        <v>-15</v>
      </c>
      <c r="L18" t="s">
        <v>55</v>
      </c>
      <c r="M18" s="23"/>
      <c r="N18" s="4">
        <v>59310</v>
      </c>
      <c r="O18" t="s">
        <v>94</v>
      </c>
      <c r="P18" s="22">
        <v>1625</v>
      </c>
      <c r="Q18" s="23">
        <v>46123</v>
      </c>
      <c r="R18" s="24" t="str">
        <f t="shared" si="6"/>
        <v>260401-007SALIDA</v>
      </c>
      <c r="S18" s="24" t="str">
        <f t="shared" si="7"/>
        <v>TronadorSALIDA</v>
      </c>
      <c r="T18" t="str">
        <f t="shared" si="5"/>
        <v/>
      </c>
    </row>
    <row r="19" spans="1:21">
      <c r="A19" s="22" t="s">
        <v>97</v>
      </c>
      <c r="B19" s="23">
        <v>46120</v>
      </c>
      <c r="C19" t="s">
        <v>43</v>
      </c>
      <c r="D19" t="s">
        <v>62</v>
      </c>
      <c r="E19" t="s">
        <v>33</v>
      </c>
      <c r="F19" t="s">
        <v>45</v>
      </c>
      <c r="H19" s="22" t="s">
        <v>63</v>
      </c>
      <c r="I19" t="s">
        <v>64</v>
      </c>
      <c r="J19" s="31">
        <v>560</v>
      </c>
      <c r="K19" s="24">
        <f t="shared" si="3"/>
        <v>-560</v>
      </c>
      <c r="L19" t="s">
        <v>36</v>
      </c>
      <c r="M19" s="23"/>
      <c r="N19" s="4">
        <v>59310</v>
      </c>
      <c r="O19" t="s">
        <v>94</v>
      </c>
      <c r="P19" s="22">
        <v>1625</v>
      </c>
      <c r="Q19" s="23">
        <v>46123</v>
      </c>
      <c r="R19" s="24" t="str">
        <f t="shared" si="6"/>
        <v>260401-004SALIDA</v>
      </c>
      <c r="S19" s="24" t="str">
        <f t="shared" si="7"/>
        <v>PresideSALIDA</v>
      </c>
      <c r="T19" t="str">
        <f t="shared" si="5"/>
        <v/>
      </c>
    </row>
    <row r="20" spans="1:21">
      <c r="A20" s="22" t="s">
        <v>98</v>
      </c>
      <c r="B20" s="23">
        <v>46120</v>
      </c>
      <c r="C20" t="s">
        <v>85</v>
      </c>
      <c r="D20" t="s">
        <v>86</v>
      </c>
      <c r="E20" t="s">
        <v>33</v>
      </c>
      <c r="F20" t="s">
        <v>34</v>
      </c>
      <c r="H20" s="22" t="s">
        <v>99</v>
      </c>
      <c r="I20" t="s">
        <v>64</v>
      </c>
      <c r="J20" s="31">
        <v>600</v>
      </c>
      <c r="K20" s="24">
        <f t="shared" si="3"/>
        <v>-600</v>
      </c>
      <c r="L20" t="s">
        <v>36</v>
      </c>
      <c r="M20" s="23"/>
      <c r="N20" s="4">
        <v>59310</v>
      </c>
      <c r="O20" t="s">
        <v>94</v>
      </c>
      <c r="P20" s="22">
        <v>1625</v>
      </c>
      <c r="Q20" s="23">
        <v>46123</v>
      </c>
      <c r="R20" s="24" t="str">
        <f t="shared" si="6"/>
        <v>260408-014SALIDA</v>
      </c>
      <c r="S20" s="24" t="str">
        <f t="shared" si="7"/>
        <v>Starane XtraSALIDA</v>
      </c>
      <c r="T20" t="str">
        <f t="shared" si="5"/>
        <v/>
      </c>
    </row>
    <row r="21" spans="1:21">
      <c r="A21" s="22" t="s">
        <v>100</v>
      </c>
      <c r="B21" s="23">
        <v>46120</v>
      </c>
      <c r="C21" t="s">
        <v>58</v>
      </c>
      <c r="D21" t="s">
        <v>59</v>
      </c>
      <c r="E21" t="s">
        <v>33</v>
      </c>
      <c r="F21" t="s">
        <v>34</v>
      </c>
      <c r="H21" s="22" t="s">
        <v>67</v>
      </c>
      <c r="I21" t="s">
        <v>64</v>
      </c>
      <c r="J21" s="31">
        <v>2100</v>
      </c>
      <c r="K21" s="24">
        <f t="shared" si="3"/>
        <v>-2100</v>
      </c>
      <c r="L21" t="s">
        <v>36</v>
      </c>
      <c r="M21" s="23"/>
      <c r="N21" s="4">
        <v>59310</v>
      </c>
      <c r="O21" t="s">
        <v>94</v>
      </c>
      <c r="P21" s="22">
        <v>1625</v>
      </c>
      <c r="Q21" s="23">
        <v>46123</v>
      </c>
      <c r="R21" s="24" t="str">
        <f t="shared" si="6"/>
        <v>260401-008SALIDA</v>
      </c>
      <c r="S21" s="24" t="str">
        <f t="shared" si="7"/>
        <v>Venceweed extraSALIDA</v>
      </c>
      <c r="T21" t="str">
        <f t="shared" si="5"/>
        <v/>
      </c>
    </row>
    <row r="22" spans="1:21">
      <c r="A22" s="22" t="s">
        <v>101</v>
      </c>
      <c r="B22" s="23">
        <v>46120</v>
      </c>
      <c r="C22" t="s">
        <v>89</v>
      </c>
      <c r="D22" t="s">
        <v>90</v>
      </c>
      <c r="E22" t="s">
        <v>33</v>
      </c>
      <c r="F22" t="s">
        <v>34</v>
      </c>
      <c r="H22" s="22" t="s">
        <v>102</v>
      </c>
      <c r="I22" t="s">
        <v>64</v>
      </c>
      <c r="J22" s="31">
        <v>300</v>
      </c>
      <c r="K22" s="24">
        <f t="shared" si="3"/>
        <v>-300</v>
      </c>
      <c r="L22" t="s">
        <v>36</v>
      </c>
      <c r="M22" s="23"/>
      <c r="N22" s="4">
        <v>59310</v>
      </c>
      <c r="O22" t="s">
        <v>94</v>
      </c>
      <c r="P22" s="22">
        <v>1625</v>
      </c>
      <c r="Q22" s="23">
        <v>46123</v>
      </c>
      <c r="R22" s="24" t="str">
        <f t="shared" si="6"/>
        <v>260408-015SALIDA</v>
      </c>
      <c r="S22" s="24" t="str">
        <f t="shared" si="7"/>
        <v>PixxaroSALIDA</v>
      </c>
      <c r="T22" t="str">
        <f t="shared" si="5"/>
        <v/>
      </c>
    </row>
    <row r="23" spans="1:21">
      <c r="A23" s="22" t="s">
        <v>103</v>
      </c>
      <c r="B23" s="23">
        <v>46120</v>
      </c>
      <c r="C23" t="s">
        <v>31</v>
      </c>
      <c r="D23" t="s">
        <v>104</v>
      </c>
      <c r="E23" t="s">
        <v>33</v>
      </c>
      <c r="F23" t="s">
        <v>34</v>
      </c>
      <c r="H23" s="22" t="s">
        <v>105</v>
      </c>
      <c r="I23" t="s">
        <v>64</v>
      </c>
      <c r="J23" s="31">
        <v>200</v>
      </c>
      <c r="K23" s="24">
        <f t="shared" si="3"/>
        <v>-200</v>
      </c>
      <c r="L23" t="s">
        <v>36</v>
      </c>
      <c r="M23" s="23"/>
      <c r="N23" s="4">
        <v>59310</v>
      </c>
      <c r="O23" t="s">
        <v>94</v>
      </c>
      <c r="P23" s="22">
        <v>1625</v>
      </c>
      <c r="Q23" s="23">
        <v>46123</v>
      </c>
      <c r="R23" s="24" t="str">
        <f t="shared" si="6"/>
        <v>260401-002SALIDA</v>
      </c>
      <c r="S23" s="24" t="str">
        <f t="shared" si="7"/>
        <v>KorvettoSALIDA</v>
      </c>
      <c r="T23" t="str">
        <f t="shared" si="5"/>
        <v/>
      </c>
    </row>
    <row r="24" spans="1:21">
      <c r="A24" s="22" t="s">
        <v>106</v>
      </c>
      <c r="B24" s="23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2" t="str">
        <f t="shared" si="4"/>
        <v>260410-023</v>
      </c>
      <c r="I24" t="s">
        <v>27</v>
      </c>
      <c r="J24" s="31">
        <v>2860</v>
      </c>
      <c r="K24" s="24">
        <f t="shared" si="3"/>
        <v>2860</v>
      </c>
      <c r="L24" t="s">
        <v>28</v>
      </c>
      <c r="M24" s="23"/>
      <c r="N24" s="4">
        <v>47418</v>
      </c>
      <c r="P24" s="22">
        <v>14331</v>
      </c>
      <c r="Q24" s="23" t="s">
        <v>109</v>
      </c>
      <c r="R24" s="24" t="str">
        <f t="shared" si="6"/>
        <v>260410-023ENTRADA</v>
      </c>
      <c r="S24" s="24" t="str">
        <f t="shared" si="7"/>
        <v>Colza Hyola 575 CLENTRADA</v>
      </c>
      <c r="T24" t="str">
        <f t="shared" si="5"/>
        <v>260410-023</v>
      </c>
    </row>
    <row r="25" spans="1:21">
      <c r="A25" s="22" t="s">
        <v>110</v>
      </c>
      <c r="B25" s="23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2" t="str">
        <f t="shared" si="4"/>
        <v>260410-024</v>
      </c>
      <c r="I25" t="s">
        <v>27</v>
      </c>
      <c r="J25" s="31">
        <v>200</v>
      </c>
      <c r="K25" s="24">
        <f t="shared" si="3"/>
        <v>200</v>
      </c>
      <c r="L25" t="s">
        <v>28</v>
      </c>
      <c r="M25" s="23"/>
      <c r="N25" s="4">
        <v>47413</v>
      </c>
      <c r="P25" s="34">
        <v>14330</v>
      </c>
      <c r="Q25" s="23">
        <v>46125</v>
      </c>
      <c r="R25" s="24" t="str">
        <f t="shared" si="6"/>
        <v>260410-024ENTRADA</v>
      </c>
      <c r="S25" s="24" t="str">
        <f t="shared" si="7"/>
        <v>Colza Apolo CLENTRADA</v>
      </c>
      <c r="T25" t="str">
        <f t="shared" si="5"/>
        <v>260410-024</v>
      </c>
    </row>
    <row r="26" spans="1:21">
      <c r="A26" s="22" t="s">
        <v>113</v>
      </c>
      <c r="B26" s="23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2" t="str">
        <f t="shared" si="4"/>
        <v>260410-025</v>
      </c>
      <c r="I26" t="s">
        <v>27</v>
      </c>
      <c r="J26" s="31">
        <v>21120</v>
      </c>
      <c r="K26" s="24">
        <f t="shared" si="3"/>
        <v>21120</v>
      </c>
      <c r="L26" t="s">
        <v>36</v>
      </c>
      <c r="M26" s="23">
        <v>46692</v>
      </c>
      <c r="N26" s="4">
        <v>48776</v>
      </c>
      <c r="P26" s="22">
        <v>14328</v>
      </c>
      <c r="Q26" s="23">
        <v>46123</v>
      </c>
      <c r="R26" s="24" t="str">
        <f t="shared" si="6"/>
        <v>260410-025ENTRADA</v>
      </c>
      <c r="S26" s="24" t="str">
        <f t="shared" si="7"/>
        <v>AzukaENTRADA</v>
      </c>
      <c r="T26" t="str">
        <f t="shared" si="5"/>
        <v>260410-025</v>
      </c>
      <c r="U26" t="s">
        <v>117</v>
      </c>
    </row>
    <row r="27" spans="1:21">
      <c r="A27" s="22" t="s">
        <v>118</v>
      </c>
      <c r="B27" s="23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2" t="s">
        <v>119</v>
      </c>
      <c r="I27" t="s">
        <v>27</v>
      </c>
      <c r="J27" s="31">
        <v>2880</v>
      </c>
      <c r="K27" s="24">
        <f t="shared" si="3"/>
        <v>2880</v>
      </c>
      <c r="L27" t="s">
        <v>36</v>
      </c>
      <c r="M27" s="23">
        <v>46692</v>
      </c>
      <c r="N27" s="4">
        <v>48786</v>
      </c>
      <c r="P27" s="22">
        <v>14329</v>
      </c>
      <c r="Q27" s="23">
        <v>46123</v>
      </c>
      <c r="R27" s="24" t="str">
        <f t="shared" si="6"/>
        <v>260410-025ENTRADA</v>
      </c>
      <c r="S27" s="24" t="str">
        <f t="shared" si="7"/>
        <v>AzukaENTRADA</v>
      </c>
      <c r="T27" t="str">
        <f t="shared" si="5"/>
        <v>260410-026</v>
      </c>
      <c r="U27" t="s">
        <v>117</v>
      </c>
    </row>
    <row r="28" spans="1:21">
      <c r="A28" s="22" t="s">
        <v>120</v>
      </c>
      <c r="B28" s="23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2" t="str">
        <f t="shared" si="4"/>
        <v>260410-027</v>
      </c>
      <c r="I28" t="s">
        <v>27</v>
      </c>
      <c r="J28" s="31">
        <v>17940</v>
      </c>
      <c r="K28" s="24">
        <f t="shared" si="3"/>
        <v>17940</v>
      </c>
      <c r="L28" t="s">
        <v>36</v>
      </c>
      <c r="M28" s="23">
        <v>46753</v>
      </c>
      <c r="N28" s="4">
        <v>48786</v>
      </c>
      <c r="P28" s="22">
        <v>14329</v>
      </c>
      <c r="Q28" s="23">
        <v>46123</v>
      </c>
      <c r="R28" s="24" t="str">
        <f t="shared" si="6"/>
        <v>260410-027ENTRADA</v>
      </c>
      <c r="S28" s="24" t="str">
        <f t="shared" si="7"/>
        <v>PardoENTRADA</v>
      </c>
      <c r="T28" t="str">
        <f t="shared" si="5"/>
        <v>260410-027</v>
      </c>
      <c r="U28" t="s">
        <v>123</v>
      </c>
    </row>
    <row r="29" spans="1:21">
      <c r="A29" s="22" t="s">
        <v>124</v>
      </c>
      <c r="B29" s="23">
        <v>46126</v>
      </c>
      <c r="C29" t="s">
        <v>125</v>
      </c>
      <c r="D29" t="s">
        <v>126</v>
      </c>
      <c r="E29" t="s">
        <v>127</v>
      </c>
      <c r="G29" t="s">
        <v>128</v>
      </c>
      <c r="H29" s="22" t="str">
        <f t="shared" si="4"/>
        <v>260414-028</v>
      </c>
      <c r="I29" t="s">
        <v>27</v>
      </c>
      <c r="J29" s="31">
        <v>1000</v>
      </c>
      <c r="K29" s="24">
        <f t="shared" si="3"/>
        <v>1000</v>
      </c>
      <c r="L29" t="s">
        <v>36</v>
      </c>
      <c r="M29" s="23">
        <v>46661</v>
      </c>
      <c r="N29" s="4">
        <v>390</v>
      </c>
      <c r="P29" s="22">
        <v>14339</v>
      </c>
      <c r="Q29" s="23">
        <v>46127</v>
      </c>
      <c r="R29" s="24" t="str">
        <f t="shared" si="6"/>
        <v>260414-028ENTRADA</v>
      </c>
      <c r="S29" s="24" t="str">
        <f t="shared" si="7"/>
        <v>HarrierENTRADA</v>
      </c>
      <c r="T29" t="str">
        <f t="shared" si="5"/>
        <v>260414-028</v>
      </c>
      <c r="U29" t="s">
        <v>129</v>
      </c>
    </row>
    <row r="30" spans="1:21">
      <c r="A30" s="22" t="s">
        <v>130</v>
      </c>
      <c r="B30" s="35">
        <v>46126</v>
      </c>
      <c r="C30" t="s">
        <v>125</v>
      </c>
      <c r="D30" s="5" t="s">
        <v>126</v>
      </c>
      <c r="E30" t="s">
        <v>127</v>
      </c>
      <c r="F30" s="5"/>
      <c r="G30" t="s">
        <v>128</v>
      </c>
      <c r="H30" s="22" t="str">
        <f t="shared" si="4"/>
        <v>260414-029</v>
      </c>
      <c r="I30" s="5" t="s">
        <v>27</v>
      </c>
      <c r="J30" s="31">
        <v>5000</v>
      </c>
      <c r="K30" s="24">
        <f t="shared" si="3"/>
        <v>5000</v>
      </c>
      <c r="L30" s="5" t="s">
        <v>36</v>
      </c>
      <c r="M30" s="35">
        <v>46813</v>
      </c>
      <c r="N30" s="5">
        <v>390</v>
      </c>
      <c r="O30" s="5"/>
      <c r="P30" s="22">
        <v>14339</v>
      </c>
      <c r="Q30" s="23">
        <v>46127</v>
      </c>
      <c r="R30" s="24" t="str">
        <f t="shared" si="6"/>
        <v>260414-029ENTRADA</v>
      </c>
      <c r="S30" s="24" t="str">
        <f t="shared" si="7"/>
        <v>HarrierENTRADA</v>
      </c>
      <c r="T30" t="str">
        <f t="shared" si="5"/>
        <v>260414-029</v>
      </c>
      <c r="U30" t="s">
        <v>129</v>
      </c>
    </row>
    <row r="31" spans="1:21">
      <c r="A31" s="22" t="s">
        <v>131</v>
      </c>
      <c r="B31" s="35">
        <v>46126</v>
      </c>
      <c r="C31" t="s">
        <v>132</v>
      </c>
      <c r="D31" s="5" t="s">
        <v>133</v>
      </c>
      <c r="E31" t="s">
        <v>127</v>
      </c>
      <c r="F31" s="5"/>
      <c r="G31" t="s">
        <v>128</v>
      </c>
      <c r="H31" s="22" t="str">
        <f t="shared" si="4"/>
        <v>260414-030</v>
      </c>
      <c r="I31" s="5" t="s">
        <v>27</v>
      </c>
      <c r="J31" s="31">
        <v>1200</v>
      </c>
      <c r="K31" s="24">
        <f t="shared" si="3"/>
        <v>1200</v>
      </c>
      <c r="L31" s="5" t="s">
        <v>36</v>
      </c>
      <c r="M31" s="35">
        <v>46661</v>
      </c>
      <c r="N31" s="5">
        <v>390</v>
      </c>
      <c r="O31" s="5"/>
      <c r="P31" s="22">
        <v>14339</v>
      </c>
      <c r="Q31" s="23">
        <v>46127</v>
      </c>
      <c r="R31" s="24" t="str">
        <f t="shared" si="6"/>
        <v>260414-030ENTRADA</v>
      </c>
      <c r="S31" s="24" t="str">
        <f t="shared" si="7"/>
        <v>Full controlENTRADA</v>
      </c>
      <c r="T31" t="str">
        <f t="shared" si="5"/>
        <v>260414-030</v>
      </c>
      <c r="U31" t="s">
        <v>134</v>
      </c>
    </row>
    <row r="32" spans="1:21">
      <c r="A32" s="22" t="s">
        <v>135</v>
      </c>
      <c r="B32" s="35">
        <v>46126</v>
      </c>
      <c r="C32" t="s">
        <v>136</v>
      </c>
      <c r="D32" s="5" t="s">
        <v>137</v>
      </c>
      <c r="E32" t="s">
        <v>127</v>
      </c>
      <c r="F32" s="5"/>
      <c r="G32" t="s">
        <v>128</v>
      </c>
      <c r="H32" s="22" t="str">
        <f t="shared" si="4"/>
        <v>260414-031</v>
      </c>
      <c r="I32" s="5" t="s">
        <v>27</v>
      </c>
      <c r="J32" s="31">
        <v>195</v>
      </c>
      <c r="K32" s="24">
        <f t="shared" si="3"/>
        <v>195</v>
      </c>
      <c r="L32" s="5" t="s">
        <v>36</v>
      </c>
      <c r="M32" s="35">
        <v>46388</v>
      </c>
      <c r="N32" s="5">
        <v>390</v>
      </c>
      <c r="O32" s="5"/>
      <c r="P32" s="22">
        <v>14339</v>
      </c>
      <c r="Q32" s="23">
        <v>46127</v>
      </c>
      <c r="R32" s="24" t="str">
        <f t="shared" si="6"/>
        <v>260414-031ENTRADA</v>
      </c>
      <c r="S32" s="24" t="str">
        <f t="shared" si="7"/>
        <v>Maxi DropENTRADA</v>
      </c>
      <c r="T32" t="str">
        <f t="shared" si="5"/>
        <v>260414-031</v>
      </c>
      <c r="U32" t="s">
        <v>138</v>
      </c>
    </row>
    <row r="33" spans="1:21">
      <c r="A33" s="22" t="s">
        <v>139</v>
      </c>
      <c r="B33" s="35">
        <v>46127</v>
      </c>
      <c r="C33" t="s">
        <v>140</v>
      </c>
      <c r="D33" s="5" t="s">
        <v>141</v>
      </c>
      <c r="E33" t="s">
        <v>33</v>
      </c>
      <c r="F33" s="5" t="s">
        <v>34</v>
      </c>
      <c r="G33" t="s">
        <v>35</v>
      </c>
      <c r="H33" s="22" t="str">
        <f t="shared" si="4"/>
        <v>260415-032</v>
      </c>
      <c r="I33" s="5" t="s">
        <v>27</v>
      </c>
      <c r="J33" s="31">
        <v>2000</v>
      </c>
      <c r="K33" s="24">
        <f t="shared" si="3"/>
        <v>2000</v>
      </c>
      <c r="L33" s="5" t="s">
        <v>36</v>
      </c>
      <c r="M33" s="5"/>
      <c r="N33" s="5">
        <v>12482</v>
      </c>
      <c r="O33" s="5"/>
      <c r="P33" s="22">
        <v>14340</v>
      </c>
      <c r="Q33" s="23">
        <v>46127</v>
      </c>
      <c r="R33" s="24" t="str">
        <f t="shared" si="6"/>
        <v>260415-032ENTRADA</v>
      </c>
      <c r="S33" s="24" t="str">
        <f t="shared" si="7"/>
        <v>AxialENTRADA</v>
      </c>
      <c r="T33" t="str">
        <f t="shared" si="5"/>
        <v>260415-032</v>
      </c>
      <c r="U33" t="s">
        <v>142</v>
      </c>
    </row>
    <row r="34" spans="1:21">
      <c r="A34" s="22" t="s">
        <v>143</v>
      </c>
      <c r="B34" s="35">
        <v>46127</v>
      </c>
      <c r="C34" s="5" t="s">
        <v>79</v>
      </c>
      <c r="D34" s="5" t="s">
        <v>80</v>
      </c>
      <c r="E34" s="5" t="s">
        <v>24</v>
      </c>
      <c r="F34" s="5" t="s">
        <v>81</v>
      </c>
      <c r="G34" s="5" t="s">
        <v>82</v>
      </c>
      <c r="H34" s="22" t="s">
        <v>144</v>
      </c>
      <c r="I34" s="5" t="s">
        <v>64</v>
      </c>
      <c r="J34" s="31">
        <v>1250</v>
      </c>
      <c r="K34" s="24">
        <f t="shared" si="3"/>
        <v>-1250</v>
      </c>
      <c r="L34" s="5" t="s">
        <v>28</v>
      </c>
      <c r="M34" s="5"/>
      <c r="N34" s="5">
        <v>59311</v>
      </c>
      <c r="O34" s="5" t="s">
        <v>145</v>
      </c>
      <c r="P34" s="22">
        <v>1628</v>
      </c>
      <c r="Q34" s="23">
        <v>46127</v>
      </c>
      <c r="R34" s="24" t="str">
        <f t="shared" si="6"/>
        <v>260408-013SALIDA</v>
      </c>
      <c r="S34" s="24" t="str">
        <f t="shared" si="7"/>
        <v>Raigrás E284SALIDA</v>
      </c>
      <c r="T34" t="str">
        <f t="shared" si="5"/>
        <v/>
      </c>
    </row>
    <row r="35" spans="1:21">
      <c r="A35" s="22" t="s">
        <v>146</v>
      </c>
      <c r="B35" s="35">
        <v>46128</v>
      </c>
      <c r="C35" s="5" t="s">
        <v>69</v>
      </c>
      <c r="D35" s="5" t="s">
        <v>70</v>
      </c>
      <c r="E35" s="5" t="s">
        <v>69</v>
      </c>
      <c r="F35" s="5"/>
      <c r="G35" s="5" t="s">
        <v>71</v>
      </c>
      <c r="H35" s="22" t="s">
        <v>147</v>
      </c>
      <c r="I35" s="5" t="s">
        <v>27</v>
      </c>
      <c r="J35" s="31">
        <v>30</v>
      </c>
      <c r="K35" s="24">
        <f t="shared" si="3"/>
        <v>30</v>
      </c>
      <c r="L35" s="5" t="s">
        <v>72</v>
      </c>
      <c r="M35" s="5"/>
      <c r="N35" s="5">
        <v>3160</v>
      </c>
      <c r="O35" s="5"/>
      <c r="P35" s="22"/>
      <c r="Q35" s="23"/>
      <c r="R35" s="24" t="str">
        <f t="shared" si="6"/>
        <v>260406-011ENTRADA</v>
      </c>
      <c r="S35" s="24" t="str">
        <f t="shared" si="7"/>
        <v>SilobolsaENTRADA</v>
      </c>
      <c r="T35" t="str">
        <f t="shared" si="5"/>
        <v>260416-034</v>
      </c>
    </row>
    <row r="36" spans="1:21">
      <c r="A36" s="22" t="s">
        <v>148</v>
      </c>
      <c r="B36" s="35">
        <v>46128</v>
      </c>
      <c r="C36" s="5" t="s">
        <v>149</v>
      </c>
      <c r="D36" s="5" t="s">
        <v>150</v>
      </c>
      <c r="E36" s="5" t="s">
        <v>24</v>
      </c>
      <c r="F36" s="5" t="s">
        <v>25</v>
      </c>
      <c r="G36" s="5" t="s">
        <v>151</v>
      </c>
      <c r="H36" s="22" t="str">
        <f t="shared" si="4"/>
        <v>260416-035</v>
      </c>
      <c r="I36" s="5" t="s">
        <v>27</v>
      </c>
      <c r="J36" s="31">
        <v>3200</v>
      </c>
      <c r="K36" s="24">
        <f t="shared" si="3"/>
        <v>3200</v>
      </c>
      <c r="L36" s="5" t="s">
        <v>28</v>
      </c>
      <c r="M36" s="5"/>
      <c r="N36" s="5">
        <v>30271</v>
      </c>
      <c r="O36" s="5"/>
      <c r="P36" s="22"/>
      <c r="Q36" s="23"/>
      <c r="R36" s="24" t="str">
        <f t="shared" si="6"/>
        <v>260416-035ENTRADA</v>
      </c>
      <c r="S36" s="24" t="str">
        <f t="shared" si="7"/>
        <v>Colza Nuola 300ENTRADA</v>
      </c>
      <c r="T36" t="str">
        <f t="shared" si="5"/>
        <v>260416-035</v>
      </c>
    </row>
    <row r="37" spans="1:21">
      <c r="A37" s="22" t="s">
        <v>152</v>
      </c>
      <c r="B37" s="35">
        <v>46128</v>
      </c>
      <c r="C37" s="5" t="s">
        <v>153</v>
      </c>
      <c r="D37" s="5" t="s">
        <v>154</v>
      </c>
      <c r="E37" s="5" t="s">
        <v>24</v>
      </c>
      <c r="F37" s="5" t="s">
        <v>25</v>
      </c>
      <c r="G37" s="5" t="s">
        <v>151</v>
      </c>
      <c r="H37" s="22" t="str">
        <f t="shared" si="4"/>
        <v>260416-036</v>
      </c>
      <c r="I37" s="5" t="s">
        <v>27</v>
      </c>
      <c r="J37" s="31">
        <v>1425</v>
      </c>
      <c r="K37" s="24">
        <f t="shared" si="3"/>
        <v>1425</v>
      </c>
      <c r="L37" s="5" t="s">
        <v>28</v>
      </c>
      <c r="M37" s="5"/>
      <c r="N37" s="5">
        <v>30279</v>
      </c>
      <c r="O37" s="5"/>
      <c r="P37" s="22"/>
      <c r="Q37" s="23"/>
      <c r="R37" s="24" t="str">
        <f t="shared" si="6"/>
        <v>260416-036ENTRADA</v>
      </c>
      <c r="S37" s="24" t="str">
        <f t="shared" si="7"/>
        <v>Colza Ceres IMIENTRADA</v>
      </c>
      <c r="T37" t="str">
        <f t="shared" si="5"/>
        <v>260416-036</v>
      </c>
    </row>
    <row r="38" spans="1:21">
      <c r="A38" s="22" t="s">
        <v>155</v>
      </c>
      <c r="B38" s="35">
        <v>46129</v>
      </c>
      <c r="C38" s="5" t="s">
        <v>156</v>
      </c>
      <c r="D38" s="5" t="s">
        <v>156</v>
      </c>
      <c r="E38" s="5" t="s">
        <v>24</v>
      </c>
      <c r="F38" s="5" t="s">
        <v>157</v>
      </c>
      <c r="G38" s="5" t="s">
        <v>158</v>
      </c>
      <c r="H38" s="22" t="str">
        <f t="shared" si="4"/>
        <v>260417-037</v>
      </c>
      <c r="I38" s="5" t="s">
        <v>27</v>
      </c>
      <c r="J38" s="31">
        <v>3400</v>
      </c>
      <c r="K38" s="24">
        <f t="shared" si="3"/>
        <v>3400</v>
      </c>
      <c r="L38" s="5" t="s">
        <v>28</v>
      </c>
      <c r="M38" s="5"/>
      <c r="N38" s="5">
        <v>94518</v>
      </c>
      <c r="O38" s="5"/>
      <c r="P38" s="22"/>
      <c r="Q38" s="23"/>
      <c r="R38" s="24" t="str">
        <f t="shared" si="6"/>
        <v>260417-037ENTRADA</v>
      </c>
      <c r="S38" s="24" t="str">
        <f t="shared" si="7"/>
        <v>Festuca CarapeENTRADA</v>
      </c>
      <c r="T38" t="str">
        <f t="shared" si="5"/>
        <v>260417-037</v>
      </c>
    </row>
    <row r="39" spans="1:21">
      <c r="A39" s="22" t="s">
        <v>159</v>
      </c>
      <c r="B39" s="35">
        <v>46129</v>
      </c>
      <c r="C39" s="5" t="s">
        <v>160</v>
      </c>
      <c r="D39" s="5" t="s">
        <v>161</v>
      </c>
      <c r="E39" s="5" t="s">
        <v>24</v>
      </c>
      <c r="F39" s="5" t="s">
        <v>162</v>
      </c>
      <c r="G39" s="5" t="s">
        <v>158</v>
      </c>
      <c r="H39" s="22" t="str">
        <f t="shared" si="4"/>
        <v>260417-038</v>
      </c>
      <c r="I39" s="5" t="s">
        <v>27</v>
      </c>
      <c r="J39" s="31">
        <v>375</v>
      </c>
      <c r="K39" s="24">
        <f t="shared" si="3"/>
        <v>375</v>
      </c>
      <c r="L39" s="5" t="s">
        <v>28</v>
      </c>
      <c r="M39" s="5"/>
      <c r="N39" s="5">
        <v>94518</v>
      </c>
      <c r="O39" s="5"/>
      <c r="P39" s="22"/>
      <c r="Q39" s="23"/>
      <c r="R39" s="24" t="str">
        <f t="shared" si="6"/>
        <v>260417-038ENTRADA</v>
      </c>
      <c r="S39" s="24" t="str">
        <f t="shared" si="7"/>
        <v>Alfalfa VerdorENTRADA</v>
      </c>
      <c r="T39" t="str">
        <f t="shared" si="5"/>
        <v>260417-038</v>
      </c>
    </row>
    <row r="40" spans="1:21">
      <c r="A40" s="22" t="s">
        <v>163</v>
      </c>
      <c r="B40" s="35">
        <v>46129</v>
      </c>
      <c r="C40" s="5" t="s">
        <v>164</v>
      </c>
      <c r="D40" s="5" t="s">
        <v>165</v>
      </c>
      <c r="E40" s="5" t="s">
        <v>24</v>
      </c>
      <c r="F40" s="5" t="s">
        <v>166</v>
      </c>
      <c r="G40" s="5" t="s">
        <v>158</v>
      </c>
      <c r="H40" s="22" t="str">
        <f t="shared" si="4"/>
        <v>260417-039</v>
      </c>
      <c r="I40" s="5" t="s">
        <v>27</v>
      </c>
      <c r="J40" s="31">
        <v>750</v>
      </c>
      <c r="K40" s="24">
        <f t="shared" si="3"/>
        <v>750</v>
      </c>
      <c r="L40" s="5" t="s">
        <v>28</v>
      </c>
      <c r="M40" s="5"/>
      <c r="N40" s="5">
        <v>94518</v>
      </c>
      <c r="O40" s="5"/>
      <c r="P40" s="22"/>
      <c r="Q40" s="23"/>
      <c r="R40" s="24" t="str">
        <f t="shared" si="6"/>
        <v>260417-039ENTRADA</v>
      </c>
      <c r="S40" s="24" t="str">
        <f t="shared" si="7"/>
        <v>Achicora Inia NovaENTRADA</v>
      </c>
      <c r="T40" t="str">
        <f t="shared" si="5"/>
        <v>260417-039</v>
      </c>
    </row>
    <row r="41" spans="1:21">
      <c r="A41" s="22" t="s">
        <v>167</v>
      </c>
      <c r="B41" s="35">
        <v>46129</v>
      </c>
      <c r="C41" s="5" t="s">
        <v>149</v>
      </c>
      <c r="D41" s="5" t="s">
        <v>150</v>
      </c>
      <c r="E41" s="5" t="s">
        <v>24</v>
      </c>
      <c r="F41" s="5" t="s">
        <v>25</v>
      </c>
      <c r="G41" s="5" t="s">
        <v>168</v>
      </c>
      <c r="H41" s="22" t="str">
        <f t="shared" si="4"/>
        <v>260417-040</v>
      </c>
      <c r="I41" s="5" t="s">
        <v>27</v>
      </c>
      <c r="J41" s="31">
        <v>1600</v>
      </c>
      <c r="K41" s="24">
        <f t="shared" si="3"/>
        <v>1600</v>
      </c>
      <c r="L41" s="5" t="s">
        <v>28</v>
      </c>
      <c r="M41" s="5"/>
      <c r="N41" s="5">
        <v>6868</v>
      </c>
      <c r="O41" s="5"/>
      <c r="P41" s="22"/>
      <c r="Q41" s="23"/>
      <c r="R41" s="24" t="str">
        <f t="shared" si="6"/>
        <v>260417-040ENTRADA</v>
      </c>
      <c r="S41" s="24" t="str">
        <f t="shared" si="7"/>
        <v>Colza Nuola 300ENTRADA</v>
      </c>
      <c r="T41" t="str">
        <f t="shared" si="5"/>
        <v>260417-040</v>
      </c>
    </row>
    <row r="42" spans="1:21">
      <c r="A42" s="22" t="s">
        <v>169</v>
      </c>
      <c r="B42" s="35">
        <v>46129</v>
      </c>
      <c r="C42" s="5" t="s">
        <v>170</v>
      </c>
      <c r="D42" s="5" t="s">
        <v>171</v>
      </c>
      <c r="E42" s="5" t="s">
        <v>24</v>
      </c>
      <c r="F42" s="5" t="s">
        <v>157</v>
      </c>
      <c r="G42" s="5" t="s">
        <v>172</v>
      </c>
      <c r="H42" s="22" t="str">
        <f t="shared" si="4"/>
        <v>260417-041</v>
      </c>
      <c r="I42" s="5" t="s">
        <v>27</v>
      </c>
      <c r="J42" s="31">
        <v>6800</v>
      </c>
      <c r="K42" s="24">
        <f t="shared" si="3"/>
        <v>6800</v>
      </c>
      <c r="L42" s="5" t="s">
        <v>28</v>
      </c>
      <c r="M42" s="5"/>
      <c r="N42" s="5">
        <v>7485</v>
      </c>
      <c r="O42" s="5"/>
      <c r="P42" s="22"/>
      <c r="Q42" s="23"/>
      <c r="R42" s="24" t="str">
        <f t="shared" si="6"/>
        <v>260417-041ENTRADA</v>
      </c>
      <c r="S42" s="24" t="str">
        <f t="shared" si="7"/>
        <v>Festuca Sortija C2 ENTRADA</v>
      </c>
      <c r="T42" t="str">
        <f t="shared" si="5"/>
        <v>260417-041</v>
      </c>
    </row>
    <row r="43" spans="1:21">
      <c r="A43" s="22" t="s">
        <v>173</v>
      </c>
      <c r="B43" s="35">
        <v>46129</v>
      </c>
      <c r="C43" s="5" t="s">
        <v>174</v>
      </c>
      <c r="D43" s="5" t="s">
        <v>175</v>
      </c>
      <c r="E43" s="5" t="s">
        <v>24</v>
      </c>
      <c r="F43" s="5" t="s">
        <v>176</v>
      </c>
      <c r="G43" s="5" t="s">
        <v>172</v>
      </c>
      <c r="H43" s="22" t="str">
        <f t="shared" si="4"/>
        <v>260417-042</v>
      </c>
      <c r="I43" s="5" t="s">
        <v>27</v>
      </c>
      <c r="J43" s="31">
        <v>975</v>
      </c>
      <c r="K43" s="24">
        <f t="shared" si="3"/>
        <v>975</v>
      </c>
      <c r="L43" s="5" t="s">
        <v>28</v>
      </c>
      <c r="M43" s="5"/>
      <c r="N43" s="5">
        <v>7485</v>
      </c>
      <c r="O43" s="5"/>
      <c r="P43" s="22"/>
      <c r="Q43" s="23"/>
      <c r="R43" s="24" t="str">
        <f t="shared" si="6"/>
        <v>260417-042ENTRADA</v>
      </c>
      <c r="S43" s="24" t="str">
        <f t="shared" si="7"/>
        <v>Dactylis DroverENTRADA</v>
      </c>
      <c r="T43" t="str">
        <f t="shared" si="5"/>
        <v>260417-042</v>
      </c>
    </row>
    <row r="44" spans="1:21">
      <c r="A44" s="22" t="s">
        <v>177</v>
      </c>
      <c r="B44" s="35">
        <v>46129</v>
      </c>
      <c r="C44" s="5" t="s">
        <v>178</v>
      </c>
      <c r="D44" s="5" t="s">
        <v>179</v>
      </c>
      <c r="E44" s="5" t="s">
        <v>24</v>
      </c>
      <c r="F44" s="5" t="s">
        <v>180</v>
      </c>
      <c r="G44" s="5" t="s">
        <v>172</v>
      </c>
      <c r="H44" s="22" t="str">
        <f t="shared" si="4"/>
        <v>260417-043</v>
      </c>
      <c r="I44" s="5" t="s">
        <v>27</v>
      </c>
      <c r="J44" s="31">
        <v>1375</v>
      </c>
      <c r="K44" s="24">
        <f t="shared" si="3"/>
        <v>1375</v>
      </c>
      <c r="L44" s="5" t="s">
        <v>28</v>
      </c>
      <c r="M44" s="5"/>
      <c r="N44" s="5">
        <v>7485</v>
      </c>
      <c r="O44" s="5"/>
      <c r="P44" s="5"/>
      <c r="Q44" s="23"/>
      <c r="R44" s="24" t="str">
        <f t="shared" si="6"/>
        <v>260417-043ENTRADA</v>
      </c>
      <c r="S44" s="24" t="str">
        <f t="shared" si="7"/>
        <v>Trebol Blanco E ZapicanENTRADA</v>
      </c>
      <c r="T44" t="str">
        <f t="shared" si="5"/>
        <v>260417-043</v>
      </c>
    </row>
    <row r="45" spans="1:21">
      <c r="A45" s="22" t="s">
        <v>181</v>
      </c>
      <c r="B45" s="35">
        <v>46129</v>
      </c>
      <c r="C45" s="5" t="s">
        <v>182</v>
      </c>
      <c r="D45" s="5" t="s">
        <v>183</v>
      </c>
      <c r="E45" s="5" t="s">
        <v>24</v>
      </c>
      <c r="F45" s="5" t="s">
        <v>184</v>
      </c>
      <c r="G45" s="5" t="s">
        <v>172</v>
      </c>
      <c r="H45" s="22" t="str">
        <f t="shared" si="4"/>
        <v>260417-044</v>
      </c>
      <c r="I45" s="5" t="s">
        <v>27</v>
      </c>
      <c r="J45" s="31">
        <v>450</v>
      </c>
      <c r="K45" s="24">
        <f t="shared" si="3"/>
        <v>450</v>
      </c>
      <c r="L45" s="5" t="s">
        <v>28</v>
      </c>
      <c r="M45" s="5"/>
      <c r="N45" s="5">
        <v>7485</v>
      </c>
      <c r="O45" s="5"/>
      <c r="P45" s="5"/>
      <c r="Q45" s="23"/>
      <c r="R45" s="24" t="str">
        <f t="shared" si="6"/>
        <v>260417-044ENTRADA</v>
      </c>
      <c r="S45" s="24" t="str">
        <f t="shared" si="7"/>
        <v>Trebol Rojo E116ENTRADA</v>
      </c>
      <c r="T45" t="str">
        <f t="shared" si="5"/>
        <v>260417-044</v>
      </c>
    </row>
    <row r="46" spans="1:21">
      <c r="A46" s="22" t="s">
        <v>185</v>
      </c>
      <c r="B46" s="35">
        <v>46129</v>
      </c>
      <c r="C46" s="5" t="s">
        <v>186</v>
      </c>
      <c r="D46" s="5" t="s">
        <v>186</v>
      </c>
      <c r="E46" s="5" t="s">
        <v>24</v>
      </c>
      <c r="F46" s="5" t="s">
        <v>187</v>
      </c>
      <c r="G46" s="5" t="s">
        <v>172</v>
      </c>
      <c r="H46" s="22" t="str">
        <f t="shared" si="4"/>
        <v>260417-045</v>
      </c>
      <c r="I46" s="5" t="s">
        <v>27</v>
      </c>
      <c r="J46" s="31">
        <v>275</v>
      </c>
      <c r="K46" s="24">
        <f t="shared" si="3"/>
        <v>275</v>
      </c>
      <c r="L46" s="5" t="s">
        <v>28</v>
      </c>
      <c r="M46" s="5"/>
      <c r="N46" s="5">
        <v>7485</v>
      </c>
      <c r="O46" s="5"/>
      <c r="P46" s="5"/>
      <c r="Q46" s="23"/>
      <c r="R46" s="24" t="str">
        <f t="shared" si="6"/>
        <v>260417-045ENTRADA</v>
      </c>
      <c r="S46" s="24" t="str">
        <f t="shared" si="7"/>
        <v>Phalaris Stockman CombENTRADA</v>
      </c>
      <c r="T46" t="str">
        <f t="shared" si="5"/>
        <v>260417-045</v>
      </c>
    </row>
    <row r="47" spans="1:21">
      <c r="A47" s="22" t="s">
        <v>188</v>
      </c>
      <c r="B47" s="35">
        <v>46132</v>
      </c>
      <c r="C47" s="5" t="s">
        <v>22</v>
      </c>
      <c r="D47" s="5" t="s">
        <v>23</v>
      </c>
      <c r="E47" s="5" t="s">
        <v>24</v>
      </c>
      <c r="F47" s="5" t="s">
        <v>25</v>
      </c>
      <c r="G47" s="5" t="s">
        <v>26</v>
      </c>
      <c r="H47" s="22" t="s">
        <v>189</v>
      </c>
      <c r="I47" s="5" t="s">
        <v>64</v>
      </c>
      <c r="J47" s="33">
        <v>1200</v>
      </c>
      <c r="K47" s="24">
        <f t="shared" si="3"/>
        <v>-1200</v>
      </c>
      <c r="L47" s="5" t="s">
        <v>28</v>
      </c>
      <c r="M47" s="5"/>
      <c r="N47" s="5">
        <v>59312</v>
      </c>
      <c r="O47" s="5" t="s">
        <v>145</v>
      </c>
      <c r="P47" s="5">
        <v>1638</v>
      </c>
      <c r="Q47" s="23">
        <v>46133</v>
      </c>
      <c r="R47" s="24" t="str">
        <f t="shared" si="6"/>
        <v>260324-001SALIDA</v>
      </c>
      <c r="S47" s="24" t="str">
        <f t="shared" si="7"/>
        <v>Colza Curry CLSALIDA</v>
      </c>
      <c r="T47" t="str">
        <f t="shared" si="5"/>
        <v/>
      </c>
    </row>
    <row r="48" spans="1:21">
      <c r="A48" s="22" t="s">
        <v>190</v>
      </c>
      <c r="B48" s="35">
        <v>46132</v>
      </c>
      <c r="C48" s="5" t="s">
        <v>79</v>
      </c>
      <c r="D48" s="5" t="s">
        <v>80</v>
      </c>
      <c r="E48" s="5" t="s">
        <v>24</v>
      </c>
      <c r="F48" s="5" t="s">
        <v>81</v>
      </c>
      <c r="G48" s="5" t="s">
        <v>82</v>
      </c>
      <c r="H48" s="22" t="s">
        <v>144</v>
      </c>
      <c r="I48" s="5" t="s">
        <v>64</v>
      </c>
      <c r="J48" s="33">
        <v>625</v>
      </c>
      <c r="K48" s="24">
        <f t="shared" si="3"/>
        <v>-625</v>
      </c>
      <c r="L48" s="5" t="s">
        <v>28</v>
      </c>
      <c r="M48" s="5"/>
      <c r="N48" s="5">
        <v>59312</v>
      </c>
      <c r="O48" s="5" t="s">
        <v>145</v>
      </c>
      <c r="P48" s="5">
        <v>1638</v>
      </c>
      <c r="Q48" s="23">
        <v>46133</v>
      </c>
      <c r="R48" s="24" t="str">
        <f t="shared" si="6"/>
        <v>260408-013SALIDA</v>
      </c>
      <c r="S48" s="24" t="str">
        <f t="shared" si="7"/>
        <v>Raigrás E284SALIDA</v>
      </c>
      <c r="T48" t="str">
        <f t="shared" si="5"/>
        <v/>
      </c>
    </row>
    <row r="49" spans="1:20">
      <c r="A49" s="22" t="s">
        <v>191</v>
      </c>
      <c r="B49" s="35">
        <v>46132</v>
      </c>
      <c r="C49" s="5" t="s">
        <v>114</v>
      </c>
      <c r="D49" s="5" t="s">
        <v>115</v>
      </c>
      <c r="E49" s="5" t="s">
        <v>33</v>
      </c>
      <c r="F49" s="5" t="s">
        <v>34</v>
      </c>
      <c r="G49" s="5" t="s">
        <v>116</v>
      </c>
      <c r="H49" s="22" t="s">
        <v>119</v>
      </c>
      <c r="I49" s="5" t="s">
        <v>64</v>
      </c>
      <c r="J49" s="33">
        <v>340</v>
      </c>
      <c r="K49" s="24">
        <f t="shared" si="3"/>
        <v>-340</v>
      </c>
      <c r="L49" s="5" t="s">
        <v>36</v>
      </c>
      <c r="M49" s="5"/>
      <c r="N49" s="5">
        <v>59313</v>
      </c>
      <c r="O49" s="5" t="s">
        <v>192</v>
      </c>
      <c r="P49" s="5">
        <v>1637</v>
      </c>
      <c r="Q49" s="23">
        <v>46133</v>
      </c>
      <c r="R49" s="24" t="str">
        <f t="shared" si="6"/>
        <v>260410-025SALIDA</v>
      </c>
      <c r="S49" s="24" t="str">
        <f t="shared" si="7"/>
        <v>AzukaSALIDA</v>
      </c>
      <c r="T49" t="str">
        <f t="shared" si="5"/>
        <v/>
      </c>
    </row>
    <row r="50" spans="1:20">
      <c r="A50" s="22" t="s">
        <v>193</v>
      </c>
      <c r="B50" s="35">
        <v>46132</v>
      </c>
      <c r="C50" s="5" t="s">
        <v>121</v>
      </c>
      <c r="D50" s="5" t="s">
        <v>122</v>
      </c>
      <c r="E50" s="5" t="s">
        <v>33</v>
      </c>
      <c r="F50" s="5" t="s">
        <v>34</v>
      </c>
      <c r="G50" s="5" t="s">
        <v>116</v>
      </c>
      <c r="H50" s="22" t="s">
        <v>194</v>
      </c>
      <c r="I50" s="5" t="s">
        <v>64</v>
      </c>
      <c r="J50" s="33">
        <v>100</v>
      </c>
      <c r="K50" s="24">
        <f t="shared" si="3"/>
        <v>-100</v>
      </c>
      <c r="L50" s="5" t="s">
        <v>36</v>
      </c>
      <c r="M50" s="5"/>
      <c r="N50" s="5">
        <v>59313</v>
      </c>
      <c r="O50" s="5" t="s">
        <v>192</v>
      </c>
      <c r="P50" s="5">
        <v>1637</v>
      </c>
      <c r="Q50" s="23">
        <v>46133</v>
      </c>
      <c r="R50" s="24" t="str">
        <f t="shared" si="6"/>
        <v>260410-027SALIDA</v>
      </c>
      <c r="S50" s="24" t="str">
        <f t="shared" si="7"/>
        <v>PardoSALIDA</v>
      </c>
      <c r="T50" t="str">
        <f t="shared" si="5"/>
        <v/>
      </c>
    </row>
    <row r="51" spans="1:20">
      <c r="A51" s="22" t="s">
        <v>195</v>
      </c>
      <c r="B51" s="35">
        <v>46132</v>
      </c>
      <c r="C51" s="5" t="s">
        <v>85</v>
      </c>
      <c r="D51" s="5" t="s">
        <v>90</v>
      </c>
      <c r="E51" s="5" t="s">
        <v>33</v>
      </c>
      <c r="F51" s="5" t="s">
        <v>34</v>
      </c>
      <c r="G51" s="5" t="s">
        <v>35</v>
      </c>
      <c r="H51" s="22" t="s">
        <v>99</v>
      </c>
      <c r="I51" s="5" t="s">
        <v>64</v>
      </c>
      <c r="J51" s="33">
        <v>40</v>
      </c>
      <c r="K51" s="24">
        <f t="shared" si="3"/>
        <v>-40</v>
      </c>
      <c r="L51" s="5" t="s">
        <v>36</v>
      </c>
      <c r="M51" s="5"/>
      <c r="N51" s="5">
        <v>59313</v>
      </c>
      <c r="O51" s="5" t="s">
        <v>192</v>
      </c>
      <c r="P51" s="5">
        <v>1637</v>
      </c>
      <c r="Q51" s="23">
        <v>46133</v>
      </c>
      <c r="R51" s="24" t="str">
        <f t="shared" si="6"/>
        <v>260408-014SALIDA</v>
      </c>
      <c r="S51" s="24" t="str">
        <f t="shared" si="7"/>
        <v>Starane XtraSALIDA</v>
      </c>
      <c r="T51" t="str">
        <f t="shared" si="5"/>
        <v/>
      </c>
    </row>
    <row r="52" spans="1:20">
      <c r="A52" s="22" t="s">
        <v>196</v>
      </c>
      <c r="B52" s="35">
        <v>46132</v>
      </c>
      <c r="C52" s="5" t="s">
        <v>69</v>
      </c>
      <c r="D52" s="5" t="s">
        <v>70</v>
      </c>
      <c r="E52" s="5" t="s">
        <v>69</v>
      </c>
      <c r="F52" s="5"/>
      <c r="G52" s="5" t="s">
        <v>71</v>
      </c>
      <c r="H52" s="22" t="s">
        <v>147</v>
      </c>
      <c r="I52" s="5" t="s">
        <v>64</v>
      </c>
      <c r="J52" s="33">
        <v>3</v>
      </c>
      <c r="K52" s="24">
        <f t="shared" si="3"/>
        <v>-3</v>
      </c>
      <c r="L52" s="5" t="s">
        <v>72</v>
      </c>
      <c r="M52" s="5"/>
      <c r="N52" s="5">
        <v>59314</v>
      </c>
      <c r="O52" s="5" t="s">
        <v>65</v>
      </c>
      <c r="P52" s="5">
        <v>1636</v>
      </c>
      <c r="Q52" s="23">
        <v>46133</v>
      </c>
      <c r="R52" s="24" t="str">
        <f t="shared" si="6"/>
        <v>260406-011SALIDA</v>
      </c>
      <c r="S52" s="24" t="str">
        <f t="shared" si="7"/>
        <v>SilobolsaSALIDA</v>
      </c>
      <c r="T52" t="str">
        <f t="shared" si="5"/>
        <v/>
      </c>
    </row>
    <row r="53" spans="1:20">
      <c r="A53" s="22" t="s">
        <v>197</v>
      </c>
      <c r="B53" s="35">
        <v>46132</v>
      </c>
      <c r="C53" s="5" t="s">
        <v>114</v>
      </c>
      <c r="D53" s="5" t="s">
        <v>115</v>
      </c>
      <c r="E53" s="5" t="s">
        <v>33</v>
      </c>
      <c r="F53" s="5" t="s">
        <v>34</v>
      </c>
      <c r="G53" s="5" t="s">
        <v>116</v>
      </c>
      <c r="H53" s="22" t="s">
        <v>119</v>
      </c>
      <c r="I53" s="5" t="s">
        <v>27</v>
      </c>
      <c r="J53" s="33">
        <v>11520</v>
      </c>
      <c r="K53" s="24">
        <f t="shared" si="3"/>
        <v>11520</v>
      </c>
      <c r="L53" s="5" t="s">
        <v>36</v>
      </c>
      <c r="M53" s="23">
        <v>46692</v>
      </c>
      <c r="N53" s="5">
        <v>48917</v>
      </c>
      <c r="O53" s="5"/>
      <c r="P53" s="5"/>
      <c r="Q53" s="23"/>
      <c r="R53" s="24" t="str">
        <f t="shared" si="6"/>
        <v>260410-025ENTRADA</v>
      </c>
      <c r="S53" s="24" t="str">
        <f t="shared" si="7"/>
        <v>AzukaENTRADA</v>
      </c>
      <c r="T53" t="str">
        <f t="shared" si="5"/>
        <v>260420-052</v>
      </c>
    </row>
    <row r="54" spans="1:20">
      <c r="A54" s="22" t="s">
        <v>198</v>
      </c>
      <c r="B54" s="35">
        <v>46132</v>
      </c>
      <c r="C54" s="5" t="s">
        <v>114</v>
      </c>
      <c r="D54" s="5" t="s">
        <v>115</v>
      </c>
      <c r="E54" s="5" t="s">
        <v>33</v>
      </c>
      <c r="F54" s="5" t="s">
        <v>34</v>
      </c>
      <c r="G54" s="5" t="s">
        <v>116</v>
      </c>
      <c r="H54" s="22" t="s">
        <v>119</v>
      </c>
      <c r="I54" s="5" t="s">
        <v>64</v>
      </c>
      <c r="J54" s="33">
        <v>280</v>
      </c>
      <c r="K54" s="24">
        <f t="shared" si="3"/>
        <v>-280</v>
      </c>
      <c r="L54" s="5" t="s">
        <v>36</v>
      </c>
      <c r="M54" s="5"/>
      <c r="N54" s="5">
        <v>59317</v>
      </c>
      <c r="O54" s="5" t="s">
        <v>192</v>
      </c>
      <c r="P54" s="5">
        <v>1635</v>
      </c>
      <c r="Q54" s="23">
        <v>46133</v>
      </c>
      <c r="R54" s="24" t="str">
        <f t="shared" si="6"/>
        <v>260410-025SALIDA</v>
      </c>
      <c r="S54" s="24" t="str">
        <f t="shared" si="7"/>
        <v>AzukaSALIDA</v>
      </c>
      <c r="T54" t="str">
        <f t="shared" si="5"/>
        <v/>
      </c>
    </row>
    <row r="55" spans="1:20">
      <c r="A55" s="22" t="s">
        <v>199</v>
      </c>
      <c r="B55" s="35">
        <v>46132</v>
      </c>
      <c r="C55" s="5" t="s">
        <v>125</v>
      </c>
      <c r="D55" s="5" t="s">
        <v>126</v>
      </c>
      <c r="E55" s="5" t="s">
        <v>127</v>
      </c>
      <c r="F55" s="5"/>
      <c r="G55" s="5" t="s">
        <v>128</v>
      </c>
      <c r="H55" s="22" t="s">
        <v>200</v>
      </c>
      <c r="I55" s="5" t="s">
        <v>64</v>
      </c>
      <c r="J55" s="33">
        <v>60</v>
      </c>
      <c r="K55" s="24">
        <f t="shared" si="3"/>
        <v>-60</v>
      </c>
      <c r="L55" s="5" t="s">
        <v>36</v>
      </c>
      <c r="M55" s="5"/>
      <c r="N55" s="5">
        <v>59317</v>
      </c>
      <c r="O55" s="5" t="s">
        <v>192</v>
      </c>
      <c r="P55" s="5">
        <v>1635</v>
      </c>
      <c r="Q55" s="23">
        <v>46133</v>
      </c>
      <c r="R55" s="24" t="str">
        <f t="shared" si="6"/>
        <v>260414-028SALIDA</v>
      </c>
      <c r="S55" s="24" t="str">
        <f t="shared" si="7"/>
        <v>HarrierSALIDA</v>
      </c>
      <c r="T55" t="str">
        <f t="shared" si="5"/>
        <v/>
      </c>
    </row>
    <row r="56" spans="1:20">
      <c r="A56" s="22" t="s">
        <v>201</v>
      </c>
      <c r="B56" s="35">
        <v>46132</v>
      </c>
      <c r="C56" s="5" t="s">
        <v>132</v>
      </c>
      <c r="D56" s="5" t="s">
        <v>133</v>
      </c>
      <c r="E56" s="5" t="s">
        <v>127</v>
      </c>
      <c r="F56" s="5"/>
      <c r="G56" s="5" t="s">
        <v>128</v>
      </c>
      <c r="H56" s="22" t="s">
        <v>202</v>
      </c>
      <c r="I56" s="5" t="s">
        <v>64</v>
      </c>
      <c r="J56" s="33">
        <v>15</v>
      </c>
      <c r="K56" s="24">
        <f t="shared" si="3"/>
        <v>-15</v>
      </c>
      <c r="L56" s="5" t="s">
        <v>36</v>
      </c>
      <c r="M56" s="5"/>
      <c r="N56" s="5">
        <v>59317</v>
      </c>
      <c r="O56" s="5" t="s">
        <v>192</v>
      </c>
      <c r="P56" s="5">
        <v>1635</v>
      </c>
      <c r="Q56" s="23">
        <v>46133</v>
      </c>
      <c r="R56" s="24" t="str">
        <f t="shared" si="6"/>
        <v>260414-030SALIDA</v>
      </c>
      <c r="S56" s="24" t="str">
        <f t="shared" si="7"/>
        <v>Full controlSALIDA</v>
      </c>
      <c r="T56" t="str">
        <f t="shared" si="5"/>
        <v/>
      </c>
    </row>
    <row r="57" spans="1:20">
      <c r="A57" s="22" t="s">
        <v>203</v>
      </c>
      <c r="B57" s="35">
        <v>46133</v>
      </c>
      <c r="C57" s="5" t="s">
        <v>79</v>
      </c>
      <c r="D57" s="5" t="s">
        <v>80</v>
      </c>
      <c r="E57" s="5" t="s">
        <v>24</v>
      </c>
      <c r="F57" s="5"/>
      <c r="G57" s="5" t="s">
        <v>82</v>
      </c>
      <c r="H57" s="22" t="s">
        <v>144</v>
      </c>
      <c r="I57" s="5" t="s">
        <v>64</v>
      </c>
      <c r="J57" s="33">
        <v>2500</v>
      </c>
      <c r="K57" s="24">
        <f t="shared" si="3"/>
        <v>-2500</v>
      </c>
      <c r="L57" s="5" t="s">
        <v>36</v>
      </c>
      <c r="M57" s="5"/>
      <c r="N57" s="5">
        <v>59318</v>
      </c>
      <c r="O57" s="5" t="s">
        <v>145</v>
      </c>
      <c r="P57" s="5">
        <v>1632</v>
      </c>
      <c r="Q57" s="23">
        <v>46133</v>
      </c>
      <c r="R57" s="24" t="str">
        <f t="shared" si="6"/>
        <v>260408-013SALIDA</v>
      </c>
      <c r="S57" s="24" t="str">
        <f t="shared" si="7"/>
        <v>Raigrás E284SALIDA</v>
      </c>
      <c r="T57" t="str">
        <f t="shared" si="5"/>
        <v/>
      </c>
    </row>
    <row r="58" spans="1:20">
      <c r="A58" s="22" t="s">
        <v>204</v>
      </c>
      <c r="B58" s="35">
        <v>46133</v>
      </c>
      <c r="C58" s="5" t="s">
        <v>22</v>
      </c>
      <c r="D58" s="5" t="s">
        <v>23</v>
      </c>
      <c r="E58" s="5" t="s">
        <v>24</v>
      </c>
      <c r="F58" s="5"/>
      <c r="G58" s="5" t="s">
        <v>26</v>
      </c>
      <c r="H58" s="22" t="s">
        <v>189</v>
      </c>
      <c r="I58" s="5" t="s">
        <v>64</v>
      </c>
      <c r="J58" s="33">
        <v>360</v>
      </c>
      <c r="K58" s="24">
        <f t="shared" si="3"/>
        <v>-360</v>
      </c>
      <c r="L58" s="5" t="s">
        <v>28</v>
      </c>
      <c r="M58" s="5"/>
      <c r="N58" s="5">
        <v>59316</v>
      </c>
      <c r="O58" s="5" t="s">
        <v>192</v>
      </c>
      <c r="P58" s="5">
        <v>1633</v>
      </c>
      <c r="Q58" s="23">
        <v>46133</v>
      </c>
      <c r="R58" s="24" t="str">
        <f t="shared" si="6"/>
        <v>260324-001SALIDA</v>
      </c>
      <c r="S58" s="24" t="str">
        <f t="shared" si="7"/>
        <v>Colza Curry CLSALIDA</v>
      </c>
      <c r="T58" t="str">
        <f t="shared" si="5"/>
        <v/>
      </c>
    </row>
    <row r="59" spans="1:20">
      <c r="A59" s="22" t="s">
        <v>205</v>
      </c>
      <c r="B59" s="35">
        <v>46132</v>
      </c>
      <c r="C59" s="5" t="s">
        <v>22</v>
      </c>
      <c r="D59" s="5" t="s">
        <v>23</v>
      </c>
      <c r="E59" s="5" t="s">
        <v>24</v>
      </c>
      <c r="F59" s="5"/>
      <c r="G59" s="5" t="s">
        <v>26</v>
      </c>
      <c r="H59" s="22" t="s">
        <v>189</v>
      </c>
      <c r="I59" s="5" t="s">
        <v>64</v>
      </c>
      <c r="J59" s="33">
        <v>1000</v>
      </c>
      <c r="K59" s="24">
        <f t="shared" si="3"/>
        <v>-1000</v>
      </c>
      <c r="L59" s="5" t="s">
        <v>28</v>
      </c>
      <c r="M59" s="5"/>
      <c r="N59" s="5">
        <v>59315</v>
      </c>
      <c r="O59" s="5" t="s">
        <v>192</v>
      </c>
      <c r="P59" s="5">
        <v>1634</v>
      </c>
      <c r="Q59" s="23">
        <v>46133</v>
      </c>
      <c r="R59" s="24" t="str">
        <f t="shared" si="6"/>
        <v>260324-001SALIDA</v>
      </c>
      <c r="S59" s="24" t="str">
        <f t="shared" si="7"/>
        <v>Colza Curry CLSALIDA</v>
      </c>
      <c r="T59" t="str">
        <f t="shared" si="5"/>
        <v/>
      </c>
    </row>
    <row r="60" spans="1:20">
      <c r="A60" s="22" t="s">
        <v>206</v>
      </c>
      <c r="B60" s="35">
        <v>46132</v>
      </c>
      <c r="C60" s="5" t="s">
        <v>111</v>
      </c>
      <c r="D60" s="5" t="s">
        <v>112</v>
      </c>
      <c r="E60" s="5" t="s">
        <v>24</v>
      </c>
      <c r="F60" s="5"/>
      <c r="G60" s="5" t="s">
        <v>26</v>
      </c>
      <c r="H60" s="22" t="s">
        <v>207</v>
      </c>
      <c r="I60" s="5" t="s">
        <v>64</v>
      </c>
      <c r="J60" s="33">
        <v>200</v>
      </c>
      <c r="K60" s="24">
        <f t="shared" si="3"/>
        <v>-200</v>
      </c>
      <c r="L60" s="5" t="s">
        <v>28</v>
      </c>
      <c r="M60" s="5"/>
      <c r="N60" s="5">
        <v>59315</v>
      </c>
      <c r="O60" s="5" t="s">
        <v>192</v>
      </c>
      <c r="P60" s="5">
        <v>1634</v>
      </c>
      <c r="Q60" s="23">
        <v>46133</v>
      </c>
      <c r="R60" s="24" t="str">
        <f t="shared" si="6"/>
        <v>260410-024SALIDA</v>
      </c>
      <c r="S60" s="24" t="str">
        <f t="shared" si="7"/>
        <v>Colza Apolo CLSALIDA</v>
      </c>
      <c r="T60" t="str">
        <f t="shared" si="5"/>
        <v/>
      </c>
    </row>
    <row r="61" spans="1:20">
      <c r="A61" s="22" t="s">
        <v>208</v>
      </c>
      <c r="B61" s="35">
        <v>46133</v>
      </c>
      <c r="C61" s="5" t="s">
        <v>114</v>
      </c>
      <c r="D61" s="5" t="s">
        <v>115</v>
      </c>
      <c r="E61" s="5" t="s">
        <v>33</v>
      </c>
      <c r="F61" s="5" t="s">
        <v>34</v>
      </c>
      <c r="G61" s="5" t="s">
        <v>116</v>
      </c>
      <c r="H61" s="22" t="s">
        <v>119</v>
      </c>
      <c r="I61" s="5" t="s">
        <v>64</v>
      </c>
      <c r="J61" s="33">
        <v>2200</v>
      </c>
      <c r="K61" s="24">
        <f t="shared" si="3"/>
        <v>-2200</v>
      </c>
      <c r="L61" s="5" t="s">
        <v>36</v>
      </c>
      <c r="M61" s="5"/>
      <c r="N61" s="5">
        <v>59319</v>
      </c>
      <c r="O61" s="5" t="s">
        <v>145</v>
      </c>
      <c r="P61" s="5">
        <v>1639</v>
      </c>
      <c r="Q61" s="23">
        <v>46133</v>
      </c>
      <c r="R61" s="24" t="str">
        <f t="shared" si="6"/>
        <v>260410-025SALIDA</v>
      </c>
      <c r="S61" s="24" t="str">
        <f t="shared" si="7"/>
        <v>AzukaSALIDA</v>
      </c>
      <c r="T61" t="str">
        <f t="shared" si="5"/>
        <v/>
      </c>
    </row>
    <row r="62" spans="1:20">
      <c r="A62" s="22" t="s">
        <v>209</v>
      </c>
      <c r="B62" s="35">
        <v>46133</v>
      </c>
      <c r="C62" s="5" t="s">
        <v>125</v>
      </c>
      <c r="D62" s="5" t="s">
        <v>126</v>
      </c>
      <c r="E62" s="5" t="s">
        <v>127</v>
      </c>
      <c r="F62" s="5"/>
      <c r="G62" s="5" t="s">
        <v>128</v>
      </c>
      <c r="H62" s="22" t="s">
        <v>200</v>
      </c>
      <c r="I62" s="5" t="s">
        <v>64</v>
      </c>
      <c r="J62" s="33">
        <v>60</v>
      </c>
      <c r="K62" s="24">
        <f t="shared" si="3"/>
        <v>-60</v>
      </c>
      <c r="L62" s="5" t="s">
        <v>36</v>
      </c>
      <c r="M62" s="5"/>
      <c r="N62" s="5">
        <v>59319</v>
      </c>
      <c r="O62" s="5" t="s">
        <v>145</v>
      </c>
      <c r="P62" s="5">
        <v>1639</v>
      </c>
      <c r="Q62" s="23">
        <v>46133</v>
      </c>
      <c r="R62" s="24" t="str">
        <f t="shared" si="6"/>
        <v>260414-028SALIDA</v>
      </c>
      <c r="S62" s="24" t="str">
        <f t="shared" si="7"/>
        <v>HarrierSALIDA</v>
      </c>
      <c r="T62" t="str">
        <f t="shared" si="5"/>
        <v/>
      </c>
    </row>
    <row r="63" spans="1:20">
      <c r="A63" s="22" t="s">
        <v>210</v>
      </c>
      <c r="B63" s="35">
        <v>46133</v>
      </c>
      <c r="C63" s="5" t="s">
        <v>132</v>
      </c>
      <c r="D63" s="5" t="s">
        <v>133</v>
      </c>
      <c r="E63" s="5" t="s">
        <v>127</v>
      </c>
      <c r="F63" s="5"/>
      <c r="G63" s="5" t="s">
        <v>128</v>
      </c>
      <c r="H63" s="22" t="s">
        <v>202</v>
      </c>
      <c r="I63" s="5" t="s">
        <v>64</v>
      </c>
      <c r="J63" s="33">
        <v>15</v>
      </c>
      <c r="K63" s="24">
        <f t="shared" si="3"/>
        <v>-15</v>
      </c>
      <c r="L63" s="5" t="s">
        <v>36</v>
      </c>
      <c r="M63" s="5"/>
      <c r="N63" s="5">
        <v>59319</v>
      </c>
      <c r="O63" s="5" t="s">
        <v>145</v>
      </c>
      <c r="P63" s="5">
        <v>1639</v>
      </c>
      <c r="Q63" s="23">
        <v>46133</v>
      </c>
      <c r="R63" s="24" t="str">
        <f t="shared" si="6"/>
        <v>260414-030SALIDA</v>
      </c>
      <c r="S63" s="24" t="str">
        <f t="shared" si="7"/>
        <v>Full controlSALIDA</v>
      </c>
      <c r="T63" t="str">
        <f t="shared" si="5"/>
        <v/>
      </c>
    </row>
    <row r="64" spans="1:20">
      <c r="A64" s="22" t="s">
        <v>211</v>
      </c>
      <c r="B64" s="35">
        <v>46133</v>
      </c>
      <c r="C64" s="5" t="s">
        <v>114</v>
      </c>
      <c r="D64" s="5" t="s">
        <v>115</v>
      </c>
      <c r="E64" s="5" t="s">
        <v>33</v>
      </c>
      <c r="F64" s="5"/>
      <c r="G64" s="5" t="s">
        <v>116</v>
      </c>
      <c r="H64" s="22" t="s">
        <v>119</v>
      </c>
      <c r="I64" s="5" t="s">
        <v>64</v>
      </c>
      <c r="J64" s="33">
        <v>960</v>
      </c>
      <c r="K64" s="24">
        <f t="shared" si="3"/>
        <v>-960</v>
      </c>
      <c r="L64" s="5" t="s">
        <v>36</v>
      </c>
      <c r="M64" s="5"/>
      <c r="N64" s="5">
        <v>59320</v>
      </c>
      <c r="O64" s="5" t="s">
        <v>192</v>
      </c>
      <c r="P64" s="5"/>
      <c r="Q64" s="23"/>
      <c r="R64" s="24" t="str">
        <f t="shared" si="6"/>
        <v>260410-025SALIDA</v>
      </c>
      <c r="S64" s="24" t="str">
        <f t="shared" si="7"/>
        <v>AzukaSALIDA</v>
      </c>
      <c r="T64" t="str">
        <f t="shared" si="5"/>
        <v/>
      </c>
    </row>
    <row r="65" spans="1:20">
      <c r="A65" s="22" t="s">
        <v>212</v>
      </c>
      <c r="B65" s="35">
        <v>46133</v>
      </c>
      <c r="C65" s="5" t="s">
        <v>121</v>
      </c>
      <c r="D65" s="5" t="s">
        <v>122</v>
      </c>
      <c r="E65" s="5" t="s">
        <v>33</v>
      </c>
      <c r="F65" s="5" t="s">
        <v>34</v>
      </c>
      <c r="G65" s="5" t="s">
        <v>116</v>
      </c>
      <c r="H65" s="22" t="s">
        <v>194</v>
      </c>
      <c r="I65" s="5" t="s">
        <v>64</v>
      </c>
      <c r="J65" s="33">
        <v>320</v>
      </c>
      <c r="K65" s="24">
        <f t="shared" si="3"/>
        <v>-320</v>
      </c>
      <c r="L65" s="5" t="s">
        <v>36</v>
      </c>
      <c r="M65" s="5"/>
      <c r="N65" s="5">
        <v>59320</v>
      </c>
      <c r="O65" s="5" t="s">
        <v>192</v>
      </c>
      <c r="P65" s="5"/>
      <c r="Q65" s="23"/>
      <c r="R65" s="24" t="str">
        <f t="shared" si="6"/>
        <v>260410-027SALIDA</v>
      </c>
      <c r="S65" s="24" t="str">
        <f t="shared" si="7"/>
        <v>PardoSALIDA</v>
      </c>
      <c r="T65" t="str">
        <f t="shared" si="5"/>
        <v/>
      </c>
    </row>
    <row r="66" spans="1:20">
      <c r="A66" s="22" t="s">
        <v>213</v>
      </c>
      <c r="B66" s="35">
        <v>46133</v>
      </c>
      <c r="C66" s="5" t="s">
        <v>125</v>
      </c>
      <c r="D66" s="5" t="s">
        <v>126</v>
      </c>
      <c r="E66" s="5" t="s">
        <v>127</v>
      </c>
      <c r="F66" s="5"/>
      <c r="G66" s="5" t="s">
        <v>128</v>
      </c>
      <c r="H66" s="22" t="s">
        <v>214</v>
      </c>
      <c r="I66" s="5" t="s">
        <v>64</v>
      </c>
      <c r="J66" s="33">
        <v>40</v>
      </c>
      <c r="K66" s="24">
        <f t="shared" si="3"/>
        <v>-40</v>
      </c>
      <c r="L66" s="5" t="s">
        <v>36</v>
      </c>
      <c r="M66" s="5"/>
      <c r="N66" s="5">
        <v>59320</v>
      </c>
      <c r="O66" s="5" t="s">
        <v>192</v>
      </c>
      <c r="P66" s="5"/>
      <c r="Q66" s="23"/>
      <c r="R66" s="24" t="str">
        <f t="shared" si="6"/>
        <v>260414-029SALIDA</v>
      </c>
      <c r="S66" s="24" t="str">
        <f t="shared" si="7"/>
        <v>HarrierSALIDA</v>
      </c>
      <c r="T66" t="str">
        <f t="shared" si="5"/>
        <v/>
      </c>
    </row>
    <row r="67" spans="1:20">
      <c r="A67" s="22" t="s">
        <v>215</v>
      </c>
      <c r="B67" s="35">
        <v>46133</v>
      </c>
      <c r="C67" s="5" t="s">
        <v>132</v>
      </c>
      <c r="D67" s="5" t="s">
        <v>133</v>
      </c>
      <c r="E67" s="5" t="s">
        <v>127</v>
      </c>
      <c r="F67" s="5"/>
      <c r="G67" s="5" t="s">
        <v>128</v>
      </c>
      <c r="H67" s="22" t="s">
        <v>202</v>
      </c>
      <c r="I67" s="5" t="s">
        <v>64</v>
      </c>
      <c r="J67" s="33">
        <v>15</v>
      </c>
      <c r="K67" s="24">
        <f t="shared" si="3"/>
        <v>-15</v>
      </c>
      <c r="L67" s="5" t="s">
        <v>36</v>
      </c>
      <c r="M67" s="5"/>
      <c r="N67" s="5">
        <v>59320</v>
      </c>
      <c r="O67" s="5" t="s">
        <v>192</v>
      </c>
      <c r="P67" s="5"/>
      <c r="Q67" s="23"/>
      <c r="R67" s="24" t="str">
        <f t="shared" si="6"/>
        <v>260414-030SALIDA</v>
      </c>
      <c r="S67" s="24" t="str">
        <f t="shared" si="7"/>
        <v>Full controlSALIDA</v>
      </c>
      <c r="T67" t="str">
        <f t="shared" si="5"/>
        <v/>
      </c>
    </row>
    <row r="68" spans="1:20">
      <c r="A68" s="22" t="s">
        <v>216</v>
      </c>
      <c r="B68" s="35">
        <v>46133</v>
      </c>
      <c r="C68" s="5" t="s">
        <v>217</v>
      </c>
      <c r="D68" s="5" t="s">
        <v>218</v>
      </c>
      <c r="E68" s="5" t="s">
        <v>24</v>
      </c>
      <c r="F68" s="5"/>
      <c r="G68" s="5" t="s">
        <v>26</v>
      </c>
      <c r="H68" s="22" t="str">
        <f t="shared" si="4"/>
        <v>260421-067</v>
      </c>
      <c r="I68" s="5" t="s">
        <v>27</v>
      </c>
      <c r="J68" s="33">
        <v>3000</v>
      </c>
      <c r="K68" s="24">
        <f t="shared" si="3"/>
        <v>3000</v>
      </c>
      <c r="L68" s="5" t="s">
        <v>28</v>
      </c>
      <c r="M68" s="5"/>
      <c r="N68" s="5">
        <v>47726</v>
      </c>
      <c r="O68" s="5"/>
      <c r="P68" s="5"/>
      <c r="Q68" s="23"/>
      <c r="R68" s="24" t="str">
        <f t="shared" si="6"/>
        <v>260421-067ENTRADA</v>
      </c>
      <c r="S68" s="24" t="str">
        <f t="shared" si="7"/>
        <v>Colza continuum ClENTRADA</v>
      </c>
      <c r="T68" t="str">
        <f t="shared" si="5"/>
        <v>260421-067</v>
      </c>
    </row>
    <row r="69" spans="1:20">
      <c r="A69" s="22" t="s">
        <v>219</v>
      </c>
      <c r="B69" s="5" t="s">
        <v>220</v>
      </c>
      <c r="C69" s="5" t="s">
        <v>221</v>
      </c>
      <c r="D69" s="5" t="s">
        <v>221</v>
      </c>
      <c r="E69" s="5" t="s">
        <v>24</v>
      </c>
      <c r="F69" s="5"/>
      <c r="G69" s="5" t="s">
        <v>26</v>
      </c>
      <c r="H69" s="22" t="str">
        <f t="shared" si="4"/>
        <v>21704/2026-068</v>
      </c>
      <c r="I69" s="5" t="s">
        <v>27</v>
      </c>
      <c r="J69" s="33">
        <v>3200</v>
      </c>
      <c r="K69" s="24">
        <f t="shared" si="3"/>
        <v>3200</v>
      </c>
      <c r="L69" s="5" t="s">
        <v>28</v>
      </c>
      <c r="M69" s="5"/>
      <c r="N69" s="5">
        <v>47726</v>
      </c>
      <c r="O69" s="5"/>
      <c r="P69" s="5"/>
      <c r="Q69" s="23"/>
      <c r="R69" s="24" t="str">
        <f t="shared" si="6"/>
        <v>21704/2026-068ENTRADA</v>
      </c>
      <c r="S69" s="24" t="str">
        <f t="shared" si="7"/>
        <v>Colza Hyola Solstice clENTRADA</v>
      </c>
      <c r="T69" t="str">
        <f t="shared" si="5"/>
        <v>21704/2026-068</v>
      </c>
    </row>
    <row r="70" spans="1:20">
      <c r="A70" s="22" t="s">
        <v>222</v>
      </c>
      <c r="B70" s="5"/>
      <c r="C70" s="5"/>
      <c r="D70" s="5"/>
      <c r="E70" s="5"/>
      <c r="F70" s="5"/>
      <c r="G70" s="5"/>
      <c r="H70" s="22" t="str">
        <f t="shared" si="4"/>
        <v/>
      </c>
      <c r="I70" s="5"/>
      <c r="J70" s="33"/>
      <c r="K70" s="24" t="str">
        <f t="shared" ref="K70:K133" si="8">IF(I70="","",IF(I70="ENTRADA",ABS(J70),-ABS(J70)))</f>
        <v/>
      </c>
      <c r="L70" s="5"/>
      <c r="M70" s="5"/>
      <c r="N70" s="5"/>
      <c r="O70" s="5"/>
      <c r="P70" s="5"/>
      <c r="Q70" s="23"/>
      <c r="R70" s="24" t="str">
        <f t="shared" si="6"/>
        <v/>
      </c>
      <c r="S70" s="24" t="str">
        <f t="shared" si="7"/>
        <v/>
      </c>
      <c r="T70" t="str">
        <f t="shared" si="5"/>
        <v/>
      </c>
    </row>
    <row r="71" spans="1:20">
      <c r="A71" s="22" t="s">
        <v>223</v>
      </c>
      <c r="B71" s="5"/>
      <c r="C71" s="5"/>
      <c r="D71" s="5"/>
      <c r="E71" s="5"/>
      <c r="F71" s="5"/>
      <c r="G71" s="5"/>
      <c r="H71" s="22" t="str">
        <f t="shared" si="4"/>
        <v/>
      </c>
      <c r="I71" s="5"/>
      <c r="J71" s="33"/>
      <c r="K71" s="24" t="str">
        <f t="shared" si="8"/>
        <v/>
      </c>
      <c r="L71" s="5"/>
      <c r="M71" s="5"/>
      <c r="N71" s="5"/>
      <c r="O71" s="5"/>
      <c r="P71" s="5"/>
      <c r="Q71" s="23"/>
      <c r="R71" s="24" t="str">
        <f t="shared" si="6"/>
        <v/>
      </c>
      <c r="S71" s="24" t="str">
        <f t="shared" si="7"/>
        <v/>
      </c>
      <c r="T71" t="str">
        <f t="shared" si="5"/>
        <v/>
      </c>
    </row>
    <row r="72" spans="1:20">
      <c r="A72" s="22" t="s">
        <v>224</v>
      </c>
      <c r="B72" s="5"/>
      <c r="C72" s="5"/>
      <c r="D72" s="5"/>
      <c r="E72" s="5"/>
      <c r="F72" s="5"/>
      <c r="G72" s="5"/>
      <c r="H72" s="22" t="str">
        <f t="shared" si="4"/>
        <v/>
      </c>
      <c r="I72" s="5"/>
      <c r="J72" s="33"/>
      <c r="K72" s="24" t="str">
        <f t="shared" si="8"/>
        <v/>
      </c>
      <c r="L72" s="5"/>
      <c r="M72" s="5"/>
      <c r="N72" s="5"/>
      <c r="O72" s="5"/>
      <c r="P72" s="5"/>
      <c r="Q72" s="23"/>
      <c r="R72" s="24" t="str">
        <f t="shared" si="6"/>
        <v/>
      </c>
      <c r="S72" s="24" t="str">
        <f t="shared" si="7"/>
        <v/>
      </c>
      <c r="T72" t="str">
        <f t="shared" si="5"/>
        <v/>
      </c>
    </row>
    <row r="73" spans="1:20">
      <c r="A73" s="22" t="s">
        <v>225</v>
      </c>
      <c r="B73" s="5"/>
      <c r="C73" s="5"/>
      <c r="D73" s="5"/>
      <c r="E73" s="5"/>
      <c r="F73" s="5"/>
      <c r="G73" s="5"/>
      <c r="H73" s="22" t="str">
        <f t="shared" si="4"/>
        <v/>
      </c>
      <c r="I73" s="5"/>
      <c r="J73" s="33"/>
      <c r="K73" s="24" t="str">
        <f t="shared" si="8"/>
        <v/>
      </c>
      <c r="L73" s="5"/>
      <c r="M73" s="5"/>
      <c r="N73" s="5"/>
      <c r="O73" s="5"/>
      <c r="P73" s="5"/>
      <c r="Q73" s="23"/>
      <c r="R73" s="24" t="str">
        <f t="shared" si="6"/>
        <v/>
      </c>
      <c r="S73" s="24" t="str">
        <f t="shared" si="7"/>
        <v/>
      </c>
      <c r="T73" t="str">
        <f t="shared" si="5"/>
        <v/>
      </c>
    </row>
    <row r="74" spans="1:20">
      <c r="A74" s="22" t="s">
        <v>226</v>
      </c>
      <c r="B74" s="5"/>
      <c r="C74" s="5"/>
      <c r="D74" s="5"/>
      <c r="E74" s="5"/>
      <c r="F74" s="5"/>
      <c r="G74" s="5"/>
      <c r="H74" s="22" t="str">
        <f t="shared" si="4"/>
        <v/>
      </c>
      <c r="I74" s="5"/>
      <c r="J74" s="33"/>
      <c r="K74" s="24" t="str">
        <f t="shared" si="8"/>
        <v/>
      </c>
      <c r="L74" s="5"/>
      <c r="M74" s="5"/>
      <c r="N74" s="5"/>
      <c r="O74" s="5"/>
      <c r="P74" s="5"/>
      <c r="Q74" s="23"/>
      <c r="R74" s="24" t="str">
        <f t="shared" si="6"/>
        <v/>
      </c>
      <c r="S74" s="24" t="str">
        <f t="shared" si="7"/>
        <v/>
      </c>
      <c r="T74" t="str">
        <f t="shared" si="5"/>
        <v/>
      </c>
    </row>
    <row r="75" spans="1:20">
      <c r="A75" s="22" t="s">
        <v>227</v>
      </c>
      <c r="B75" s="5"/>
      <c r="C75" s="5"/>
      <c r="D75" s="5"/>
      <c r="E75" s="5"/>
      <c r="F75" s="5"/>
      <c r="G75" s="5"/>
      <c r="H75" s="22" t="str">
        <f t="shared" si="4"/>
        <v/>
      </c>
      <c r="I75" s="5"/>
      <c r="J75" s="33"/>
      <c r="K75" s="24" t="str">
        <f t="shared" si="8"/>
        <v/>
      </c>
      <c r="L75" s="5"/>
      <c r="M75" s="5"/>
      <c r="N75" s="5"/>
      <c r="O75" s="5"/>
      <c r="P75" s="5"/>
      <c r="Q75" s="23"/>
      <c r="R75" s="24" t="str">
        <f t="shared" si="6"/>
        <v/>
      </c>
      <c r="S75" s="24" t="str">
        <f t="shared" si="7"/>
        <v/>
      </c>
      <c r="T75" t="str">
        <f t="shared" si="5"/>
        <v/>
      </c>
    </row>
    <row r="76" spans="1:20">
      <c r="A76" s="22" t="s">
        <v>228</v>
      </c>
      <c r="B76" s="5"/>
      <c r="C76" s="5"/>
      <c r="D76" s="5"/>
      <c r="E76" s="5"/>
      <c r="F76" s="5"/>
      <c r="G76" s="5"/>
      <c r="H76" s="22" t="str">
        <f t="shared" si="4"/>
        <v/>
      </c>
      <c r="I76" s="5"/>
      <c r="J76" s="33"/>
      <c r="K76" s="24" t="str">
        <f t="shared" si="8"/>
        <v/>
      </c>
      <c r="L76" s="5"/>
      <c r="M76" s="5"/>
      <c r="N76" s="5"/>
      <c r="O76" s="5"/>
      <c r="P76" s="5"/>
      <c r="Q76" s="23"/>
      <c r="R76" s="24" t="str">
        <f t="shared" si="6"/>
        <v/>
      </c>
      <c r="S76" s="24" t="str">
        <f t="shared" si="7"/>
        <v/>
      </c>
      <c r="T76" t="str">
        <f t="shared" ref="T76:T77" si="9">IF(OR(C76="",I76&lt;&gt;"ENTRADA"),"",TEXT(B76,"AAMMDD")&amp;"-"&amp;TEXT(VALUE(SUBSTITUTE(A76,"MOV-","")),"000"))</f>
        <v/>
      </c>
    </row>
    <row r="77" spans="1:20">
      <c r="A77" s="22" t="s">
        <v>229</v>
      </c>
      <c r="B77" s="5"/>
      <c r="C77" s="5"/>
      <c r="D77" s="5"/>
      <c r="E77" s="5"/>
      <c r="F77" s="5"/>
      <c r="G77" s="5"/>
      <c r="H77" s="22" t="str">
        <f t="shared" ref="H77:H140" si="10">+T77</f>
        <v/>
      </c>
      <c r="I77" s="5"/>
      <c r="J77" s="33"/>
      <c r="K77" s="24" t="str">
        <f t="shared" si="8"/>
        <v/>
      </c>
      <c r="L77" s="5"/>
      <c r="M77" s="5"/>
      <c r="N77" s="5"/>
      <c r="O77" s="5"/>
      <c r="P77" s="5"/>
      <c r="Q77" s="23"/>
      <c r="R77" s="24" t="str">
        <f t="shared" ref="R77:R140" si="11">IF(H77="","",H77&amp;I77)</f>
        <v/>
      </c>
      <c r="S77" s="24" t="str">
        <f t="shared" ref="S77:S140" si="12">IF(C77="","",C77&amp;I77)</f>
        <v/>
      </c>
      <c r="T77" t="str">
        <f t="shared" si="9"/>
        <v/>
      </c>
    </row>
    <row r="78" spans="1:20">
      <c r="A78" s="22" t="s">
        <v>230</v>
      </c>
      <c r="B78" s="5"/>
      <c r="C78" s="5"/>
      <c r="D78" s="5"/>
      <c r="E78" s="5"/>
      <c r="F78" s="5"/>
      <c r="G78" s="5"/>
      <c r="H78" s="22" t="str">
        <f t="shared" si="10"/>
        <v/>
      </c>
      <c r="I78" s="5"/>
      <c r="J78" s="33"/>
      <c r="K78" s="24" t="str">
        <f t="shared" si="8"/>
        <v/>
      </c>
      <c r="L78" s="5"/>
      <c r="M78" s="5"/>
      <c r="N78" s="5"/>
      <c r="O78" s="5"/>
      <c r="P78" s="5"/>
      <c r="Q78" s="23"/>
      <c r="R78" s="24" t="str">
        <f t="shared" si="11"/>
        <v/>
      </c>
      <c r="S78" s="24" t="str">
        <f t="shared" si="12"/>
        <v/>
      </c>
      <c r="T78" t="str">
        <f t="shared" ref="T76:T139" si="13">IF(OR(C78="",I78&lt;&gt;"ENTRADA"),"",TEXT(B78,"AAMMDD")&amp;"-"&amp;TEXT(VALUE(SUBSTITUTE(A78,"MOV-","")),"000"))</f>
        <v/>
      </c>
    </row>
    <row r="79" spans="1:20">
      <c r="A79" s="22" t="s">
        <v>231</v>
      </c>
      <c r="B79" s="5"/>
      <c r="C79" s="5"/>
      <c r="D79" s="5"/>
      <c r="E79" s="5"/>
      <c r="F79" s="5"/>
      <c r="G79" s="5"/>
      <c r="H79" s="22" t="str">
        <f t="shared" si="10"/>
        <v/>
      </c>
      <c r="I79" s="5"/>
      <c r="J79" s="33"/>
      <c r="K79" s="24" t="str">
        <f t="shared" si="8"/>
        <v/>
      </c>
      <c r="L79" s="5"/>
      <c r="M79" s="5"/>
      <c r="N79" s="5"/>
      <c r="O79" s="5"/>
      <c r="P79" s="5"/>
      <c r="Q79" s="23"/>
      <c r="R79" s="24" t="str">
        <f t="shared" si="11"/>
        <v/>
      </c>
      <c r="S79" s="24" t="str">
        <f t="shared" si="12"/>
        <v/>
      </c>
      <c r="T79" t="str">
        <f t="shared" si="13"/>
        <v/>
      </c>
    </row>
    <row r="80" spans="1:20">
      <c r="A80" s="22" t="s">
        <v>232</v>
      </c>
      <c r="B80" s="5"/>
      <c r="C80" s="5"/>
      <c r="D80" s="5"/>
      <c r="E80" s="5"/>
      <c r="F80" s="5"/>
      <c r="G80" s="5"/>
      <c r="H80" s="22" t="str">
        <f t="shared" si="10"/>
        <v/>
      </c>
      <c r="I80" s="5"/>
      <c r="J80" s="33"/>
      <c r="K80" s="24" t="str">
        <f t="shared" si="8"/>
        <v/>
      </c>
      <c r="L80" s="5"/>
      <c r="M80" s="5"/>
      <c r="N80" s="5"/>
      <c r="O80" s="5"/>
      <c r="P80" s="5"/>
      <c r="Q80" s="23"/>
      <c r="R80" s="24" t="str">
        <f t="shared" si="11"/>
        <v/>
      </c>
      <c r="S80" s="24" t="str">
        <f t="shared" si="12"/>
        <v/>
      </c>
      <c r="T80" t="str">
        <f t="shared" si="13"/>
        <v/>
      </c>
    </row>
    <row r="81" spans="1:20">
      <c r="A81" s="22" t="s">
        <v>233</v>
      </c>
      <c r="B81" s="5"/>
      <c r="C81" s="5"/>
      <c r="D81" s="5"/>
      <c r="E81" s="5"/>
      <c r="F81" s="5"/>
      <c r="G81" s="5"/>
      <c r="H81" s="22" t="str">
        <f t="shared" si="10"/>
        <v/>
      </c>
      <c r="I81" s="5"/>
      <c r="J81" s="33"/>
      <c r="K81" s="24" t="str">
        <f t="shared" si="8"/>
        <v/>
      </c>
      <c r="L81" s="5"/>
      <c r="M81" s="5"/>
      <c r="N81" s="5"/>
      <c r="O81" s="5"/>
      <c r="P81" s="5"/>
      <c r="Q81" s="23"/>
      <c r="R81" s="24" t="str">
        <f t="shared" si="11"/>
        <v/>
      </c>
      <c r="S81" s="24" t="str">
        <f t="shared" si="12"/>
        <v/>
      </c>
      <c r="T81" t="str">
        <f t="shared" si="13"/>
        <v/>
      </c>
    </row>
    <row r="82" spans="1:20">
      <c r="A82" s="22" t="s">
        <v>234</v>
      </c>
      <c r="B82" s="5"/>
      <c r="C82" s="5"/>
      <c r="D82" s="5"/>
      <c r="E82" s="5"/>
      <c r="F82" s="5"/>
      <c r="G82" s="5"/>
      <c r="H82" s="22" t="str">
        <f t="shared" si="10"/>
        <v/>
      </c>
      <c r="I82" s="5"/>
      <c r="J82" s="33"/>
      <c r="K82" s="24" t="str">
        <f t="shared" si="8"/>
        <v/>
      </c>
      <c r="L82" s="5"/>
      <c r="M82" s="5"/>
      <c r="N82" s="5"/>
      <c r="O82" s="5"/>
      <c r="P82" s="5"/>
      <c r="Q82" s="23"/>
      <c r="R82" s="24" t="str">
        <f t="shared" si="11"/>
        <v/>
      </c>
      <c r="S82" s="24" t="str">
        <f t="shared" si="12"/>
        <v/>
      </c>
      <c r="T82" t="str">
        <f t="shared" si="13"/>
        <v/>
      </c>
    </row>
    <row r="83" spans="1:20">
      <c r="A83" s="22" t="s">
        <v>235</v>
      </c>
      <c r="B83" s="5"/>
      <c r="C83" s="5"/>
      <c r="D83" s="5"/>
      <c r="E83" s="5"/>
      <c r="F83" s="5"/>
      <c r="G83" s="5"/>
      <c r="H83" s="22" t="str">
        <f t="shared" si="10"/>
        <v/>
      </c>
      <c r="I83" s="5"/>
      <c r="J83" s="33"/>
      <c r="K83" s="24" t="str">
        <f t="shared" si="8"/>
        <v/>
      </c>
      <c r="L83" s="5"/>
      <c r="M83" s="5"/>
      <c r="N83" s="5"/>
      <c r="O83" s="5"/>
      <c r="P83" s="5"/>
      <c r="Q83" s="23"/>
      <c r="R83" s="24" t="str">
        <f t="shared" si="11"/>
        <v/>
      </c>
      <c r="S83" s="24" t="str">
        <f t="shared" si="12"/>
        <v/>
      </c>
      <c r="T83" t="str">
        <f t="shared" si="13"/>
        <v/>
      </c>
    </row>
    <row r="84" spans="1:20">
      <c r="A84" s="22" t="s">
        <v>236</v>
      </c>
      <c r="B84" s="5"/>
      <c r="C84" s="5"/>
      <c r="D84" s="5"/>
      <c r="E84" s="5"/>
      <c r="F84" s="5"/>
      <c r="G84" s="5"/>
      <c r="H84" s="22" t="str">
        <f t="shared" si="10"/>
        <v/>
      </c>
      <c r="I84" s="5"/>
      <c r="J84" s="33"/>
      <c r="K84" s="24" t="str">
        <f t="shared" si="8"/>
        <v/>
      </c>
      <c r="L84" s="5"/>
      <c r="M84" s="5"/>
      <c r="N84" s="5"/>
      <c r="O84" s="5"/>
      <c r="P84" s="5"/>
      <c r="Q84" s="23"/>
      <c r="R84" s="24" t="str">
        <f t="shared" si="11"/>
        <v/>
      </c>
      <c r="S84" s="24" t="str">
        <f t="shared" si="12"/>
        <v/>
      </c>
      <c r="T84" t="str">
        <f t="shared" si="13"/>
        <v/>
      </c>
    </row>
    <row r="85" spans="1:20">
      <c r="A85" s="22" t="s">
        <v>237</v>
      </c>
      <c r="B85" s="5"/>
      <c r="C85" s="5"/>
      <c r="D85" s="5"/>
      <c r="E85" s="5"/>
      <c r="F85" s="5"/>
      <c r="G85" s="5"/>
      <c r="H85" s="22" t="str">
        <f t="shared" si="10"/>
        <v/>
      </c>
      <c r="I85" s="5"/>
      <c r="J85" s="33"/>
      <c r="K85" s="24" t="str">
        <f t="shared" si="8"/>
        <v/>
      </c>
      <c r="L85" s="5"/>
      <c r="M85" s="5"/>
      <c r="N85" s="5"/>
      <c r="O85" s="5"/>
      <c r="P85" s="5"/>
      <c r="Q85" s="23"/>
      <c r="R85" s="24" t="str">
        <f t="shared" si="11"/>
        <v/>
      </c>
      <c r="S85" s="24" t="str">
        <f t="shared" si="12"/>
        <v/>
      </c>
      <c r="T85" t="str">
        <f t="shared" si="13"/>
        <v/>
      </c>
    </row>
    <row r="86" spans="1:20">
      <c r="A86" s="22" t="s">
        <v>238</v>
      </c>
      <c r="B86" s="5"/>
      <c r="C86" s="5"/>
      <c r="D86" s="5"/>
      <c r="E86" s="5"/>
      <c r="F86" s="5"/>
      <c r="G86" s="5"/>
      <c r="H86" s="22" t="str">
        <f t="shared" si="10"/>
        <v/>
      </c>
      <c r="I86" s="5"/>
      <c r="J86" s="33"/>
      <c r="K86" s="24" t="str">
        <f t="shared" si="8"/>
        <v/>
      </c>
      <c r="L86" s="5"/>
      <c r="M86" s="5"/>
      <c r="N86" s="5"/>
      <c r="O86" s="5"/>
      <c r="P86" s="5"/>
      <c r="Q86" s="23"/>
      <c r="R86" s="24" t="str">
        <f t="shared" si="11"/>
        <v/>
      </c>
      <c r="S86" s="24" t="str">
        <f t="shared" si="12"/>
        <v/>
      </c>
      <c r="T86" t="str">
        <f t="shared" si="13"/>
        <v/>
      </c>
    </row>
    <row r="87" spans="1:20">
      <c r="A87" s="22" t="s">
        <v>239</v>
      </c>
      <c r="B87" s="5"/>
      <c r="C87" s="5"/>
      <c r="D87" s="5"/>
      <c r="E87" s="5"/>
      <c r="F87" s="5"/>
      <c r="G87" s="5"/>
      <c r="H87" s="22" t="str">
        <f t="shared" si="10"/>
        <v/>
      </c>
      <c r="I87" s="5"/>
      <c r="J87" s="33"/>
      <c r="K87" s="24" t="str">
        <f t="shared" si="8"/>
        <v/>
      </c>
      <c r="L87" s="5"/>
      <c r="M87" s="5"/>
      <c r="N87" s="5"/>
      <c r="O87" s="5"/>
      <c r="P87" s="5"/>
      <c r="Q87" s="23"/>
      <c r="R87" s="24" t="str">
        <f t="shared" si="11"/>
        <v/>
      </c>
      <c r="S87" s="24" t="str">
        <f t="shared" si="12"/>
        <v/>
      </c>
      <c r="T87" t="str">
        <f t="shared" si="13"/>
        <v/>
      </c>
    </row>
    <row r="88" spans="1:20">
      <c r="A88" s="22" t="s">
        <v>240</v>
      </c>
      <c r="B88" s="5"/>
      <c r="C88" s="5"/>
      <c r="D88" s="5"/>
      <c r="E88" s="5"/>
      <c r="F88" s="5"/>
      <c r="G88" s="5"/>
      <c r="H88" s="22" t="str">
        <f t="shared" si="10"/>
        <v/>
      </c>
      <c r="I88" s="5"/>
      <c r="J88" s="33"/>
      <c r="K88" s="24" t="str">
        <f t="shared" si="8"/>
        <v/>
      </c>
      <c r="L88" s="5"/>
      <c r="M88" s="5"/>
      <c r="N88" s="5"/>
      <c r="O88" s="5"/>
      <c r="P88" s="5"/>
      <c r="Q88" s="23"/>
      <c r="R88" s="24" t="str">
        <f t="shared" si="11"/>
        <v/>
      </c>
      <c r="S88" s="24" t="str">
        <f t="shared" si="12"/>
        <v/>
      </c>
      <c r="T88" t="str">
        <f t="shared" si="13"/>
        <v/>
      </c>
    </row>
    <row r="89" spans="1:20">
      <c r="A89" s="22" t="s">
        <v>241</v>
      </c>
      <c r="B89" s="5"/>
      <c r="C89" s="5"/>
      <c r="D89" s="5"/>
      <c r="E89" s="5"/>
      <c r="F89" s="5"/>
      <c r="G89" s="5"/>
      <c r="H89" s="22" t="str">
        <f t="shared" si="10"/>
        <v/>
      </c>
      <c r="I89" s="5"/>
      <c r="J89" s="33"/>
      <c r="K89" s="24" t="str">
        <f t="shared" si="8"/>
        <v/>
      </c>
      <c r="L89" s="5"/>
      <c r="M89" s="5"/>
      <c r="N89" s="5"/>
      <c r="O89" s="5"/>
      <c r="P89" s="5"/>
      <c r="Q89" s="23"/>
      <c r="R89" s="24" t="str">
        <f t="shared" si="11"/>
        <v/>
      </c>
      <c r="S89" s="24" t="str">
        <f t="shared" si="12"/>
        <v/>
      </c>
      <c r="T89" t="str">
        <f t="shared" si="13"/>
        <v/>
      </c>
    </row>
    <row r="90" spans="1:20">
      <c r="A90" s="22" t="s">
        <v>242</v>
      </c>
      <c r="B90" s="5"/>
      <c r="C90" s="5"/>
      <c r="D90" s="5"/>
      <c r="E90" s="5"/>
      <c r="F90" s="5"/>
      <c r="G90" s="5"/>
      <c r="H90" s="22" t="str">
        <f t="shared" si="10"/>
        <v/>
      </c>
      <c r="I90" s="5"/>
      <c r="J90" s="33"/>
      <c r="K90" s="24" t="str">
        <f t="shared" si="8"/>
        <v/>
      </c>
      <c r="L90" s="5"/>
      <c r="M90" s="5"/>
      <c r="N90" s="5"/>
      <c r="O90" s="5"/>
      <c r="P90" s="5"/>
      <c r="Q90" s="23"/>
      <c r="R90" s="24" t="str">
        <f t="shared" si="11"/>
        <v/>
      </c>
      <c r="S90" s="24" t="str">
        <f t="shared" si="12"/>
        <v/>
      </c>
      <c r="T90" t="str">
        <f t="shared" si="13"/>
        <v/>
      </c>
    </row>
    <row r="91" spans="1:20">
      <c r="A91" s="22" t="s">
        <v>243</v>
      </c>
      <c r="B91" s="5"/>
      <c r="C91" s="5"/>
      <c r="D91" s="5"/>
      <c r="E91" s="5"/>
      <c r="F91" s="5"/>
      <c r="G91" s="5"/>
      <c r="H91" s="22" t="str">
        <f t="shared" si="10"/>
        <v/>
      </c>
      <c r="I91" s="5"/>
      <c r="J91" s="33"/>
      <c r="K91" s="24" t="str">
        <f t="shared" si="8"/>
        <v/>
      </c>
      <c r="L91" s="5"/>
      <c r="M91" s="5"/>
      <c r="N91" s="5"/>
      <c r="O91" s="5"/>
      <c r="P91" s="5"/>
      <c r="Q91" s="23"/>
      <c r="R91" s="24" t="str">
        <f t="shared" si="11"/>
        <v/>
      </c>
      <c r="S91" s="24" t="str">
        <f t="shared" si="12"/>
        <v/>
      </c>
      <c r="T91" t="str">
        <f t="shared" si="13"/>
        <v/>
      </c>
    </row>
    <row r="92" spans="1:20">
      <c r="A92" s="22" t="s">
        <v>244</v>
      </c>
      <c r="B92" s="5"/>
      <c r="C92" s="5"/>
      <c r="D92" s="5"/>
      <c r="E92" s="5"/>
      <c r="F92" s="5"/>
      <c r="G92" s="5"/>
      <c r="H92" s="22" t="str">
        <f t="shared" si="10"/>
        <v/>
      </c>
      <c r="I92" s="5"/>
      <c r="J92" s="33"/>
      <c r="K92" s="24" t="str">
        <f t="shared" si="8"/>
        <v/>
      </c>
      <c r="L92" s="5"/>
      <c r="M92" s="5"/>
      <c r="N92" s="5"/>
      <c r="O92" s="5"/>
      <c r="P92" s="5"/>
      <c r="Q92" s="23"/>
      <c r="R92" s="24" t="str">
        <f t="shared" si="11"/>
        <v/>
      </c>
      <c r="S92" s="24" t="str">
        <f t="shared" si="12"/>
        <v/>
      </c>
      <c r="T92" t="str">
        <f t="shared" si="13"/>
        <v/>
      </c>
    </row>
    <row r="93" spans="1:20">
      <c r="A93" s="22" t="s">
        <v>245</v>
      </c>
      <c r="B93" s="5"/>
      <c r="C93" s="5"/>
      <c r="D93" s="5"/>
      <c r="E93" s="5"/>
      <c r="F93" s="5"/>
      <c r="G93" s="5"/>
      <c r="H93" s="22" t="str">
        <f t="shared" si="10"/>
        <v/>
      </c>
      <c r="I93" s="5"/>
      <c r="J93" s="33"/>
      <c r="K93" s="24" t="str">
        <f t="shared" si="8"/>
        <v/>
      </c>
      <c r="L93" s="5"/>
      <c r="M93" s="5"/>
      <c r="N93" s="5"/>
      <c r="O93" s="5"/>
      <c r="P93" s="5"/>
      <c r="Q93" s="23"/>
      <c r="R93" s="24" t="str">
        <f t="shared" si="11"/>
        <v/>
      </c>
      <c r="S93" s="24" t="str">
        <f t="shared" si="12"/>
        <v/>
      </c>
      <c r="T93" t="str">
        <f t="shared" si="13"/>
        <v/>
      </c>
    </row>
    <row r="94" spans="1:20">
      <c r="A94" s="22" t="s">
        <v>246</v>
      </c>
      <c r="B94" s="5"/>
      <c r="C94" s="5"/>
      <c r="D94" s="5"/>
      <c r="E94" s="5"/>
      <c r="F94" s="5"/>
      <c r="G94" s="5"/>
      <c r="H94" s="22" t="str">
        <f t="shared" si="10"/>
        <v/>
      </c>
      <c r="I94" s="5"/>
      <c r="J94" s="33"/>
      <c r="K94" s="24" t="str">
        <f t="shared" si="8"/>
        <v/>
      </c>
      <c r="L94" s="5"/>
      <c r="M94" s="5"/>
      <c r="N94" s="5"/>
      <c r="O94" s="5"/>
      <c r="P94" s="5"/>
      <c r="Q94" s="23"/>
      <c r="R94" s="24" t="str">
        <f t="shared" si="11"/>
        <v/>
      </c>
      <c r="S94" s="24" t="str">
        <f t="shared" si="12"/>
        <v/>
      </c>
      <c r="T94" t="str">
        <f t="shared" si="13"/>
        <v/>
      </c>
    </row>
    <row r="95" spans="1:20">
      <c r="A95" s="22" t="s">
        <v>247</v>
      </c>
      <c r="B95" s="5"/>
      <c r="C95" s="5"/>
      <c r="D95" s="5"/>
      <c r="E95" s="5"/>
      <c r="F95" s="5"/>
      <c r="G95" s="5"/>
      <c r="H95" s="22" t="str">
        <f t="shared" si="10"/>
        <v/>
      </c>
      <c r="I95" s="5"/>
      <c r="J95" s="33"/>
      <c r="K95" s="24" t="str">
        <f t="shared" si="8"/>
        <v/>
      </c>
      <c r="L95" s="5"/>
      <c r="M95" s="5"/>
      <c r="N95" s="5"/>
      <c r="O95" s="5"/>
      <c r="P95" s="5"/>
      <c r="Q95" s="23"/>
      <c r="R95" s="24" t="str">
        <f t="shared" si="11"/>
        <v/>
      </c>
      <c r="S95" s="24" t="str">
        <f t="shared" si="12"/>
        <v/>
      </c>
      <c r="T95" t="str">
        <f t="shared" si="13"/>
        <v/>
      </c>
    </row>
    <row r="96" spans="1:20">
      <c r="A96" s="22" t="s">
        <v>248</v>
      </c>
      <c r="B96" s="5"/>
      <c r="C96" s="5"/>
      <c r="D96" s="5"/>
      <c r="E96" s="5"/>
      <c r="F96" s="5"/>
      <c r="G96" s="5"/>
      <c r="H96" s="22" t="str">
        <f t="shared" si="10"/>
        <v/>
      </c>
      <c r="I96" s="5"/>
      <c r="J96" s="33"/>
      <c r="K96" s="24" t="str">
        <f t="shared" si="8"/>
        <v/>
      </c>
      <c r="L96" s="5"/>
      <c r="M96" s="5"/>
      <c r="N96" s="5"/>
      <c r="O96" s="5"/>
      <c r="P96" s="5"/>
      <c r="Q96" s="23"/>
      <c r="R96" s="24" t="str">
        <f t="shared" si="11"/>
        <v/>
      </c>
      <c r="S96" s="24" t="str">
        <f t="shared" si="12"/>
        <v/>
      </c>
      <c r="T96" t="str">
        <f t="shared" si="13"/>
        <v/>
      </c>
    </row>
    <row r="97" spans="1:20">
      <c r="A97" s="22" t="s">
        <v>249</v>
      </c>
      <c r="B97" s="5"/>
      <c r="C97" s="5"/>
      <c r="D97" s="5"/>
      <c r="E97" s="5"/>
      <c r="F97" s="5"/>
      <c r="G97" s="5"/>
      <c r="H97" s="22" t="str">
        <f t="shared" si="10"/>
        <v/>
      </c>
      <c r="I97" s="5"/>
      <c r="J97" s="33"/>
      <c r="K97" s="24" t="str">
        <f t="shared" si="8"/>
        <v/>
      </c>
      <c r="L97" s="5"/>
      <c r="M97" s="5"/>
      <c r="N97" s="5"/>
      <c r="O97" s="5"/>
      <c r="P97" s="5"/>
      <c r="Q97" s="23"/>
      <c r="R97" s="24" t="str">
        <f t="shared" si="11"/>
        <v/>
      </c>
      <c r="S97" s="24" t="str">
        <f t="shared" si="12"/>
        <v/>
      </c>
      <c r="T97" t="str">
        <f t="shared" si="13"/>
        <v/>
      </c>
    </row>
    <row r="98" spans="1:20">
      <c r="A98" s="22" t="s">
        <v>250</v>
      </c>
      <c r="B98" s="5"/>
      <c r="C98" s="5"/>
      <c r="D98" s="5"/>
      <c r="E98" s="5"/>
      <c r="F98" s="5"/>
      <c r="G98" s="5"/>
      <c r="H98" s="22" t="str">
        <f t="shared" si="10"/>
        <v/>
      </c>
      <c r="I98" s="5"/>
      <c r="J98" s="33"/>
      <c r="K98" s="24" t="str">
        <f t="shared" si="8"/>
        <v/>
      </c>
      <c r="L98" s="5"/>
      <c r="M98" s="5"/>
      <c r="N98" s="5"/>
      <c r="O98" s="5"/>
      <c r="P98" s="5"/>
      <c r="Q98" s="23"/>
      <c r="R98" s="24" t="str">
        <f t="shared" si="11"/>
        <v/>
      </c>
      <c r="S98" s="24" t="str">
        <f t="shared" si="12"/>
        <v/>
      </c>
      <c r="T98" t="str">
        <f t="shared" si="13"/>
        <v/>
      </c>
    </row>
    <row r="99" spans="1:20">
      <c r="A99" s="22" t="s">
        <v>251</v>
      </c>
      <c r="B99" s="5"/>
      <c r="C99" s="5"/>
      <c r="D99" s="5"/>
      <c r="E99" s="5"/>
      <c r="F99" s="5"/>
      <c r="G99" s="5"/>
      <c r="H99" s="22" t="str">
        <f t="shared" si="10"/>
        <v/>
      </c>
      <c r="I99" s="5"/>
      <c r="J99" s="33"/>
      <c r="K99" s="24" t="str">
        <f t="shared" si="8"/>
        <v/>
      </c>
      <c r="L99" s="5"/>
      <c r="M99" s="5"/>
      <c r="N99" s="5"/>
      <c r="O99" s="5"/>
      <c r="P99" s="5"/>
      <c r="Q99" s="23"/>
      <c r="R99" s="24" t="str">
        <f t="shared" si="11"/>
        <v/>
      </c>
      <c r="S99" s="24" t="str">
        <f t="shared" si="12"/>
        <v/>
      </c>
      <c r="T99" t="str">
        <f t="shared" si="13"/>
        <v/>
      </c>
    </row>
    <row r="100" spans="1:20">
      <c r="A100" s="22" t="s">
        <v>252</v>
      </c>
      <c r="B100" s="5"/>
      <c r="C100" s="5"/>
      <c r="D100" s="5"/>
      <c r="E100" s="5"/>
      <c r="F100" s="5"/>
      <c r="G100" s="5"/>
      <c r="H100" s="22" t="str">
        <f t="shared" si="10"/>
        <v/>
      </c>
      <c r="I100" s="5"/>
      <c r="J100" s="33"/>
      <c r="K100" s="24" t="str">
        <f t="shared" si="8"/>
        <v/>
      </c>
      <c r="L100" s="5"/>
      <c r="M100" s="5"/>
      <c r="N100" s="5"/>
      <c r="O100" s="5"/>
      <c r="P100" s="5"/>
      <c r="Q100" s="23"/>
      <c r="R100" s="24" t="str">
        <f t="shared" si="11"/>
        <v/>
      </c>
      <c r="S100" s="24" t="str">
        <f t="shared" si="12"/>
        <v/>
      </c>
      <c r="T100" t="str">
        <f t="shared" si="13"/>
        <v/>
      </c>
    </row>
    <row r="101" spans="1:20">
      <c r="A101" s="22" t="s">
        <v>253</v>
      </c>
      <c r="B101" s="5"/>
      <c r="C101" s="5"/>
      <c r="D101" s="5"/>
      <c r="E101" s="5"/>
      <c r="F101" s="5"/>
      <c r="G101" s="5"/>
      <c r="H101" s="22" t="str">
        <f t="shared" si="10"/>
        <v/>
      </c>
      <c r="I101" s="5"/>
      <c r="J101" s="33"/>
      <c r="K101" s="24" t="str">
        <f t="shared" si="8"/>
        <v/>
      </c>
      <c r="L101" s="5"/>
      <c r="M101" s="5"/>
      <c r="N101" s="5"/>
      <c r="O101" s="5"/>
      <c r="P101" s="5"/>
      <c r="Q101" s="23"/>
      <c r="R101" s="24" t="str">
        <f t="shared" si="11"/>
        <v/>
      </c>
      <c r="S101" s="24" t="str">
        <f t="shared" si="12"/>
        <v/>
      </c>
      <c r="T101" t="str">
        <f t="shared" si="13"/>
        <v/>
      </c>
    </row>
    <row r="102" spans="1:20">
      <c r="A102" s="22" t="s">
        <v>254</v>
      </c>
      <c r="B102" s="5"/>
      <c r="C102" s="5"/>
      <c r="D102" s="5"/>
      <c r="E102" s="5"/>
      <c r="F102" s="5"/>
      <c r="G102" s="5"/>
      <c r="H102" s="22" t="str">
        <f t="shared" si="10"/>
        <v/>
      </c>
      <c r="I102" s="5"/>
      <c r="J102" s="33"/>
      <c r="K102" s="24" t="str">
        <f t="shared" si="8"/>
        <v/>
      </c>
      <c r="L102" s="5"/>
      <c r="M102" s="5"/>
      <c r="N102" s="5"/>
      <c r="O102" s="5"/>
      <c r="P102" s="5"/>
      <c r="Q102" s="23"/>
      <c r="R102" s="24" t="str">
        <f t="shared" si="11"/>
        <v/>
      </c>
      <c r="S102" s="24" t="str">
        <f t="shared" si="12"/>
        <v/>
      </c>
      <c r="T102" t="str">
        <f t="shared" si="13"/>
        <v/>
      </c>
    </row>
    <row r="103" spans="1:20">
      <c r="A103" s="22" t="s">
        <v>255</v>
      </c>
      <c r="B103" s="5"/>
      <c r="C103" s="5"/>
      <c r="D103" s="5"/>
      <c r="E103" s="5"/>
      <c r="F103" s="5"/>
      <c r="G103" s="5"/>
      <c r="H103" s="22" t="str">
        <f t="shared" si="10"/>
        <v/>
      </c>
      <c r="I103" s="5"/>
      <c r="J103" s="33"/>
      <c r="K103" s="24" t="str">
        <f t="shared" si="8"/>
        <v/>
      </c>
      <c r="L103" s="5"/>
      <c r="M103" s="5"/>
      <c r="N103" s="5"/>
      <c r="O103" s="5"/>
      <c r="P103" s="5"/>
      <c r="Q103" s="23"/>
      <c r="R103" s="24" t="str">
        <f t="shared" si="11"/>
        <v/>
      </c>
      <c r="S103" s="24" t="str">
        <f t="shared" si="12"/>
        <v/>
      </c>
      <c r="T103" t="str">
        <f t="shared" si="13"/>
        <v/>
      </c>
    </row>
    <row r="104" spans="1:20">
      <c r="A104" s="22" t="s">
        <v>256</v>
      </c>
      <c r="B104" s="5"/>
      <c r="C104" s="5"/>
      <c r="D104" s="5"/>
      <c r="E104" s="5"/>
      <c r="F104" s="5"/>
      <c r="G104" s="5"/>
      <c r="H104" s="22" t="str">
        <f t="shared" si="10"/>
        <v/>
      </c>
      <c r="I104" s="5"/>
      <c r="J104" s="33"/>
      <c r="K104" s="24" t="str">
        <f t="shared" si="8"/>
        <v/>
      </c>
      <c r="L104" s="5"/>
      <c r="M104" s="5"/>
      <c r="N104" s="5"/>
      <c r="O104" s="5"/>
      <c r="P104" s="5"/>
      <c r="Q104" s="23"/>
      <c r="R104" s="24" t="str">
        <f t="shared" si="11"/>
        <v/>
      </c>
      <c r="S104" s="24" t="str">
        <f t="shared" si="12"/>
        <v/>
      </c>
      <c r="T104" t="str">
        <f t="shared" si="13"/>
        <v/>
      </c>
    </row>
    <row r="105" spans="1:20">
      <c r="A105" s="22" t="s">
        <v>257</v>
      </c>
      <c r="B105" s="5"/>
      <c r="C105" s="5"/>
      <c r="D105" s="5"/>
      <c r="E105" s="5"/>
      <c r="F105" s="5"/>
      <c r="G105" s="5"/>
      <c r="H105" s="22" t="str">
        <f t="shared" si="10"/>
        <v/>
      </c>
      <c r="I105" s="5"/>
      <c r="J105" s="33"/>
      <c r="K105" s="24" t="str">
        <f t="shared" si="8"/>
        <v/>
      </c>
      <c r="L105" s="5"/>
      <c r="M105" s="5"/>
      <c r="N105" s="5"/>
      <c r="O105" s="5"/>
      <c r="P105" s="5"/>
      <c r="Q105" s="23"/>
      <c r="R105" s="24" t="str">
        <f t="shared" si="11"/>
        <v/>
      </c>
      <c r="S105" s="24" t="str">
        <f t="shared" si="12"/>
        <v/>
      </c>
      <c r="T105" t="str">
        <f t="shared" si="13"/>
        <v/>
      </c>
    </row>
    <row r="106" spans="1:20">
      <c r="A106" s="22" t="s">
        <v>258</v>
      </c>
      <c r="B106" s="5"/>
      <c r="C106" s="5"/>
      <c r="D106" s="5"/>
      <c r="E106" s="5"/>
      <c r="F106" s="5"/>
      <c r="G106" s="5"/>
      <c r="H106" s="22" t="str">
        <f t="shared" si="10"/>
        <v/>
      </c>
      <c r="I106" s="5"/>
      <c r="J106" s="33"/>
      <c r="K106" s="24" t="str">
        <f t="shared" si="8"/>
        <v/>
      </c>
      <c r="L106" s="5"/>
      <c r="M106" s="5"/>
      <c r="N106" s="5"/>
      <c r="O106" s="5"/>
      <c r="P106" s="5"/>
      <c r="Q106" s="23"/>
      <c r="R106" s="24" t="str">
        <f t="shared" si="11"/>
        <v/>
      </c>
      <c r="S106" s="24" t="str">
        <f t="shared" si="12"/>
        <v/>
      </c>
      <c r="T106" t="str">
        <f t="shared" si="13"/>
        <v/>
      </c>
    </row>
    <row r="107" spans="1:20">
      <c r="A107" s="22" t="s">
        <v>259</v>
      </c>
      <c r="B107" s="5"/>
      <c r="C107" s="5"/>
      <c r="D107" s="5"/>
      <c r="E107" s="5"/>
      <c r="F107" s="5"/>
      <c r="G107" s="5"/>
      <c r="H107" s="22" t="str">
        <f t="shared" si="10"/>
        <v/>
      </c>
      <c r="I107" s="5"/>
      <c r="J107" s="33"/>
      <c r="K107" s="24" t="str">
        <f t="shared" si="8"/>
        <v/>
      </c>
      <c r="L107" s="5"/>
      <c r="M107" s="5"/>
      <c r="N107" s="5"/>
      <c r="O107" s="5"/>
      <c r="P107" s="5"/>
      <c r="Q107" s="23"/>
      <c r="R107" s="24" t="str">
        <f t="shared" si="11"/>
        <v/>
      </c>
      <c r="S107" s="24" t="str">
        <f t="shared" si="12"/>
        <v/>
      </c>
      <c r="T107" t="str">
        <f t="shared" si="13"/>
        <v/>
      </c>
    </row>
    <row r="108" spans="1:20">
      <c r="A108" s="22" t="s">
        <v>260</v>
      </c>
      <c r="B108" s="5"/>
      <c r="C108" s="5"/>
      <c r="D108" s="5"/>
      <c r="E108" s="5"/>
      <c r="F108" s="5"/>
      <c r="G108" s="5"/>
      <c r="H108" s="22" t="str">
        <f t="shared" si="10"/>
        <v/>
      </c>
      <c r="I108" s="5"/>
      <c r="J108" s="33"/>
      <c r="K108" s="24" t="str">
        <f t="shared" si="8"/>
        <v/>
      </c>
      <c r="L108" s="5"/>
      <c r="M108" s="5"/>
      <c r="N108" s="5"/>
      <c r="O108" s="5"/>
      <c r="P108" s="5"/>
      <c r="Q108" s="23"/>
      <c r="R108" s="24" t="str">
        <f t="shared" si="11"/>
        <v/>
      </c>
      <c r="S108" s="24" t="str">
        <f t="shared" si="12"/>
        <v/>
      </c>
      <c r="T108" t="str">
        <f t="shared" si="13"/>
        <v/>
      </c>
    </row>
    <row r="109" spans="1:20">
      <c r="A109" s="22" t="s">
        <v>261</v>
      </c>
      <c r="B109" s="5"/>
      <c r="C109" s="5"/>
      <c r="D109" s="5"/>
      <c r="E109" s="5"/>
      <c r="F109" s="5"/>
      <c r="G109" s="5"/>
      <c r="H109" s="22" t="str">
        <f t="shared" si="10"/>
        <v/>
      </c>
      <c r="I109" s="5"/>
      <c r="J109" s="33"/>
      <c r="K109" s="24" t="str">
        <f t="shared" si="8"/>
        <v/>
      </c>
      <c r="L109" s="5"/>
      <c r="M109" s="5"/>
      <c r="N109" s="5"/>
      <c r="O109" s="5"/>
      <c r="P109" s="5"/>
      <c r="Q109" s="23"/>
      <c r="R109" s="24" t="str">
        <f t="shared" si="11"/>
        <v/>
      </c>
      <c r="S109" s="24" t="str">
        <f t="shared" si="12"/>
        <v/>
      </c>
      <c r="T109" t="str">
        <f t="shared" si="13"/>
        <v/>
      </c>
    </row>
    <row r="110" spans="1:20">
      <c r="A110" s="22" t="s">
        <v>262</v>
      </c>
      <c r="B110" s="5"/>
      <c r="C110" s="5"/>
      <c r="D110" s="5"/>
      <c r="E110" s="5"/>
      <c r="F110" s="5"/>
      <c r="G110" s="5"/>
      <c r="H110" s="22" t="str">
        <f t="shared" si="10"/>
        <v/>
      </c>
      <c r="I110" s="5"/>
      <c r="J110" s="33"/>
      <c r="K110" s="24" t="str">
        <f t="shared" si="8"/>
        <v/>
      </c>
      <c r="L110" s="5"/>
      <c r="M110" s="5"/>
      <c r="N110" s="5"/>
      <c r="O110" s="5"/>
      <c r="P110" s="5"/>
      <c r="Q110" s="23"/>
      <c r="R110" s="24" t="str">
        <f t="shared" si="11"/>
        <v/>
      </c>
      <c r="S110" s="24" t="str">
        <f t="shared" si="12"/>
        <v/>
      </c>
      <c r="T110" t="str">
        <f t="shared" si="13"/>
        <v/>
      </c>
    </row>
    <row r="111" spans="1:20">
      <c r="A111" s="22" t="s">
        <v>263</v>
      </c>
      <c r="B111" s="5"/>
      <c r="C111" s="5"/>
      <c r="D111" s="5"/>
      <c r="E111" s="5"/>
      <c r="F111" s="5"/>
      <c r="G111" s="5"/>
      <c r="H111" s="22" t="str">
        <f t="shared" si="10"/>
        <v/>
      </c>
      <c r="I111" s="5"/>
      <c r="J111" s="33"/>
      <c r="K111" s="24" t="str">
        <f t="shared" si="8"/>
        <v/>
      </c>
      <c r="L111" s="5"/>
      <c r="M111" s="5"/>
      <c r="N111" s="5"/>
      <c r="O111" s="5"/>
      <c r="P111" s="5"/>
      <c r="Q111" s="23"/>
      <c r="R111" s="24" t="str">
        <f t="shared" si="11"/>
        <v/>
      </c>
      <c r="S111" s="24" t="str">
        <f t="shared" si="12"/>
        <v/>
      </c>
      <c r="T111" t="str">
        <f t="shared" si="13"/>
        <v/>
      </c>
    </row>
    <row r="112" spans="1:20">
      <c r="A112" s="22" t="s">
        <v>264</v>
      </c>
      <c r="B112" s="5"/>
      <c r="C112" s="5"/>
      <c r="D112" s="5"/>
      <c r="E112" s="5"/>
      <c r="F112" s="5"/>
      <c r="G112" s="5"/>
      <c r="H112" s="22" t="str">
        <f t="shared" si="10"/>
        <v/>
      </c>
      <c r="I112" s="5"/>
      <c r="J112" s="33"/>
      <c r="K112" s="24" t="str">
        <f t="shared" si="8"/>
        <v/>
      </c>
      <c r="L112" s="5"/>
      <c r="M112" s="5"/>
      <c r="N112" s="5"/>
      <c r="O112" s="5"/>
      <c r="P112" s="5"/>
      <c r="Q112" s="23"/>
      <c r="R112" s="24" t="str">
        <f t="shared" si="11"/>
        <v/>
      </c>
      <c r="S112" s="24" t="str">
        <f t="shared" si="12"/>
        <v/>
      </c>
      <c r="T112" t="str">
        <f t="shared" si="13"/>
        <v/>
      </c>
    </row>
    <row r="113" spans="1:20">
      <c r="A113" s="22" t="s">
        <v>265</v>
      </c>
      <c r="B113" s="5"/>
      <c r="C113" s="5"/>
      <c r="D113" s="5"/>
      <c r="E113" s="5"/>
      <c r="F113" s="5"/>
      <c r="G113" s="5"/>
      <c r="H113" s="22" t="str">
        <f t="shared" si="10"/>
        <v/>
      </c>
      <c r="I113" s="5"/>
      <c r="J113" s="33"/>
      <c r="K113" s="24" t="str">
        <f t="shared" si="8"/>
        <v/>
      </c>
      <c r="L113" s="5"/>
      <c r="M113" s="5"/>
      <c r="N113" s="5"/>
      <c r="O113" s="5"/>
      <c r="P113" s="5"/>
      <c r="Q113" s="23"/>
      <c r="R113" s="24" t="str">
        <f t="shared" si="11"/>
        <v/>
      </c>
      <c r="S113" s="24" t="str">
        <f t="shared" si="12"/>
        <v/>
      </c>
      <c r="T113" t="str">
        <f t="shared" si="13"/>
        <v/>
      </c>
    </row>
    <row r="114" spans="1:20">
      <c r="A114" s="22" t="s">
        <v>266</v>
      </c>
      <c r="B114" s="5"/>
      <c r="C114" s="5"/>
      <c r="D114" s="5"/>
      <c r="E114" s="5"/>
      <c r="F114" s="5"/>
      <c r="G114" s="5"/>
      <c r="H114" s="22" t="str">
        <f t="shared" si="10"/>
        <v/>
      </c>
      <c r="I114" s="5"/>
      <c r="J114" s="33"/>
      <c r="K114" s="24" t="str">
        <f t="shared" si="8"/>
        <v/>
      </c>
      <c r="L114" s="5"/>
      <c r="M114" s="5"/>
      <c r="N114" s="5"/>
      <c r="O114" s="5"/>
      <c r="P114" s="5"/>
      <c r="Q114" s="23"/>
      <c r="R114" s="24" t="str">
        <f t="shared" si="11"/>
        <v/>
      </c>
      <c r="S114" s="24" t="str">
        <f t="shared" si="12"/>
        <v/>
      </c>
      <c r="T114" t="str">
        <f t="shared" si="13"/>
        <v/>
      </c>
    </row>
    <row r="115" spans="1:20">
      <c r="A115" s="22" t="s">
        <v>267</v>
      </c>
      <c r="B115" s="5"/>
      <c r="C115" s="5"/>
      <c r="D115" s="5"/>
      <c r="E115" s="5"/>
      <c r="F115" s="5"/>
      <c r="G115" s="5"/>
      <c r="H115" s="22" t="str">
        <f t="shared" si="10"/>
        <v/>
      </c>
      <c r="I115" s="5"/>
      <c r="J115" s="33"/>
      <c r="K115" s="24" t="str">
        <f t="shared" si="8"/>
        <v/>
      </c>
      <c r="L115" s="5"/>
      <c r="M115" s="5"/>
      <c r="N115" s="5"/>
      <c r="O115" s="5"/>
      <c r="P115" s="5"/>
      <c r="Q115" s="23"/>
      <c r="R115" s="24" t="str">
        <f t="shared" si="11"/>
        <v/>
      </c>
      <c r="S115" s="24" t="str">
        <f t="shared" si="12"/>
        <v/>
      </c>
      <c r="T115" t="str">
        <f t="shared" si="13"/>
        <v/>
      </c>
    </row>
    <row r="116" spans="1:20">
      <c r="A116" s="22" t="s">
        <v>268</v>
      </c>
      <c r="B116" s="5"/>
      <c r="C116" s="5"/>
      <c r="D116" s="5"/>
      <c r="E116" s="5"/>
      <c r="F116" s="5"/>
      <c r="G116" s="5"/>
      <c r="H116" s="22" t="str">
        <f t="shared" si="10"/>
        <v/>
      </c>
      <c r="I116" s="5"/>
      <c r="J116" s="33"/>
      <c r="K116" s="24" t="str">
        <f t="shared" si="8"/>
        <v/>
      </c>
      <c r="L116" s="5"/>
      <c r="M116" s="5"/>
      <c r="N116" s="5"/>
      <c r="O116" s="5"/>
      <c r="P116" s="5"/>
      <c r="Q116" s="23"/>
      <c r="R116" s="24" t="str">
        <f t="shared" si="11"/>
        <v/>
      </c>
      <c r="S116" s="24" t="str">
        <f t="shared" si="12"/>
        <v/>
      </c>
      <c r="T116" t="str">
        <f t="shared" si="13"/>
        <v/>
      </c>
    </row>
    <row r="117" spans="1:20">
      <c r="A117" s="22" t="s">
        <v>269</v>
      </c>
      <c r="B117" s="5"/>
      <c r="C117" s="5"/>
      <c r="D117" s="5"/>
      <c r="E117" s="5"/>
      <c r="F117" s="5"/>
      <c r="G117" s="5"/>
      <c r="H117" s="22" t="str">
        <f t="shared" si="10"/>
        <v/>
      </c>
      <c r="I117" s="5"/>
      <c r="J117" s="33"/>
      <c r="K117" s="24" t="str">
        <f t="shared" si="8"/>
        <v/>
      </c>
      <c r="L117" s="5"/>
      <c r="M117" s="5"/>
      <c r="N117" s="5"/>
      <c r="O117" s="5"/>
      <c r="P117" s="5"/>
      <c r="Q117" s="23"/>
      <c r="R117" s="24" t="str">
        <f t="shared" si="11"/>
        <v/>
      </c>
      <c r="S117" s="24" t="str">
        <f t="shared" si="12"/>
        <v/>
      </c>
      <c r="T117" t="str">
        <f t="shared" si="13"/>
        <v/>
      </c>
    </row>
    <row r="118" spans="1:20">
      <c r="A118" s="22" t="s">
        <v>270</v>
      </c>
      <c r="B118" s="5"/>
      <c r="C118" s="5"/>
      <c r="D118" s="5"/>
      <c r="E118" s="5"/>
      <c r="F118" s="5"/>
      <c r="G118" s="5"/>
      <c r="H118" s="22" t="str">
        <f t="shared" si="10"/>
        <v/>
      </c>
      <c r="I118" s="5"/>
      <c r="J118" s="33"/>
      <c r="K118" s="24" t="str">
        <f t="shared" si="8"/>
        <v/>
      </c>
      <c r="L118" s="5"/>
      <c r="M118" s="5"/>
      <c r="N118" s="5"/>
      <c r="O118" s="5"/>
      <c r="P118" s="5"/>
      <c r="Q118" s="23"/>
      <c r="R118" s="24" t="str">
        <f t="shared" si="11"/>
        <v/>
      </c>
      <c r="S118" s="24" t="str">
        <f t="shared" si="12"/>
        <v/>
      </c>
      <c r="T118" t="str">
        <f t="shared" si="13"/>
        <v/>
      </c>
    </row>
    <row r="119" spans="1:20">
      <c r="A119" s="22" t="s">
        <v>271</v>
      </c>
      <c r="B119" s="5"/>
      <c r="C119" s="5"/>
      <c r="D119" s="5"/>
      <c r="E119" s="5"/>
      <c r="F119" s="5"/>
      <c r="G119" s="5"/>
      <c r="H119" s="22" t="str">
        <f t="shared" si="10"/>
        <v/>
      </c>
      <c r="I119" s="5"/>
      <c r="J119" s="33"/>
      <c r="K119" s="24" t="str">
        <f t="shared" si="8"/>
        <v/>
      </c>
      <c r="L119" s="5"/>
      <c r="M119" s="5"/>
      <c r="N119" s="5"/>
      <c r="O119" s="5"/>
      <c r="P119" s="5"/>
      <c r="Q119" s="23"/>
      <c r="R119" s="24" t="str">
        <f t="shared" si="11"/>
        <v/>
      </c>
      <c r="S119" s="24" t="str">
        <f t="shared" si="12"/>
        <v/>
      </c>
      <c r="T119" t="str">
        <f t="shared" si="13"/>
        <v/>
      </c>
    </row>
    <row r="120" spans="1:20">
      <c r="A120" s="22" t="s">
        <v>272</v>
      </c>
      <c r="B120" s="5"/>
      <c r="C120" s="5"/>
      <c r="D120" s="5"/>
      <c r="E120" s="5"/>
      <c r="F120" s="5"/>
      <c r="G120" s="5"/>
      <c r="H120" s="22" t="str">
        <f t="shared" si="10"/>
        <v/>
      </c>
      <c r="I120" s="5"/>
      <c r="J120" s="33"/>
      <c r="K120" s="24" t="str">
        <f t="shared" si="8"/>
        <v/>
      </c>
      <c r="L120" s="5"/>
      <c r="M120" s="5"/>
      <c r="N120" s="5"/>
      <c r="O120" s="5"/>
      <c r="P120" s="5"/>
      <c r="Q120" s="23"/>
      <c r="R120" s="24" t="str">
        <f t="shared" si="11"/>
        <v/>
      </c>
      <c r="S120" s="24" t="str">
        <f t="shared" si="12"/>
        <v/>
      </c>
      <c r="T120" t="str">
        <f t="shared" si="13"/>
        <v/>
      </c>
    </row>
    <row r="121" spans="1:20">
      <c r="A121" s="22" t="s">
        <v>273</v>
      </c>
      <c r="B121" s="5"/>
      <c r="C121" s="5"/>
      <c r="D121" s="5"/>
      <c r="E121" s="5"/>
      <c r="F121" s="5"/>
      <c r="G121" s="5"/>
      <c r="H121" s="22" t="str">
        <f t="shared" si="10"/>
        <v/>
      </c>
      <c r="I121" s="5"/>
      <c r="J121" s="33"/>
      <c r="K121" s="24" t="str">
        <f t="shared" si="8"/>
        <v/>
      </c>
      <c r="L121" s="5"/>
      <c r="M121" s="5"/>
      <c r="N121" s="5"/>
      <c r="O121" s="5"/>
      <c r="P121" s="5"/>
      <c r="Q121" s="23"/>
      <c r="R121" s="24" t="str">
        <f t="shared" si="11"/>
        <v/>
      </c>
      <c r="S121" s="24" t="str">
        <f t="shared" si="12"/>
        <v/>
      </c>
      <c r="T121" t="str">
        <f t="shared" si="13"/>
        <v/>
      </c>
    </row>
    <row r="122" spans="1:20">
      <c r="A122" s="22" t="s">
        <v>274</v>
      </c>
      <c r="B122" s="5"/>
      <c r="C122" s="5"/>
      <c r="D122" s="5"/>
      <c r="E122" s="5"/>
      <c r="F122" s="5"/>
      <c r="G122" s="5"/>
      <c r="H122" s="22" t="str">
        <f t="shared" si="10"/>
        <v/>
      </c>
      <c r="I122" s="5"/>
      <c r="J122" s="33"/>
      <c r="K122" s="24" t="str">
        <f t="shared" si="8"/>
        <v/>
      </c>
      <c r="L122" s="5"/>
      <c r="M122" s="5"/>
      <c r="N122" s="5"/>
      <c r="O122" s="5"/>
      <c r="P122" s="5"/>
      <c r="Q122" s="23"/>
      <c r="R122" s="24" t="str">
        <f t="shared" si="11"/>
        <v/>
      </c>
      <c r="S122" s="24" t="str">
        <f t="shared" si="12"/>
        <v/>
      </c>
      <c r="T122" t="str">
        <f t="shared" si="13"/>
        <v/>
      </c>
    </row>
    <row r="123" spans="1:20">
      <c r="A123" s="22" t="s">
        <v>275</v>
      </c>
      <c r="B123" s="5"/>
      <c r="C123" s="5"/>
      <c r="D123" s="5"/>
      <c r="E123" s="5"/>
      <c r="F123" s="5"/>
      <c r="G123" s="5"/>
      <c r="H123" s="22" t="str">
        <f t="shared" si="10"/>
        <v/>
      </c>
      <c r="I123" s="5"/>
      <c r="J123" s="33"/>
      <c r="K123" s="24" t="str">
        <f t="shared" si="8"/>
        <v/>
      </c>
      <c r="L123" s="5"/>
      <c r="M123" s="5"/>
      <c r="N123" s="5"/>
      <c r="O123" s="5"/>
      <c r="P123" s="5"/>
      <c r="Q123" s="23"/>
      <c r="R123" s="24" t="str">
        <f t="shared" si="11"/>
        <v/>
      </c>
      <c r="S123" s="24" t="str">
        <f t="shared" si="12"/>
        <v/>
      </c>
      <c r="T123" t="str">
        <f t="shared" si="13"/>
        <v/>
      </c>
    </row>
    <row r="124" spans="1:20">
      <c r="A124" s="22" t="s">
        <v>276</v>
      </c>
      <c r="B124" s="5"/>
      <c r="C124" s="5"/>
      <c r="D124" s="5"/>
      <c r="E124" s="5"/>
      <c r="F124" s="5"/>
      <c r="G124" s="5"/>
      <c r="H124" s="22" t="str">
        <f t="shared" si="10"/>
        <v/>
      </c>
      <c r="I124" s="5"/>
      <c r="J124" s="33"/>
      <c r="K124" s="24" t="str">
        <f t="shared" si="8"/>
        <v/>
      </c>
      <c r="L124" s="5"/>
      <c r="M124" s="5"/>
      <c r="N124" s="5"/>
      <c r="O124" s="5"/>
      <c r="P124" s="5"/>
      <c r="Q124" s="23"/>
      <c r="R124" s="24" t="str">
        <f t="shared" si="11"/>
        <v/>
      </c>
      <c r="S124" s="24" t="str">
        <f t="shared" si="12"/>
        <v/>
      </c>
      <c r="T124" t="str">
        <f t="shared" si="13"/>
        <v/>
      </c>
    </row>
    <row r="125" spans="1:20">
      <c r="A125" s="22" t="s">
        <v>277</v>
      </c>
      <c r="B125" s="5"/>
      <c r="C125" s="5"/>
      <c r="D125" s="5"/>
      <c r="E125" s="5"/>
      <c r="F125" s="5"/>
      <c r="G125" s="5"/>
      <c r="H125" s="22" t="str">
        <f t="shared" si="10"/>
        <v/>
      </c>
      <c r="I125" s="5"/>
      <c r="J125" s="33"/>
      <c r="K125" s="24" t="str">
        <f t="shared" si="8"/>
        <v/>
      </c>
      <c r="L125" s="5"/>
      <c r="M125" s="5"/>
      <c r="N125" s="5"/>
      <c r="O125" s="5"/>
      <c r="P125" s="5"/>
      <c r="Q125" s="23"/>
      <c r="R125" s="24" t="str">
        <f t="shared" si="11"/>
        <v/>
      </c>
      <c r="S125" s="24" t="str">
        <f t="shared" si="12"/>
        <v/>
      </c>
      <c r="T125" t="str">
        <f t="shared" si="13"/>
        <v/>
      </c>
    </row>
    <row r="126" spans="1:20">
      <c r="A126" s="22" t="s">
        <v>278</v>
      </c>
      <c r="B126" s="5"/>
      <c r="C126" s="5"/>
      <c r="D126" s="5"/>
      <c r="E126" s="5"/>
      <c r="F126" s="5"/>
      <c r="G126" s="5"/>
      <c r="H126" s="22" t="str">
        <f t="shared" si="10"/>
        <v/>
      </c>
      <c r="I126" s="5"/>
      <c r="J126" s="33"/>
      <c r="K126" s="24" t="str">
        <f t="shared" si="8"/>
        <v/>
      </c>
      <c r="L126" s="5"/>
      <c r="M126" s="5"/>
      <c r="N126" s="5"/>
      <c r="O126" s="5"/>
      <c r="P126" s="5"/>
      <c r="Q126" s="23"/>
      <c r="R126" s="24" t="str">
        <f t="shared" si="11"/>
        <v/>
      </c>
      <c r="S126" s="24" t="str">
        <f t="shared" si="12"/>
        <v/>
      </c>
      <c r="T126" t="str">
        <f t="shared" si="13"/>
        <v/>
      </c>
    </row>
    <row r="127" spans="1:20">
      <c r="A127" s="22" t="s">
        <v>279</v>
      </c>
      <c r="B127" s="5"/>
      <c r="C127" s="5"/>
      <c r="D127" s="5"/>
      <c r="E127" s="5"/>
      <c r="F127" s="5"/>
      <c r="G127" s="5"/>
      <c r="H127" s="22" t="str">
        <f t="shared" si="10"/>
        <v/>
      </c>
      <c r="I127" s="5"/>
      <c r="J127" s="33"/>
      <c r="K127" s="24" t="str">
        <f t="shared" si="8"/>
        <v/>
      </c>
      <c r="L127" s="5"/>
      <c r="M127" s="5"/>
      <c r="N127" s="5"/>
      <c r="O127" s="5"/>
      <c r="P127" s="5"/>
      <c r="Q127" s="23"/>
      <c r="R127" s="24" t="str">
        <f t="shared" si="11"/>
        <v/>
      </c>
      <c r="S127" s="24" t="str">
        <f t="shared" si="12"/>
        <v/>
      </c>
      <c r="T127" t="str">
        <f t="shared" si="13"/>
        <v/>
      </c>
    </row>
    <row r="128" spans="1:20">
      <c r="A128" s="22" t="s">
        <v>280</v>
      </c>
      <c r="B128" s="5"/>
      <c r="C128" s="5"/>
      <c r="D128" s="5"/>
      <c r="E128" s="5"/>
      <c r="F128" s="5"/>
      <c r="G128" s="5"/>
      <c r="H128" s="22" t="str">
        <f t="shared" si="10"/>
        <v/>
      </c>
      <c r="I128" s="5"/>
      <c r="J128" s="33"/>
      <c r="K128" s="24" t="str">
        <f t="shared" si="8"/>
        <v/>
      </c>
      <c r="L128" s="5"/>
      <c r="M128" s="5"/>
      <c r="N128" s="5"/>
      <c r="O128" s="5"/>
      <c r="P128" s="5"/>
      <c r="Q128" s="23"/>
      <c r="R128" s="24" t="str">
        <f t="shared" si="11"/>
        <v/>
      </c>
      <c r="S128" s="24" t="str">
        <f t="shared" si="12"/>
        <v/>
      </c>
      <c r="T128" t="str">
        <f t="shared" si="13"/>
        <v/>
      </c>
    </row>
    <row r="129" spans="1:20">
      <c r="A129" s="22" t="s">
        <v>281</v>
      </c>
      <c r="B129" s="5"/>
      <c r="C129" s="5"/>
      <c r="D129" s="5"/>
      <c r="E129" s="5"/>
      <c r="F129" s="5"/>
      <c r="G129" s="5"/>
      <c r="H129" s="22" t="str">
        <f t="shared" si="10"/>
        <v/>
      </c>
      <c r="I129" s="5"/>
      <c r="J129" s="33"/>
      <c r="K129" s="24" t="str">
        <f t="shared" si="8"/>
        <v/>
      </c>
      <c r="L129" s="5"/>
      <c r="M129" s="5"/>
      <c r="N129" s="5"/>
      <c r="O129" s="5"/>
      <c r="P129" s="5"/>
      <c r="Q129" s="23"/>
      <c r="R129" s="24" t="str">
        <f t="shared" si="11"/>
        <v/>
      </c>
      <c r="S129" s="24" t="str">
        <f t="shared" si="12"/>
        <v/>
      </c>
      <c r="T129" t="str">
        <f t="shared" si="13"/>
        <v/>
      </c>
    </row>
    <row r="130" spans="1:20">
      <c r="A130" s="22" t="s">
        <v>282</v>
      </c>
      <c r="B130" s="5"/>
      <c r="C130" s="5"/>
      <c r="D130" s="5"/>
      <c r="E130" s="5"/>
      <c r="F130" s="5"/>
      <c r="G130" s="5"/>
      <c r="H130" s="22" t="str">
        <f t="shared" si="10"/>
        <v/>
      </c>
      <c r="I130" s="5"/>
      <c r="J130" s="33"/>
      <c r="K130" s="24" t="str">
        <f t="shared" si="8"/>
        <v/>
      </c>
      <c r="L130" s="5"/>
      <c r="M130" s="5"/>
      <c r="N130" s="5"/>
      <c r="O130" s="5"/>
      <c r="P130" s="5"/>
      <c r="Q130" s="23"/>
      <c r="R130" s="24" t="str">
        <f t="shared" si="11"/>
        <v/>
      </c>
      <c r="S130" s="24" t="str">
        <f t="shared" si="12"/>
        <v/>
      </c>
      <c r="T130" t="str">
        <f t="shared" si="13"/>
        <v/>
      </c>
    </row>
    <row r="131" spans="1:20">
      <c r="A131" s="22" t="s">
        <v>283</v>
      </c>
      <c r="B131" s="5"/>
      <c r="C131" s="5"/>
      <c r="D131" s="5"/>
      <c r="E131" s="5"/>
      <c r="F131" s="5"/>
      <c r="G131" s="5"/>
      <c r="H131" s="22" t="str">
        <f t="shared" si="10"/>
        <v/>
      </c>
      <c r="I131" s="5"/>
      <c r="J131" s="33"/>
      <c r="K131" s="24" t="str">
        <f t="shared" si="8"/>
        <v/>
      </c>
      <c r="L131" s="5"/>
      <c r="M131" s="5"/>
      <c r="N131" s="5"/>
      <c r="O131" s="5"/>
      <c r="P131" s="5"/>
      <c r="Q131" s="23"/>
      <c r="R131" s="24" t="str">
        <f t="shared" si="11"/>
        <v/>
      </c>
      <c r="S131" s="24" t="str">
        <f t="shared" si="12"/>
        <v/>
      </c>
      <c r="T131" t="str">
        <f t="shared" si="13"/>
        <v/>
      </c>
    </row>
    <row r="132" spans="1:20">
      <c r="A132" s="22" t="s">
        <v>284</v>
      </c>
      <c r="B132" s="5"/>
      <c r="C132" s="5"/>
      <c r="D132" s="5"/>
      <c r="E132" s="5"/>
      <c r="F132" s="5"/>
      <c r="G132" s="5"/>
      <c r="H132" s="22" t="str">
        <f t="shared" si="10"/>
        <v/>
      </c>
      <c r="I132" s="5"/>
      <c r="J132" s="33"/>
      <c r="K132" s="24" t="str">
        <f t="shared" si="8"/>
        <v/>
      </c>
      <c r="L132" s="5"/>
      <c r="M132" s="5"/>
      <c r="N132" s="5"/>
      <c r="O132" s="5"/>
      <c r="P132" s="5"/>
      <c r="Q132" s="23"/>
      <c r="R132" s="24" t="str">
        <f t="shared" si="11"/>
        <v/>
      </c>
      <c r="S132" s="24" t="str">
        <f t="shared" si="12"/>
        <v/>
      </c>
      <c r="T132" t="str">
        <f t="shared" si="13"/>
        <v/>
      </c>
    </row>
    <row r="133" spans="1:20">
      <c r="A133" s="22" t="s">
        <v>285</v>
      </c>
      <c r="B133" s="5"/>
      <c r="C133" s="5"/>
      <c r="D133" s="5"/>
      <c r="E133" s="5"/>
      <c r="F133" s="5"/>
      <c r="G133" s="5"/>
      <c r="H133" s="22" t="str">
        <f t="shared" si="10"/>
        <v/>
      </c>
      <c r="I133" s="5"/>
      <c r="J133" s="33"/>
      <c r="K133" s="24" t="str">
        <f t="shared" si="8"/>
        <v/>
      </c>
      <c r="L133" s="5"/>
      <c r="M133" s="5"/>
      <c r="N133" s="5"/>
      <c r="O133" s="5"/>
      <c r="P133" s="5"/>
      <c r="Q133" s="23"/>
      <c r="R133" s="24" t="str">
        <f t="shared" si="11"/>
        <v/>
      </c>
      <c r="S133" s="24" t="str">
        <f t="shared" si="12"/>
        <v/>
      </c>
      <c r="T133" t="str">
        <f t="shared" si="13"/>
        <v/>
      </c>
    </row>
    <row r="134" spans="1:20">
      <c r="A134" s="22" t="s">
        <v>286</v>
      </c>
      <c r="B134" s="5"/>
      <c r="C134" s="5"/>
      <c r="D134" s="5"/>
      <c r="E134" s="5"/>
      <c r="F134" s="5"/>
      <c r="G134" s="5"/>
      <c r="H134" s="22" t="str">
        <f t="shared" si="10"/>
        <v/>
      </c>
      <c r="I134" s="5"/>
      <c r="J134" s="33"/>
      <c r="K134" s="24" t="str">
        <f t="shared" ref="K134:K197" si="14">IF(I134="","",IF(I134="ENTRADA",ABS(J134),-ABS(J134)))</f>
        <v/>
      </c>
      <c r="L134" s="5"/>
      <c r="M134" s="5"/>
      <c r="N134" s="5"/>
      <c r="O134" s="5"/>
      <c r="P134" s="5"/>
      <c r="Q134" s="23"/>
      <c r="R134" s="24" t="str">
        <f t="shared" si="11"/>
        <v/>
      </c>
      <c r="S134" s="24" t="str">
        <f t="shared" si="12"/>
        <v/>
      </c>
      <c r="T134" t="str">
        <f t="shared" si="13"/>
        <v/>
      </c>
    </row>
    <row r="135" spans="1:20">
      <c r="A135" s="22" t="s">
        <v>287</v>
      </c>
      <c r="B135" s="5"/>
      <c r="C135" s="5"/>
      <c r="D135" s="5"/>
      <c r="E135" s="5"/>
      <c r="F135" s="5"/>
      <c r="G135" s="5"/>
      <c r="H135" s="22" t="str">
        <f t="shared" si="10"/>
        <v/>
      </c>
      <c r="I135" s="5"/>
      <c r="J135" s="33"/>
      <c r="K135" s="24" t="str">
        <f t="shared" si="14"/>
        <v/>
      </c>
      <c r="L135" s="5"/>
      <c r="M135" s="5"/>
      <c r="N135" s="5"/>
      <c r="O135" s="5"/>
      <c r="P135" s="5"/>
      <c r="Q135" s="23"/>
      <c r="R135" s="24" t="str">
        <f t="shared" si="11"/>
        <v/>
      </c>
      <c r="S135" s="24" t="str">
        <f t="shared" si="12"/>
        <v/>
      </c>
      <c r="T135" t="str">
        <f t="shared" si="13"/>
        <v/>
      </c>
    </row>
    <row r="136" spans="1:20">
      <c r="A136" s="22" t="s">
        <v>288</v>
      </c>
      <c r="B136" s="5"/>
      <c r="C136" s="5"/>
      <c r="D136" s="5"/>
      <c r="E136" s="5"/>
      <c r="F136" s="5"/>
      <c r="G136" s="5"/>
      <c r="H136" s="22" t="str">
        <f t="shared" si="10"/>
        <v/>
      </c>
      <c r="I136" s="5"/>
      <c r="J136" s="33"/>
      <c r="K136" s="24" t="str">
        <f t="shared" si="14"/>
        <v/>
      </c>
      <c r="L136" s="5"/>
      <c r="M136" s="5"/>
      <c r="N136" s="5"/>
      <c r="O136" s="5"/>
      <c r="P136" s="5"/>
      <c r="Q136" s="23"/>
      <c r="R136" s="24" t="str">
        <f t="shared" si="11"/>
        <v/>
      </c>
      <c r="S136" s="24" t="str">
        <f t="shared" si="12"/>
        <v/>
      </c>
      <c r="T136" t="str">
        <f t="shared" si="13"/>
        <v/>
      </c>
    </row>
    <row r="137" spans="1:20">
      <c r="A137" s="22" t="s">
        <v>289</v>
      </c>
      <c r="B137" s="5"/>
      <c r="C137" s="5"/>
      <c r="D137" s="5"/>
      <c r="E137" s="5"/>
      <c r="F137" s="5"/>
      <c r="G137" s="5"/>
      <c r="H137" s="22" t="str">
        <f t="shared" si="10"/>
        <v/>
      </c>
      <c r="I137" s="5"/>
      <c r="J137" s="33"/>
      <c r="K137" s="24" t="str">
        <f t="shared" si="14"/>
        <v/>
      </c>
      <c r="L137" s="5"/>
      <c r="M137" s="5"/>
      <c r="N137" s="5"/>
      <c r="O137" s="5"/>
      <c r="P137" s="5"/>
      <c r="Q137" s="23"/>
      <c r="R137" s="24" t="str">
        <f t="shared" si="11"/>
        <v/>
      </c>
      <c r="S137" s="24" t="str">
        <f t="shared" si="12"/>
        <v/>
      </c>
      <c r="T137" t="str">
        <f t="shared" si="13"/>
        <v/>
      </c>
    </row>
    <row r="138" spans="1:20">
      <c r="A138" s="22" t="s">
        <v>290</v>
      </c>
      <c r="B138" s="5"/>
      <c r="C138" s="5"/>
      <c r="D138" s="5"/>
      <c r="E138" s="5"/>
      <c r="F138" s="5"/>
      <c r="G138" s="5"/>
      <c r="H138" s="22" t="str">
        <f t="shared" si="10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23"/>
      <c r="R138" s="24" t="str">
        <f t="shared" si="11"/>
        <v/>
      </c>
      <c r="S138" s="24" t="str">
        <f t="shared" si="12"/>
        <v/>
      </c>
      <c r="T138" t="str">
        <f t="shared" si="13"/>
        <v/>
      </c>
    </row>
    <row r="139" spans="1:20">
      <c r="A139" s="22" t="s">
        <v>291</v>
      </c>
      <c r="B139" s="5"/>
      <c r="C139" s="5"/>
      <c r="D139" s="5"/>
      <c r="E139" s="5"/>
      <c r="F139" s="5"/>
      <c r="G139" s="5"/>
      <c r="H139" s="22" t="str">
        <f t="shared" si="10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23"/>
      <c r="R139" s="24" t="str">
        <f t="shared" si="11"/>
        <v/>
      </c>
      <c r="S139" s="24" t="str">
        <f t="shared" si="12"/>
        <v/>
      </c>
      <c r="T139" t="str">
        <f t="shared" si="13"/>
        <v/>
      </c>
    </row>
    <row r="140" spans="1:20">
      <c r="A140" s="22" t="s">
        <v>292</v>
      </c>
      <c r="B140" s="5"/>
      <c r="C140" s="5"/>
      <c r="D140" s="5"/>
      <c r="E140" s="5"/>
      <c r="F140" s="5"/>
      <c r="G140" s="5"/>
      <c r="H140" s="22" t="str">
        <f t="shared" si="10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23"/>
      <c r="R140" s="24" t="str">
        <f t="shared" si="11"/>
        <v/>
      </c>
      <c r="S140" s="24" t="str">
        <f t="shared" si="12"/>
        <v/>
      </c>
      <c r="T140" t="str">
        <f t="shared" ref="T140:T203" si="15">IF(OR(C140="",I140&lt;&gt;"ENTRADA"),"",TEXT(B140,"AAMMDD")&amp;"-"&amp;TEXT(VALUE(SUBSTITUTE(A140,"MOV-","")),"000"))</f>
        <v/>
      </c>
    </row>
    <row r="141" spans="1:20">
      <c r="A141" s="22" t="s">
        <v>293</v>
      </c>
      <c r="B141" s="5"/>
      <c r="C141" s="5"/>
      <c r="D141" s="5"/>
      <c r="E141" s="5"/>
      <c r="F141" s="5"/>
      <c r="G141" s="5"/>
      <c r="H141" s="22" t="str">
        <f t="shared" ref="H141:H204" si="16">+T141</f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23"/>
      <c r="R141" s="24" t="str">
        <f t="shared" ref="R141:R204" si="17">IF(H141="","",H141&amp;I141)</f>
        <v/>
      </c>
      <c r="S141" s="24" t="str">
        <f t="shared" ref="S141:S204" si="18">IF(C141="","",C141&amp;I141)</f>
        <v/>
      </c>
      <c r="T141" t="str">
        <f t="shared" si="15"/>
        <v/>
      </c>
    </row>
    <row r="142" spans="1:20">
      <c r="A142" s="22" t="s">
        <v>294</v>
      </c>
      <c r="B142" s="5"/>
      <c r="C142" s="5"/>
      <c r="D142" s="5"/>
      <c r="E142" s="5"/>
      <c r="F142" s="5"/>
      <c r="G142" s="5"/>
      <c r="H142" s="22" t="str">
        <f t="shared" si="16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23"/>
      <c r="R142" s="24" t="str">
        <f t="shared" si="17"/>
        <v/>
      </c>
      <c r="S142" s="24" t="str">
        <f t="shared" si="18"/>
        <v/>
      </c>
      <c r="T142" t="str">
        <f t="shared" si="15"/>
        <v/>
      </c>
    </row>
    <row r="143" spans="1:20">
      <c r="A143" s="22" t="s">
        <v>295</v>
      </c>
      <c r="B143" s="5"/>
      <c r="C143" s="5"/>
      <c r="D143" s="5"/>
      <c r="E143" s="5"/>
      <c r="F143" s="5"/>
      <c r="G143" s="5"/>
      <c r="H143" s="22" t="str">
        <f t="shared" si="16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23"/>
      <c r="R143" s="24" t="str">
        <f t="shared" si="17"/>
        <v/>
      </c>
      <c r="S143" s="24" t="str">
        <f t="shared" si="18"/>
        <v/>
      </c>
      <c r="T143" t="str">
        <f t="shared" si="15"/>
        <v/>
      </c>
    </row>
    <row r="144" spans="1:20">
      <c r="A144" s="22" t="s">
        <v>296</v>
      </c>
      <c r="B144" s="5"/>
      <c r="C144" s="5"/>
      <c r="D144" s="5"/>
      <c r="E144" s="5"/>
      <c r="F144" s="5"/>
      <c r="G144" s="5"/>
      <c r="H144" s="22" t="str">
        <f t="shared" si="16"/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23"/>
      <c r="R144" s="24" t="str">
        <f t="shared" si="17"/>
        <v/>
      </c>
      <c r="S144" s="24" t="str">
        <f t="shared" si="18"/>
        <v/>
      </c>
      <c r="T144" t="str">
        <f t="shared" si="15"/>
        <v/>
      </c>
    </row>
    <row r="145" spans="1:20">
      <c r="A145" s="22" t="s">
        <v>297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23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298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23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299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23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300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23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301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23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302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23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303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23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304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23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305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23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306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23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307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23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308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23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309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23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310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23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311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23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312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23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313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23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314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23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315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23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316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23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317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23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318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23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319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23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320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23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321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23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322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23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323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23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324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23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325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23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326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23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327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23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328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23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329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23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330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23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331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23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332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23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333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23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334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23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335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23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336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23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337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23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338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23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339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23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340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23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341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23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342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23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343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23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344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23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345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23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346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23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347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23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348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23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349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23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350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ref="K198:K261" si="19">IF(I198="","",IF(I198="ENTRADA",ABS(J198),-ABS(J198)))</f>
        <v/>
      </c>
      <c r="L198" s="5"/>
      <c r="M198" s="5"/>
      <c r="N198" s="5"/>
      <c r="O198" s="5"/>
      <c r="P198" s="5"/>
      <c r="Q198" s="23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351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9"/>
        <v/>
      </c>
      <c r="L199" s="5"/>
      <c r="M199" s="5"/>
      <c r="N199" s="5"/>
      <c r="O199" s="5"/>
      <c r="P199" s="5"/>
      <c r="Q199" s="23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352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9"/>
        <v/>
      </c>
      <c r="L200" s="5"/>
      <c r="M200" s="5"/>
      <c r="N200" s="5"/>
      <c r="O200" s="5"/>
      <c r="P200" s="5"/>
      <c r="Q200" s="23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353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si="19"/>
        <v/>
      </c>
      <c r="L201" s="5"/>
      <c r="M201" s="5"/>
      <c r="N201" s="5"/>
      <c r="O201" s="5"/>
      <c r="P201" s="5"/>
      <c r="Q201" s="23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354</v>
      </c>
      <c r="H202" s="22" t="str">
        <f t="shared" si="16"/>
        <v/>
      </c>
      <c r="J202" s="32"/>
      <c r="K202" s="24" t="str">
        <f t="shared" si="19"/>
        <v/>
      </c>
      <c r="Q202" s="23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355</v>
      </c>
      <c r="H203" s="22" t="str">
        <f t="shared" si="16"/>
        <v/>
      </c>
      <c r="J203" s="32"/>
      <c r="K203" s="24" t="str">
        <f t="shared" si="19"/>
        <v/>
      </c>
      <c r="Q203" s="23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356</v>
      </c>
      <c r="H204" s="22" t="str">
        <f t="shared" si="16"/>
        <v/>
      </c>
      <c r="J204" s="32"/>
      <c r="K204" s="24" t="str">
        <f t="shared" si="19"/>
        <v/>
      </c>
      <c r="Q204" s="23"/>
      <c r="R204" s="24" t="str">
        <f t="shared" si="17"/>
        <v/>
      </c>
      <c r="S204" s="24" t="str">
        <f t="shared" si="18"/>
        <v/>
      </c>
      <c r="T204" t="str">
        <f t="shared" ref="T204:T267" si="20">IF(OR(C204="",I204&lt;&gt;"ENTRADA"),"",TEXT(B204,"AAMMDD")&amp;"-"&amp;TEXT(VALUE(SUBSTITUTE(A204,"MOV-","")),"000"))</f>
        <v/>
      </c>
    </row>
    <row r="205" spans="1:20">
      <c r="A205" s="22" t="s">
        <v>357</v>
      </c>
      <c r="H205" s="22" t="str">
        <f t="shared" ref="H205:H268" si="21">+T205</f>
        <v/>
      </c>
      <c r="J205" s="32"/>
      <c r="K205" s="24" t="str">
        <f t="shared" si="19"/>
        <v/>
      </c>
      <c r="Q205" s="23"/>
      <c r="R205" s="24" t="str">
        <f t="shared" ref="R205:R268" si="22">IF(H205="","",H205&amp;I205)</f>
        <v/>
      </c>
      <c r="S205" s="24" t="str">
        <f t="shared" ref="S205:S268" si="23">IF(C205="","",C205&amp;I205)</f>
        <v/>
      </c>
      <c r="T205" t="str">
        <f t="shared" si="20"/>
        <v/>
      </c>
    </row>
    <row r="206" spans="1:20">
      <c r="A206" s="22" t="s">
        <v>358</v>
      </c>
      <c r="H206" s="22" t="str">
        <f t="shared" si="21"/>
        <v/>
      </c>
      <c r="J206" s="32"/>
      <c r="K206" s="24" t="str">
        <f t="shared" si="19"/>
        <v/>
      </c>
      <c r="Q206" s="23"/>
      <c r="R206" s="24" t="str">
        <f t="shared" si="22"/>
        <v/>
      </c>
      <c r="S206" s="24" t="str">
        <f t="shared" si="23"/>
        <v/>
      </c>
      <c r="T206" t="str">
        <f t="shared" si="20"/>
        <v/>
      </c>
    </row>
    <row r="207" spans="1:20">
      <c r="A207" s="22" t="s">
        <v>359</v>
      </c>
      <c r="H207" s="22" t="str">
        <f t="shared" si="21"/>
        <v/>
      </c>
      <c r="J207" s="32"/>
      <c r="K207" s="24" t="str">
        <f t="shared" si="19"/>
        <v/>
      </c>
      <c r="Q207" s="23"/>
      <c r="R207" s="24" t="str">
        <f t="shared" si="22"/>
        <v/>
      </c>
      <c r="S207" s="24" t="str">
        <f t="shared" si="23"/>
        <v/>
      </c>
      <c r="T207" t="str">
        <f t="shared" si="20"/>
        <v/>
      </c>
    </row>
    <row r="208" spans="1:20">
      <c r="A208" s="22" t="s">
        <v>360</v>
      </c>
      <c r="H208" s="22" t="str">
        <f t="shared" si="21"/>
        <v/>
      </c>
      <c r="J208" s="32"/>
      <c r="K208" s="24" t="str">
        <f t="shared" si="19"/>
        <v/>
      </c>
      <c r="Q208" s="23"/>
      <c r="R208" s="24" t="str">
        <f t="shared" si="22"/>
        <v/>
      </c>
      <c r="S208" s="24" t="str">
        <f t="shared" si="23"/>
        <v/>
      </c>
      <c r="T208" t="str">
        <f t="shared" si="20"/>
        <v/>
      </c>
    </row>
    <row r="209" spans="1:20">
      <c r="A209" s="22" t="s">
        <v>361</v>
      </c>
      <c r="H209" s="22" t="str">
        <f t="shared" si="21"/>
        <v/>
      </c>
      <c r="J209" s="32"/>
      <c r="K209" s="24" t="str">
        <f t="shared" si="19"/>
        <v/>
      </c>
      <c r="Q209" s="23"/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362</v>
      </c>
      <c r="H210" s="22" t="str">
        <f t="shared" si="21"/>
        <v/>
      </c>
      <c r="J210" s="32"/>
      <c r="K210" s="24" t="str">
        <f t="shared" si="19"/>
        <v/>
      </c>
      <c r="Q210" s="23"/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363</v>
      </c>
      <c r="H211" s="22" t="str">
        <f t="shared" si="21"/>
        <v/>
      </c>
      <c r="J211" s="32"/>
      <c r="K211" s="24" t="str">
        <f t="shared" si="19"/>
        <v/>
      </c>
      <c r="Q211" s="23"/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364</v>
      </c>
      <c r="H212" s="22" t="str">
        <f t="shared" si="21"/>
        <v/>
      </c>
      <c r="J212" s="32"/>
      <c r="K212" s="24" t="str">
        <f t="shared" si="19"/>
        <v/>
      </c>
      <c r="Q212" s="23"/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365</v>
      </c>
      <c r="H213" s="22" t="str">
        <f t="shared" si="21"/>
        <v/>
      </c>
      <c r="J213" s="32"/>
      <c r="K213" s="24" t="str">
        <f t="shared" si="19"/>
        <v/>
      </c>
      <c r="Q213" s="23"/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366</v>
      </c>
      <c r="H214" s="22" t="str">
        <f t="shared" si="21"/>
        <v/>
      </c>
      <c r="J214" s="32"/>
      <c r="K214" s="24" t="str">
        <f t="shared" si="19"/>
        <v/>
      </c>
      <c r="Q214" s="23"/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367</v>
      </c>
      <c r="H215" s="22" t="str">
        <f t="shared" si="21"/>
        <v/>
      </c>
      <c r="J215" s="32"/>
      <c r="K215" s="24" t="str">
        <f t="shared" si="19"/>
        <v/>
      </c>
      <c r="Q215" s="23"/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368</v>
      </c>
      <c r="H216" s="22" t="str">
        <f t="shared" si="21"/>
        <v/>
      </c>
      <c r="J216" s="32"/>
      <c r="K216" s="24" t="str">
        <f t="shared" si="19"/>
        <v/>
      </c>
      <c r="Q216" s="23"/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369</v>
      </c>
      <c r="H217" s="22" t="str">
        <f t="shared" si="21"/>
        <v/>
      </c>
      <c r="J217" s="32"/>
      <c r="K217" s="24" t="str">
        <f t="shared" si="19"/>
        <v/>
      </c>
      <c r="Q217" s="23"/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370</v>
      </c>
      <c r="H218" s="22" t="str">
        <f t="shared" si="21"/>
        <v/>
      </c>
      <c r="J218" s="32"/>
      <c r="K218" s="24" t="str">
        <f t="shared" si="19"/>
        <v/>
      </c>
      <c r="Q218" s="23"/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371</v>
      </c>
      <c r="H219" s="22" t="str">
        <f t="shared" si="21"/>
        <v/>
      </c>
      <c r="J219" s="32"/>
      <c r="K219" s="24" t="str">
        <f t="shared" si="19"/>
        <v/>
      </c>
      <c r="Q219" s="23"/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372</v>
      </c>
      <c r="H220" s="22" t="str">
        <f t="shared" si="21"/>
        <v/>
      </c>
      <c r="J220" s="32"/>
      <c r="K220" s="24" t="str">
        <f t="shared" si="19"/>
        <v/>
      </c>
      <c r="Q220" s="23"/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373</v>
      </c>
      <c r="H221" s="22" t="str">
        <f t="shared" si="21"/>
        <v/>
      </c>
      <c r="J221" s="32"/>
      <c r="K221" s="24" t="str">
        <f t="shared" si="19"/>
        <v/>
      </c>
      <c r="Q221" s="23"/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374</v>
      </c>
      <c r="H222" s="22" t="str">
        <f t="shared" si="21"/>
        <v/>
      </c>
      <c r="J222" s="32"/>
      <c r="K222" s="24" t="str">
        <f t="shared" si="19"/>
        <v/>
      </c>
      <c r="Q222" s="23"/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375</v>
      </c>
      <c r="H223" s="22" t="str">
        <f t="shared" si="21"/>
        <v/>
      </c>
      <c r="J223" s="32"/>
      <c r="K223" s="24" t="str">
        <f t="shared" si="19"/>
        <v/>
      </c>
      <c r="Q223" s="23"/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376</v>
      </c>
      <c r="H224" s="22" t="str">
        <f t="shared" si="21"/>
        <v/>
      </c>
      <c r="J224" s="32"/>
      <c r="K224" s="24" t="str">
        <f t="shared" si="19"/>
        <v/>
      </c>
      <c r="Q224" s="23"/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377</v>
      </c>
      <c r="H225" s="22" t="str">
        <f t="shared" si="21"/>
        <v/>
      </c>
      <c r="J225" s="32"/>
      <c r="K225" s="24" t="str">
        <f t="shared" si="19"/>
        <v/>
      </c>
      <c r="Q225" s="23"/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378</v>
      </c>
      <c r="H226" s="22" t="str">
        <f t="shared" si="21"/>
        <v/>
      </c>
      <c r="J226" s="32"/>
      <c r="K226" s="24" t="str">
        <f t="shared" si="19"/>
        <v/>
      </c>
      <c r="Q226" s="23"/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379</v>
      </c>
      <c r="H227" s="22" t="str">
        <f t="shared" si="21"/>
        <v/>
      </c>
      <c r="J227" s="32"/>
      <c r="K227" s="24" t="str">
        <f t="shared" si="19"/>
        <v/>
      </c>
      <c r="Q227" s="23"/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380</v>
      </c>
      <c r="H228" s="22" t="str">
        <f t="shared" si="21"/>
        <v/>
      </c>
      <c r="J228" s="32"/>
      <c r="K228" s="24" t="str">
        <f t="shared" si="19"/>
        <v/>
      </c>
      <c r="Q228" s="23"/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381</v>
      </c>
      <c r="H229" s="22" t="str">
        <f t="shared" si="21"/>
        <v/>
      </c>
      <c r="J229" s="32"/>
      <c r="K229" s="24" t="str">
        <f t="shared" si="19"/>
        <v/>
      </c>
      <c r="Q229" s="23"/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382</v>
      </c>
      <c r="H230" s="22" t="str">
        <f t="shared" si="21"/>
        <v/>
      </c>
      <c r="J230" s="32"/>
      <c r="K230" s="24" t="str">
        <f t="shared" si="19"/>
        <v/>
      </c>
      <c r="Q230" s="23"/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383</v>
      </c>
      <c r="H231" s="22" t="str">
        <f t="shared" si="21"/>
        <v/>
      </c>
      <c r="J231" s="32"/>
      <c r="K231" s="24" t="str">
        <f t="shared" si="19"/>
        <v/>
      </c>
      <c r="Q231" s="23"/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384</v>
      </c>
      <c r="H232" s="22" t="str">
        <f t="shared" si="21"/>
        <v/>
      </c>
      <c r="J232" s="32"/>
      <c r="K232" s="24" t="str">
        <f t="shared" si="19"/>
        <v/>
      </c>
      <c r="Q232" s="23"/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385</v>
      </c>
      <c r="H233" s="22" t="str">
        <f t="shared" si="21"/>
        <v/>
      </c>
      <c r="J233" s="32"/>
      <c r="K233" s="24" t="str">
        <f t="shared" si="19"/>
        <v/>
      </c>
      <c r="Q233" s="23"/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386</v>
      </c>
      <c r="H234" s="22" t="str">
        <f t="shared" si="21"/>
        <v/>
      </c>
      <c r="J234" s="32"/>
      <c r="K234" s="24" t="str">
        <f t="shared" si="19"/>
        <v/>
      </c>
      <c r="Q234" s="23"/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387</v>
      </c>
      <c r="H235" s="22" t="str">
        <f t="shared" si="21"/>
        <v/>
      </c>
      <c r="J235" s="32"/>
      <c r="K235" s="24" t="str">
        <f t="shared" si="19"/>
        <v/>
      </c>
      <c r="Q235" s="23"/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388</v>
      </c>
      <c r="H236" s="22" t="str">
        <f t="shared" si="21"/>
        <v/>
      </c>
      <c r="J236" s="32"/>
      <c r="K236" s="24" t="str">
        <f t="shared" si="19"/>
        <v/>
      </c>
      <c r="Q236" s="23"/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389</v>
      </c>
      <c r="H237" s="22" t="str">
        <f t="shared" si="21"/>
        <v/>
      </c>
      <c r="J237" s="32"/>
      <c r="K237" s="24" t="str">
        <f t="shared" si="19"/>
        <v/>
      </c>
      <c r="Q237" s="23"/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390</v>
      </c>
      <c r="H238" s="22" t="str">
        <f t="shared" si="21"/>
        <v/>
      </c>
      <c r="J238" s="32"/>
      <c r="K238" s="24" t="str">
        <f t="shared" si="19"/>
        <v/>
      </c>
      <c r="Q238" s="23"/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391</v>
      </c>
      <c r="H239" s="22" t="str">
        <f t="shared" si="21"/>
        <v/>
      </c>
      <c r="J239" s="32"/>
      <c r="K239" s="24" t="str">
        <f t="shared" si="19"/>
        <v/>
      </c>
      <c r="Q239" s="23"/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392</v>
      </c>
      <c r="H240" s="22" t="str">
        <f t="shared" si="21"/>
        <v/>
      </c>
      <c r="J240" s="32"/>
      <c r="K240" s="24" t="str">
        <f t="shared" si="19"/>
        <v/>
      </c>
      <c r="Q240" s="23"/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393</v>
      </c>
      <c r="H241" s="22" t="str">
        <f t="shared" si="21"/>
        <v/>
      </c>
      <c r="J241" s="32"/>
      <c r="K241" s="24" t="str">
        <f t="shared" si="19"/>
        <v/>
      </c>
      <c r="Q241" s="23"/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394</v>
      </c>
      <c r="H242" s="22" t="str">
        <f t="shared" si="21"/>
        <v/>
      </c>
      <c r="J242" s="32"/>
      <c r="K242" s="24" t="str">
        <f t="shared" si="19"/>
        <v/>
      </c>
      <c r="Q242" s="23"/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395</v>
      </c>
      <c r="H243" s="22" t="str">
        <f t="shared" si="21"/>
        <v/>
      </c>
      <c r="J243" s="32"/>
      <c r="K243" s="24" t="str">
        <f t="shared" si="19"/>
        <v/>
      </c>
      <c r="Q243" s="23"/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396</v>
      </c>
      <c r="H244" s="22" t="str">
        <f t="shared" si="21"/>
        <v/>
      </c>
      <c r="J244" s="32"/>
      <c r="K244" s="24" t="str">
        <f t="shared" si="19"/>
        <v/>
      </c>
      <c r="Q244" s="23"/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397</v>
      </c>
      <c r="H245" s="22" t="str">
        <f t="shared" si="21"/>
        <v/>
      </c>
      <c r="J245" s="32"/>
      <c r="K245" s="24" t="str">
        <f t="shared" si="19"/>
        <v/>
      </c>
      <c r="Q245" s="23"/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398</v>
      </c>
      <c r="H246" s="22" t="str">
        <f t="shared" si="21"/>
        <v/>
      </c>
      <c r="J246" s="32"/>
      <c r="K246" s="24" t="str">
        <f t="shared" si="19"/>
        <v/>
      </c>
      <c r="Q246" s="23"/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399</v>
      </c>
      <c r="H247" s="22" t="str">
        <f t="shared" si="21"/>
        <v/>
      </c>
      <c r="J247" s="32"/>
      <c r="K247" s="24" t="str">
        <f t="shared" si="19"/>
        <v/>
      </c>
      <c r="Q247" s="23"/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400</v>
      </c>
      <c r="H248" s="22" t="str">
        <f t="shared" si="21"/>
        <v/>
      </c>
      <c r="J248" s="32"/>
      <c r="K248" s="24" t="str">
        <f t="shared" si="19"/>
        <v/>
      </c>
      <c r="Q248" s="23"/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401</v>
      </c>
      <c r="H249" s="22" t="str">
        <f t="shared" si="21"/>
        <v/>
      </c>
      <c r="J249" s="32"/>
      <c r="K249" s="24" t="str">
        <f t="shared" si="19"/>
        <v/>
      </c>
      <c r="Q249" s="23"/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402</v>
      </c>
      <c r="H250" s="22" t="str">
        <f t="shared" si="21"/>
        <v/>
      </c>
      <c r="J250" s="32"/>
      <c r="K250" s="24" t="str">
        <f t="shared" si="19"/>
        <v/>
      </c>
      <c r="Q250" s="23"/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403</v>
      </c>
      <c r="H251" s="22" t="str">
        <f t="shared" si="21"/>
        <v/>
      </c>
      <c r="J251" s="32"/>
      <c r="K251" s="24" t="str">
        <f t="shared" si="19"/>
        <v/>
      </c>
      <c r="Q251" s="23"/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404</v>
      </c>
      <c r="H252" s="22" t="str">
        <f t="shared" si="21"/>
        <v/>
      </c>
      <c r="J252" s="32"/>
      <c r="K252" s="24" t="str">
        <f t="shared" si="19"/>
        <v/>
      </c>
      <c r="Q252" s="23"/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405</v>
      </c>
      <c r="H253" s="22" t="str">
        <f t="shared" si="21"/>
        <v/>
      </c>
      <c r="J253" s="32"/>
      <c r="K253" s="24" t="str">
        <f t="shared" si="19"/>
        <v/>
      </c>
      <c r="Q253" s="23"/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406</v>
      </c>
      <c r="H254" s="22" t="str">
        <f t="shared" si="21"/>
        <v/>
      </c>
      <c r="J254" s="32"/>
      <c r="K254" s="24" t="str">
        <f t="shared" si="19"/>
        <v/>
      </c>
      <c r="Q254" s="23"/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407</v>
      </c>
      <c r="H255" s="22" t="str">
        <f t="shared" si="21"/>
        <v/>
      </c>
      <c r="J255" s="32"/>
      <c r="K255" s="24" t="str">
        <f t="shared" si="19"/>
        <v/>
      </c>
      <c r="Q255" s="23"/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408</v>
      </c>
      <c r="H256" s="22" t="str">
        <f t="shared" si="21"/>
        <v/>
      </c>
      <c r="J256" s="32"/>
      <c r="K256" s="24" t="str">
        <f t="shared" si="19"/>
        <v/>
      </c>
      <c r="Q256" s="23"/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409</v>
      </c>
      <c r="H257" s="22" t="str">
        <f t="shared" si="21"/>
        <v/>
      </c>
      <c r="J257" s="32"/>
      <c r="K257" s="24" t="str">
        <f t="shared" si="19"/>
        <v/>
      </c>
      <c r="Q257" s="23"/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410</v>
      </c>
      <c r="H258" s="22" t="str">
        <f t="shared" si="21"/>
        <v/>
      </c>
      <c r="J258" s="32"/>
      <c r="K258" s="24" t="str">
        <f t="shared" si="19"/>
        <v/>
      </c>
      <c r="Q258" s="23"/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411</v>
      </c>
      <c r="H259" s="22" t="str">
        <f t="shared" si="21"/>
        <v/>
      </c>
      <c r="J259" s="32"/>
      <c r="K259" s="24" t="str">
        <f t="shared" si="19"/>
        <v/>
      </c>
      <c r="Q259" s="23"/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412</v>
      </c>
      <c r="H260" s="22" t="str">
        <f t="shared" si="21"/>
        <v/>
      </c>
      <c r="J260" s="32"/>
      <c r="K260" s="24" t="str">
        <f t="shared" si="19"/>
        <v/>
      </c>
      <c r="Q260" s="23"/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413</v>
      </c>
      <c r="H261" s="22" t="str">
        <f t="shared" si="21"/>
        <v/>
      </c>
      <c r="J261" s="32"/>
      <c r="K261" s="24" t="str">
        <f t="shared" si="19"/>
        <v/>
      </c>
      <c r="Q261" s="23"/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414</v>
      </c>
      <c r="H262" s="22" t="str">
        <f t="shared" si="21"/>
        <v/>
      </c>
      <c r="J262" s="32"/>
      <c r="K262" s="24" t="str">
        <f t="shared" ref="K262:K325" si="24">IF(I262="","",IF(I262="ENTRADA",ABS(J262),-ABS(J262)))</f>
        <v/>
      </c>
      <c r="Q262" s="23"/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415</v>
      </c>
      <c r="H263" s="22" t="str">
        <f t="shared" si="21"/>
        <v/>
      </c>
      <c r="J263" s="32"/>
      <c r="K263" s="24" t="str">
        <f t="shared" si="24"/>
        <v/>
      </c>
      <c r="Q263" s="23"/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416</v>
      </c>
      <c r="H264" s="22" t="str">
        <f t="shared" si="21"/>
        <v/>
      </c>
      <c r="J264" s="32"/>
      <c r="K264" s="24" t="str">
        <f t="shared" si="24"/>
        <v/>
      </c>
      <c r="Q264" s="23"/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417</v>
      </c>
      <c r="H265" s="22" t="str">
        <f t="shared" si="21"/>
        <v/>
      </c>
      <c r="J265" s="32"/>
      <c r="K265" s="24" t="str">
        <f t="shared" si="24"/>
        <v/>
      </c>
      <c r="Q265" s="23"/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418</v>
      </c>
      <c r="H266" s="22" t="str">
        <f t="shared" si="21"/>
        <v/>
      </c>
      <c r="J266" s="32"/>
      <c r="K266" s="24" t="str">
        <f t="shared" si="24"/>
        <v/>
      </c>
      <c r="Q266" s="23"/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419</v>
      </c>
      <c r="H267" s="22" t="str">
        <f t="shared" si="21"/>
        <v/>
      </c>
      <c r="J267" s="32"/>
      <c r="K267" s="24" t="str">
        <f t="shared" si="24"/>
        <v/>
      </c>
      <c r="Q267" s="23"/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420</v>
      </c>
      <c r="H268" s="22" t="str">
        <f t="shared" si="21"/>
        <v/>
      </c>
      <c r="J268" s="32"/>
      <c r="K268" s="24" t="str">
        <f t="shared" si="24"/>
        <v/>
      </c>
      <c r="Q268" s="23"/>
      <c r="R268" s="24" t="str">
        <f t="shared" si="22"/>
        <v/>
      </c>
      <c r="S268" s="24" t="str">
        <f t="shared" si="23"/>
        <v/>
      </c>
      <c r="T268" t="str">
        <f t="shared" ref="T268:T331" si="25">IF(OR(C268="",I268&lt;&gt;"ENTRADA"),"",TEXT(B268,"AAMMDD")&amp;"-"&amp;TEXT(VALUE(SUBSTITUTE(A268,"MOV-","")),"000"))</f>
        <v/>
      </c>
    </row>
    <row r="269" spans="1:20">
      <c r="A269" s="22" t="s">
        <v>421</v>
      </c>
      <c r="H269" s="22" t="str">
        <f t="shared" ref="H269:H332" si="26">+T269</f>
        <v/>
      </c>
      <c r="J269" s="32"/>
      <c r="K269" s="24" t="str">
        <f t="shared" si="24"/>
        <v/>
      </c>
      <c r="Q269" s="23"/>
      <c r="R269" s="24" t="str">
        <f t="shared" ref="R269:R332" si="27">IF(H269="","",H269&amp;I269)</f>
        <v/>
      </c>
      <c r="S269" s="24" t="str">
        <f t="shared" ref="S269:S332" si="28">IF(C269="","",C269&amp;I269)</f>
        <v/>
      </c>
      <c r="T269" t="str">
        <f t="shared" si="25"/>
        <v/>
      </c>
    </row>
    <row r="270" spans="1:20">
      <c r="A270" s="22" t="s">
        <v>422</v>
      </c>
      <c r="H270" s="22" t="str">
        <f t="shared" si="26"/>
        <v/>
      </c>
      <c r="J270" s="32"/>
      <c r="K270" s="24" t="str">
        <f t="shared" si="24"/>
        <v/>
      </c>
      <c r="Q270" s="23"/>
      <c r="R270" s="24" t="str">
        <f t="shared" si="27"/>
        <v/>
      </c>
      <c r="S270" s="24" t="str">
        <f t="shared" si="28"/>
        <v/>
      </c>
      <c r="T270" t="str">
        <f t="shared" si="25"/>
        <v/>
      </c>
    </row>
    <row r="271" spans="1:20">
      <c r="A271" s="22" t="s">
        <v>423</v>
      </c>
      <c r="H271" s="22" t="str">
        <f t="shared" si="26"/>
        <v/>
      </c>
      <c r="J271" s="32"/>
      <c r="K271" s="24" t="str">
        <f t="shared" si="24"/>
        <v/>
      </c>
      <c r="Q271" s="23"/>
      <c r="R271" s="24" t="str">
        <f t="shared" si="27"/>
        <v/>
      </c>
      <c r="S271" s="24" t="str">
        <f t="shared" si="28"/>
        <v/>
      </c>
      <c r="T271" t="str">
        <f t="shared" si="25"/>
        <v/>
      </c>
    </row>
    <row r="272" spans="1:20">
      <c r="A272" s="22" t="s">
        <v>424</v>
      </c>
      <c r="H272" s="22" t="str">
        <f t="shared" si="26"/>
        <v/>
      </c>
      <c r="J272" s="32"/>
      <c r="K272" s="24" t="str">
        <f t="shared" si="24"/>
        <v/>
      </c>
      <c r="Q272" s="23"/>
      <c r="R272" s="24" t="str">
        <f t="shared" si="27"/>
        <v/>
      </c>
      <c r="S272" s="24" t="str">
        <f t="shared" si="28"/>
        <v/>
      </c>
      <c r="T272" t="str">
        <f t="shared" si="25"/>
        <v/>
      </c>
    </row>
    <row r="273" spans="1:20">
      <c r="A273" s="22" t="s">
        <v>425</v>
      </c>
      <c r="H273" s="22" t="str">
        <f t="shared" si="26"/>
        <v/>
      </c>
      <c r="J273" s="32"/>
      <c r="K273" s="24" t="str">
        <f t="shared" si="24"/>
        <v/>
      </c>
      <c r="Q273" s="23"/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426</v>
      </c>
      <c r="H274" s="22" t="str">
        <f t="shared" si="26"/>
        <v/>
      </c>
      <c r="J274" s="32"/>
      <c r="K274" s="24" t="str">
        <f t="shared" si="24"/>
        <v/>
      </c>
      <c r="Q274" s="23"/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427</v>
      </c>
      <c r="H275" s="22" t="str">
        <f t="shared" si="26"/>
        <v/>
      </c>
      <c r="J275" s="32"/>
      <c r="K275" s="24" t="str">
        <f t="shared" si="24"/>
        <v/>
      </c>
      <c r="Q275" s="23"/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428</v>
      </c>
      <c r="H276" s="22" t="str">
        <f t="shared" si="26"/>
        <v/>
      </c>
      <c r="J276" s="32"/>
      <c r="K276" s="24" t="str">
        <f t="shared" si="24"/>
        <v/>
      </c>
      <c r="Q276" s="23"/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429</v>
      </c>
      <c r="H277" s="22" t="str">
        <f t="shared" si="26"/>
        <v/>
      </c>
      <c r="J277" s="32"/>
      <c r="K277" s="24" t="str">
        <f t="shared" si="24"/>
        <v/>
      </c>
      <c r="Q277" s="23"/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430</v>
      </c>
      <c r="H278" s="22" t="str">
        <f t="shared" si="26"/>
        <v/>
      </c>
      <c r="J278" s="32"/>
      <c r="K278" s="24" t="str">
        <f t="shared" si="24"/>
        <v/>
      </c>
      <c r="Q278" s="23"/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431</v>
      </c>
      <c r="H279" s="22" t="str">
        <f t="shared" si="26"/>
        <v/>
      </c>
      <c r="J279" s="32"/>
      <c r="K279" s="24" t="str">
        <f t="shared" si="24"/>
        <v/>
      </c>
      <c r="Q279" s="23"/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432</v>
      </c>
      <c r="H280" s="22" t="str">
        <f t="shared" si="26"/>
        <v/>
      </c>
      <c r="J280" s="32"/>
      <c r="K280" s="24" t="str">
        <f t="shared" si="24"/>
        <v/>
      </c>
      <c r="Q280" s="23"/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433</v>
      </c>
      <c r="H281" s="22" t="str">
        <f t="shared" si="26"/>
        <v/>
      </c>
      <c r="J281" s="32"/>
      <c r="K281" s="24" t="str">
        <f t="shared" si="24"/>
        <v/>
      </c>
      <c r="Q281" s="23"/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434</v>
      </c>
      <c r="H282" s="22" t="str">
        <f t="shared" si="26"/>
        <v/>
      </c>
      <c r="J282" s="32"/>
      <c r="K282" s="24" t="str">
        <f t="shared" si="24"/>
        <v/>
      </c>
      <c r="Q282" s="23"/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435</v>
      </c>
      <c r="H283" s="22" t="str">
        <f t="shared" si="26"/>
        <v/>
      </c>
      <c r="J283" s="32"/>
      <c r="K283" s="24" t="str">
        <f t="shared" si="24"/>
        <v/>
      </c>
      <c r="Q283" s="23"/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436</v>
      </c>
      <c r="H284" s="22" t="str">
        <f t="shared" si="26"/>
        <v/>
      </c>
      <c r="J284" s="32"/>
      <c r="K284" s="24" t="str">
        <f t="shared" si="24"/>
        <v/>
      </c>
      <c r="Q284" s="23"/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437</v>
      </c>
      <c r="H285" s="22" t="str">
        <f t="shared" si="26"/>
        <v/>
      </c>
      <c r="J285" s="32"/>
      <c r="K285" s="24" t="str">
        <f t="shared" si="24"/>
        <v/>
      </c>
      <c r="Q285" s="23"/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438</v>
      </c>
      <c r="H286" s="22" t="str">
        <f t="shared" si="26"/>
        <v/>
      </c>
      <c r="J286" s="32"/>
      <c r="K286" s="24" t="str">
        <f t="shared" si="24"/>
        <v/>
      </c>
      <c r="Q286" s="23"/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439</v>
      </c>
      <c r="H287" s="22" t="str">
        <f t="shared" si="26"/>
        <v/>
      </c>
      <c r="J287" s="32"/>
      <c r="K287" s="24" t="str">
        <f t="shared" si="24"/>
        <v/>
      </c>
      <c r="Q287" s="23"/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440</v>
      </c>
      <c r="H288" s="22" t="str">
        <f t="shared" si="26"/>
        <v/>
      </c>
      <c r="J288" s="32"/>
      <c r="K288" s="24" t="str">
        <f t="shared" si="24"/>
        <v/>
      </c>
      <c r="Q288" s="23"/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441</v>
      </c>
      <c r="H289" s="22" t="str">
        <f t="shared" si="26"/>
        <v/>
      </c>
      <c r="J289" s="32"/>
      <c r="K289" s="24" t="str">
        <f t="shared" si="24"/>
        <v/>
      </c>
      <c r="Q289" s="23"/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442</v>
      </c>
      <c r="H290" s="22" t="str">
        <f t="shared" si="26"/>
        <v/>
      </c>
      <c r="J290" s="32"/>
      <c r="K290" s="24" t="str">
        <f t="shared" si="24"/>
        <v/>
      </c>
      <c r="Q290" s="23"/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443</v>
      </c>
      <c r="H291" s="22" t="str">
        <f t="shared" si="26"/>
        <v/>
      </c>
      <c r="J291" s="32"/>
      <c r="K291" s="24" t="str">
        <f t="shared" si="24"/>
        <v/>
      </c>
      <c r="Q291" s="23"/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444</v>
      </c>
      <c r="H292" s="22" t="str">
        <f t="shared" si="26"/>
        <v/>
      </c>
      <c r="J292" s="32"/>
      <c r="K292" s="24" t="str">
        <f t="shared" si="24"/>
        <v/>
      </c>
      <c r="Q292" s="23"/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445</v>
      </c>
      <c r="H293" s="22" t="str">
        <f t="shared" si="26"/>
        <v/>
      </c>
      <c r="J293" s="32"/>
      <c r="K293" s="24" t="str">
        <f t="shared" si="24"/>
        <v/>
      </c>
      <c r="Q293" s="23"/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446</v>
      </c>
      <c r="H294" s="22" t="str">
        <f t="shared" si="26"/>
        <v/>
      </c>
      <c r="J294" s="32"/>
      <c r="K294" s="24" t="str">
        <f t="shared" si="24"/>
        <v/>
      </c>
      <c r="Q294" s="23"/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447</v>
      </c>
      <c r="H295" s="22" t="str">
        <f t="shared" si="26"/>
        <v/>
      </c>
      <c r="J295" s="32"/>
      <c r="K295" s="24" t="str">
        <f t="shared" si="24"/>
        <v/>
      </c>
      <c r="Q295" s="23"/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448</v>
      </c>
      <c r="H296" s="22" t="str">
        <f t="shared" si="26"/>
        <v/>
      </c>
      <c r="J296" s="32"/>
      <c r="K296" s="24" t="str">
        <f t="shared" si="24"/>
        <v/>
      </c>
      <c r="Q296" s="23"/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449</v>
      </c>
      <c r="H297" s="22" t="str">
        <f t="shared" si="26"/>
        <v/>
      </c>
      <c r="J297" s="32"/>
      <c r="K297" s="24" t="str">
        <f t="shared" si="24"/>
        <v/>
      </c>
      <c r="Q297" s="23"/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450</v>
      </c>
      <c r="H298" s="22" t="str">
        <f t="shared" si="26"/>
        <v/>
      </c>
      <c r="J298" s="32"/>
      <c r="K298" s="24" t="str">
        <f t="shared" si="24"/>
        <v/>
      </c>
      <c r="Q298" s="23"/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451</v>
      </c>
      <c r="H299" s="22" t="str">
        <f t="shared" si="26"/>
        <v/>
      </c>
      <c r="J299" s="32"/>
      <c r="K299" s="24" t="str">
        <f t="shared" si="24"/>
        <v/>
      </c>
      <c r="Q299" s="23"/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452</v>
      </c>
      <c r="H300" s="22" t="str">
        <f t="shared" si="26"/>
        <v/>
      </c>
      <c r="J300" s="32"/>
      <c r="K300" s="24" t="str">
        <f t="shared" si="24"/>
        <v/>
      </c>
      <c r="Q300" s="23"/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453</v>
      </c>
      <c r="H301" s="22" t="str">
        <f t="shared" si="26"/>
        <v/>
      </c>
      <c r="J301" s="32"/>
      <c r="K301" s="24" t="str">
        <f t="shared" si="24"/>
        <v/>
      </c>
      <c r="Q301" s="23"/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454</v>
      </c>
      <c r="H302" s="22" t="str">
        <f t="shared" si="26"/>
        <v/>
      </c>
      <c r="J302" s="32"/>
      <c r="K302" s="24" t="str">
        <f t="shared" si="24"/>
        <v/>
      </c>
      <c r="Q302" s="23"/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455</v>
      </c>
      <c r="H303" s="22" t="str">
        <f t="shared" si="26"/>
        <v/>
      </c>
      <c r="J303" s="32"/>
      <c r="K303" s="24" t="str">
        <f t="shared" si="24"/>
        <v/>
      </c>
      <c r="Q303" s="23"/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456</v>
      </c>
      <c r="H304" s="22" t="str">
        <f t="shared" si="26"/>
        <v/>
      </c>
      <c r="J304" s="32"/>
      <c r="K304" s="24" t="str">
        <f t="shared" si="24"/>
        <v/>
      </c>
      <c r="Q304" s="23"/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457</v>
      </c>
      <c r="H305" s="22" t="str">
        <f t="shared" si="26"/>
        <v/>
      </c>
      <c r="J305" s="32"/>
      <c r="K305" s="24" t="str">
        <f t="shared" si="24"/>
        <v/>
      </c>
      <c r="Q305" s="23"/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458</v>
      </c>
      <c r="H306" s="22" t="str">
        <f t="shared" si="26"/>
        <v/>
      </c>
      <c r="J306" s="32"/>
      <c r="K306" s="24" t="str">
        <f t="shared" si="24"/>
        <v/>
      </c>
      <c r="Q306" s="23"/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459</v>
      </c>
      <c r="H307" s="22" t="str">
        <f t="shared" si="26"/>
        <v/>
      </c>
      <c r="J307" s="32"/>
      <c r="K307" s="24" t="str">
        <f t="shared" si="24"/>
        <v/>
      </c>
      <c r="Q307" s="23"/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460</v>
      </c>
      <c r="H308" s="22" t="str">
        <f t="shared" si="26"/>
        <v/>
      </c>
      <c r="J308" s="32"/>
      <c r="K308" s="24" t="str">
        <f t="shared" si="24"/>
        <v/>
      </c>
      <c r="Q308" s="23"/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461</v>
      </c>
      <c r="H309" s="22" t="str">
        <f t="shared" si="26"/>
        <v/>
      </c>
      <c r="J309" s="32"/>
      <c r="K309" s="24" t="str">
        <f t="shared" si="24"/>
        <v/>
      </c>
      <c r="Q309" s="23"/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462</v>
      </c>
      <c r="H310" s="22" t="str">
        <f t="shared" si="26"/>
        <v/>
      </c>
      <c r="J310" s="32"/>
      <c r="K310" s="24" t="str">
        <f t="shared" si="24"/>
        <v/>
      </c>
      <c r="Q310" s="23"/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463</v>
      </c>
      <c r="H311" s="22" t="str">
        <f t="shared" si="26"/>
        <v/>
      </c>
      <c r="J311" s="32"/>
      <c r="K311" s="24" t="str">
        <f t="shared" si="24"/>
        <v/>
      </c>
      <c r="Q311" s="23"/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464</v>
      </c>
      <c r="H312" s="22" t="str">
        <f t="shared" si="26"/>
        <v/>
      </c>
      <c r="J312" s="32"/>
      <c r="K312" s="24" t="str">
        <f t="shared" si="24"/>
        <v/>
      </c>
      <c r="Q312" s="23"/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465</v>
      </c>
      <c r="H313" s="22" t="str">
        <f t="shared" si="26"/>
        <v/>
      </c>
      <c r="J313" s="32"/>
      <c r="K313" s="24" t="str">
        <f t="shared" si="24"/>
        <v/>
      </c>
      <c r="Q313" s="23"/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466</v>
      </c>
      <c r="H314" s="22" t="str">
        <f t="shared" si="26"/>
        <v/>
      </c>
      <c r="J314" s="32"/>
      <c r="K314" s="24" t="str">
        <f t="shared" si="24"/>
        <v/>
      </c>
      <c r="Q314" s="23"/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467</v>
      </c>
      <c r="H315" s="22" t="str">
        <f t="shared" si="26"/>
        <v/>
      </c>
      <c r="J315" s="32"/>
      <c r="K315" s="24" t="str">
        <f t="shared" si="24"/>
        <v/>
      </c>
      <c r="Q315" s="23"/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468</v>
      </c>
      <c r="H316" s="22" t="str">
        <f t="shared" si="26"/>
        <v/>
      </c>
      <c r="J316" s="32"/>
      <c r="K316" s="24" t="str">
        <f t="shared" si="24"/>
        <v/>
      </c>
      <c r="Q316" s="23"/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469</v>
      </c>
      <c r="H317" s="22" t="str">
        <f t="shared" si="26"/>
        <v/>
      </c>
      <c r="J317" s="32"/>
      <c r="K317" s="24" t="str">
        <f t="shared" si="24"/>
        <v/>
      </c>
      <c r="Q317" s="23"/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470</v>
      </c>
      <c r="H318" s="22" t="str">
        <f t="shared" si="26"/>
        <v/>
      </c>
      <c r="J318" s="32"/>
      <c r="K318" s="24" t="str">
        <f t="shared" si="24"/>
        <v/>
      </c>
      <c r="Q318" s="23"/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471</v>
      </c>
      <c r="H319" s="22" t="str">
        <f t="shared" si="26"/>
        <v/>
      </c>
      <c r="J319" s="32"/>
      <c r="K319" s="24" t="str">
        <f t="shared" si="24"/>
        <v/>
      </c>
      <c r="Q319" s="23"/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472</v>
      </c>
      <c r="H320" s="22" t="str">
        <f t="shared" si="26"/>
        <v/>
      </c>
      <c r="J320" s="32"/>
      <c r="K320" s="24" t="str">
        <f t="shared" si="24"/>
        <v/>
      </c>
      <c r="Q320" s="23"/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473</v>
      </c>
      <c r="H321" s="22" t="str">
        <f t="shared" si="26"/>
        <v/>
      </c>
      <c r="J321" s="32"/>
      <c r="K321" s="24" t="str">
        <f t="shared" si="24"/>
        <v/>
      </c>
      <c r="Q321" s="23"/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474</v>
      </c>
      <c r="H322" s="22" t="str">
        <f t="shared" si="26"/>
        <v/>
      </c>
      <c r="J322" s="32"/>
      <c r="K322" s="24" t="str">
        <f t="shared" si="24"/>
        <v/>
      </c>
      <c r="Q322" s="23"/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475</v>
      </c>
      <c r="H323" s="22" t="str">
        <f t="shared" si="26"/>
        <v/>
      </c>
      <c r="J323" s="32"/>
      <c r="K323" s="24" t="str">
        <f t="shared" si="24"/>
        <v/>
      </c>
      <c r="Q323" s="23"/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476</v>
      </c>
      <c r="H324" s="22" t="str">
        <f t="shared" si="26"/>
        <v/>
      </c>
      <c r="J324" s="32"/>
      <c r="K324" s="24" t="str">
        <f t="shared" si="24"/>
        <v/>
      </c>
      <c r="Q324" s="23"/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477</v>
      </c>
      <c r="H325" s="22" t="str">
        <f t="shared" si="26"/>
        <v/>
      </c>
      <c r="J325" s="32"/>
      <c r="K325" s="24" t="str">
        <f t="shared" si="24"/>
        <v/>
      </c>
      <c r="Q325" s="23"/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478</v>
      </c>
      <c r="H326" s="22" t="str">
        <f t="shared" si="26"/>
        <v/>
      </c>
      <c r="J326" s="32"/>
      <c r="K326" s="24" t="str">
        <f t="shared" ref="K326:K389" si="29">IF(I326="","",IF(I326="ENTRADA",ABS(J326),-ABS(J326)))</f>
        <v/>
      </c>
      <c r="Q326" s="23"/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479</v>
      </c>
      <c r="H327" s="22" t="str">
        <f t="shared" si="26"/>
        <v/>
      </c>
      <c r="J327" s="32"/>
      <c r="K327" s="24" t="str">
        <f t="shared" si="29"/>
        <v/>
      </c>
      <c r="Q327" s="23"/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480</v>
      </c>
      <c r="H328" s="22" t="str">
        <f t="shared" si="26"/>
        <v/>
      </c>
      <c r="J328" s="32"/>
      <c r="K328" s="24" t="str">
        <f t="shared" si="29"/>
        <v/>
      </c>
      <c r="Q328" s="23"/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481</v>
      </c>
      <c r="H329" s="22" t="str">
        <f t="shared" si="26"/>
        <v/>
      </c>
      <c r="J329" s="32"/>
      <c r="K329" s="24" t="str">
        <f t="shared" si="29"/>
        <v/>
      </c>
      <c r="Q329" s="23"/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482</v>
      </c>
      <c r="H330" s="22" t="str">
        <f t="shared" si="26"/>
        <v/>
      </c>
      <c r="J330" s="32"/>
      <c r="K330" s="24" t="str">
        <f t="shared" si="29"/>
        <v/>
      </c>
      <c r="Q330" s="23"/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483</v>
      </c>
      <c r="H331" s="22" t="str">
        <f t="shared" si="26"/>
        <v/>
      </c>
      <c r="J331" s="32"/>
      <c r="K331" s="24" t="str">
        <f t="shared" si="29"/>
        <v/>
      </c>
      <c r="Q331" s="23"/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484</v>
      </c>
      <c r="H332" s="22" t="str">
        <f t="shared" si="26"/>
        <v/>
      </c>
      <c r="J332" s="32"/>
      <c r="K332" s="24" t="str">
        <f t="shared" si="29"/>
        <v/>
      </c>
      <c r="Q332" s="23"/>
      <c r="R332" s="24" t="str">
        <f t="shared" si="27"/>
        <v/>
      </c>
      <c r="S332" s="24" t="str">
        <f t="shared" si="28"/>
        <v/>
      </c>
      <c r="T332" t="str">
        <f t="shared" ref="T332:T395" si="30">IF(OR(C332="",I332&lt;&gt;"ENTRADA"),"",TEXT(B332,"AAMMDD")&amp;"-"&amp;TEXT(VALUE(SUBSTITUTE(A332,"MOV-","")),"000"))</f>
        <v/>
      </c>
    </row>
    <row r="333" spans="1:20">
      <c r="A333" s="22" t="s">
        <v>485</v>
      </c>
      <c r="H333" s="22" t="str">
        <f t="shared" ref="H333:H396" si="31">+T333</f>
        <v/>
      </c>
      <c r="J333" s="32"/>
      <c r="K333" s="24" t="str">
        <f t="shared" si="29"/>
        <v/>
      </c>
      <c r="Q333" s="23"/>
      <c r="R333" s="24" t="str">
        <f t="shared" ref="R333:R396" si="32">IF(H333="","",H333&amp;I333)</f>
        <v/>
      </c>
      <c r="S333" s="24" t="str">
        <f t="shared" ref="S333:S396" si="33">IF(C333="","",C333&amp;I333)</f>
        <v/>
      </c>
      <c r="T333" t="str">
        <f t="shared" si="30"/>
        <v/>
      </c>
    </row>
    <row r="334" spans="1:20">
      <c r="A334" s="22" t="s">
        <v>486</v>
      </c>
      <c r="H334" s="22" t="str">
        <f t="shared" si="31"/>
        <v/>
      </c>
      <c r="J334" s="32"/>
      <c r="K334" s="24" t="str">
        <f t="shared" si="29"/>
        <v/>
      </c>
      <c r="Q334" s="23"/>
      <c r="R334" s="24" t="str">
        <f t="shared" si="32"/>
        <v/>
      </c>
      <c r="S334" s="24" t="str">
        <f t="shared" si="33"/>
        <v/>
      </c>
      <c r="T334" t="str">
        <f t="shared" si="30"/>
        <v/>
      </c>
    </row>
    <row r="335" spans="1:20">
      <c r="A335" s="22" t="s">
        <v>487</v>
      </c>
      <c r="H335" s="22" t="str">
        <f t="shared" si="31"/>
        <v/>
      </c>
      <c r="J335" s="32"/>
      <c r="K335" s="24" t="str">
        <f t="shared" si="29"/>
        <v/>
      </c>
      <c r="Q335" s="23"/>
      <c r="R335" s="24" t="str">
        <f t="shared" si="32"/>
        <v/>
      </c>
      <c r="S335" s="24" t="str">
        <f t="shared" si="33"/>
        <v/>
      </c>
      <c r="T335" t="str">
        <f t="shared" si="30"/>
        <v/>
      </c>
    </row>
    <row r="336" spans="1:20">
      <c r="A336" s="22" t="s">
        <v>488</v>
      </c>
      <c r="H336" s="22" t="str">
        <f t="shared" si="31"/>
        <v/>
      </c>
      <c r="J336" s="32"/>
      <c r="K336" s="24" t="str">
        <f t="shared" si="29"/>
        <v/>
      </c>
      <c r="Q336" s="23"/>
      <c r="R336" s="24" t="str">
        <f t="shared" si="32"/>
        <v/>
      </c>
      <c r="S336" s="24" t="str">
        <f t="shared" si="33"/>
        <v/>
      </c>
      <c r="T336" t="str">
        <f t="shared" si="30"/>
        <v/>
      </c>
    </row>
    <row r="337" spans="1:20">
      <c r="A337" s="22" t="s">
        <v>489</v>
      </c>
      <c r="H337" s="22" t="str">
        <f t="shared" si="31"/>
        <v/>
      </c>
      <c r="J337" s="32"/>
      <c r="K337" s="24" t="str">
        <f t="shared" si="29"/>
        <v/>
      </c>
      <c r="Q337" s="23"/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490</v>
      </c>
      <c r="H338" s="22" t="str">
        <f t="shared" si="31"/>
        <v/>
      </c>
      <c r="J338" s="32"/>
      <c r="K338" s="24" t="str">
        <f t="shared" si="29"/>
        <v/>
      </c>
      <c r="Q338" s="23"/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491</v>
      </c>
      <c r="H339" s="22" t="str">
        <f t="shared" si="31"/>
        <v/>
      </c>
      <c r="J339" s="32"/>
      <c r="K339" s="24" t="str">
        <f t="shared" si="29"/>
        <v/>
      </c>
      <c r="Q339" s="23"/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492</v>
      </c>
      <c r="H340" s="22" t="str">
        <f t="shared" si="31"/>
        <v/>
      </c>
      <c r="J340" s="32"/>
      <c r="K340" s="24" t="str">
        <f t="shared" si="29"/>
        <v/>
      </c>
      <c r="Q340" s="23"/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493</v>
      </c>
      <c r="H341" s="22" t="str">
        <f t="shared" si="31"/>
        <v/>
      </c>
      <c r="J341" s="32"/>
      <c r="K341" s="24" t="str">
        <f t="shared" si="29"/>
        <v/>
      </c>
      <c r="Q341" s="23"/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494</v>
      </c>
      <c r="H342" s="22" t="str">
        <f t="shared" si="31"/>
        <v/>
      </c>
      <c r="J342" s="32"/>
      <c r="K342" s="24" t="str">
        <f t="shared" si="29"/>
        <v/>
      </c>
      <c r="Q342" s="23"/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495</v>
      </c>
      <c r="H343" s="22" t="str">
        <f t="shared" si="31"/>
        <v/>
      </c>
      <c r="J343" s="32"/>
      <c r="K343" s="24" t="str">
        <f t="shared" si="29"/>
        <v/>
      </c>
      <c r="Q343" s="23"/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496</v>
      </c>
      <c r="H344" s="22" t="str">
        <f t="shared" si="31"/>
        <v/>
      </c>
      <c r="J344" s="32"/>
      <c r="K344" s="24" t="str">
        <f t="shared" si="29"/>
        <v/>
      </c>
      <c r="Q344" s="23"/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497</v>
      </c>
      <c r="H345" s="22" t="str">
        <f t="shared" si="31"/>
        <v/>
      </c>
      <c r="J345" s="32"/>
      <c r="K345" s="24" t="str">
        <f t="shared" si="29"/>
        <v/>
      </c>
      <c r="Q345" s="23"/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498</v>
      </c>
      <c r="H346" s="22" t="str">
        <f t="shared" si="31"/>
        <v/>
      </c>
      <c r="J346" s="32"/>
      <c r="K346" s="24" t="str">
        <f t="shared" si="29"/>
        <v/>
      </c>
      <c r="Q346" s="23"/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499</v>
      </c>
      <c r="H347" s="22" t="str">
        <f t="shared" si="31"/>
        <v/>
      </c>
      <c r="J347" s="32"/>
      <c r="K347" s="24" t="str">
        <f t="shared" si="29"/>
        <v/>
      </c>
      <c r="Q347" s="23"/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500</v>
      </c>
      <c r="H348" s="22" t="str">
        <f t="shared" si="31"/>
        <v/>
      </c>
      <c r="J348" s="32"/>
      <c r="K348" s="24" t="str">
        <f t="shared" si="29"/>
        <v/>
      </c>
      <c r="Q348" s="23"/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501</v>
      </c>
      <c r="H349" s="22" t="str">
        <f t="shared" si="31"/>
        <v/>
      </c>
      <c r="J349" s="32"/>
      <c r="K349" s="24" t="str">
        <f t="shared" si="29"/>
        <v/>
      </c>
      <c r="Q349" s="23"/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502</v>
      </c>
      <c r="H350" s="22" t="str">
        <f t="shared" si="31"/>
        <v/>
      </c>
      <c r="J350" s="32"/>
      <c r="K350" s="24" t="str">
        <f t="shared" si="29"/>
        <v/>
      </c>
      <c r="Q350" s="23"/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503</v>
      </c>
      <c r="H351" s="22" t="str">
        <f t="shared" si="31"/>
        <v/>
      </c>
      <c r="J351" s="32"/>
      <c r="K351" s="24" t="str">
        <f t="shared" si="29"/>
        <v/>
      </c>
      <c r="Q351" s="23"/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504</v>
      </c>
      <c r="H352" s="22" t="str">
        <f t="shared" si="31"/>
        <v/>
      </c>
      <c r="J352" s="32"/>
      <c r="K352" s="24" t="str">
        <f t="shared" si="29"/>
        <v/>
      </c>
      <c r="Q352" s="23"/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505</v>
      </c>
      <c r="H353" s="22" t="str">
        <f t="shared" si="31"/>
        <v/>
      </c>
      <c r="J353" s="32"/>
      <c r="K353" s="24" t="str">
        <f t="shared" si="29"/>
        <v/>
      </c>
      <c r="Q353" s="23"/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506</v>
      </c>
      <c r="H354" s="22" t="str">
        <f t="shared" si="31"/>
        <v/>
      </c>
      <c r="J354" s="32"/>
      <c r="K354" s="24" t="str">
        <f t="shared" si="29"/>
        <v/>
      </c>
      <c r="Q354" s="23"/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507</v>
      </c>
      <c r="H355" s="22" t="str">
        <f t="shared" si="31"/>
        <v/>
      </c>
      <c r="J355" s="32"/>
      <c r="K355" s="24" t="str">
        <f t="shared" si="29"/>
        <v/>
      </c>
      <c r="Q355" s="23"/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508</v>
      </c>
      <c r="H356" s="22" t="str">
        <f t="shared" si="31"/>
        <v/>
      </c>
      <c r="J356" s="32"/>
      <c r="K356" s="24" t="str">
        <f t="shared" si="29"/>
        <v/>
      </c>
      <c r="Q356" s="23"/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509</v>
      </c>
      <c r="H357" s="22" t="str">
        <f t="shared" si="31"/>
        <v/>
      </c>
      <c r="J357" s="32"/>
      <c r="K357" s="24" t="str">
        <f t="shared" si="29"/>
        <v/>
      </c>
      <c r="Q357" s="23"/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510</v>
      </c>
      <c r="H358" s="22" t="str">
        <f t="shared" si="31"/>
        <v/>
      </c>
      <c r="J358" s="32"/>
      <c r="K358" s="24" t="str">
        <f t="shared" si="29"/>
        <v/>
      </c>
      <c r="Q358" s="23"/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511</v>
      </c>
      <c r="H359" s="22" t="str">
        <f t="shared" si="31"/>
        <v/>
      </c>
      <c r="J359" s="32"/>
      <c r="K359" s="24" t="str">
        <f t="shared" si="29"/>
        <v/>
      </c>
      <c r="Q359" s="23"/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512</v>
      </c>
      <c r="H360" s="22" t="str">
        <f t="shared" si="31"/>
        <v/>
      </c>
      <c r="J360" s="32"/>
      <c r="K360" s="24" t="str">
        <f t="shared" si="29"/>
        <v/>
      </c>
      <c r="Q360" s="23"/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513</v>
      </c>
      <c r="H361" s="22" t="str">
        <f t="shared" si="31"/>
        <v/>
      </c>
      <c r="J361" s="32"/>
      <c r="K361" s="24" t="str">
        <f t="shared" si="29"/>
        <v/>
      </c>
      <c r="Q361" s="23"/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514</v>
      </c>
      <c r="H362" s="22" t="str">
        <f t="shared" si="31"/>
        <v/>
      </c>
      <c r="J362" s="32"/>
      <c r="K362" s="24" t="str">
        <f t="shared" si="29"/>
        <v/>
      </c>
      <c r="Q362" s="23"/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515</v>
      </c>
      <c r="H363" s="22" t="str">
        <f t="shared" si="31"/>
        <v/>
      </c>
      <c r="J363" s="32"/>
      <c r="K363" s="24" t="str">
        <f t="shared" si="29"/>
        <v/>
      </c>
      <c r="Q363" s="23"/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516</v>
      </c>
      <c r="H364" s="22" t="str">
        <f t="shared" si="31"/>
        <v/>
      </c>
      <c r="J364" s="32"/>
      <c r="K364" s="24" t="str">
        <f t="shared" si="29"/>
        <v/>
      </c>
      <c r="Q364" s="23"/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517</v>
      </c>
      <c r="H365" s="22" t="str">
        <f t="shared" si="31"/>
        <v/>
      </c>
      <c r="J365" s="32"/>
      <c r="K365" s="24" t="str">
        <f t="shared" si="29"/>
        <v/>
      </c>
      <c r="Q365" s="23"/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518</v>
      </c>
      <c r="H366" s="22" t="str">
        <f t="shared" si="31"/>
        <v/>
      </c>
      <c r="J366" s="32"/>
      <c r="K366" s="24" t="str">
        <f t="shared" si="29"/>
        <v/>
      </c>
      <c r="Q366" s="23"/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519</v>
      </c>
      <c r="H367" s="22" t="str">
        <f t="shared" si="31"/>
        <v/>
      </c>
      <c r="J367" s="32"/>
      <c r="K367" s="24" t="str">
        <f t="shared" si="29"/>
        <v/>
      </c>
      <c r="Q367" s="23"/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520</v>
      </c>
      <c r="H368" s="22" t="str">
        <f t="shared" si="31"/>
        <v/>
      </c>
      <c r="J368" s="32"/>
      <c r="K368" s="24" t="str">
        <f t="shared" si="29"/>
        <v/>
      </c>
      <c r="Q368" s="23"/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521</v>
      </c>
      <c r="H369" s="22" t="str">
        <f t="shared" si="31"/>
        <v/>
      </c>
      <c r="J369" s="32"/>
      <c r="K369" s="24" t="str">
        <f t="shared" si="29"/>
        <v/>
      </c>
      <c r="Q369" s="23"/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522</v>
      </c>
      <c r="H370" s="22" t="str">
        <f t="shared" si="31"/>
        <v/>
      </c>
      <c r="J370" s="32"/>
      <c r="K370" s="24" t="str">
        <f t="shared" si="29"/>
        <v/>
      </c>
      <c r="Q370" s="23"/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523</v>
      </c>
      <c r="H371" s="22" t="str">
        <f t="shared" si="31"/>
        <v/>
      </c>
      <c r="J371" s="32"/>
      <c r="K371" s="24" t="str">
        <f t="shared" si="29"/>
        <v/>
      </c>
      <c r="Q371" s="23"/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524</v>
      </c>
      <c r="H372" s="22" t="str">
        <f t="shared" si="31"/>
        <v/>
      </c>
      <c r="J372" s="32"/>
      <c r="K372" s="24" t="str">
        <f t="shared" si="29"/>
        <v/>
      </c>
      <c r="Q372" s="23"/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525</v>
      </c>
      <c r="H373" s="22" t="str">
        <f t="shared" si="31"/>
        <v/>
      </c>
      <c r="J373" s="32"/>
      <c r="K373" s="24" t="str">
        <f t="shared" si="29"/>
        <v/>
      </c>
      <c r="Q373" s="23"/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526</v>
      </c>
      <c r="H374" s="22" t="str">
        <f t="shared" si="31"/>
        <v/>
      </c>
      <c r="J374" s="32"/>
      <c r="K374" s="24" t="str">
        <f t="shared" si="29"/>
        <v/>
      </c>
      <c r="Q374" s="23"/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527</v>
      </c>
      <c r="H375" s="22" t="str">
        <f t="shared" si="31"/>
        <v/>
      </c>
      <c r="J375" s="32"/>
      <c r="K375" s="24" t="str">
        <f t="shared" si="29"/>
        <v/>
      </c>
      <c r="Q375" s="23"/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528</v>
      </c>
      <c r="H376" s="22" t="str">
        <f t="shared" si="31"/>
        <v/>
      </c>
      <c r="J376" s="32"/>
      <c r="K376" s="24" t="str">
        <f t="shared" si="29"/>
        <v/>
      </c>
      <c r="Q376" s="23"/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529</v>
      </c>
      <c r="H377" s="22" t="str">
        <f t="shared" si="31"/>
        <v/>
      </c>
      <c r="J377" s="32"/>
      <c r="K377" s="24" t="str">
        <f t="shared" si="29"/>
        <v/>
      </c>
      <c r="Q377" s="23"/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530</v>
      </c>
      <c r="H378" s="22" t="str">
        <f t="shared" si="31"/>
        <v/>
      </c>
      <c r="J378" s="32"/>
      <c r="K378" s="24" t="str">
        <f t="shared" si="29"/>
        <v/>
      </c>
      <c r="Q378" s="23"/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531</v>
      </c>
      <c r="H379" s="22" t="str">
        <f t="shared" si="31"/>
        <v/>
      </c>
      <c r="J379" s="32"/>
      <c r="K379" s="24" t="str">
        <f t="shared" si="29"/>
        <v/>
      </c>
      <c r="Q379" s="23"/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532</v>
      </c>
      <c r="H380" s="22" t="str">
        <f t="shared" si="31"/>
        <v/>
      </c>
      <c r="J380" s="32"/>
      <c r="K380" s="24" t="str">
        <f t="shared" si="29"/>
        <v/>
      </c>
      <c r="Q380" s="23"/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533</v>
      </c>
      <c r="H381" s="22" t="str">
        <f t="shared" si="31"/>
        <v/>
      </c>
      <c r="J381" s="32"/>
      <c r="K381" s="24" t="str">
        <f t="shared" si="29"/>
        <v/>
      </c>
      <c r="Q381" s="23"/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534</v>
      </c>
      <c r="H382" s="22" t="str">
        <f t="shared" si="31"/>
        <v/>
      </c>
      <c r="J382" s="32"/>
      <c r="K382" s="24" t="str">
        <f t="shared" si="29"/>
        <v/>
      </c>
      <c r="Q382" s="23"/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535</v>
      </c>
      <c r="H383" s="22" t="str">
        <f t="shared" si="31"/>
        <v/>
      </c>
      <c r="J383" s="32"/>
      <c r="K383" s="24" t="str">
        <f t="shared" si="29"/>
        <v/>
      </c>
      <c r="Q383" s="23"/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536</v>
      </c>
      <c r="H384" s="22" t="str">
        <f t="shared" si="31"/>
        <v/>
      </c>
      <c r="J384" s="32"/>
      <c r="K384" s="24" t="str">
        <f t="shared" si="29"/>
        <v/>
      </c>
      <c r="Q384" s="23"/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537</v>
      </c>
      <c r="H385" s="22" t="str">
        <f t="shared" si="31"/>
        <v/>
      </c>
      <c r="J385" s="32"/>
      <c r="K385" s="24" t="str">
        <f t="shared" si="29"/>
        <v/>
      </c>
      <c r="Q385" s="23"/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538</v>
      </c>
      <c r="H386" s="22" t="str">
        <f t="shared" si="31"/>
        <v/>
      </c>
      <c r="J386" s="32"/>
      <c r="K386" s="24" t="str">
        <f t="shared" si="29"/>
        <v/>
      </c>
      <c r="Q386" s="23"/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539</v>
      </c>
      <c r="H387" s="22" t="str">
        <f t="shared" si="31"/>
        <v/>
      </c>
      <c r="J387" s="32"/>
      <c r="K387" s="24" t="str">
        <f t="shared" si="29"/>
        <v/>
      </c>
      <c r="Q387" s="23"/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540</v>
      </c>
      <c r="H388" s="22" t="str">
        <f t="shared" si="31"/>
        <v/>
      </c>
      <c r="J388" s="32"/>
      <c r="K388" s="24" t="str">
        <f t="shared" si="29"/>
        <v/>
      </c>
      <c r="Q388" s="23"/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541</v>
      </c>
      <c r="H389" s="22" t="str">
        <f t="shared" si="31"/>
        <v/>
      </c>
      <c r="J389" s="32"/>
      <c r="K389" s="24" t="str">
        <f t="shared" si="29"/>
        <v/>
      </c>
      <c r="Q389" s="23"/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542</v>
      </c>
      <c r="H390" s="22" t="str">
        <f t="shared" si="31"/>
        <v/>
      </c>
      <c r="J390" s="32"/>
      <c r="K390" s="24" t="str">
        <f t="shared" ref="K390:K453" si="34">IF(I390="","",IF(I390="ENTRADA",ABS(J390),-ABS(J390)))</f>
        <v/>
      </c>
      <c r="Q390" s="23"/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543</v>
      </c>
      <c r="H391" s="22" t="str">
        <f t="shared" si="31"/>
        <v/>
      </c>
      <c r="J391" s="32"/>
      <c r="K391" s="24" t="str">
        <f t="shared" si="34"/>
        <v/>
      </c>
      <c r="Q391" s="23"/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544</v>
      </c>
      <c r="H392" s="22" t="str">
        <f t="shared" si="31"/>
        <v/>
      </c>
      <c r="J392" s="32"/>
      <c r="K392" s="24" t="str">
        <f t="shared" si="34"/>
        <v/>
      </c>
      <c r="Q392" s="23"/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545</v>
      </c>
      <c r="H393" s="22" t="str">
        <f t="shared" si="31"/>
        <v/>
      </c>
      <c r="J393" s="32"/>
      <c r="K393" s="24" t="str">
        <f t="shared" si="34"/>
        <v/>
      </c>
      <c r="Q393" s="23"/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546</v>
      </c>
      <c r="H394" s="22" t="str">
        <f t="shared" si="31"/>
        <v/>
      </c>
      <c r="J394" s="32"/>
      <c r="K394" s="24" t="str">
        <f t="shared" si="34"/>
        <v/>
      </c>
      <c r="Q394" s="23"/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547</v>
      </c>
      <c r="H395" s="22" t="str">
        <f t="shared" si="31"/>
        <v/>
      </c>
      <c r="J395" s="32"/>
      <c r="K395" s="24" t="str">
        <f t="shared" si="34"/>
        <v/>
      </c>
      <c r="Q395" s="23"/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548</v>
      </c>
      <c r="H396" s="22" t="str">
        <f t="shared" si="31"/>
        <v/>
      </c>
      <c r="J396" s="32"/>
      <c r="K396" s="24" t="str">
        <f t="shared" si="34"/>
        <v/>
      </c>
      <c r="Q396" s="23"/>
      <c r="R396" s="24" t="str">
        <f t="shared" si="32"/>
        <v/>
      </c>
      <c r="S396" s="24" t="str">
        <f t="shared" si="33"/>
        <v/>
      </c>
      <c r="T396" t="str">
        <f t="shared" ref="T396:T459" si="35">IF(OR(C396="",I396&lt;&gt;"ENTRADA"),"",TEXT(B396,"AAMMDD")&amp;"-"&amp;TEXT(VALUE(SUBSTITUTE(A396,"MOV-","")),"000"))</f>
        <v/>
      </c>
    </row>
    <row r="397" spans="1:20">
      <c r="A397" s="22" t="s">
        <v>549</v>
      </c>
      <c r="H397" s="22" t="str">
        <f t="shared" ref="H397:H460" si="36">+T397</f>
        <v/>
      </c>
      <c r="J397" s="32"/>
      <c r="K397" s="24" t="str">
        <f t="shared" si="34"/>
        <v/>
      </c>
      <c r="Q397" s="23"/>
      <c r="R397" s="24" t="str">
        <f t="shared" ref="R397:R460" si="37">IF(H397="","",H397&amp;I397)</f>
        <v/>
      </c>
      <c r="S397" s="24" t="str">
        <f t="shared" ref="S397:S460" si="38">IF(C397="","",C397&amp;I397)</f>
        <v/>
      </c>
      <c r="T397" t="str">
        <f t="shared" si="35"/>
        <v/>
      </c>
    </row>
    <row r="398" spans="1:20">
      <c r="A398" s="22" t="s">
        <v>550</v>
      </c>
      <c r="H398" s="22" t="str">
        <f t="shared" si="36"/>
        <v/>
      </c>
      <c r="J398" s="32"/>
      <c r="K398" s="24" t="str">
        <f t="shared" si="34"/>
        <v/>
      </c>
      <c r="Q398" s="23"/>
      <c r="R398" s="24" t="str">
        <f t="shared" si="37"/>
        <v/>
      </c>
      <c r="S398" s="24" t="str">
        <f t="shared" si="38"/>
        <v/>
      </c>
      <c r="T398" t="str">
        <f t="shared" si="35"/>
        <v/>
      </c>
    </row>
    <row r="399" spans="1:20">
      <c r="A399" s="22" t="s">
        <v>551</v>
      </c>
      <c r="H399" s="22" t="str">
        <f t="shared" si="36"/>
        <v/>
      </c>
      <c r="J399" s="32"/>
      <c r="K399" s="24" t="str">
        <f t="shared" si="34"/>
        <v/>
      </c>
      <c r="Q399" s="23"/>
      <c r="R399" s="24" t="str">
        <f t="shared" si="37"/>
        <v/>
      </c>
      <c r="S399" s="24" t="str">
        <f t="shared" si="38"/>
        <v/>
      </c>
      <c r="T399" t="str">
        <f t="shared" si="35"/>
        <v/>
      </c>
    </row>
    <row r="400" spans="1:20">
      <c r="A400" s="22" t="s">
        <v>552</v>
      </c>
      <c r="H400" s="22" t="str">
        <f t="shared" si="36"/>
        <v/>
      </c>
      <c r="J400" s="32"/>
      <c r="K400" s="24" t="str">
        <f t="shared" si="34"/>
        <v/>
      </c>
      <c r="Q400" s="23"/>
      <c r="R400" s="24" t="str">
        <f t="shared" si="37"/>
        <v/>
      </c>
      <c r="S400" s="24" t="str">
        <f t="shared" si="38"/>
        <v/>
      </c>
      <c r="T400" t="str">
        <f t="shared" si="35"/>
        <v/>
      </c>
    </row>
    <row r="401" spans="1:20">
      <c r="A401" s="22" t="s">
        <v>553</v>
      </c>
      <c r="H401" s="22" t="str">
        <f t="shared" si="36"/>
        <v/>
      </c>
      <c r="J401" s="32"/>
      <c r="K401" s="24" t="str">
        <f t="shared" si="34"/>
        <v/>
      </c>
      <c r="Q401" s="23"/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554</v>
      </c>
      <c r="H402" s="22" t="str">
        <f t="shared" si="36"/>
        <v/>
      </c>
      <c r="J402" s="32"/>
      <c r="K402" s="24" t="str">
        <f t="shared" si="34"/>
        <v/>
      </c>
      <c r="Q402" s="23"/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555</v>
      </c>
      <c r="H403" s="22" t="str">
        <f t="shared" si="36"/>
        <v/>
      </c>
      <c r="J403" s="32"/>
      <c r="K403" s="24" t="str">
        <f t="shared" si="34"/>
        <v/>
      </c>
      <c r="Q403" s="23"/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556</v>
      </c>
      <c r="H404" s="22" t="str">
        <f t="shared" si="36"/>
        <v/>
      </c>
      <c r="J404" s="32"/>
      <c r="K404" s="24" t="str">
        <f t="shared" si="34"/>
        <v/>
      </c>
      <c r="Q404" s="23"/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557</v>
      </c>
      <c r="H405" s="22" t="str">
        <f t="shared" si="36"/>
        <v/>
      </c>
      <c r="J405" s="32"/>
      <c r="K405" s="24" t="str">
        <f t="shared" si="34"/>
        <v/>
      </c>
      <c r="Q405" s="23"/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558</v>
      </c>
      <c r="H406" s="22" t="str">
        <f t="shared" si="36"/>
        <v/>
      </c>
      <c r="J406" s="32"/>
      <c r="K406" s="24" t="str">
        <f t="shared" si="34"/>
        <v/>
      </c>
      <c r="Q406" s="23"/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559</v>
      </c>
      <c r="H407" s="22" t="str">
        <f t="shared" si="36"/>
        <v/>
      </c>
      <c r="J407" s="32"/>
      <c r="K407" s="24" t="str">
        <f t="shared" si="34"/>
        <v/>
      </c>
      <c r="Q407" s="23"/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560</v>
      </c>
      <c r="H408" s="22" t="str">
        <f t="shared" si="36"/>
        <v/>
      </c>
      <c r="J408" s="32"/>
      <c r="K408" s="24" t="str">
        <f t="shared" si="34"/>
        <v/>
      </c>
      <c r="Q408" s="23"/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561</v>
      </c>
      <c r="H409" s="22" t="str">
        <f t="shared" si="36"/>
        <v/>
      </c>
      <c r="J409" s="32"/>
      <c r="K409" s="24" t="str">
        <f t="shared" si="34"/>
        <v/>
      </c>
      <c r="Q409" s="23"/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562</v>
      </c>
      <c r="H410" s="22" t="str">
        <f t="shared" si="36"/>
        <v/>
      </c>
      <c r="J410" s="32"/>
      <c r="K410" s="24" t="str">
        <f t="shared" si="34"/>
        <v/>
      </c>
      <c r="Q410" s="23"/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563</v>
      </c>
      <c r="H411" s="22" t="str">
        <f t="shared" si="36"/>
        <v/>
      </c>
      <c r="J411" s="32"/>
      <c r="K411" s="24" t="str">
        <f t="shared" si="34"/>
        <v/>
      </c>
      <c r="Q411" s="23"/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564</v>
      </c>
      <c r="H412" s="22" t="str">
        <f t="shared" si="36"/>
        <v/>
      </c>
      <c r="J412" s="32"/>
      <c r="K412" s="24" t="str">
        <f t="shared" si="34"/>
        <v/>
      </c>
      <c r="Q412" s="23"/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565</v>
      </c>
      <c r="H413" s="22" t="str">
        <f t="shared" si="36"/>
        <v/>
      </c>
      <c r="J413" s="32"/>
      <c r="K413" s="24" t="str">
        <f t="shared" si="34"/>
        <v/>
      </c>
      <c r="Q413" s="23"/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566</v>
      </c>
      <c r="H414" s="22" t="str">
        <f t="shared" si="36"/>
        <v/>
      </c>
      <c r="J414" s="32"/>
      <c r="K414" s="24" t="str">
        <f t="shared" si="34"/>
        <v/>
      </c>
      <c r="Q414" s="23"/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567</v>
      </c>
      <c r="H415" s="22" t="str">
        <f t="shared" si="36"/>
        <v/>
      </c>
      <c r="J415" s="32"/>
      <c r="K415" s="24" t="str">
        <f t="shared" si="34"/>
        <v/>
      </c>
      <c r="Q415" s="23"/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568</v>
      </c>
      <c r="H416" s="22" t="str">
        <f t="shared" si="36"/>
        <v/>
      </c>
      <c r="J416" s="32"/>
      <c r="K416" s="24" t="str">
        <f t="shared" si="34"/>
        <v/>
      </c>
      <c r="Q416" s="23"/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569</v>
      </c>
      <c r="H417" s="22" t="str">
        <f t="shared" si="36"/>
        <v/>
      </c>
      <c r="J417" s="32"/>
      <c r="K417" s="24" t="str">
        <f t="shared" si="34"/>
        <v/>
      </c>
      <c r="Q417" s="23"/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570</v>
      </c>
      <c r="H418" s="22" t="str">
        <f t="shared" si="36"/>
        <v/>
      </c>
      <c r="J418" s="32"/>
      <c r="K418" s="24" t="str">
        <f t="shared" si="34"/>
        <v/>
      </c>
      <c r="Q418" s="23"/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571</v>
      </c>
      <c r="H419" s="22" t="str">
        <f t="shared" si="36"/>
        <v/>
      </c>
      <c r="J419" s="32"/>
      <c r="K419" s="24" t="str">
        <f t="shared" si="34"/>
        <v/>
      </c>
      <c r="Q419" s="23"/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572</v>
      </c>
      <c r="H420" s="22" t="str">
        <f t="shared" si="36"/>
        <v/>
      </c>
      <c r="J420" s="32"/>
      <c r="K420" s="24" t="str">
        <f t="shared" si="34"/>
        <v/>
      </c>
      <c r="Q420" s="23"/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573</v>
      </c>
      <c r="H421" s="22" t="str">
        <f t="shared" si="36"/>
        <v/>
      </c>
      <c r="J421" s="32"/>
      <c r="K421" s="24" t="str">
        <f t="shared" si="34"/>
        <v/>
      </c>
      <c r="Q421" s="23"/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574</v>
      </c>
      <c r="H422" s="22" t="str">
        <f t="shared" si="36"/>
        <v/>
      </c>
      <c r="J422" s="32"/>
      <c r="K422" s="24" t="str">
        <f t="shared" si="34"/>
        <v/>
      </c>
      <c r="Q422" s="23"/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575</v>
      </c>
      <c r="H423" s="22" t="str">
        <f t="shared" si="36"/>
        <v/>
      </c>
      <c r="J423" s="32"/>
      <c r="K423" s="24" t="str">
        <f t="shared" si="34"/>
        <v/>
      </c>
      <c r="Q423" s="23"/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576</v>
      </c>
      <c r="H424" s="22" t="str">
        <f t="shared" si="36"/>
        <v/>
      </c>
      <c r="J424" s="32"/>
      <c r="K424" s="24" t="str">
        <f t="shared" si="34"/>
        <v/>
      </c>
      <c r="Q424" s="23"/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577</v>
      </c>
      <c r="H425" s="22" t="str">
        <f t="shared" si="36"/>
        <v/>
      </c>
      <c r="J425" s="32"/>
      <c r="K425" s="24" t="str">
        <f t="shared" si="34"/>
        <v/>
      </c>
      <c r="Q425" s="23"/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578</v>
      </c>
      <c r="H426" s="22" t="str">
        <f t="shared" si="36"/>
        <v/>
      </c>
      <c r="J426" s="32"/>
      <c r="K426" s="24" t="str">
        <f t="shared" si="34"/>
        <v/>
      </c>
      <c r="Q426" s="23"/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579</v>
      </c>
      <c r="H427" s="22" t="str">
        <f t="shared" si="36"/>
        <v/>
      </c>
      <c r="J427" s="32"/>
      <c r="K427" s="24" t="str">
        <f t="shared" si="34"/>
        <v/>
      </c>
      <c r="Q427" s="23"/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580</v>
      </c>
      <c r="H428" s="22" t="str">
        <f t="shared" si="36"/>
        <v/>
      </c>
      <c r="J428" s="32"/>
      <c r="K428" s="24" t="str">
        <f t="shared" si="34"/>
        <v/>
      </c>
      <c r="Q428" s="23"/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581</v>
      </c>
      <c r="H429" s="22" t="str">
        <f t="shared" si="36"/>
        <v/>
      </c>
      <c r="J429" s="32"/>
      <c r="K429" s="24" t="str">
        <f t="shared" si="34"/>
        <v/>
      </c>
      <c r="Q429" s="23"/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582</v>
      </c>
      <c r="H430" s="22" t="str">
        <f t="shared" si="36"/>
        <v/>
      </c>
      <c r="J430" s="32"/>
      <c r="K430" s="24" t="str">
        <f t="shared" si="34"/>
        <v/>
      </c>
      <c r="Q430" s="23"/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583</v>
      </c>
      <c r="H431" s="22" t="str">
        <f t="shared" si="36"/>
        <v/>
      </c>
      <c r="J431" s="32"/>
      <c r="K431" s="24" t="str">
        <f t="shared" si="34"/>
        <v/>
      </c>
      <c r="Q431" s="23"/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584</v>
      </c>
      <c r="H432" s="22" t="str">
        <f t="shared" si="36"/>
        <v/>
      </c>
      <c r="J432" s="32"/>
      <c r="K432" s="24" t="str">
        <f t="shared" si="34"/>
        <v/>
      </c>
      <c r="Q432" s="23"/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585</v>
      </c>
      <c r="H433" s="22" t="str">
        <f t="shared" si="36"/>
        <v/>
      </c>
      <c r="J433" s="32"/>
      <c r="K433" s="24" t="str">
        <f t="shared" si="34"/>
        <v/>
      </c>
      <c r="Q433" s="23"/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586</v>
      </c>
      <c r="H434" s="22" t="str">
        <f t="shared" si="36"/>
        <v/>
      </c>
      <c r="J434" s="32"/>
      <c r="K434" s="24" t="str">
        <f t="shared" si="34"/>
        <v/>
      </c>
      <c r="Q434" s="23"/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587</v>
      </c>
      <c r="H435" s="22" t="str">
        <f t="shared" si="36"/>
        <v/>
      </c>
      <c r="J435" s="32"/>
      <c r="K435" s="24" t="str">
        <f t="shared" si="34"/>
        <v/>
      </c>
      <c r="Q435" s="23"/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588</v>
      </c>
      <c r="H436" s="22" t="str">
        <f t="shared" si="36"/>
        <v/>
      </c>
      <c r="J436" s="32"/>
      <c r="K436" s="24" t="str">
        <f t="shared" si="34"/>
        <v/>
      </c>
      <c r="Q436" s="23"/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589</v>
      </c>
      <c r="H437" s="22" t="str">
        <f t="shared" si="36"/>
        <v/>
      </c>
      <c r="J437" s="32"/>
      <c r="K437" s="24" t="str">
        <f t="shared" si="34"/>
        <v/>
      </c>
      <c r="Q437" s="23"/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590</v>
      </c>
      <c r="H438" s="22" t="str">
        <f t="shared" si="36"/>
        <v/>
      </c>
      <c r="J438" s="32"/>
      <c r="K438" s="24" t="str">
        <f t="shared" si="34"/>
        <v/>
      </c>
      <c r="Q438" s="23"/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591</v>
      </c>
      <c r="H439" s="22" t="str">
        <f t="shared" si="36"/>
        <v/>
      </c>
      <c r="J439" s="32"/>
      <c r="K439" s="24" t="str">
        <f t="shared" si="34"/>
        <v/>
      </c>
      <c r="Q439" s="23"/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592</v>
      </c>
      <c r="H440" s="22" t="str">
        <f t="shared" si="36"/>
        <v/>
      </c>
      <c r="J440" s="32"/>
      <c r="K440" s="24" t="str">
        <f t="shared" si="34"/>
        <v/>
      </c>
      <c r="Q440" s="23"/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593</v>
      </c>
      <c r="H441" s="22" t="str">
        <f t="shared" si="36"/>
        <v/>
      </c>
      <c r="J441" s="32"/>
      <c r="K441" s="24" t="str">
        <f t="shared" si="34"/>
        <v/>
      </c>
      <c r="Q441" s="23"/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594</v>
      </c>
      <c r="H442" s="22" t="str">
        <f t="shared" si="36"/>
        <v/>
      </c>
      <c r="J442" s="32"/>
      <c r="K442" s="24" t="str">
        <f t="shared" si="34"/>
        <v/>
      </c>
      <c r="Q442" s="23"/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595</v>
      </c>
      <c r="H443" s="22" t="str">
        <f t="shared" si="36"/>
        <v/>
      </c>
      <c r="J443" s="32"/>
      <c r="K443" s="24" t="str">
        <f t="shared" si="34"/>
        <v/>
      </c>
      <c r="Q443" s="23"/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596</v>
      </c>
      <c r="H444" s="22" t="str">
        <f t="shared" si="36"/>
        <v/>
      </c>
      <c r="J444" s="32"/>
      <c r="K444" s="24" t="str">
        <f t="shared" si="34"/>
        <v/>
      </c>
      <c r="Q444" s="23"/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597</v>
      </c>
      <c r="H445" s="22" t="str">
        <f t="shared" si="36"/>
        <v/>
      </c>
      <c r="J445" s="32"/>
      <c r="K445" s="24" t="str">
        <f t="shared" si="34"/>
        <v/>
      </c>
      <c r="Q445" s="23"/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598</v>
      </c>
      <c r="H446" s="22" t="str">
        <f t="shared" si="36"/>
        <v/>
      </c>
      <c r="J446" s="32"/>
      <c r="K446" s="24" t="str">
        <f t="shared" si="34"/>
        <v/>
      </c>
      <c r="Q446" s="23"/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599</v>
      </c>
      <c r="H447" s="22" t="str">
        <f t="shared" si="36"/>
        <v/>
      </c>
      <c r="J447" s="32"/>
      <c r="K447" s="24" t="str">
        <f t="shared" si="34"/>
        <v/>
      </c>
      <c r="Q447" s="23"/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600</v>
      </c>
      <c r="H448" s="22" t="str">
        <f t="shared" si="36"/>
        <v/>
      </c>
      <c r="J448" s="32"/>
      <c r="K448" s="24" t="str">
        <f t="shared" si="34"/>
        <v/>
      </c>
      <c r="Q448" s="23"/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601</v>
      </c>
      <c r="H449" s="22" t="str">
        <f t="shared" si="36"/>
        <v/>
      </c>
      <c r="J449" s="32"/>
      <c r="K449" s="24" t="str">
        <f t="shared" si="34"/>
        <v/>
      </c>
      <c r="Q449" s="23"/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602</v>
      </c>
      <c r="H450" s="22" t="str">
        <f t="shared" si="36"/>
        <v/>
      </c>
      <c r="J450" s="32"/>
      <c r="K450" s="24" t="str">
        <f t="shared" si="34"/>
        <v/>
      </c>
      <c r="Q450" s="23"/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603</v>
      </c>
      <c r="H451" s="22" t="str">
        <f t="shared" si="36"/>
        <v/>
      </c>
      <c r="J451" s="32"/>
      <c r="K451" s="24" t="str">
        <f t="shared" si="34"/>
        <v/>
      </c>
      <c r="Q451" s="23"/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604</v>
      </c>
      <c r="H452" s="22" t="str">
        <f t="shared" si="36"/>
        <v/>
      </c>
      <c r="J452" s="32"/>
      <c r="K452" s="24" t="str">
        <f t="shared" si="34"/>
        <v/>
      </c>
      <c r="Q452" s="23"/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605</v>
      </c>
      <c r="H453" s="22" t="str">
        <f t="shared" si="36"/>
        <v/>
      </c>
      <c r="J453" s="32"/>
      <c r="K453" s="24" t="str">
        <f t="shared" si="34"/>
        <v/>
      </c>
      <c r="Q453" s="23"/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606</v>
      </c>
      <c r="H454" s="22" t="str">
        <f t="shared" si="36"/>
        <v/>
      </c>
      <c r="J454" s="32"/>
      <c r="K454" s="24" t="str">
        <f t="shared" ref="K454:K517" si="39">IF(I454="","",IF(I454="ENTRADA",ABS(J454),-ABS(J454)))</f>
        <v/>
      </c>
      <c r="Q454" s="23"/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607</v>
      </c>
      <c r="H455" s="22" t="str">
        <f t="shared" si="36"/>
        <v/>
      </c>
      <c r="J455" s="32"/>
      <c r="K455" s="24" t="str">
        <f t="shared" si="39"/>
        <v/>
      </c>
      <c r="Q455" s="23"/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608</v>
      </c>
      <c r="H456" s="22" t="str">
        <f t="shared" si="36"/>
        <v/>
      </c>
      <c r="J456" s="32"/>
      <c r="K456" s="24" t="str">
        <f t="shared" si="39"/>
        <v/>
      </c>
      <c r="Q456" s="23"/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609</v>
      </c>
      <c r="H457" s="22" t="str">
        <f t="shared" si="36"/>
        <v/>
      </c>
      <c r="J457" s="32"/>
      <c r="K457" s="24" t="str">
        <f t="shared" si="39"/>
        <v/>
      </c>
      <c r="Q457" s="23"/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610</v>
      </c>
      <c r="H458" s="22" t="str">
        <f t="shared" si="36"/>
        <v/>
      </c>
      <c r="J458" s="32"/>
      <c r="K458" s="24" t="str">
        <f t="shared" si="39"/>
        <v/>
      </c>
      <c r="Q458" s="23"/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611</v>
      </c>
      <c r="H459" s="22" t="str">
        <f t="shared" si="36"/>
        <v/>
      </c>
      <c r="J459" s="32"/>
      <c r="K459" s="24" t="str">
        <f t="shared" si="39"/>
        <v/>
      </c>
      <c r="Q459" s="23"/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612</v>
      </c>
      <c r="H460" s="22" t="str">
        <f t="shared" si="36"/>
        <v/>
      </c>
      <c r="J460" s="32"/>
      <c r="K460" s="24" t="str">
        <f t="shared" si="39"/>
        <v/>
      </c>
      <c r="Q460" s="23"/>
      <c r="R460" s="24" t="str">
        <f t="shared" si="37"/>
        <v/>
      </c>
      <c r="S460" s="24" t="str">
        <f t="shared" si="38"/>
        <v/>
      </c>
      <c r="T460" t="str">
        <f t="shared" ref="T460:T523" si="40">IF(OR(C460="",I460&lt;&gt;"ENTRADA"),"",TEXT(B460,"AAMMDD")&amp;"-"&amp;TEXT(VALUE(SUBSTITUTE(A460,"MOV-","")),"000"))</f>
        <v/>
      </c>
    </row>
    <row r="461" spans="1:20">
      <c r="A461" s="22" t="s">
        <v>613</v>
      </c>
      <c r="H461" s="22" t="str">
        <f t="shared" ref="H461:H524" si="41">+T461</f>
        <v/>
      </c>
      <c r="J461" s="32"/>
      <c r="K461" s="24" t="str">
        <f t="shared" si="39"/>
        <v/>
      </c>
      <c r="Q461" s="23"/>
      <c r="R461" s="24" t="str">
        <f t="shared" ref="R461:R524" si="42">IF(H461="","",H461&amp;I461)</f>
        <v/>
      </c>
      <c r="S461" s="24" t="str">
        <f t="shared" ref="S461:S524" si="43">IF(C461="","",C461&amp;I461)</f>
        <v/>
      </c>
      <c r="T461" t="str">
        <f t="shared" si="40"/>
        <v/>
      </c>
    </row>
    <row r="462" spans="1:20">
      <c r="A462" s="22" t="s">
        <v>614</v>
      </c>
      <c r="H462" s="22" t="str">
        <f t="shared" si="41"/>
        <v/>
      </c>
      <c r="J462" s="32"/>
      <c r="K462" s="24" t="str">
        <f t="shared" si="39"/>
        <v/>
      </c>
      <c r="Q462" s="23"/>
      <c r="R462" s="24" t="str">
        <f t="shared" si="42"/>
        <v/>
      </c>
      <c r="S462" s="24" t="str">
        <f t="shared" si="43"/>
        <v/>
      </c>
      <c r="T462" t="str">
        <f t="shared" si="40"/>
        <v/>
      </c>
    </row>
    <row r="463" spans="1:20">
      <c r="A463" s="22" t="s">
        <v>615</v>
      </c>
      <c r="H463" s="22" t="str">
        <f t="shared" si="41"/>
        <v/>
      </c>
      <c r="J463" s="32"/>
      <c r="K463" s="24" t="str">
        <f t="shared" si="39"/>
        <v/>
      </c>
      <c r="Q463" s="23"/>
      <c r="R463" s="24" t="str">
        <f t="shared" si="42"/>
        <v/>
      </c>
      <c r="S463" s="24" t="str">
        <f t="shared" si="43"/>
        <v/>
      </c>
      <c r="T463" t="str">
        <f t="shared" si="40"/>
        <v/>
      </c>
    </row>
    <row r="464" spans="1:20">
      <c r="A464" s="22" t="s">
        <v>616</v>
      </c>
      <c r="H464" s="22" t="str">
        <f t="shared" si="41"/>
        <v/>
      </c>
      <c r="J464" s="32"/>
      <c r="K464" s="24" t="str">
        <f t="shared" si="39"/>
        <v/>
      </c>
      <c r="Q464" s="23"/>
      <c r="R464" s="24" t="str">
        <f t="shared" si="42"/>
        <v/>
      </c>
      <c r="S464" s="24" t="str">
        <f t="shared" si="43"/>
        <v/>
      </c>
      <c r="T464" t="str">
        <f t="shared" si="40"/>
        <v/>
      </c>
    </row>
    <row r="465" spans="1:20">
      <c r="A465" s="22" t="s">
        <v>617</v>
      </c>
      <c r="H465" s="22" t="str">
        <f t="shared" si="41"/>
        <v/>
      </c>
      <c r="J465" s="32"/>
      <c r="K465" s="24" t="str">
        <f t="shared" si="39"/>
        <v/>
      </c>
      <c r="Q465" s="23"/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618</v>
      </c>
      <c r="H466" s="22" t="str">
        <f t="shared" si="41"/>
        <v/>
      </c>
      <c r="J466" s="32"/>
      <c r="K466" s="24" t="str">
        <f t="shared" si="39"/>
        <v/>
      </c>
      <c r="Q466" s="23"/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619</v>
      </c>
      <c r="H467" s="22" t="str">
        <f t="shared" si="41"/>
        <v/>
      </c>
      <c r="J467" s="32"/>
      <c r="K467" s="24" t="str">
        <f t="shared" si="39"/>
        <v/>
      </c>
      <c r="Q467" s="23"/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620</v>
      </c>
      <c r="H468" s="22" t="str">
        <f t="shared" si="41"/>
        <v/>
      </c>
      <c r="J468" s="32"/>
      <c r="K468" s="24" t="str">
        <f t="shared" si="39"/>
        <v/>
      </c>
      <c r="Q468" s="23"/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621</v>
      </c>
      <c r="H469" s="22" t="str">
        <f t="shared" si="41"/>
        <v/>
      </c>
      <c r="J469" s="32"/>
      <c r="K469" s="24" t="str">
        <f t="shared" si="39"/>
        <v/>
      </c>
      <c r="Q469" s="23"/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622</v>
      </c>
      <c r="H470" s="22" t="str">
        <f t="shared" si="41"/>
        <v/>
      </c>
      <c r="J470" s="32"/>
      <c r="K470" s="24" t="str">
        <f t="shared" si="39"/>
        <v/>
      </c>
      <c r="Q470" s="23"/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623</v>
      </c>
      <c r="H471" s="22" t="str">
        <f t="shared" si="41"/>
        <v/>
      </c>
      <c r="J471" s="32"/>
      <c r="K471" s="24" t="str">
        <f t="shared" si="39"/>
        <v/>
      </c>
      <c r="Q471" s="23"/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624</v>
      </c>
      <c r="H472" s="22" t="str">
        <f t="shared" si="41"/>
        <v/>
      </c>
      <c r="J472" s="32"/>
      <c r="K472" s="24" t="str">
        <f t="shared" si="39"/>
        <v/>
      </c>
      <c r="Q472" s="23"/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625</v>
      </c>
      <c r="H473" s="22" t="str">
        <f t="shared" si="41"/>
        <v/>
      </c>
      <c r="J473" s="32"/>
      <c r="K473" s="24" t="str">
        <f t="shared" si="39"/>
        <v/>
      </c>
      <c r="Q473" s="23"/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626</v>
      </c>
      <c r="H474" s="22" t="str">
        <f t="shared" si="41"/>
        <v/>
      </c>
      <c r="J474" s="32"/>
      <c r="K474" s="24" t="str">
        <f t="shared" si="39"/>
        <v/>
      </c>
      <c r="Q474" s="23"/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627</v>
      </c>
      <c r="H475" s="22" t="str">
        <f t="shared" si="41"/>
        <v/>
      </c>
      <c r="J475" s="32"/>
      <c r="K475" s="24" t="str">
        <f t="shared" si="39"/>
        <v/>
      </c>
      <c r="Q475" s="23"/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628</v>
      </c>
      <c r="H476" s="22" t="str">
        <f t="shared" si="41"/>
        <v/>
      </c>
      <c r="J476" s="32"/>
      <c r="K476" s="24" t="str">
        <f t="shared" si="39"/>
        <v/>
      </c>
      <c r="Q476" s="23"/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629</v>
      </c>
      <c r="H477" s="22" t="str">
        <f t="shared" si="41"/>
        <v/>
      </c>
      <c r="J477" s="32"/>
      <c r="K477" s="24" t="str">
        <f t="shared" si="39"/>
        <v/>
      </c>
      <c r="Q477" s="23"/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630</v>
      </c>
      <c r="H478" s="22" t="str">
        <f t="shared" si="41"/>
        <v/>
      </c>
      <c r="J478" s="32"/>
      <c r="K478" s="24" t="str">
        <f t="shared" si="39"/>
        <v/>
      </c>
      <c r="Q478" s="23"/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631</v>
      </c>
      <c r="H479" s="22" t="str">
        <f t="shared" si="41"/>
        <v/>
      </c>
      <c r="J479" s="32"/>
      <c r="K479" s="24" t="str">
        <f t="shared" si="39"/>
        <v/>
      </c>
      <c r="Q479" s="23"/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632</v>
      </c>
      <c r="H480" s="22" t="str">
        <f t="shared" si="41"/>
        <v/>
      </c>
      <c r="J480" s="32"/>
      <c r="K480" s="24" t="str">
        <f t="shared" si="39"/>
        <v/>
      </c>
      <c r="Q480" s="23"/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633</v>
      </c>
      <c r="H481" s="22" t="str">
        <f t="shared" si="41"/>
        <v/>
      </c>
      <c r="J481" s="32"/>
      <c r="K481" s="24" t="str">
        <f t="shared" si="39"/>
        <v/>
      </c>
      <c r="Q481" s="23"/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634</v>
      </c>
      <c r="H482" s="22" t="str">
        <f t="shared" si="41"/>
        <v/>
      </c>
      <c r="J482" s="32"/>
      <c r="K482" s="24" t="str">
        <f t="shared" si="39"/>
        <v/>
      </c>
      <c r="Q482" s="23"/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635</v>
      </c>
      <c r="H483" s="22" t="str">
        <f t="shared" si="41"/>
        <v/>
      </c>
      <c r="J483" s="32"/>
      <c r="K483" s="24" t="str">
        <f t="shared" si="39"/>
        <v/>
      </c>
      <c r="Q483" s="23"/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636</v>
      </c>
      <c r="H484" s="22" t="str">
        <f t="shared" si="41"/>
        <v/>
      </c>
      <c r="J484" s="32"/>
      <c r="K484" s="24" t="str">
        <f t="shared" si="39"/>
        <v/>
      </c>
      <c r="Q484" s="23"/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637</v>
      </c>
      <c r="H485" s="22" t="str">
        <f t="shared" si="41"/>
        <v/>
      </c>
      <c r="J485" s="32"/>
      <c r="K485" s="24" t="str">
        <f t="shared" si="39"/>
        <v/>
      </c>
      <c r="Q485" s="23"/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638</v>
      </c>
      <c r="H486" s="22" t="str">
        <f t="shared" si="41"/>
        <v/>
      </c>
      <c r="J486" s="32"/>
      <c r="K486" s="24" t="str">
        <f t="shared" si="39"/>
        <v/>
      </c>
      <c r="Q486" s="23"/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639</v>
      </c>
      <c r="H487" s="22" t="str">
        <f t="shared" si="41"/>
        <v/>
      </c>
      <c r="J487" s="32"/>
      <c r="K487" s="24" t="str">
        <f t="shared" si="39"/>
        <v/>
      </c>
      <c r="Q487" s="23"/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640</v>
      </c>
      <c r="H488" s="22" t="str">
        <f t="shared" si="41"/>
        <v/>
      </c>
      <c r="J488" s="32"/>
      <c r="K488" s="24" t="str">
        <f t="shared" si="39"/>
        <v/>
      </c>
      <c r="Q488" s="23"/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641</v>
      </c>
      <c r="H489" s="22" t="str">
        <f t="shared" si="41"/>
        <v/>
      </c>
      <c r="J489" s="32"/>
      <c r="K489" s="24" t="str">
        <f t="shared" si="39"/>
        <v/>
      </c>
      <c r="Q489" s="23"/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642</v>
      </c>
      <c r="H490" s="22" t="str">
        <f t="shared" si="41"/>
        <v/>
      </c>
      <c r="J490" s="32"/>
      <c r="K490" s="24" t="str">
        <f t="shared" si="39"/>
        <v/>
      </c>
      <c r="Q490" s="23"/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643</v>
      </c>
      <c r="H491" s="22" t="str">
        <f t="shared" si="41"/>
        <v/>
      </c>
      <c r="J491" s="32"/>
      <c r="K491" s="24" t="str">
        <f t="shared" si="39"/>
        <v/>
      </c>
      <c r="Q491" s="23"/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644</v>
      </c>
      <c r="H492" s="22" t="str">
        <f t="shared" si="41"/>
        <v/>
      </c>
      <c r="J492" s="32"/>
      <c r="K492" s="24" t="str">
        <f t="shared" si="39"/>
        <v/>
      </c>
      <c r="Q492" s="23"/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645</v>
      </c>
      <c r="H493" s="22" t="str">
        <f t="shared" si="41"/>
        <v/>
      </c>
      <c r="J493" s="32"/>
      <c r="K493" s="24" t="str">
        <f t="shared" si="39"/>
        <v/>
      </c>
      <c r="Q493" s="23"/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646</v>
      </c>
      <c r="H494" s="22" t="str">
        <f t="shared" si="41"/>
        <v/>
      </c>
      <c r="J494" s="32"/>
      <c r="K494" s="24" t="str">
        <f t="shared" si="39"/>
        <v/>
      </c>
      <c r="Q494" s="23"/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647</v>
      </c>
      <c r="H495" s="22" t="str">
        <f t="shared" si="41"/>
        <v/>
      </c>
      <c r="J495" s="32"/>
      <c r="K495" s="24" t="str">
        <f t="shared" si="39"/>
        <v/>
      </c>
      <c r="Q495" s="23"/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648</v>
      </c>
      <c r="H496" s="22" t="str">
        <f t="shared" si="41"/>
        <v/>
      </c>
      <c r="J496" s="32"/>
      <c r="K496" s="24" t="str">
        <f t="shared" si="39"/>
        <v/>
      </c>
      <c r="Q496" s="23"/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649</v>
      </c>
      <c r="H497" s="22" t="str">
        <f t="shared" si="41"/>
        <v/>
      </c>
      <c r="J497" s="32"/>
      <c r="K497" s="24" t="str">
        <f t="shared" si="39"/>
        <v/>
      </c>
      <c r="Q497" s="23"/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650</v>
      </c>
      <c r="H498" s="22" t="str">
        <f t="shared" si="41"/>
        <v/>
      </c>
      <c r="J498" s="32"/>
      <c r="K498" s="24" t="str">
        <f t="shared" si="39"/>
        <v/>
      </c>
      <c r="Q498" s="23"/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651</v>
      </c>
      <c r="H499" s="22" t="str">
        <f t="shared" si="41"/>
        <v/>
      </c>
      <c r="J499" s="32"/>
      <c r="K499" s="24" t="str">
        <f t="shared" si="39"/>
        <v/>
      </c>
      <c r="Q499" s="23"/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652</v>
      </c>
      <c r="H500" s="22" t="str">
        <f t="shared" si="41"/>
        <v/>
      </c>
      <c r="J500" s="32"/>
      <c r="K500" s="24" t="str">
        <f t="shared" si="39"/>
        <v/>
      </c>
      <c r="Q500" s="23"/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653</v>
      </c>
      <c r="H501" s="22" t="str">
        <f t="shared" si="41"/>
        <v/>
      </c>
      <c r="J501" s="32"/>
      <c r="K501" s="24" t="str">
        <f t="shared" si="39"/>
        <v/>
      </c>
      <c r="Q501" s="23"/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654</v>
      </c>
      <c r="H502" s="22" t="str">
        <f t="shared" si="41"/>
        <v/>
      </c>
      <c r="J502" s="32"/>
      <c r="K502" s="24" t="str">
        <f t="shared" si="39"/>
        <v/>
      </c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655</v>
      </c>
      <c r="H503" s="22" t="str">
        <f t="shared" si="41"/>
        <v/>
      </c>
      <c r="J503" s="32"/>
      <c r="K503" s="24" t="str">
        <f t="shared" si="39"/>
        <v/>
      </c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656</v>
      </c>
      <c r="H504" s="22" t="str">
        <f t="shared" si="41"/>
        <v/>
      </c>
      <c r="J504" s="32"/>
      <c r="K504" s="24" t="str">
        <f t="shared" si="39"/>
        <v/>
      </c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657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658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659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660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661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662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663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664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665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666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667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668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669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670</v>
      </c>
      <c r="H518" s="22" t="str">
        <f t="shared" si="41"/>
        <v/>
      </c>
      <c r="J518" s="32"/>
      <c r="K518" s="24" t="str">
        <f t="shared" ref="K518:K581" si="44">IF(I518="","",IF(I518="ENTRADA",ABS(J518),-ABS(J518)))</f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671</v>
      </c>
      <c r="H519" s="22" t="str">
        <f t="shared" si="41"/>
        <v/>
      </c>
      <c r="J519" s="32"/>
      <c r="K519" s="24" t="str">
        <f t="shared" si="44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672</v>
      </c>
      <c r="H520" s="22" t="str">
        <f t="shared" si="41"/>
        <v/>
      </c>
      <c r="J520" s="32"/>
      <c r="K520" s="24" t="str">
        <f t="shared" si="44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673</v>
      </c>
      <c r="H521" s="22" t="str">
        <f t="shared" si="41"/>
        <v/>
      </c>
      <c r="J521" s="32"/>
      <c r="K521" s="24" t="str">
        <f t="shared" si="44"/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674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675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676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ref="T524:T587" si="45">IF(OR(C524="",I524&lt;&gt;"ENTRADA"),"",TEXT(B524,"AAMMDD")&amp;"-"&amp;TEXT(VALUE(SUBSTITUTE(A524,"MOV-","")),"000"))</f>
        <v/>
      </c>
    </row>
    <row r="525" spans="1:20">
      <c r="A525" s="22" t="s">
        <v>677</v>
      </c>
      <c r="H525" s="22" t="str">
        <f t="shared" ref="H525:H588" si="46">+T525</f>
        <v/>
      </c>
      <c r="J525" s="32"/>
      <c r="K525" s="24" t="str">
        <f t="shared" si="44"/>
        <v/>
      </c>
      <c r="R525" s="24" t="str">
        <f t="shared" ref="R525:R588" si="47">IF(H525="","",H525&amp;I525)</f>
        <v/>
      </c>
      <c r="S525" s="24" t="str">
        <f t="shared" ref="S525:S588" si="48">IF(C525="","",C525&amp;I525)</f>
        <v/>
      </c>
      <c r="T525" t="str">
        <f t="shared" si="45"/>
        <v/>
      </c>
    </row>
    <row r="526" spans="1:20">
      <c r="A526" s="22" t="s">
        <v>678</v>
      </c>
      <c r="H526" s="22" t="str">
        <f t="shared" si="46"/>
        <v/>
      </c>
      <c r="J526" s="32"/>
      <c r="K526" s="24" t="str">
        <f t="shared" si="44"/>
        <v/>
      </c>
      <c r="R526" s="24" t="str">
        <f t="shared" si="47"/>
        <v/>
      </c>
      <c r="S526" s="24" t="str">
        <f t="shared" si="48"/>
        <v/>
      </c>
      <c r="T526" t="str">
        <f t="shared" si="45"/>
        <v/>
      </c>
    </row>
    <row r="527" spans="1:20">
      <c r="A527" s="22" t="s">
        <v>679</v>
      </c>
      <c r="H527" s="22" t="str">
        <f t="shared" si="46"/>
        <v/>
      </c>
      <c r="J527" s="32"/>
      <c r="K527" s="24" t="str">
        <f t="shared" si="44"/>
        <v/>
      </c>
      <c r="R527" s="24" t="str">
        <f t="shared" si="47"/>
        <v/>
      </c>
      <c r="S527" s="24" t="str">
        <f t="shared" si="48"/>
        <v/>
      </c>
      <c r="T527" t="str">
        <f t="shared" si="45"/>
        <v/>
      </c>
    </row>
    <row r="528" spans="1:20">
      <c r="A528" s="22" t="s">
        <v>680</v>
      </c>
      <c r="H528" s="22" t="str">
        <f t="shared" si="46"/>
        <v/>
      </c>
      <c r="J528" s="32"/>
      <c r="K528" s="24" t="str">
        <f t="shared" si="44"/>
        <v/>
      </c>
      <c r="R528" s="24" t="str">
        <f t="shared" si="47"/>
        <v/>
      </c>
      <c r="S528" s="24" t="str">
        <f t="shared" si="48"/>
        <v/>
      </c>
      <c r="T528" t="str">
        <f t="shared" si="45"/>
        <v/>
      </c>
    </row>
    <row r="529" spans="1:20">
      <c r="A529" s="22" t="s">
        <v>681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682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683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684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685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686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687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688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689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690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691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692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693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694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695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696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697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698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699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700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701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702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703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704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705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706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707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708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709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710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711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712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713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714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715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716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717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718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719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720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721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722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723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724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725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726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727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728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729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730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731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732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733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734</v>
      </c>
      <c r="H582" s="22" t="str">
        <f t="shared" si="46"/>
        <v/>
      </c>
      <c r="J582" s="32"/>
      <c r="K582" s="24" t="str">
        <f t="shared" ref="K582:K645" si="49">IF(I582="","",IF(I582="ENTRADA",ABS(J582),-ABS(J582)))</f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735</v>
      </c>
      <c r="H583" s="22" t="str">
        <f t="shared" si="46"/>
        <v/>
      </c>
      <c r="J583" s="32"/>
      <c r="K583" s="24" t="str">
        <f t="shared" si="49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736</v>
      </c>
      <c r="H584" s="22" t="str">
        <f t="shared" si="46"/>
        <v/>
      </c>
      <c r="J584" s="32"/>
      <c r="K584" s="24" t="str">
        <f t="shared" si="49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737</v>
      </c>
      <c r="H585" s="22" t="str">
        <f t="shared" si="46"/>
        <v/>
      </c>
      <c r="J585" s="32"/>
      <c r="K585" s="24" t="str">
        <f t="shared" si="49"/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738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739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740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ref="T588:T651" si="50">IF(OR(C588="",I588&lt;&gt;"ENTRADA"),"",TEXT(B588,"AAMMDD")&amp;"-"&amp;TEXT(VALUE(SUBSTITUTE(A588,"MOV-","")),"000"))</f>
        <v/>
      </c>
    </row>
    <row r="589" spans="1:20">
      <c r="A589" s="22" t="s">
        <v>741</v>
      </c>
      <c r="H589" s="22" t="str">
        <f t="shared" ref="H589:H652" si="51">+T589</f>
        <v/>
      </c>
      <c r="J589" s="32"/>
      <c r="K589" s="24" t="str">
        <f t="shared" si="49"/>
        <v/>
      </c>
      <c r="R589" s="24" t="str">
        <f t="shared" ref="R589:R652" si="52">IF(H589="","",H589&amp;I589)</f>
        <v/>
      </c>
      <c r="S589" s="24" t="str">
        <f t="shared" ref="S589:S652" si="53">IF(C589="","",C589&amp;I589)</f>
        <v/>
      </c>
      <c r="T589" t="str">
        <f t="shared" si="50"/>
        <v/>
      </c>
    </row>
    <row r="590" spans="1:20">
      <c r="A590" s="22" t="s">
        <v>742</v>
      </c>
      <c r="H590" s="22" t="str">
        <f t="shared" si="51"/>
        <v/>
      </c>
      <c r="J590" s="32"/>
      <c r="K590" s="24" t="str">
        <f t="shared" si="49"/>
        <v/>
      </c>
      <c r="R590" s="24" t="str">
        <f t="shared" si="52"/>
        <v/>
      </c>
      <c r="S590" s="24" t="str">
        <f t="shared" si="53"/>
        <v/>
      </c>
      <c r="T590" t="str">
        <f t="shared" si="50"/>
        <v/>
      </c>
    </row>
    <row r="591" spans="1:20">
      <c r="A591" s="22" t="s">
        <v>743</v>
      </c>
      <c r="H591" s="22" t="str">
        <f t="shared" si="51"/>
        <v/>
      </c>
      <c r="J591" s="32"/>
      <c r="K591" s="24" t="str">
        <f t="shared" si="49"/>
        <v/>
      </c>
      <c r="R591" s="24" t="str">
        <f t="shared" si="52"/>
        <v/>
      </c>
      <c r="S591" s="24" t="str">
        <f t="shared" si="53"/>
        <v/>
      </c>
      <c r="T591" t="str">
        <f t="shared" si="50"/>
        <v/>
      </c>
    </row>
    <row r="592" spans="1:20">
      <c r="A592" s="22" t="s">
        <v>744</v>
      </c>
      <c r="H592" s="22" t="str">
        <f t="shared" si="51"/>
        <v/>
      </c>
      <c r="J592" s="32"/>
      <c r="K592" s="24" t="str">
        <f t="shared" si="49"/>
        <v/>
      </c>
      <c r="R592" s="24" t="str">
        <f t="shared" si="52"/>
        <v/>
      </c>
      <c r="S592" s="24" t="str">
        <f t="shared" si="53"/>
        <v/>
      </c>
      <c r="T592" t="str">
        <f t="shared" si="50"/>
        <v/>
      </c>
    </row>
    <row r="593" spans="1:20">
      <c r="A593" s="22" t="s">
        <v>745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746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747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748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749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750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751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752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753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754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755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756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757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758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759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760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761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762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763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764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765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766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767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768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769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770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771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772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773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774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775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776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777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778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779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780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781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782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783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784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785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786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787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788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789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790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791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792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793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794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795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796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797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798</v>
      </c>
      <c r="H646" s="22" t="str">
        <f t="shared" si="51"/>
        <v/>
      </c>
      <c r="J646" s="32"/>
      <c r="K646" s="24" t="str">
        <f t="shared" ref="K646:K709" si="54">IF(I646="","",IF(I646="ENTRADA",ABS(J646),-ABS(J646)))</f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799</v>
      </c>
      <c r="H647" s="22" t="str">
        <f t="shared" si="51"/>
        <v/>
      </c>
      <c r="J647" s="32"/>
      <c r="K647" s="24" t="str">
        <f t="shared" si="54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800</v>
      </c>
      <c r="H648" s="22" t="str">
        <f t="shared" si="51"/>
        <v/>
      </c>
      <c r="J648" s="32"/>
      <c r="K648" s="24" t="str">
        <f t="shared" si="54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801</v>
      </c>
      <c r="H649" s="22" t="str">
        <f t="shared" si="51"/>
        <v/>
      </c>
      <c r="J649" s="32"/>
      <c r="K649" s="24" t="str">
        <f t="shared" si="54"/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802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803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804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ref="T652:T715" si="55">IF(OR(C652="",I652&lt;&gt;"ENTRADA"),"",TEXT(B652,"AAMMDD")&amp;"-"&amp;TEXT(VALUE(SUBSTITUTE(A652,"MOV-","")),"000"))</f>
        <v/>
      </c>
    </row>
    <row r="653" spans="1:20">
      <c r="A653" s="22" t="s">
        <v>805</v>
      </c>
      <c r="H653" s="22" t="str">
        <f t="shared" ref="H653:H716" si="56">+T653</f>
        <v/>
      </c>
      <c r="J653" s="32"/>
      <c r="K653" s="24" t="str">
        <f t="shared" si="54"/>
        <v/>
      </c>
      <c r="R653" s="24" t="str">
        <f t="shared" ref="R653:R716" si="57">IF(H653="","",H653&amp;I653)</f>
        <v/>
      </c>
      <c r="S653" s="24" t="str">
        <f t="shared" ref="S653:S716" si="58">IF(C653="","",C653&amp;I653)</f>
        <v/>
      </c>
      <c r="T653" t="str">
        <f t="shared" si="55"/>
        <v/>
      </c>
    </row>
    <row r="654" spans="1:20">
      <c r="A654" s="22" t="s">
        <v>806</v>
      </c>
      <c r="H654" s="22" t="str">
        <f t="shared" si="56"/>
        <v/>
      </c>
      <c r="J654" s="32"/>
      <c r="K654" s="24" t="str">
        <f t="shared" si="54"/>
        <v/>
      </c>
      <c r="R654" s="24" t="str">
        <f t="shared" si="57"/>
        <v/>
      </c>
      <c r="S654" s="24" t="str">
        <f t="shared" si="58"/>
        <v/>
      </c>
      <c r="T654" t="str">
        <f t="shared" si="55"/>
        <v/>
      </c>
    </row>
    <row r="655" spans="1:20">
      <c r="A655" s="22" t="s">
        <v>807</v>
      </c>
      <c r="H655" s="22" t="str">
        <f t="shared" si="56"/>
        <v/>
      </c>
      <c r="J655" s="32"/>
      <c r="K655" s="24" t="str">
        <f t="shared" si="54"/>
        <v/>
      </c>
      <c r="R655" s="24" t="str">
        <f t="shared" si="57"/>
        <v/>
      </c>
      <c r="S655" s="24" t="str">
        <f t="shared" si="58"/>
        <v/>
      </c>
      <c r="T655" t="str">
        <f t="shared" si="55"/>
        <v/>
      </c>
    </row>
    <row r="656" spans="1:20">
      <c r="A656" s="22" t="s">
        <v>808</v>
      </c>
      <c r="H656" s="22" t="str">
        <f t="shared" si="56"/>
        <v/>
      </c>
      <c r="J656" s="32"/>
      <c r="K656" s="24" t="str">
        <f t="shared" si="54"/>
        <v/>
      </c>
      <c r="R656" s="24" t="str">
        <f t="shared" si="57"/>
        <v/>
      </c>
      <c r="S656" s="24" t="str">
        <f t="shared" si="58"/>
        <v/>
      </c>
      <c r="T656" t="str">
        <f t="shared" si="55"/>
        <v/>
      </c>
    </row>
    <row r="657" spans="1:20">
      <c r="A657" s="22" t="s">
        <v>809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810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811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812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813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814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815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816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817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818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819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820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821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822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823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824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825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826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827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828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829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830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831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832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833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834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835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836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837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838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839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840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841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842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843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844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845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846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847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848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849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850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851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852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853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854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855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856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857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858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859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860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861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862</v>
      </c>
      <c r="H710" s="22" t="str">
        <f t="shared" si="56"/>
        <v/>
      </c>
      <c r="J710" s="32"/>
      <c r="K710" s="24" t="str">
        <f t="shared" ref="K710:K773" si="59">IF(I710="","",IF(I710="ENTRADA",ABS(J710),-ABS(J710)))</f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863</v>
      </c>
      <c r="H711" s="22" t="str">
        <f t="shared" si="56"/>
        <v/>
      </c>
      <c r="J711" s="32"/>
      <c r="K711" s="24" t="str">
        <f t="shared" si="59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864</v>
      </c>
      <c r="H712" s="22" t="str">
        <f t="shared" si="56"/>
        <v/>
      </c>
      <c r="J712" s="32"/>
      <c r="K712" s="24" t="str">
        <f t="shared" si="59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865</v>
      </c>
      <c r="H713" s="22" t="str">
        <f t="shared" si="56"/>
        <v/>
      </c>
      <c r="J713" s="32"/>
      <c r="K713" s="24" t="str">
        <f t="shared" si="59"/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866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867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868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ref="T716:T779" si="60">IF(OR(C716="",I716&lt;&gt;"ENTRADA"),"",TEXT(B716,"AAMMDD")&amp;"-"&amp;TEXT(VALUE(SUBSTITUTE(A716,"MOV-","")),"000"))</f>
        <v/>
      </c>
    </row>
    <row r="717" spans="1:20">
      <c r="A717" s="22" t="s">
        <v>869</v>
      </c>
      <c r="H717" s="22" t="str">
        <f t="shared" ref="H717:H780" si="61">+T717</f>
        <v/>
      </c>
      <c r="J717" s="32"/>
      <c r="K717" s="24" t="str">
        <f t="shared" si="59"/>
        <v/>
      </c>
      <c r="R717" s="24" t="str">
        <f t="shared" ref="R717:R780" si="62">IF(H717="","",H717&amp;I717)</f>
        <v/>
      </c>
      <c r="S717" s="24" t="str">
        <f t="shared" ref="S717:S780" si="63">IF(C717="","",C717&amp;I717)</f>
        <v/>
      </c>
      <c r="T717" t="str">
        <f t="shared" si="60"/>
        <v/>
      </c>
    </row>
    <row r="718" spans="1:20">
      <c r="A718" s="22" t="s">
        <v>870</v>
      </c>
      <c r="H718" s="22" t="str">
        <f t="shared" si="61"/>
        <v/>
      </c>
      <c r="J718" s="32"/>
      <c r="K718" s="24" t="str">
        <f t="shared" si="59"/>
        <v/>
      </c>
      <c r="R718" s="24" t="str">
        <f t="shared" si="62"/>
        <v/>
      </c>
      <c r="S718" s="24" t="str">
        <f t="shared" si="63"/>
        <v/>
      </c>
      <c r="T718" t="str">
        <f t="shared" si="60"/>
        <v/>
      </c>
    </row>
    <row r="719" spans="1:20">
      <c r="A719" s="22" t="s">
        <v>871</v>
      </c>
      <c r="H719" s="22" t="str">
        <f t="shared" si="61"/>
        <v/>
      </c>
      <c r="J719" s="32"/>
      <c r="K719" s="24" t="str">
        <f t="shared" si="59"/>
        <v/>
      </c>
      <c r="R719" s="24" t="str">
        <f t="shared" si="62"/>
        <v/>
      </c>
      <c r="S719" s="24" t="str">
        <f t="shared" si="63"/>
        <v/>
      </c>
      <c r="T719" t="str">
        <f t="shared" si="60"/>
        <v/>
      </c>
    </row>
    <row r="720" spans="1:20">
      <c r="A720" s="22" t="s">
        <v>872</v>
      </c>
      <c r="H720" s="22" t="str">
        <f t="shared" si="61"/>
        <v/>
      </c>
      <c r="J720" s="32"/>
      <c r="K720" s="24" t="str">
        <f t="shared" si="59"/>
        <v/>
      </c>
      <c r="R720" s="24" t="str">
        <f t="shared" si="62"/>
        <v/>
      </c>
      <c r="S720" s="24" t="str">
        <f t="shared" si="63"/>
        <v/>
      </c>
      <c r="T720" t="str">
        <f t="shared" si="60"/>
        <v/>
      </c>
    </row>
    <row r="721" spans="1:20">
      <c r="A721" s="22" t="s">
        <v>873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874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875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876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877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878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879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880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881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882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883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884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885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886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887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888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889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890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891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892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893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894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895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896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897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898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899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900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901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902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903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904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905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906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907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908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909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910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911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912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913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914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915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916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917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918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919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920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921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922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923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924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925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926</v>
      </c>
      <c r="H774" s="22" t="str">
        <f t="shared" si="61"/>
        <v/>
      </c>
      <c r="J774" s="32"/>
      <c r="K774" s="24" t="str">
        <f t="shared" ref="K774:K837" si="64">IF(I774="","",IF(I774="ENTRADA",ABS(J774),-ABS(J774)))</f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927</v>
      </c>
      <c r="H775" s="22" t="str">
        <f t="shared" si="61"/>
        <v/>
      </c>
      <c r="J775" s="32"/>
      <c r="K775" s="24" t="str">
        <f t="shared" si="64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928</v>
      </c>
      <c r="H776" s="22" t="str">
        <f t="shared" si="61"/>
        <v/>
      </c>
      <c r="J776" s="32"/>
      <c r="K776" s="24" t="str">
        <f t="shared" si="64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929</v>
      </c>
      <c r="H777" s="22" t="str">
        <f t="shared" si="61"/>
        <v/>
      </c>
      <c r="J777" s="32"/>
      <c r="K777" s="24" t="str">
        <f t="shared" si="64"/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930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931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932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ref="T780:T843" si="65">IF(OR(C780="",I780&lt;&gt;"ENTRADA"),"",TEXT(B780,"AAMMDD")&amp;"-"&amp;TEXT(VALUE(SUBSTITUTE(A780,"MOV-","")),"000"))</f>
        <v/>
      </c>
    </row>
    <row r="781" spans="1:20">
      <c r="A781" s="22" t="s">
        <v>933</v>
      </c>
      <c r="H781" s="22" t="str">
        <f t="shared" ref="H781:H844" si="66">+T781</f>
        <v/>
      </c>
      <c r="J781" s="32"/>
      <c r="K781" s="24" t="str">
        <f t="shared" si="64"/>
        <v/>
      </c>
      <c r="R781" s="24" t="str">
        <f t="shared" ref="R781:R844" si="67">IF(H781="","",H781&amp;I781)</f>
        <v/>
      </c>
      <c r="S781" s="24" t="str">
        <f t="shared" ref="S781:S844" si="68">IF(C781="","",C781&amp;I781)</f>
        <v/>
      </c>
      <c r="T781" t="str">
        <f t="shared" si="65"/>
        <v/>
      </c>
    </row>
    <row r="782" spans="1:20">
      <c r="A782" s="22" t="s">
        <v>934</v>
      </c>
      <c r="H782" s="22" t="str">
        <f t="shared" si="66"/>
        <v/>
      </c>
      <c r="J782" s="32"/>
      <c r="K782" s="24" t="str">
        <f t="shared" si="64"/>
        <v/>
      </c>
      <c r="R782" s="24" t="str">
        <f t="shared" si="67"/>
        <v/>
      </c>
      <c r="S782" s="24" t="str">
        <f t="shared" si="68"/>
        <v/>
      </c>
      <c r="T782" t="str">
        <f t="shared" si="65"/>
        <v/>
      </c>
    </row>
    <row r="783" spans="1:20">
      <c r="A783" s="22" t="s">
        <v>935</v>
      </c>
      <c r="H783" s="22" t="str">
        <f t="shared" si="66"/>
        <v/>
      </c>
      <c r="J783" s="32"/>
      <c r="K783" s="24" t="str">
        <f t="shared" si="64"/>
        <v/>
      </c>
      <c r="R783" s="24" t="str">
        <f t="shared" si="67"/>
        <v/>
      </c>
      <c r="S783" s="24" t="str">
        <f t="shared" si="68"/>
        <v/>
      </c>
      <c r="T783" t="str">
        <f t="shared" si="65"/>
        <v/>
      </c>
    </row>
    <row r="784" spans="1:20">
      <c r="A784" s="22" t="s">
        <v>936</v>
      </c>
      <c r="H784" s="22" t="str">
        <f t="shared" si="66"/>
        <v/>
      </c>
      <c r="J784" s="32"/>
      <c r="K784" s="24" t="str">
        <f t="shared" si="64"/>
        <v/>
      </c>
      <c r="R784" s="24" t="str">
        <f t="shared" si="67"/>
        <v/>
      </c>
      <c r="S784" s="24" t="str">
        <f t="shared" si="68"/>
        <v/>
      </c>
      <c r="T784" t="str">
        <f t="shared" si="65"/>
        <v/>
      </c>
    </row>
    <row r="785" spans="1:20">
      <c r="A785" s="22" t="s">
        <v>937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938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939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940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941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942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943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944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945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946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947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948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949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950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951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952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953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954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955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956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957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958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959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960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961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962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963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964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965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966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967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968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969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970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971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972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973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974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975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976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977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978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979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980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981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982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983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984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985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986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987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988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989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990</v>
      </c>
      <c r="H838" s="22" t="str">
        <f t="shared" si="66"/>
        <v/>
      </c>
      <c r="J838" s="32"/>
      <c r="K838" s="24" t="str">
        <f t="shared" ref="K838:K901" si="69">IF(I838="","",IF(I838="ENTRADA",ABS(J838),-ABS(J838)))</f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991</v>
      </c>
      <c r="H839" s="22" t="str">
        <f t="shared" si="66"/>
        <v/>
      </c>
      <c r="J839" s="32"/>
      <c r="K839" s="24" t="str">
        <f t="shared" si="69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992</v>
      </c>
      <c r="H840" s="22" t="str">
        <f t="shared" si="66"/>
        <v/>
      </c>
      <c r="J840" s="32"/>
      <c r="K840" s="24" t="str">
        <f t="shared" si="69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993</v>
      </c>
      <c r="H841" s="22" t="str">
        <f t="shared" si="66"/>
        <v/>
      </c>
      <c r="J841" s="32"/>
      <c r="K841" s="24" t="str">
        <f t="shared" si="69"/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994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995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996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ref="T844:T907" si="70">IF(OR(C844="",I844&lt;&gt;"ENTRADA"),"",TEXT(B844,"AAMMDD")&amp;"-"&amp;TEXT(VALUE(SUBSTITUTE(A844,"MOV-","")),"000"))</f>
        <v/>
      </c>
    </row>
    <row r="845" spans="1:20">
      <c r="A845" s="22" t="s">
        <v>997</v>
      </c>
      <c r="H845" s="22" t="str">
        <f t="shared" ref="H845:H908" si="71">+T845</f>
        <v/>
      </c>
      <c r="J845" s="32"/>
      <c r="K845" s="24" t="str">
        <f t="shared" si="69"/>
        <v/>
      </c>
      <c r="R845" s="24" t="str">
        <f t="shared" ref="R845:R908" si="72">IF(H845="","",H845&amp;I845)</f>
        <v/>
      </c>
      <c r="S845" s="24" t="str">
        <f t="shared" ref="S845:S908" si="73">IF(C845="","",C845&amp;I845)</f>
        <v/>
      </c>
      <c r="T845" t="str">
        <f t="shared" si="70"/>
        <v/>
      </c>
    </row>
    <row r="846" spans="1:20">
      <c r="A846" s="22" t="s">
        <v>998</v>
      </c>
      <c r="H846" s="22" t="str">
        <f t="shared" si="71"/>
        <v/>
      </c>
      <c r="J846" s="32"/>
      <c r="K846" s="24" t="str">
        <f t="shared" si="69"/>
        <v/>
      </c>
      <c r="R846" s="24" t="str">
        <f t="shared" si="72"/>
        <v/>
      </c>
      <c r="S846" s="24" t="str">
        <f t="shared" si="73"/>
        <v/>
      </c>
      <c r="T846" t="str">
        <f t="shared" si="70"/>
        <v/>
      </c>
    </row>
    <row r="847" spans="1:20">
      <c r="A847" s="22" t="s">
        <v>999</v>
      </c>
      <c r="H847" s="22" t="str">
        <f t="shared" si="71"/>
        <v/>
      </c>
      <c r="J847" s="32"/>
      <c r="K847" s="24" t="str">
        <f t="shared" si="69"/>
        <v/>
      </c>
      <c r="R847" s="24" t="str">
        <f t="shared" si="72"/>
        <v/>
      </c>
      <c r="S847" s="24" t="str">
        <f t="shared" si="73"/>
        <v/>
      </c>
      <c r="T847" t="str">
        <f t="shared" si="70"/>
        <v/>
      </c>
    </row>
    <row r="848" spans="1:20">
      <c r="A848" s="22" t="s">
        <v>1000</v>
      </c>
      <c r="H848" s="22" t="str">
        <f t="shared" si="71"/>
        <v/>
      </c>
      <c r="J848" s="32"/>
      <c r="K848" s="24" t="str">
        <f t="shared" si="69"/>
        <v/>
      </c>
      <c r="R848" s="24" t="str">
        <f t="shared" si="72"/>
        <v/>
      </c>
      <c r="S848" s="24" t="str">
        <f t="shared" si="73"/>
        <v/>
      </c>
      <c r="T848" t="str">
        <f t="shared" si="70"/>
        <v/>
      </c>
    </row>
    <row r="849" spans="1:20">
      <c r="A849" s="22" t="s">
        <v>1001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1002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1003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1004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1005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1006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1007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1008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1009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1010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1011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1012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1013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1014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1015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1016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1017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1018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1019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1020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1021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1022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1023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1024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1025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1026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1027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1028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1029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1030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1031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1032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1033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1034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1035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1036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1037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1038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1039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1040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1041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1042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1043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1044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1045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1046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1047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1048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1049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1050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1051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1052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1053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1054</v>
      </c>
      <c r="H902" s="22" t="str">
        <f t="shared" si="71"/>
        <v/>
      </c>
      <c r="J902" s="32"/>
      <c r="K902" s="24" t="str">
        <f t="shared" ref="K902:K965" si="74">IF(I902="","",IF(I902="ENTRADA",ABS(J902),-ABS(J902)))</f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1055</v>
      </c>
      <c r="H903" s="22" t="str">
        <f t="shared" si="71"/>
        <v/>
      </c>
      <c r="J903" s="32"/>
      <c r="K903" s="24" t="str">
        <f t="shared" si="74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1056</v>
      </c>
      <c r="H904" s="22" t="str">
        <f t="shared" si="71"/>
        <v/>
      </c>
      <c r="J904" s="32"/>
      <c r="K904" s="24" t="str">
        <f t="shared" si="74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1057</v>
      </c>
      <c r="H905" s="22" t="str">
        <f t="shared" si="71"/>
        <v/>
      </c>
      <c r="J905" s="32"/>
      <c r="K905" s="24" t="str">
        <f t="shared" si="74"/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1058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1059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1060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ref="T908:T971" si="75">IF(OR(C908="",I908&lt;&gt;"ENTRADA"),"",TEXT(B908,"AAMMDD")&amp;"-"&amp;TEXT(VALUE(SUBSTITUTE(A908,"MOV-","")),"000"))</f>
        <v/>
      </c>
    </row>
    <row r="909" spans="1:20">
      <c r="A909" s="22" t="s">
        <v>1061</v>
      </c>
      <c r="H909" s="22" t="str">
        <f t="shared" ref="H909:H972" si="76">+T909</f>
        <v/>
      </c>
      <c r="J909" s="32"/>
      <c r="K909" s="24" t="str">
        <f t="shared" si="74"/>
        <v/>
      </c>
      <c r="R909" s="24" t="str">
        <f t="shared" ref="R909:R972" si="77">IF(H909="","",H909&amp;I909)</f>
        <v/>
      </c>
      <c r="S909" s="24" t="str">
        <f t="shared" ref="S909:S972" si="78">IF(C909="","",C909&amp;I909)</f>
        <v/>
      </c>
      <c r="T909" t="str">
        <f t="shared" si="75"/>
        <v/>
      </c>
    </row>
    <row r="910" spans="1:20">
      <c r="A910" s="22" t="s">
        <v>1062</v>
      </c>
      <c r="H910" s="22" t="str">
        <f t="shared" si="76"/>
        <v/>
      </c>
      <c r="J910" s="32"/>
      <c r="K910" s="24" t="str">
        <f t="shared" si="74"/>
        <v/>
      </c>
      <c r="R910" s="24" t="str">
        <f t="shared" si="77"/>
        <v/>
      </c>
      <c r="S910" s="24" t="str">
        <f t="shared" si="78"/>
        <v/>
      </c>
      <c r="T910" t="str">
        <f t="shared" si="75"/>
        <v/>
      </c>
    </row>
    <row r="911" spans="1:20">
      <c r="A911" s="22" t="s">
        <v>1063</v>
      </c>
      <c r="H911" s="22" t="str">
        <f t="shared" si="76"/>
        <v/>
      </c>
      <c r="J911" s="32"/>
      <c r="K911" s="24" t="str">
        <f t="shared" si="74"/>
        <v/>
      </c>
      <c r="R911" s="24" t="str">
        <f t="shared" si="77"/>
        <v/>
      </c>
      <c r="S911" s="24" t="str">
        <f t="shared" si="78"/>
        <v/>
      </c>
      <c r="T911" t="str">
        <f t="shared" si="75"/>
        <v/>
      </c>
    </row>
    <row r="912" spans="1:20">
      <c r="A912" s="22" t="s">
        <v>1064</v>
      </c>
      <c r="H912" s="22" t="str">
        <f t="shared" si="76"/>
        <v/>
      </c>
      <c r="J912" s="32"/>
      <c r="K912" s="24" t="str">
        <f t="shared" si="74"/>
        <v/>
      </c>
      <c r="R912" s="24" t="str">
        <f t="shared" si="77"/>
        <v/>
      </c>
      <c r="S912" s="24" t="str">
        <f t="shared" si="78"/>
        <v/>
      </c>
      <c r="T912" t="str">
        <f t="shared" si="75"/>
        <v/>
      </c>
    </row>
    <row r="913" spans="1:20">
      <c r="A913" s="22" t="s">
        <v>1065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1066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1067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1068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1069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1070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1071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1072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1073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1074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1075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1076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1077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1078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1079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1080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1081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1082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1083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1084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1085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1086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1087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1088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1089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1090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1091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1092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1093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1094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1095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1096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1097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1098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1099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1100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1101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1102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1103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1104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1105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1106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1107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1108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1109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1110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1111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1112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1113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1114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1115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1116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1117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1118</v>
      </c>
      <c r="H966" s="22" t="str">
        <f t="shared" si="76"/>
        <v/>
      </c>
      <c r="J966" s="32"/>
      <c r="K966" s="24" t="str">
        <f t="shared" ref="K966:K1029" si="79">IF(I966="","",IF(I966="ENTRADA",ABS(J966),-ABS(J966)))</f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1119</v>
      </c>
      <c r="H967" s="22" t="str">
        <f t="shared" si="76"/>
        <v/>
      </c>
      <c r="J967" s="32"/>
      <c r="K967" s="24" t="str">
        <f t="shared" si="79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1120</v>
      </c>
      <c r="H968" s="22" t="str">
        <f t="shared" si="76"/>
        <v/>
      </c>
      <c r="J968" s="32"/>
      <c r="K968" s="24" t="str">
        <f t="shared" si="79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1121</v>
      </c>
      <c r="H969" s="22" t="str">
        <f t="shared" si="76"/>
        <v/>
      </c>
      <c r="J969" s="32"/>
      <c r="K969" s="24" t="str">
        <f t="shared" si="79"/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1122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1123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1124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ref="T972:T1035" si="80">IF(OR(C972="",I972&lt;&gt;"ENTRADA"),"",TEXT(B972,"AAMMDD")&amp;"-"&amp;TEXT(VALUE(SUBSTITUTE(A972,"MOV-","")),"000"))</f>
        <v/>
      </c>
    </row>
    <row r="973" spans="1:20">
      <c r="A973" s="22" t="s">
        <v>1125</v>
      </c>
      <c r="H973" s="22" t="str">
        <f t="shared" ref="H973:H1036" si="81">+T973</f>
        <v/>
      </c>
      <c r="J973" s="32"/>
      <c r="K973" s="24" t="str">
        <f t="shared" si="79"/>
        <v/>
      </c>
      <c r="R973" s="24" t="str">
        <f t="shared" ref="R973:R1036" si="82">IF(H973="","",H973&amp;I973)</f>
        <v/>
      </c>
      <c r="S973" s="24" t="str">
        <f t="shared" ref="S973:S1036" si="83">IF(C973="","",C973&amp;I973)</f>
        <v/>
      </c>
      <c r="T973" t="str">
        <f t="shared" si="80"/>
        <v/>
      </c>
    </row>
    <row r="974" spans="1:20">
      <c r="A974" s="22" t="s">
        <v>1126</v>
      </c>
      <c r="H974" s="22" t="str">
        <f t="shared" si="81"/>
        <v/>
      </c>
      <c r="J974" s="32"/>
      <c r="K974" s="24" t="str">
        <f t="shared" si="79"/>
        <v/>
      </c>
      <c r="R974" s="24" t="str">
        <f t="shared" si="82"/>
        <v/>
      </c>
      <c r="S974" s="24" t="str">
        <f t="shared" si="83"/>
        <v/>
      </c>
      <c r="T974" t="str">
        <f t="shared" si="80"/>
        <v/>
      </c>
    </row>
    <row r="975" spans="1:20">
      <c r="A975" s="22" t="s">
        <v>1127</v>
      </c>
      <c r="H975" s="22" t="str">
        <f t="shared" si="81"/>
        <v/>
      </c>
      <c r="J975" s="32"/>
      <c r="K975" s="24" t="str">
        <f t="shared" si="79"/>
        <v/>
      </c>
      <c r="R975" s="24" t="str">
        <f t="shared" si="82"/>
        <v/>
      </c>
      <c r="S975" s="24" t="str">
        <f t="shared" si="83"/>
        <v/>
      </c>
      <c r="T975" t="str">
        <f t="shared" si="80"/>
        <v/>
      </c>
    </row>
    <row r="976" spans="1:20">
      <c r="A976" s="22" t="s">
        <v>1128</v>
      </c>
      <c r="H976" s="22" t="str">
        <f t="shared" si="81"/>
        <v/>
      </c>
      <c r="J976" s="32"/>
      <c r="K976" s="24" t="str">
        <f t="shared" si="79"/>
        <v/>
      </c>
      <c r="R976" s="24" t="str">
        <f t="shared" si="82"/>
        <v/>
      </c>
      <c r="S976" s="24" t="str">
        <f t="shared" si="83"/>
        <v/>
      </c>
      <c r="T976" t="str">
        <f t="shared" si="80"/>
        <v/>
      </c>
    </row>
    <row r="977" spans="1:20">
      <c r="A977" s="22" t="s">
        <v>1129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1130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1131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1132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1133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1134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1135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1136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1137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1138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1139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1140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1141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1142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1143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1144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1145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1146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1147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1148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1149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1150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1151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1152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1153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1154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1155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1156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1157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1158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1159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1160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1161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1162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1163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1164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1165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1166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1167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1168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1169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1170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1171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1172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1173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1174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1175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1176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1177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1178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1179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1180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1181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1182</v>
      </c>
      <c r="H1030" s="22" t="str">
        <f t="shared" si="81"/>
        <v/>
      </c>
      <c r="J1030" s="32"/>
      <c r="K1030" s="24" t="str">
        <f t="shared" ref="K1030:K1081" si="84">IF(I1030="","",IF(I1030="ENTRADA",ABS(J1030),-ABS(J1030)))</f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1183</v>
      </c>
      <c r="H1031" s="22" t="str">
        <f t="shared" si="81"/>
        <v/>
      </c>
      <c r="J1031" s="32"/>
      <c r="K1031" s="24" t="str">
        <f t="shared" si="84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1184</v>
      </c>
      <c r="H1032" s="22" t="str">
        <f t="shared" si="81"/>
        <v/>
      </c>
      <c r="J1032" s="32"/>
      <c r="K1032" s="24" t="str">
        <f t="shared" si="84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1185</v>
      </c>
      <c r="H1033" s="22" t="str">
        <f t="shared" si="81"/>
        <v/>
      </c>
      <c r="J1033" s="32"/>
      <c r="K1033" s="24" t="str">
        <f t="shared" si="84"/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1186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1187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1188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ref="T1036:T1099" si="85">IF(OR(C1036="",I1036&lt;&gt;"ENTRADA"),"",TEXT(B1036,"AAMMDD")&amp;"-"&amp;TEXT(VALUE(SUBSTITUTE(A1036,"MOV-","")),"000"))</f>
        <v/>
      </c>
    </row>
    <row r="1037" spans="1:20">
      <c r="A1037" s="22" t="s">
        <v>1189</v>
      </c>
      <c r="H1037" s="22" t="str">
        <f t="shared" ref="H1037:H1100" si="86">+T1037</f>
        <v/>
      </c>
      <c r="J1037" s="32"/>
      <c r="K1037" s="24" t="str">
        <f t="shared" si="84"/>
        <v/>
      </c>
      <c r="R1037" s="24" t="str">
        <f t="shared" ref="R1037:R1100" si="87">IF(H1037="","",H1037&amp;I1037)</f>
        <v/>
      </c>
      <c r="S1037" s="24" t="str">
        <f t="shared" ref="S1037:S1100" si="88">IF(C1037="","",C1037&amp;I1037)</f>
        <v/>
      </c>
      <c r="T1037" t="str">
        <f t="shared" si="85"/>
        <v/>
      </c>
    </row>
    <row r="1038" spans="1:20">
      <c r="A1038" s="22" t="s">
        <v>1190</v>
      </c>
      <c r="H1038" s="22" t="str">
        <f t="shared" si="86"/>
        <v/>
      </c>
      <c r="J1038" s="32"/>
      <c r="K1038" s="24" t="str">
        <f t="shared" si="84"/>
        <v/>
      </c>
      <c r="R1038" s="24" t="str">
        <f t="shared" si="87"/>
        <v/>
      </c>
      <c r="S1038" s="24" t="str">
        <f t="shared" si="88"/>
        <v/>
      </c>
      <c r="T1038" t="str">
        <f t="shared" si="85"/>
        <v/>
      </c>
    </row>
    <row r="1039" spans="1:20">
      <c r="A1039" s="22" t="s">
        <v>1191</v>
      </c>
      <c r="H1039" s="22" t="str">
        <f t="shared" si="86"/>
        <v/>
      </c>
      <c r="J1039" s="32"/>
      <c r="K1039" s="24" t="str">
        <f t="shared" si="84"/>
        <v/>
      </c>
      <c r="R1039" s="24" t="str">
        <f t="shared" si="87"/>
        <v/>
      </c>
      <c r="S1039" s="24" t="str">
        <f t="shared" si="88"/>
        <v/>
      </c>
      <c r="T1039" t="str">
        <f t="shared" si="85"/>
        <v/>
      </c>
    </row>
    <row r="1040" spans="1:20">
      <c r="A1040" s="22" t="s">
        <v>1192</v>
      </c>
      <c r="H1040" s="22" t="str">
        <f t="shared" si="86"/>
        <v/>
      </c>
      <c r="J1040" s="32"/>
      <c r="K1040" s="24" t="str">
        <f t="shared" si="84"/>
        <v/>
      </c>
      <c r="R1040" s="24" t="str">
        <f t="shared" si="87"/>
        <v/>
      </c>
      <c r="S1040" s="24" t="str">
        <f t="shared" si="88"/>
        <v/>
      </c>
      <c r="T1040" t="str">
        <f t="shared" si="85"/>
        <v/>
      </c>
    </row>
    <row r="1041" spans="1:20">
      <c r="A1041" s="22" t="s">
        <v>1193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1194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1195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1196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1197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1198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1199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1200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1201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1202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1203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1204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1205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1206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1207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1208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1209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1210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1211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1212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1213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1214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1215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1216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1217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1218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1219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1220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1221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1222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1223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1224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1225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1226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1227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1228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1229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1230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1231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1232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1233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1234</v>
      </c>
      <c r="H1082" s="22" t="str">
        <f t="shared" si="86"/>
        <v/>
      </c>
      <c r="J1082" s="32"/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1235</v>
      </c>
      <c r="H1083" s="22" t="str">
        <f t="shared" si="86"/>
        <v/>
      </c>
      <c r="J1083" s="32"/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1236</v>
      </c>
      <c r="H1084" s="22" t="str">
        <f t="shared" si="86"/>
        <v/>
      </c>
      <c r="J1084" s="32"/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1237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1238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1239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1240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1241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1242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1243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1244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1245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1246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1247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1248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1249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1250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1251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1252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ref="T1100:T1163" si="89">IF(OR(C1100="",I1100&lt;&gt;"ENTRADA"),"",TEXT(B1100,"AAMMDD")&amp;"-"&amp;TEXT(VALUE(SUBSTITUTE(A1100,"MOV-","")),"000"))</f>
        <v/>
      </c>
    </row>
    <row r="1101" spans="1:20">
      <c r="A1101" s="22" t="s">
        <v>1253</v>
      </c>
      <c r="H1101" s="22" t="str">
        <f t="shared" ref="H1101:H1164" si="90">+T1101</f>
        <v/>
      </c>
      <c r="J1101" s="32"/>
      <c r="R1101" s="24" t="str">
        <f t="shared" ref="R1101:R1164" si="91">IF(H1101="","",H1101&amp;I1101)</f>
        <v/>
      </c>
      <c r="S1101" s="24" t="str">
        <f t="shared" ref="S1101:S1164" si="92">IF(C1101="","",C1101&amp;I1101)</f>
        <v/>
      </c>
      <c r="T1101" t="str">
        <f t="shared" si="89"/>
        <v/>
      </c>
    </row>
    <row r="1102" spans="1:20">
      <c r="A1102" s="22" t="s">
        <v>1254</v>
      </c>
      <c r="H1102" s="22" t="str">
        <f t="shared" si="90"/>
        <v/>
      </c>
      <c r="J1102" s="32"/>
      <c r="R1102" s="24" t="str">
        <f t="shared" si="91"/>
        <v/>
      </c>
      <c r="S1102" s="24" t="str">
        <f t="shared" si="92"/>
        <v/>
      </c>
      <c r="T1102" t="str">
        <f t="shared" si="89"/>
        <v/>
      </c>
    </row>
    <row r="1103" spans="1:20">
      <c r="A1103" s="22" t="s">
        <v>1255</v>
      </c>
      <c r="H1103" s="22" t="str">
        <f t="shared" si="90"/>
        <v/>
      </c>
      <c r="J1103" s="32"/>
      <c r="R1103" s="24" t="str">
        <f t="shared" si="91"/>
        <v/>
      </c>
      <c r="S1103" s="24" t="str">
        <f t="shared" si="92"/>
        <v/>
      </c>
      <c r="T1103" t="str">
        <f t="shared" si="89"/>
        <v/>
      </c>
    </row>
    <row r="1104" spans="1:20">
      <c r="A1104" s="22" t="s">
        <v>1256</v>
      </c>
      <c r="H1104" s="22" t="str">
        <f t="shared" si="90"/>
        <v/>
      </c>
      <c r="J1104" s="32"/>
      <c r="R1104" s="24" t="str">
        <f t="shared" si="91"/>
        <v/>
      </c>
      <c r="S1104" s="24" t="str">
        <f t="shared" si="92"/>
        <v/>
      </c>
      <c r="T1104" t="str">
        <f t="shared" si="89"/>
        <v/>
      </c>
    </row>
    <row r="1105" spans="1:20">
      <c r="A1105" s="22" t="s">
        <v>1257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1258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1259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1260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1261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1262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1263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1264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1265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1266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1267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1268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1269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1270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1271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1272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1273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1274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1275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1276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1277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1278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1279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1280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1281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1282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1283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1284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1285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1286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1287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1288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1289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1290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1291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1292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1293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1294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1295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1296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1297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1298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1299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1300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1301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1302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1303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1304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1305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1306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1307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1308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1309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1310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1311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1312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1313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1314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1315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1316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ref="T1164:T1227" si="93">IF(OR(C1164="",I1164&lt;&gt;"ENTRADA"),"",TEXT(B1164,"AAMMDD")&amp;"-"&amp;TEXT(VALUE(SUBSTITUTE(A1164,"MOV-","")),"000"))</f>
        <v/>
      </c>
    </row>
    <row r="1165" spans="1:20">
      <c r="A1165" s="22" t="s">
        <v>1317</v>
      </c>
      <c r="H1165" s="22" t="str">
        <f t="shared" ref="H1165:H1228" si="94">+T1165</f>
        <v/>
      </c>
      <c r="J1165" s="32"/>
      <c r="R1165" s="24" t="str">
        <f t="shared" ref="R1165:R1228" si="95">IF(H1165="","",H1165&amp;I1165)</f>
        <v/>
      </c>
      <c r="S1165" s="24" t="str">
        <f t="shared" ref="S1165:S1228" si="96">IF(C1165="","",C1165&amp;I1165)</f>
        <v/>
      </c>
      <c r="T1165" t="str">
        <f t="shared" si="93"/>
        <v/>
      </c>
    </row>
    <row r="1166" spans="1:20">
      <c r="A1166" s="22" t="s">
        <v>1318</v>
      </c>
      <c r="H1166" s="22" t="str">
        <f t="shared" si="94"/>
        <v/>
      </c>
      <c r="J1166" s="32"/>
      <c r="R1166" s="24" t="str">
        <f t="shared" si="95"/>
        <v/>
      </c>
      <c r="S1166" s="24" t="str">
        <f t="shared" si="96"/>
        <v/>
      </c>
      <c r="T1166" t="str">
        <f t="shared" si="93"/>
        <v/>
      </c>
    </row>
    <row r="1167" spans="1:20">
      <c r="A1167" s="22" t="s">
        <v>1319</v>
      </c>
      <c r="H1167" s="22" t="str">
        <f t="shared" si="94"/>
        <v/>
      </c>
      <c r="J1167" s="32"/>
      <c r="R1167" s="24" t="str">
        <f t="shared" si="95"/>
        <v/>
      </c>
      <c r="S1167" s="24" t="str">
        <f t="shared" si="96"/>
        <v/>
      </c>
      <c r="T1167" t="str">
        <f t="shared" si="93"/>
        <v/>
      </c>
    </row>
    <row r="1168" spans="1:20">
      <c r="A1168" s="22" t="s">
        <v>1320</v>
      </c>
      <c r="H1168" s="22" t="str">
        <f t="shared" si="94"/>
        <v/>
      </c>
      <c r="J1168" s="32"/>
      <c r="R1168" s="24" t="str">
        <f t="shared" si="95"/>
        <v/>
      </c>
      <c r="S1168" s="24" t="str">
        <f t="shared" si="96"/>
        <v/>
      </c>
      <c r="T1168" t="str">
        <f t="shared" si="93"/>
        <v/>
      </c>
    </row>
    <row r="1169" spans="1:20">
      <c r="A1169" s="22" t="s">
        <v>1321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1322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1323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1324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1325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1326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1327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1328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1329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1330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1331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1332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1333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1334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1335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1336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1337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1338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1339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1340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1341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1342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1343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1344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1345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1346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1347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1348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1349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1350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1351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1352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1353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1354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1355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1356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1357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1358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1359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1360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1361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1362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1363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1364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1365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1366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1367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1368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1369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1370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1371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1372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1373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1374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1375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1376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1377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1378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1379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1380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ref="T1228:T1291" si="97">IF(OR(C1228="",I1228&lt;&gt;"ENTRADA"),"",TEXT(B1228,"AAMMDD")&amp;"-"&amp;TEXT(VALUE(SUBSTITUTE(A1228,"MOV-","")),"000"))</f>
        <v/>
      </c>
    </row>
    <row r="1229" spans="1:20">
      <c r="A1229" s="22" t="s">
        <v>1381</v>
      </c>
      <c r="H1229" s="22" t="str">
        <f t="shared" ref="H1229:H1292" si="98">+T1229</f>
        <v/>
      </c>
      <c r="J1229" s="32"/>
      <c r="R1229" s="24" t="str">
        <f t="shared" ref="R1229:R1292" si="99">IF(H1229="","",H1229&amp;I1229)</f>
        <v/>
      </c>
      <c r="S1229" s="24" t="str">
        <f t="shared" ref="S1229:S1292" si="100">IF(C1229="","",C1229&amp;I1229)</f>
        <v/>
      </c>
      <c r="T1229" t="str">
        <f t="shared" si="97"/>
        <v/>
      </c>
    </row>
    <row r="1230" spans="1:20">
      <c r="A1230" s="22" t="s">
        <v>1382</v>
      </c>
      <c r="H1230" s="22" t="str">
        <f t="shared" si="98"/>
        <v/>
      </c>
      <c r="J1230" s="32"/>
      <c r="R1230" s="24" t="str">
        <f t="shared" si="99"/>
        <v/>
      </c>
      <c r="S1230" s="24" t="str">
        <f t="shared" si="100"/>
        <v/>
      </c>
      <c r="T1230" t="str">
        <f t="shared" si="97"/>
        <v/>
      </c>
    </row>
    <row r="1231" spans="1:20">
      <c r="A1231" s="22" t="s">
        <v>1383</v>
      </c>
      <c r="H1231" s="22" t="str">
        <f t="shared" si="98"/>
        <v/>
      </c>
      <c r="J1231" s="32"/>
      <c r="R1231" s="24" t="str">
        <f t="shared" si="99"/>
        <v/>
      </c>
      <c r="S1231" s="24" t="str">
        <f t="shared" si="100"/>
        <v/>
      </c>
      <c r="T1231" t="str">
        <f t="shared" si="97"/>
        <v/>
      </c>
    </row>
    <row r="1232" spans="1:20">
      <c r="A1232" s="22" t="s">
        <v>1384</v>
      </c>
      <c r="H1232" s="22" t="str">
        <f t="shared" si="98"/>
        <v/>
      </c>
      <c r="J1232" s="32"/>
      <c r="R1232" s="24" t="str">
        <f t="shared" si="99"/>
        <v/>
      </c>
      <c r="S1232" s="24" t="str">
        <f t="shared" si="100"/>
        <v/>
      </c>
      <c r="T1232" t="str">
        <f t="shared" si="97"/>
        <v/>
      </c>
    </row>
    <row r="1233" spans="1:20">
      <c r="A1233" s="22" t="s">
        <v>1385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1386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1387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1388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1389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1390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1391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1392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1393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1394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1395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1396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1397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1398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1399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1400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1401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1402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1403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1404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1405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1406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1407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1408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1409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1410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1411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1412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1413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1414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1415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1416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1417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1418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1419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1420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1421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1422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1423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1424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1425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1426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1427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1428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1429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1430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1431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1432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1433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1434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1435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1436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1437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1438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1439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1440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1441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1442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1443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1444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ref="T1292:T1355" si="101">IF(OR(C1292="",I1292&lt;&gt;"ENTRADA"),"",TEXT(B1292,"AAMMDD")&amp;"-"&amp;TEXT(VALUE(SUBSTITUTE(A1292,"MOV-","")),"000"))</f>
        <v/>
      </c>
    </row>
    <row r="1293" spans="1:20">
      <c r="A1293" s="22" t="s">
        <v>1445</v>
      </c>
      <c r="H1293" s="22" t="str">
        <f t="shared" ref="H1293:H1356" si="102">+T1293</f>
        <v/>
      </c>
      <c r="J1293" s="32"/>
      <c r="R1293" s="24" t="str">
        <f t="shared" ref="R1293:R1356" si="103">IF(H1293="","",H1293&amp;I1293)</f>
        <v/>
      </c>
      <c r="S1293" s="24" t="str">
        <f t="shared" ref="S1293:S1356" si="104">IF(C1293="","",C1293&amp;I1293)</f>
        <v/>
      </c>
      <c r="T1293" t="str">
        <f t="shared" si="101"/>
        <v/>
      </c>
    </row>
    <row r="1294" spans="1:20">
      <c r="A1294" s="22" t="s">
        <v>1446</v>
      </c>
      <c r="H1294" s="22" t="str">
        <f t="shared" si="102"/>
        <v/>
      </c>
      <c r="J1294" s="32"/>
      <c r="R1294" s="24" t="str">
        <f t="shared" si="103"/>
        <v/>
      </c>
      <c r="S1294" s="24" t="str">
        <f t="shared" si="104"/>
        <v/>
      </c>
      <c r="T1294" t="str">
        <f t="shared" si="101"/>
        <v/>
      </c>
    </row>
    <row r="1295" spans="1:20">
      <c r="A1295" s="22" t="s">
        <v>1447</v>
      </c>
      <c r="H1295" s="22" t="str">
        <f t="shared" si="102"/>
        <v/>
      </c>
      <c r="J1295" s="32"/>
      <c r="R1295" s="24" t="str">
        <f t="shared" si="103"/>
        <v/>
      </c>
      <c r="S1295" s="24" t="str">
        <f t="shared" si="104"/>
        <v/>
      </c>
      <c r="T1295" t="str">
        <f t="shared" si="101"/>
        <v/>
      </c>
    </row>
    <row r="1296" spans="1:20">
      <c r="A1296" s="22" t="s">
        <v>1448</v>
      </c>
      <c r="H1296" s="22" t="str">
        <f t="shared" si="102"/>
        <v/>
      </c>
      <c r="J1296" s="32"/>
      <c r="R1296" s="24" t="str">
        <f t="shared" si="103"/>
        <v/>
      </c>
      <c r="S1296" s="24" t="str">
        <f t="shared" si="104"/>
        <v/>
      </c>
      <c r="T1296" t="str">
        <f t="shared" si="101"/>
        <v/>
      </c>
    </row>
    <row r="1297" spans="1:20">
      <c r="A1297" s="22" t="s">
        <v>1449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1450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1451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1452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1453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1454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1455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1456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1457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1458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1459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1460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1461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1462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1463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1464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1465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1466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1467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1468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1469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1470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1471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1472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1473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1474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1475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1476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1477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1478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1479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1480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1481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1482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1483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1484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1485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1486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1487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1488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1489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1490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1491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1492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1493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1494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1495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1496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1497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1498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1499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1500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1501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1502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1503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1504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1505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1506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1507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1508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ref="T1356:T1419" si="105">IF(OR(C1356="",I1356&lt;&gt;"ENTRADA"),"",TEXT(B1356,"AAMMDD")&amp;"-"&amp;TEXT(VALUE(SUBSTITUTE(A1356,"MOV-","")),"000"))</f>
        <v/>
      </c>
    </row>
    <row r="1357" spans="1:20">
      <c r="A1357" s="22" t="s">
        <v>1509</v>
      </c>
      <c r="H1357" s="22" t="str">
        <f t="shared" ref="H1357:H1420" si="106">+T1357</f>
        <v/>
      </c>
      <c r="J1357" s="32"/>
      <c r="R1357" s="24" t="str">
        <f t="shared" ref="R1357:R1420" si="107">IF(H1357="","",H1357&amp;I1357)</f>
        <v/>
      </c>
      <c r="S1357" s="24" t="str">
        <f t="shared" ref="S1357:S1420" si="108">IF(C1357="","",C1357&amp;I1357)</f>
        <v/>
      </c>
      <c r="T1357" t="str">
        <f t="shared" si="105"/>
        <v/>
      </c>
    </row>
    <row r="1358" spans="1:20">
      <c r="A1358" s="22" t="s">
        <v>1510</v>
      </c>
      <c r="H1358" s="22" t="str">
        <f t="shared" si="106"/>
        <v/>
      </c>
      <c r="J1358" s="32"/>
      <c r="R1358" s="24" t="str">
        <f t="shared" si="107"/>
        <v/>
      </c>
      <c r="S1358" s="24" t="str">
        <f t="shared" si="108"/>
        <v/>
      </c>
      <c r="T1358" t="str">
        <f t="shared" si="105"/>
        <v/>
      </c>
    </row>
    <row r="1359" spans="1:20">
      <c r="A1359" s="22" t="s">
        <v>1511</v>
      </c>
      <c r="H1359" s="22" t="str">
        <f t="shared" si="106"/>
        <v/>
      </c>
      <c r="J1359" s="32"/>
      <c r="R1359" s="24" t="str">
        <f t="shared" si="107"/>
        <v/>
      </c>
      <c r="S1359" s="24" t="str">
        <f t="shared" si="108"/>
        <v/>
      </c>
      <c r="T1359" t="str">
        <f t="shared" si="105"/>
        <v/>
      </c>
    </row>
    <row r="1360" spans="1:20">
      <c r="A1360" s="22" t="s">
        <v>1512</v>
      </c>
      <c r="H1360" s="22" t="str">
        <f t="shared" si="106"/>
        <v/>
      </c>
      <c r="J1360" s="32"/>
      <c r="R1360" s="24" t="str">
        <f t="shared" si="107"/>
        <v/>
      </c>
      <c r="S1360" s="24" t="str">
        <f t="shared" si="108"/>
        <v/>
      </c>
      <c r="T1360" t="str">
        <f t="shared" si="105"/>
        <v/>
      </c>
    </row>
    <row r="1361" spans="1:20">
      <c r="A1361" s="22" t="s">
        <v>1513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1514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1515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1516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1517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1518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1519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1520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1521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1522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1523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1524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1525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1526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1527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1528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1529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1530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1531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1532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1533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1534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1535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1536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1537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1538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1539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1540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1541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1542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1543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1544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1545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1546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1547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1548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1549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1550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1551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1552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1553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1554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1555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1556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1557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1558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1559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1560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1561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1562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1563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1564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1565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1566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1567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1568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1569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1570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1571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1572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ref="T1420:T1483" si="109">IF(OR(C1420="",I1420&lt;&gt;"ENTRADA"),"",TEXT(B1420,"AAMMDD")&amp;"-"&amp;TEXT(VALUE(SUBSTITUTE(A1420,"MOV-","")),"000"))</f>
        <v/>
      </c>
    </row>
    <row r="1421" spans="1:20">
      <c r="A1421" s="22" t="s">
        <v>1573</v>
      </c>
      <c r="H1421" s="22" t="str">
        <f t="shared" ref="H1421:H1484" si="110">+T1421</f>
        <v/>
      </c>
      <c r="J1421" s="32"/>
      <c r="R1421" s="24" t="str">
        <f t="shared" ref="R1421:R1484" si="111">IF(H1421="","",H1421&amp;I1421)</f>
        <v/>
      </c>
      <c r="S1421" s="24" t="str">
        <f t="shared" ref="S1421:S1484" si="112">IF(C1421="","",C1421&amp;I1421)</f>
        <v/>
      </c>
      <c r="T1421" t="str">
        <f t="shared" si="109"/>
        <v/>
      </c>
    </row>
    <row r="1422" spans="1:20">
      <c r="A1422" s="22" t="s">
        <v>1574</v>
      </c>
      <c r="H1422" s="22" t="str">
        <f t="shared" si="110"/>
        <v/>
      </c>
      <c r="J1422" s="32"/>
      <c r="R1422" s="24" t="str">
        <f t="shared" si="111"/>
        <v/>
      </c>
      <c r="S1422" s="24" t="str">
        <f t="shared" si="112"/>
        <v/>
      </c>
      <c r="T1422" t="str">
        <f t="shared" si="109"/>
        <v/>
      </c>
    </row>
    <row r="1423" spans="1:20">
      <c r="A1423" s="22" t="s">
        <v>1575</v>
      </c>
      <c r="H1423" s="22" t="str">
        <f t="shared" si="110"/>
        <v/>
      </c>
      <c r="J1423" s="32"/>
      <c r="R1423" s="24" t="str">
        <f t="shared" si="111"/>
        <v/>
      </c>
      <c r="S1423" s="24" t="str">
        <f t="shared" si="112"/>
        <v/>
      </c>
      <c r="T1423" t="str">
        <f t="shared" si="109"/>
        <v/>
      </c>
    </row>
    <row r="1424" spans="1:20">
      <c r="A1424" s="22" t="s">
        <v>1576</v>
      </c>
      <c r="H1424" s="22" t="str">
        <f t="shared" si="110"/>
        <v/>
      </c>
      <c r="J1424" s="32"/>
      <c r="R1424" s="24" t="str">
        <f t="shared" si="111"/>
        <v/>
      </c>
      <c r="S1424" s="24" t="str">
        <f t="shared" si="112"/>
        <v/>
      </c>
      <c r="T1424" t="str">
        <f t="shared" si="109"/>
        <v/>
      </c>
    </row>
    <row r="1425" spans="1:20">
      <c r="A1425" s="22" t="s">
        <v>1577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1578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1579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1580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1581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1582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1583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1584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1585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1586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1587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1588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1589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1590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1591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1592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1593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1594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1595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1596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1597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1598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1599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1600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1601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1602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1603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1604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1605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1606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1607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1608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1609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1610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1611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1612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1613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1614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1615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1616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1617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1618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1619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1620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1621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1622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1623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1624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1625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1626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1627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1628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1629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1630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1631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1632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1633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1634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1635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1636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ref="T1484:T1547" si="113">IF(OR(C1484="",I1484&lt;&gt;"ENTRADA"),"",TEXT(B1484,"AAMMDD")&amp;"-"&amp;TEXT(VALUE(SUBSTITUTE(A1484,"MOV-","")),"000"))</f>
        <v/>
      </c>
    </row>
    <row r="1485" spans="1:20">
      <c r="A1485" s="22" t="s">
        <v>1637</v>
      </c>
      <c r="H1485" s="22" t="str">
        <f t="shared" ref="H1485:H1548" si="114">+T1485</f>
        <v/>
      </c>
      <c r="J1485" s="32"/>
      <c r="R1485" s="24" t="str">
        <f t="shared" ref="R1485:R1548" si="115">IF(H1485="","",H1485&amp;I1485)</f>
        <v/>
      </c>
      <c r="S1485" s="24" t="str">
        <f t="shared" ref="S1485:S1548" si="116">IF(C1485="","",C1485&amp;I1485)</f>
        <v/>
      </c>
      <c r="T1485" t="str">
        <f t="shared" si="113"/>
        <v/>
      </c>
    </row>
    <row r="1486" spans="1:20">
      <c r="A1486" s="22" t="s">
        <v>1638</v>
      </c>
      <c r="H1486" s="22" t="str">
        <f t="shared" si="114"/>
        <v/>
      </c>
      <c r="J1486" s="32"/>
      <c r="R1486" s="24" t="str">
        <f t="shared" si="115"/>
        <v/>
      </c>
      <c r="S1486" s="24" t="str">
        <f t="shared" si="116"/>
        <v/>
      </c>
      <c r="T1486" t="str">
        <f t="shared" si="113"/>
        <v/>
      </c>
    </row>
    <row r="1487" spans="1:20">
      <c r="A1487" s="22" t="s">
        <v>1639</v>
      </c>
      <c r="H1487" s="22" t="str">
        <f t="shared" si="114"/>
        <v/>
      </c>
      <c r="J1487" s="32"/>
      <c r="R1487" s="24" t="str">
        <f t="shared" si="115"/>
        <v/>
      </c>
      <c r="S1487" s="24" t="str">
        <f t="shared" si="116"/>
        <v/>
      </c>
      <c r="T1487" t="str">
        <f t="shared" si="113"/>
        <v/>
      </c>
    </row>
    <row r="1488" spans="1:20">
      <c r="A1488" s="22" t="s">
        <v>1640</v>
      </c>
      <c r="H1488" s="22" t="str">
        <f t="shared" si="114"/>
        <v/>
      </c>
      <c r="J1488" s="32"/>
      <c r="R1488" s="24" t="str">
        <f t="shared" si="115"/>
        <v/>
      </c>
      <c r="S1488" s="24" t="str">
        <f t="shared" si="116"/>
        <v/>
      </c>
      <c r="T1488" t="str">
        <f t="shared" si="113"/>
        <v/>
      </c>
    </row>
    <row r="1489" spans="1:20">
      <c r="A1489" s="22" t="s">
        <v>1641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1642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1643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1644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1645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1646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1647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1648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1649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1650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1651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1652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1653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1654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1655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1656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1657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1658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1659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1660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1661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1662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1663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1664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1665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1666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1667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1668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1669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1670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1671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1672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1673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1674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1675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1676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1677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1678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1679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1680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1681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1682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1683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1684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1685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1686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1687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1688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1689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1690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1691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1692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1693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1694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1695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1696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1697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1698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1699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1700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ref="T1548:T1611" si="117">IF(OR(C1548="",I1548&lt;&gt;"ENTRADA"),"",TEXT(B1548,"AAMMDD")&amp;"-"&amp;TEXT(VALUE(SUBSTITUTE(A1548,"MOV-","")),"000"))</f>
        <v/>
      </c>
    </row>
    <row r="1549" spans="1:20">
      <c r="A1549" s="22" t="s">
        <v>1701</v>
      </c>
      <c r="H1549" s="22" t="str">
        <f t="shared" ref="H1549:H1612" si="118">+T1549</f>
        <v/>
      </c>
      <c r="J1549" s="32"/>
      <c r="R1549" s="24" t="str">
        <f t="shared" ref="R1549:R1612" si="119">IF(H1549="","",H1549&amp;I1549)</f>
        <v/>
      </c>
      <c r="S1549" s="24" t="str">
        <f t="shared" ref="S1549:S1612" si="120">IF(C1549="","",C1549&amp;I1549)</f>
        <v/>
      </c>
      <c r="T1549" t="str">
        <f t="shared" si="117"/>
        <v/>
      </c>
    </row>
    <row r="1550" spans="1:20">
      <c r="A1550" s="22" t="s">
        <v>1702</v>
      </c>
      <c r="H1550" s="22" t="str">
        <f t="shared" si="118"/>
        <v/>
      </c>
      <c r="J1550" s="32"/>
      <c r="R1550" s="24" t="str">
        <f t="shared" si="119"/>
        <v/>
      </c>
      <c r="S1550" s="24" t="str">
        <f t="shared" si="120"/>
        <v/>
      </c>
      <c r="T1550" t="str">
        <f t="shared" si="117"/>
        <v/>
      </c>
    </row>
    <row r="1551" spans="1:20">
      <c r="A1551" s="22" t="s">
        <v>1703</v>
      </c>
      <c r="H1551" s="22" t="str">
        <f t="shared" si="118"/>
        <v/>
      </c>
      <c r="J1551" s="32"/>
      <c r="R1551" s="24" t="str">
        <f t="shared" si="119"/>
        <v/>
      </c>
      <c r="S1551" s="24" t="str">
        <f t="shared" si="120"/>
        <v/>
      </c>
      <c r="T1551" t="str">
        <f t="shared" si="117"/>
        <v/>
      </c>
    </row>
    <row r="1552" spans="1:20">
      <c r="A1552" s="22" t="s">
        <v>1704</v>
      </c>
      <c r="H1552" s="22" t="str">
        <f t="shared" si="118"/>
        <v/>
      </c>
      <c r="J1552" s="32"/>
      <c r="R1552" s="24" t="str">
        <f t="shared" si="119"/>
        <v/>
      </c>
      <c r="S1552" s="24" t="str">
        <f t="shared" si="120"/>
        <v/>
      </c>
      <c r="T1552" t="str">
        <f t="shared" si="117"/>
        <v/>
      </c>
    </row>
    <row r="1553" spans="1:20">
      <c r="A1553" s="22" t="s">
        <v>1705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1706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1707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1708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1709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1710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1711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1712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1713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1714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1715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1716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1717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1718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1719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1720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1721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1722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1723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1724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1725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1726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1727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1728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1729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1730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1731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1732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1733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1734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1735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1736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1737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1738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1739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1740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1741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1742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1743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1744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1745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1746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1747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1748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1749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1750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1751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1752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1753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1754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1755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1756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1757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1758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1759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1760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1761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1762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1763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1764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ref="T1612:T1675" si="121">IF(OR(C1612="",I1612&lt;&gt;"ENTRADA"),"",TEXT(B1612,"AAMMDD")&amp;"-"&amp;TEXT(VALUE(SUBSTITUTE(A1612,"MOV-","")),"000"))</f>
        <v/>
      </c>
    </row>
    <row r="1613" spans="1:20">
      <c r="A1613" s="22" t="s">
        <v>1765</v>
      </c>
      <c r="H1613" s="22" t="str">
        <f t="shared" ref="H1613:H1676" si="122">+T1613</f>
        <v/>
      </c>
      <c r="J1613" s="32"/>
      <c r="R1613" s="24" t="str">
        <f t="shared" ref="R1613:R1676" si="123">IF(H1613="","",H1613&amp;I1613)</f>
        <v/>
      </c>
      <c r="S1613" s="24" t="str">
        <f t="shared" ref="S1613:S1676" si="124">IF(C1613="","",C1613&amp;I1613)</f>
        <v/>
      </c>
      <c r="T1613" t="str">
        <f t="shared" si="121"/>
        <v/>
      </c>
    </row>
    <row r="1614" spans="1:20">
      <c r="A1614" s="22" t="s">
        <v>1766</v>
      </c>
      <c r="H1614" s="22" t="str">
        <f t="shared" si="122"/>
        <v/>
      </c>
      <c r="J1614" s="32"/>
      <c r="R1614" s="24" t="str">
        <f t="shared" si="123"/>
        <v/>
      </c>
      <c r="S1614" s="24" t="str">
        <f t="shared" si="124"/>
        <v/>
      </c>
      <c r="T1614" t="str">
        <f t="shared" si="121"/>
        <v/>
      </c>
    </row>
    <row r="1615" spans="1:20">
      <c r="A1615" s="22" t="s">
        <v>1767</v>
      </c>
      <c r="H1615" s="22" t="str">
        <f t="shared" si="122"/>
        <v/>
      </c>
      <c r="J1615" s="32"/>
      <c r="R1615" s="24" t="str">
        <f t="shared" si="123"/>
        <v/>
      </c>
      <c r="S1615" s="24" t="str">
        <f t="shared" si="124"/>
        <v/>
      </c>
      <c r="T1615" t="str">
        <f t="shared" si="121"/>
        <v/>
      </c>
    </row>
    <row r="1616" spans="1:20">
      <c r="A1616" s="22" t="s">
        <v>1768</v>
      </c>
      <c r="H1616" s="22" t="str">
        <f t="shared" si="122"/>
        <v/>
      </c>
      <c r="J1616" s="32"/>
      <c r="R1616" s="24" t="str">
        <f t="shared" si="123"/>
        <v/>
      </c>
      <c r="S1616" s="24" t="str">
        <f t="shared" si="124"/>
        <v/>
      </c>
      <c r="T1616" t="str">
        <f t="shared" si="121"/>
        <v/>
      </c>
    </row>
    <row r="1617" spans="1:20">
      <c r="A1617" s="22" t="s">
        <v>1769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1770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1771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1772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1773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1774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1775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1776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1777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1778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1779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1780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1781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1782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1783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1784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1785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1786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1787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1788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1789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1790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1791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1792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1793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1794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1795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1796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1797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1798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1799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1800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1801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1802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1803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1804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1805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1806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1807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1808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1809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1810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1811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1812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1813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1814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1815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1816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1817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1818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1819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1820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1821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1822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1823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1824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1825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1826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1827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1828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ref="T1676:T1739" si="125">IF(OR(C1676="",I1676&lt;&gt;"ENTRADA"),"",TEXT(B1676,"AAMMDD")&amp;"-"&amp;TEXT(VALUE(SUBSTITUTE(A1676,"MOV-","")),"000"))</f>
        <v/>
      </c>
    </row>
    <row r="1677" spans="1:20">
      <c r="A1677" s="22" t="s">
        <v>1829</v>
      </c>
      <c r="H1677" s="22" t="str">
        <f t="shared" ref="H1677:H1740" si="126">+T1677</f>
        <v/>
      </c>
      <c r="J1677" s="32"/>
      <c r="R1677" s="24" t="str">
        <f t="shared" ref="R1677:R1740" si="127">IF(H1677="","",H1677&amp;I1677)</f>
        <v/>
      </c>
      <c r="S1677" s="24" t="str">
        <f t="shared" ref="S1677:S1740" si="128">IF(C1677="","",C1677&amp;I1677)</f>
        <v/>
      </c>
      <c r="T1677" t="str">
        <f t="shared" si="125"/>
        <v/>
      </c>
    </row>
    <row r="1678" spans="1:20">
      <c r="A1678" s="22" t="s">
        <v>1830</v>
      </c>
      <c r="H1678" s="22" t="str">
        <f t="shared" si="126"/>
        <v/>
      </c>
      <c r="J1678" s="32"/>
      <c r="R1678" s="24" t="str">
        <f t="shared" si="127"/>
        <v/>
      </c>
      <c r="S1678" s="24" t="str">
        <f t="shared" si="128"/>
        <v/>
      </c>
      <c r="T1678" t="str">
        <f t="shared" si="125"/>
        <v/>
      </c>
    </row>
    <row r="1679" spans="1:20">
      <c r="A1679" s="22" t="s">
        <v>1831</v>
      </c>
      <c r="H1679" s="22" t="str">
        <f t="shared" si="126"/>
        <v/>
      </c>
      <c r="J1679" s="32"/>
      <c r="R1679" s="24" t="str">
        <f t="shared" si="127"/>
        <v/>
      </c>
      <c r="S1679" s="24" t="str">
        <f t="shared" si="128"/>
        <v/>
      </c>
      <c r="T1679" t="str">
        <f t="shared" si="125"/>
        <v/>
      </c>
    </row>
    <row r="1680" spans="1:20">
      <c r="A1680" s="22" t="s">
        <v>1832</v>
      </c>
      <c r="H1680" s="22" t="str">
        <f t="shared" si="126"/>
        <v/>
      </c>
      <c r="J1680" s="32"/>
      <c r="R1680" s="24" t="str">
        <f t="shared" si="127"/>
        <v/>
      </c>
      <c r="S1680" s="24" t="str">
        <f t="shared" si="128"/>
        <v/>
      </c>
      <c r="T1680" t="str">
        <f t="shared" si="125"/>
        <v/>
      </c>
    </row>
    <row r="1681" spans="1:20">
      <c r="A1681" s="22" t="s">
        <v>1833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1834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1835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1836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1837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1838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1839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1840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1841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1842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1843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1844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1845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1846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1847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1848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1849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1850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1851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1852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1853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1854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1855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1856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1857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1858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1859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1860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1861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1862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1863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1864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1865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1866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1867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1868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1869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1870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1871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1872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1873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1874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1875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1876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1877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1878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1879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1880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1881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1882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1883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1884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1885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1886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1887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1888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1889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1890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1891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1892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ref="T1740:T1803" si="129">IF(OR(C1740="",I1740&lt;&gt;"ENTRADA"),"",TEXT(B1740,"AAMMDD")&amp;"-"&amp;TEXT(VALUE(SUBSTITUTE(A1740,"MOV-","")),"000"))</f>
        <v/>
      </c>
    </row>
    <row r="1741" spans="1:20">
      <c r="A1741" s="22" t="s">
        <v>1893</v>
      </c>
      <c r="H1741" s="22" t="str">
        <f t="shared" ref="H1741:H1804" si="130">+T1741</f>
        <v/>
      </c>
      <c r="J1741" s="32"/>
      <c r="R1741" s="24" t="str">
        <f t="shared" ref="R1741:R1804" si="131">IF(H1741="","",H1741&amp;I1741)</f>
        <v/>
      </c>
      <c r="S1741" s="24" t="str">
        <f t="shared" ref="S1741:S1804" si="132">IF(C1741="","",C1741&amp;I1741)</f>
        <v/>
      </c>
      <c r="T1741" t="str">
        <f t="shared" si="129"/>
        <v/>
      </c>
    </row>
    <row r="1742" spans="1:20">
      <c r="A1742" s="22" t="s">
        <v>1894</v>
      </c>
      <c r="H1742" s="22" t="str">
        <f t="shared" si="130"/>
        <v/>
      </c>
      <c r="J1742" s="32"/>
      <c r="R1742" s="24" t="str">
        <f t="shared" si="131"/>
        <v/>
      </c>
      <c r="S1742" s="24" t="str">
        <f t="shared" si="132"/>
        <v/>
      </c>
      <c r="T1742" t="str">
        <f t="shared" si="129"/>
        <v/>
      </c>
    </row>
    <row r="1743" spans="1:20">
      <c r="A1743" s="22" t="s">
        <v>1895</v>
      </c>
      <c r="H1743" s="22" t="str">
        <f t="shared" si="130"/>
        <v/>
      </c>
      <c r="J1743" s="32"/>
      <c r="R1743" s="24" t="str">
        <f t="shared" si="131"/>
        <v/>
      </c>
      <c r="S1743" s="24" t="str">
        <f t="shared" si="132"/>
        <v/>
      </c>
      <c r="T1743" t="str">
        <f t="shared" si="129"/>
        <v/>
      </c>
    </row>
    <row r="1744" spans="1:20">
      <c r="A1744" s="22" t="s">
        <v>1896</v>
      </c>
      <c r="H1744" s="22" t="str">
        <f t="shared" si="130"/>
        <v/>
      </c>
      <c r="J1744" s="32"/>
      <c r="R1744" s="24" t="str">
        <f t="shared" si="131"/>
        <v/>
      </c>
      <c r="S1744" s="24" t="str">
        <f t="shared" si="132"/>
        <v/>
      </c>
      <c r="T1744" t="str">
        <f t="shared" si="129"/>
        <v/>
      </c>
    </row>
    <row r="1745" spans="1:20">
      <c r="A1745" s="22" t="s">
        <v>1897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1898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1899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1900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1901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1902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1903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1904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1905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1906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1907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1908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1909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1910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1911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1912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1913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1914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1915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1916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1917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1918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1919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1920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1921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1922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1923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1924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1925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1926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1927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1928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1929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1930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1931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1932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1933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1934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1935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1936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1937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1938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1939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1940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1941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1942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1943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1944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1945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1946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1947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1948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1949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1950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1951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1952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1953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1954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1955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1956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ref="T1804:T1867" si="133">IF(OR(C1804="",I1804&lt;&gt;"ENTRADA"),"",TEXT(B1804,"AAMMDD")&amp;"-"&amp;TEXT(VALUE(SUBSTITUTE(A1804,"MOV-","")),"000"))</f>
        <v/>
      </c>
    </row>
    <row r="1805" spans="1:20">
      <c r="A1805" s="22" t="s">
        <v>1957</v>
      </c>
      <c r="H1805" s="22" t="str">
        <f t="shared" ref="H1805:H1868" si="134">+T1805</f>
        <v/>
      </c>
      <c r="J1805" s="32"/>
      <c r="R1805" s="24" t="str">
        <f t="shared" ref="R1805:R1868" si="135">IF(H1805="","",H1805&amp;I1805)</f>
        <v/>
      </c>
      <c r="S1805" s="24" t="str">
        <f t="shared" ref="S1805:S1868" si="136">IF(C1805="","",C1805&amp;I1805)</f>
        <v/>
      </c>
      <c r="T1805" t="str">
        <f t="shared" si="133"/>
        <v/>
      </c>
    </row>
    <row r="1806" spans="1:20">
      <c r="A1806" s="22" t="s">
        <v>1958</v>
      </c>
      <c r="H1806" s="22" t="str">
        <f t="shared" si="134"/>
        <v/>
      </c>
      <c r="J1806" s="32"/>
      <c r="R1806" s="24" t="str">
        <f t="shared" si="135"/>
        <v/>
      </c>
      <c r="S1806" s="24" t="str">
        <f t="shared" si="136"/>
        <v/>
      </c>
      <c r="T1806" t="str">
        <f t="shared" si="133"/>
        <v/>
      </c>
    </row>
    <row r="1807" spans="1:20">
      <c r="A1807" s="22" t="s">
        <v>1959</v>
      </c>
      <c r="H1807" s="22" t="str">
        <f t="shared" si="134"/>
        <v/>
      </c>
      <c r="J1807" s="32"/>
      <c r="R1807" s="24" t="str">
        <f t="shared" si="135"/>
        <v/>
      </c>
      <c r="S1807" s="24" t="str">
        <f t="shared" si="136"/>
        <v/>
      </c>
      <c r="T1807" t="str">
        <f t="shared" si="133"/>
        <v/>
      </c>
    </row>
    <row r="1808" spans="1:20">
      <c r="A1808" s="22" t="s">
        <v>1960</v>
      </c>
      <c r="H1808" s="22" t="str">
        <f t="shared" si="134"/>
        <v/>
      </c>
      <c r="J1808" s="32"/>
      <c r="R1808" s="24" t="str">
        <f t="shared" si="135"/>
        <v/>
      </c>
      <c r="S1808" s="24" t="str">
        <f t="shared" si="136"/>
        <v/>
      </c>
      <c r="T1808" t="str">
        <f t="shared" si="133"/>
        <v/>
      </c>
    </row>
    <row r="1809" spans="1:20">
      <c r="A1809" s="22" t="s">
        <v>1961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1962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1963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1964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1965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1966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1967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1968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1969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1970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1971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1972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1973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1974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1975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1976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1977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1978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1979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1980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1981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1982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1983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1984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1985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1986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1987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1988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1989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1990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1991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1992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1993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1994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1995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1996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1997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1998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1999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2000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2001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2002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2003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2004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2005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2006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2007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2008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2009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2010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2011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2012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2013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2014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2015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2016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2017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2018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2019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2020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ref="T1868:T1931" si="137">IF(OR(C1868="",I1868&lt;&gt;"ENTRADA"),"",TEXT(B1868,"AAMMDD")&amp;"-"&amp;TEXT(VALUE(SUBSTITUTE(A1868,"MOV-","")),"000"))</f>
        <v/>
      </c>
    </row>
    <row r="1869" spans="1:20">
      <c r="A1869" s="22" t="s">
        <v>2021</v>
      </c>
      <c r="H1869" s="22" t="str">
        <f t="shared" ref="H1869:H1932" si="138">+T1869</f>
        <v/>
      </c>
      <c r="J1869" s="32"/>
      <c r="R1869" s="24" t="str">
        <f t="shared" ref="R1869:R1932" si="139">IF(H1869="","",H1869&amp;I1869)</f>
        <v/>
      </c>
      <c r="S1869" s="24" t="str">
        <f t="shared" ref="S1869:S1932" si="140">IF(C1869="","",C1869&amp;I1869)</f>
        <v/>
      </c>
      <c r="T1869" t="str">
        <f t="shared" si="137"/>
        <v/>
      </c>
    </row>
    <row r="1870" spans="1:20">
      <c r="A1870" s="22" t="s">
        <v>2022</v>
      </c>
      <c r="H1870" s="22" t="str">
        <f t="shared" si="138"/>
        <v/>
      </c>
      <c r="J1870" s="32"/>
      <c r="R1870" s="24" t="str">
        <f t="shared" si="139"/>
        <v/>
      </c>
      <c r="S1870" s="24" t="str">
        <f t="shared" si="140"/>
        <v/>
      </c>
      <c r="T1870" t="str">
        <f t="shared" si="137"/>
        <v/>
      </c>
    </row>
    <row r="1871" spans="1:20">
      <c r="A1871" s="22" t="s">
        <v>2023</v>
      </c>
      <c r="H1871" s="22" t="str">
        <f t="shared" si="138"/>
        <v/>
      </c>
      <c r="J1871" s="32"/>
      <c r="R1871" s="24" t="str">
        <f t="shared" si="139"/>
        <v/>
      </c>
      <c r="S1871" s="24" t="str">
        <f t="shared" si="140"/>
        <v/>
      </c>
      <c r="T1871" t="str">
        <f t="shared" si="137"/>
        <v/>
      </c>
    </row>
    <row r="1872" spans="1:20">
      <c r="A1872" s="22" t="s">
        <v>2024</v>
      </c>
      <c r="H1872" s="22" t="str">
        <f t="shared" si="138"/>
        <v/>
      </c>
      <c r="J1872" s="32"/>
      <c r="R1872" s="24" t="str">
        <f t="shared" si="139"/>
        <v/>
      </c>
      <c r="S1872" s="24" t="str">
        <f t="shared" si="140"/>
        <v/>
      </c>
      <c r="T1872" t="str">
        <f t="shared" si="137"/>
        <v/>
      </c>
    </row>
    <row r="1873" spans="1:20">
      <c r="A1873" s="22" t="s">
        <v>2025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2026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2027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2028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2029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2030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2031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2032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2033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2034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2035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2036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2037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2038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2039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2040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2041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2042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2043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2044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2045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2046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2047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2048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2049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2050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2051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2052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2053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2054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2055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2056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2057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2058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2059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2060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2061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2062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2063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2064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2065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2066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2067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2068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2069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2070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2071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2072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2073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2074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2075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2076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2077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2078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2079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2080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2081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2082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2083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2084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ref="T1932:T1995" si="141">IF(OR(C1932="",I1932&lt;&gt;"ENTRADA"),"",TEXT(B1932,"AAMMDD")&amp;"-"&amp;TEXT(VALUE(SUBSTITUTE(A1932,"MOV-","")),"000"))</f>
        <v/>
      </c>
    </row>
    <row r="1933" spans="1:20">
      <c r="A1933" s="22" t="s">
        <v>2085</v>
      </c>
      <c r="H1933" s="22" t="str">
        <f t="shared" ref="H1933:H1996" si="142">+T1933</f>
        <v/>
      </c>
      <c r="J1933" s="32"/>
      <c r="R1933" s="24" t="str">
        <f t="shared" ref="R1933:R1996" si="143">IF(H1933="","",H1933&amp;I1933)</f>
        <v/>
      </c>
      <c r="S1933" s="24" t="str">
        <f t="shared" ref="S1933:S1996" si="144">IF(C1933="","",C1933&amp;I1933)</f>
        <v/>
      </c>
      <c r="T1933" t="str">
        <f t="shared" si="141"/>
        <v/>
      </c>
    </row>
    <row r="1934" spans="1:20">
      <c r="A1934" s="22" t="s">
        <v>2086</v>
      </c>
      <c r="H1934" s="22" t="str">
        <f t="shared" si="142"/>
        <v/>
      </c>
      <c r="J1934" s="32"/>
      <c r="R1934" s="24" t="str">
        <f t="shared" si="143"/>
        <v/>
      </c>
      <c r="S1934" s="24" t="str">
        <f t="shared" si="144"/>
        <v/>
      </c>
      <c r="T1934" t="str">
        <f t="shared" si="141"/>
        <v/>
      </c>
    </row>
    <row r="1935" spans="1:20">
      <c r="A1935" s="22" t="s">
        <v>2087</v>
      </c>
      <c r="H1935" s="22" t="str">
        <f t="shared" si="142"/>
        <v/>
      </c>
      <c r="J1935" s="32"/>
      <c r="R1935" s="24" t="str">
        <f t="shared" si="143"/>
        <v/>
      </c>
      <c r="S1935" s="24" t="str">
        <f t="shared" si="144"/>
        <v/>
      </c>
      <c r="T1935" t="str">
        <f t="shared" si="141"/>
        <v/>
      </c>
    </row>
    <row r="1936" spans="1:20">
      <c r="A1936" s="22" t="s">
        <v>2088</v>
      </c>
      <c r="H1936" s="22" t="str">
        <f t="shared" si="142"/>
        <v/>
      </c>
      <c r="J1936" s="32"/>
      <c r="R1936" s="24" t="str">
        <f t="shared" si="143"/>
        <v/>
      </c>
      <c r="S1936" s="24" t="str">
        <f t="shared" si="144"/>
        <v/>
      </c>
      <c r="T1936" t="str">
        <f t="shared" si="141"/>
        <v/>
      </c>
    </row>
    <row r="1937" spans="1:20">
      <c r="A1937" s="22" t="s">
        <v>2089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2090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2091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2092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2093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2094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2095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2096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2097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2098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2099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2100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2101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2102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2103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2104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2105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2106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2107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2108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2109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2110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2111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2112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2113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2114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2115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2116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2117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2118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2119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2120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2121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2122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2123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2124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2125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2126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2127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2128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2129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2130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2131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2132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2133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2134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2135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2136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2137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2138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2139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2140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2141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2142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2143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2144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2145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2146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2147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2148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ref="T1996:T2059" si="145">IF(OR(C1996="",I1996&lt;&gt;"ENTRADA"),"",TEXT(B1996,"AAMMDD")&amp;"-"&amp;TEXT(VALUE(SUBSTITUTE(A1996,"MOV-","")),"000"))</f>
        <v/>
      </c>
    </row>
    <row r="1997" spans="1:20">
      <c r="A1997" s="22" t="s">
        <v>2149</v>
      </c>
      <c r="H1997" s="22" t="str">
        <f t="shared" ref="H1997" si="146">+T1997</f>
        <v/>
      </c>
      <c r="J1997" s="32"/>
      <c r="R1997" s="24" t="str">
        <f t="shared" ref="R1997:R2060" si="147">IF(H1997="","",H1997&amp;I1997)</f>
        <v/>
      </c>
      <c r="S1997" s="24" t="str">
        <f t="shared" ref="S1997:S2060" si="148">IF(C1997="","",C1997&amp;I1997)</f>
        <v/>
      </c>
      <c r="T1997" t="str">
        <f t="shared" si="145"/>
        <v/>
      </c>
    </row>
    <row r="1998" spans="1:20">
      <c r="A1998" s="22" t="s">
        <v>2150</v>
      </c>
      <c r="R1998" s="24" t="str">
        <f t="shared" si="147"/>
        <v/>
      </c>
      <c r="S1998" s="24" t="str">
        <f t="shared" si="148"/>
        <v/>
      </c>
      <c r="T1998" t="str">
        <f t="shared" si="145"/>
        <v/>
      </c>
    </row>
    <row r="1999" spans="1:20">
      <c r="A1999" s="22" t="s">
        <v>2151</v>
      </c>
      <c r="R1999" s="24" t="str">
        <f t="shared" si="147"/>
        <v/>
      </c>
      <c r="S1999" s="24" t="str">
        <f t="shared" si="148"/>
        <v/>
      </c>
      <c r="T1999" t="str">
        <f t="shared" si="145"/>
        <v/>
      </c>
    </row>
    <row r="2000" spans="1:20">
      <c r="A2000" s="22" t="s">
        <v>2152</v>
      </c>
      <c r="R2000" s="24" t="str">
        <f t="shared" si="147"/>
        <v/>
      </c>
      <c r="S2000" s="24" t="str">
        <f t="shared" si="148"/>
        <v/>
      </c>
      <c r="T2000" t="str">
        <f t="shared" si="145"/>
        <v/>
      </c>
    </row>
    <row r="2001" spans="1:20">
      <c r="A2001" s="22" t="s">
        <v>2153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ref="T2060:T2123" si="149">IF(OR(C2060="",I2060&lt;&gt;"ENTRADA"),"",TEXT(B2060,"AAMMDD")&amp;"-"&amp;TEXT(VALUE(SUBSTITUTE(A2060,"MOV-","")),"000"))</f>
        <v/>
      </c>
    </row>
    <row r="2061" spans="18:20">
      <c r="R2061" s="24" t="str">
        <f t="shared" ref="R2061:R2124" si="150">IF(H2061="","",H2061&amp;I2061)</f>
        <v/>
      </c>
      <c r="S2061" s="24" t="str">
        <f t="shared" ref="S2061:S2124" si="151">IF(C2061="","",C2061&amp;I2061)</f>
        <v/>
      </c>
      <c r="T2061" t="str">
        <f t="shared" si="149"/>
        <v/>
      </c>
    </row>
    <row r="2062" spans="18:20">
      <c r="R2062" s="24" t="str">
        <f t="shared" si="150"/>
        <v/>
      </c>
      <c r="S2062" s="24" t="str">
        <f t="shared" si="151"/>
        <v/>
      </c>
      <c r="T2062" t="str">
        <f t="shared" si="149"/>
        <v/>
      </c>
    </row>
    <row r="2063" spans="18:20">
      <c r="R2063" s="24" t="str">
        <f t="shared" si="150"/>
        <v/>
      </c>
      <c r="S2063" s="24" t="str">
        <f t="shared" si="151"/>
        <v/>
      </c>
      <c r="T2063" t="str">
        <f t="shared" si="149"/>
        <v/>
      </c>
    </row>
    <row r="2064" spans="18:20">
      <c r="R2064" s="24" t="str">
        <f t="shared" si="150"/>
        <v/>
      </c>
      <c r="S2064" s="24" t="str">
        <f t="shared" si="151"/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ref="T2124:T2187" si="152">IF(OR(C2124="",I2124&lt;&gt;"ENTRADA"),"",TEXT(B2124,"AAMMDD")&amp;"-"&amp;TEXT(VALUE(SUBSTITUTE(A2124,"MOV-","")),"000"))</f>
        <v/>
      </c>
    </row>
    <row r="2125" spans="18:20">
      <c r="R2125" s="24" t="str">
        <f t="shared" ref="R2125:R2188" si="153">IF(H2125="","",H2125&amp;I2125)</f>
        <v/>
      </c>
      <c r="S2125" s="24" t="str">
        <f t="shared" ref="S2125:S2188" si="154">IF(C2125="","",C2125&amp;I2125)</f>
        <v/>
      </c>
      <c r="T2125" t="str">
        <f t="shared" si="152"/>
        <v/>
      </c>
    </row>
    <row r="2126" spans="18:20">
      <c r="R2126" s="24" t="str">
        <f t="shared" si="153"/>
        <v/>
      </c>
      <c r="S2126" s="24" t="str">
        <f t="shared" si="154"/>
        <v/>
      </c>
      <c r="T2126" t="str">
        <f t="shared" si="152"/>
        <v/>
      </c>
    </row>
    <row r="2127" spans="18:20">
      <c r="R2127" s="24" t="str">
        <f t="shared" si="153"/>
        <v/>
      </c>
      <c r="S2127" s="24" t="str">
        <f t="shared" si="154"/>
        <v/>
      </c>
      <c r="T2127" t="str">
        <f t="shared" si="152"/>
        <v/>
      </c>
    </row>
    <row r="2128" spans="18:20">
      <c r="R2128" s="24" t="str">
        <f t="shared" si="153"/>
        <v/>
      </c>
      <c r="S2128" s="24" t="str">
        <f t="shared" si="154"/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ref="T2188:T2251" si="155">IF(OR(C2188="",I2188&lt;&gt;"ENTRADA"),"",TEXT(B2188,"AAMMDD")&amp;"-"&amp;TEXT(VALUE(SUBSTITUTE(A2188,"MOV-","")),"000"))</f>
        <v/>
      </c>
    </row>
    <row r="2189" spans="18:20">
      <c r="R2189" s="24" t="str">
        <f t="shared" ref="R2189:R2252" si="156">IF(H2189="","",H2189&amp;I2189)</f>
        <v/>
      </c>
      <c r="S2189" s="24" t="str">
        <f t="shared" ref="S2189:S2252" si="157">IF(C2189="","",C2189&amp;I2189)</f>
        <v/>
      </c>
      <c r="T2189" t="str">
        <f t="shared" si="155"/>
        <v/>
      </c>
    </row>
    <row r="2190" spans="18:20">
      <c r="R2190" s="24" t="str">
        <f t="shared" si="156"/>
        <v/>
      </c>
      <c r="S2190" s="24" t="str">
        <f t="shared" si="157"/>
        <v/>
      </c>
      <c r="T2190" t="str">
        <f t="shared" si="155"/>
        <v/>
      </c>
    </row>
    <row r="2191" spans="18:20">
      <c r="R2191" s="24" t="str">
        <f t="shared" si="156"/>
        <v/>
      </c>
      <c r="S2191" s="24" t="str">
        <f t="shared" si="157"/>
        <v/>
      </c>
      <c r="T2191" t="str">
        <f t="shared" si="155"/>
        <v/>
      </c>
    </row>
    <row r="2192" spans="18:20">
      <c r="R2192" s="24" t="str">
        <f t="shared" si="156"/>
        <v/>
      </c>
      <c r="S2192" s="24" t="str">
        <f t="shared" si="157"/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ref="T2252:T2315" si="158">IF(OR(C2252="",I2252&lt;&gt;"ENTRADA"),"",TEXT(B2252,"AAMMDD")&amp;"-"&amp;TEXT(VALUE(SUBSTITUTE(A2252,"MOV-","")),"000"))</f>
        <v/>
      </c>
    </row>
    <row r="2253" spans="18:20">
      <c r="R2253" s="24" t="str">
        <f t="shared" ref="R2253:R2316" si="159">IF(H2253="","",H2253&amp;I2253)</f>
        <v/>
      </c>
      <c r="S2253" s="24" t="str">
        <f t="shared" ref="S2253:S2316" si="160">IF(C2253="","",C2253&amp;I2253)</f>
        <v/>
      </c>
      <c r="T2253" t="str">
        <f t="shared" si="158"/>
        <v/>
      </c>
    </row>
    <row r="2254" spans="18:20">
      <c r="R2254" s="24" t="str">
        <f t="shared" si="159"/>
        <v/>
      </c>
      <c r="S2254" s="24" t="str">
        <f t="shared" si="160"/>
        <v/>
      </c>
      <c r="T2254" t="str">
        <f t="shared" si="158"/>
        <v/>
      </c>
    </row>
    <row r="2255" spans="18:20">
      <c r="R2255" s="24" t="str">
        <f t="shared" si="159"/>
        <v/>
      </c>
      <c r="S2255" s="24" t="str">
        <f t="shared" si="160"/>
        <v/>
      </c>
      <c r="T2255" t="str">
        <f t="shared" si="158"/>
        <v/>
      </c>
    </row>
    <row r="2256" spans="18:20">
      <c r="R2256" s="24" t="str">
        <f t="shared" si="159"/>
        <v/>
      </c>
      <c r="S2256" s="24" t="str">
        <f t="shared" si="160"/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ref="T2316:T2379" si="161">IF(OR(C2316="",I2316&lt;&gt;"ENTRADA"),"",TEXT(B2316,"AAMMDD")&amp;"-"&amp;TEXT(VALUE(SUBSTITUTE(A2316,"MOV-","")),"000"))</f>
        <v/>
      </c>
    </row>
    <row r="2317" spans="18:20">
      <c r="R2317" s="24" t="str">
        <f t="shared" ref="R2317:R2380" si="162">IF(H2317="","",H2317&amp;I2317)</f>
        <v/>
      </c>
      <c r="S2317" s="24" t="str">
        <f t="shared" ref="S2317:S2380" si="163">IF(C2317="","",C2317&amp;I2317)</f>
        <v/>
      </c>
      <c r="T2317" t="str">
        <f t="shared" si="161"/>
        <v/>
      </c>
    </row>
    <row r="2318" spans="18:20">
      <c r="R2318" s="24" t="str">
        <f t="shared" si="162"/>
        <v/>
      </c>
      <c r="S2318" s="24" t="str">
        <f t="shared" si="163"/>
        <v/>
      </c>
      <c r="T2318" t="str">
        <f t="shared" si="161"/>
        <v/>
      </c>
    </row>
    <row r="2319" spans="18:20">
      <c r="R2319" s="24" t="str">
        <f t="shared" si="162"/>
        <v/>
      </c>
      <c r="S2319" s="24" t="str">
        <f t="shared" si="163"/>
        <v/>
      </c>
      <c r="T2319" t="str">
        <f t="shared" si="161"/>
        <v/>
      </c>
    </row>
    <row r="2320" spans="18:20">
      <c r="R2320" s="24" t="str">
        <f t="shared" si="162"/>
        <v/>
      </c>
      <c r="S2320" s="24" t="str">
        <f t="shared" si="163"/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ref="T2380:T2443" si="164">IF(OR(C2380="",I2380&lt;&gt;"ENTRADA"),"",TEXT(B2380,"AAMMDD")&amp;"-"&amp;TEXT(VALUE(SUBSTITUTE(A2380,"MOV-","")),"000"))</f>
        <v/>
      </c>
    </row>
    <row r="2381" spans="18:20">
      <c r="R2381" s="24" t="str">
        <f t="shared" ref="R2381:R2444" si="165">IF(H2381="","",H2381&amp;I2381)</f>
        <v/>
      </c>
      <c r="S2381" s="24" t="str">
        <f t="shared" ref="S2381:S2444" si="166">IF(C2381="","",C2381&amp;I2381)</f>
        <v/>
      </c>
      <c r="T2381" t="str">
        <f t="shared" si="164"/>
        <v/>
      </c>
    </row>
    <row r="2382" spans="18:20">
      <c r="R2382" s="24" t="str">
        <f t="shared" si="165"/>
        <v/>
      </c>
      <c r="S2382" s="24" t="str">
        <f t="shared" si="166"/>
        <v/>
      </c>
      <c r="T2382" t="str">
        <f t="shared" si="164"/>
        <v/>
      </c>
    </row>
    <row r="2383" spans="18:20">
      <c r="R2383" s="24" t="str">
        <f t="shared" si="165"/>
        <v/>
      </c>
      <c r="S2383" s="24" t="str">
        <f t="shared" si="166"/>
        <v/>
      </c>
      <c r="T2383" t="str">
        <f t="shared" si="164"/>
        <v/>
      </c>
    </row>
    <row r="2384" spans="18:20">
      <c r="R2384" s="24" t="str">
        <f t="shared" si="165"/>
        <v/>
      </c>
      <c r="S2384" s="24" t="str">
        <f t="shared" si="166"/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ref="T2444:T2507" si="167">IF(OR(C2444="",I2444&lt;&gt;"ENTRADA"),"",TEXT(B2444,"AAMMDD")&amp;"-"&amp;TEXT(VALUE(SUBSTITUTE(A2444,"MOV-","")),"000"))</f>
        <v/>
      </c>
    </row>
    <row r="2445" spans="18:20">
      <c r="R2445" s="24" t="str">
        <f t="shared" ref="R2445:R2508" si="168">IF(H2445="","",H2445&amp;I2445)</f>
        <v/>
      </c>
      <c r="S2445" s="24" t="str">
        <f t="shared" ref="S2445:S2508" si="169">IF(C2445="","",C2445&amp;I2445)</f>
        <v/>
      </c>
      <c r="T2445" t="str">
        <f t="shared" si="167"/>
        <v/>
      </c>
    </row>
    <row r="2446" spans="18:20">
      <c r="R2446" s="24" t="str">
        <f t="shared" si="168"/>
        <v/>
      </c>
      <c r="S2446" s="24" t="str">
        <f t="shared" si="169"/>
        <v/>
      </c>
      <c r="T2446" t="str">
        <f t="shared" si="167"/>
        <v/>
      </c>
    </row>
    <row r="2447" spans="18:20">
      <c r="R2447" s="24" t="str">
        <f t="shared" si="168"/>
        <v/>
      </c>
      <c r="S2447" s="24" t="str">
        <f t="shared" si="169"/>
        <v/>
      </c>
      <c r="T2447" t="str">
        <f t="shared" si="167"/>
        <v/>
      </c>
    </row>
    <row r="2448" spans="18:20">
      <c r="R2448" s="24" t="str">
        <f t="shared" si="168"/>
        <v/>
      </c>
      <c r="S2448" s="24" t="str">
        <f t="shared" si="169"/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ref="T2508:T2571" si="170">IF(OR(C2508="",I2508&lt;&gt;"ENTRADA"),"",TEXT(B2508,"AAMMDD")&amp;"-"&amp;TEXT(VALUE(SUBSTITUTE(A2508,"MOV-","")),"000"))</f>
        <v/>
      </c>
    </row>
    <row r="2509" spans="18:20">
      <c r="R2509" s="24" t="str">
        <f t="shared" ref="R2509:R2572" si="171">IF(H2509="","",H2509&amp;I2509)</f>
        <v/>
      </c>
      <c r="S2509" s="24" t="str">
        <f t="shared" ref="S2509:S2572" si="172">IF(C2509="","",C2509&amp;I2509)</f>
        <v/>
      </c>
      <c r="T2509" t="str">
        <f t="shared" si="170"/>
        <v/>
      </c>
    </row>
    <row r="2510" spans="18:20">
      <c r="R2510" s="24" t="str">
        <f t="shared" si="171"/>
        <v/>
      </c>
      <c r="S2510" s="24" t="str">
        <f t="shared" si="172"/>
        <v/>
      </c>
      <c r="T2510" t="str">
        <f t="shared" si="170"/>
        <v/>
      </c>
    </row>
    <row r="2511" spans="18:20">
      <c r="R2511" s="24" t="str">
        <f t="shared" si="171"/>
        <v/>
      </c>
      <c r="S2511" s="24" t="str">
        <f t="shared" si="172"/>
        <v/>
      </c>
      <c r="T2511" t="str">
        <f t="shared" si="170"/>
        <v/>
      </c>
    </row>
    <row r="2512" spans="18:20">
      <c r="R2512" s="24" t="str">
        <f t="shared" si="171"/>
        <v/>
      </c>
      <c r="S2512" s="24" t="str">
        <f t="shared" si="172"/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ref="T2572:T2635" si="173">IF(OR(C2572="",I2572&lt;&gt;"ENTRADA"),"",TEXT(B2572,"AAMMDD")&amp;"-"&amp;TEXT(VALUE(SUBSTITUTE(A2572,"MOV-","")),"000"))</f>
        <v/>
      </c>
    </row>
    <row r="2573" spans="18:20">
      <c r="R2573" s="24" t="str">
        <f t="shared" ref="R2573:R2636" si="174">IF(H2573="","",H2573&amp;I2573)</f>
        <v/>
      </c>
      <c r="S2573" s="24" t="str">
        <f t="shared" ref="S2573:S2636" si="175">IF(C2573="","",C2573&amp;I2573)</f>
        <v/>
      </c>
      <c r="T2573" t="str">
        <f t="shared" si="173"/>
        <v/>
      </c>
    </row>
    <row r="2574" spans="18:20">
      <c r="R2574" s="24" t="str">
        <f t="shared" si="174"/>
        <v/>
      </c>
      <c r="S2574" s="24" t="str">
        <f t="shared" si="175"/>
        <v/>
      </c>
      <c r="T2574" t="str">
        <f t="shared" si="173"/>
        <v/>
      </c>
    </row>
    <row r="2575" spans="18:20">
      <c r="R2575" s="24" t="str">
        <f t="shared" si="174"/>
        <v/>
      </c>
      <c r="S2575" s="24" t="str">
        <f t="shared" si="175"/>
        <v/>
      </c>
      <c r="T2575" t="str">
        <f t="shared" si="173"/>
        <v/>
      </c>
    </row>
    <row r="2576" spans="18:20">
      <c r="R2576" s="24" t="str">
        <f t="shared" si="174"/>
        <v/>
      </c>
      <c r="S2576" s="24" t="str">
        <f t="shared" si="175"/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ref="T2636:T2699" si="176">IF(OR(C2636="",I2636&lt;&gt;"ENTRADA"),"",TEXT(B2636,"AAMMDD")&amp;"-"&amp;TEXT(VALUE(SUBSTITUTE(A2636,"MOV-","")),"000"))</f>
        <v/>
      </c>
    </row>
    <row r="2637" spans="18:20">
      <c r="R2637" s="24" t="str">
        <f t="shared" ref="R2637:R2700" si="177">IF(H2637="","",H2637&amp;I2637)</f>
        <v/>
      </c>
      <c r="S2637" s="24" t="str">
        <f t="shared" ref="S2637:S2700" si="178">IF(C2637="","",C2637&amp;I2637)</f>
        <v/>
      </c>
      <c r="T2637" t="str">
        <f t="shared" si="176"/>
        <v/>
      </c>
    </row>
    <row r="2638" spans="18:20">
      <c r="R2638" s="24" t="str">
        <f t="shared" si="177"/>
        <v/>
      </c>
      <c r="S2638" s="24" t="str">
        <f t="shared" si="178"/>
        <v/>
      </c>
      <c r="T2638" t="str">
        <f t="shared" si="176"/>
        <v/>
      </c>
    </row>
    <row r="2639" spans="18:20">
      <c r="R2639" s="24" t="str">
        <f t="shared" si="177"/>
        <v/>
      </c>
      <c r="S2639" s="24" t="str">
        <f t="shared" si="178"/>
        <v/>
      </c>
      <c r="T2639" t="str">
        <f t="shared" si="176"/>
        <v/>
      </c>
    </row>
    <row r="2640" spans="18:20">
      <c r="R2640" s="24" t="str">
        <f t="shared" si="177"/>
        <v/>
      </c>
      <c r="S2640" s="24" t="str">
        <f t="shared" si="178"/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ref="T2700:T2763" si="179">IF(OR(C2700="",I2700&lt;&gt;"ENTRADA"),"",TEXT(B2700,"AAMMDD")&amp;"-"&amp;TEXT(VALUE(SUBSTITUTE(A2700,"MOV-","")),"000"))</f>
        <v/>
      </c>
    </row>
    <row r="2701" spans="18:20">
      <c r="R2701" s="24" t="str">
        <f t="shared" ref="R2701:R2764" si="180">IF(H2701="","",H2701&amp;I2701)</f>
        <v/>
      </c>
      <c r="S2701" s="24" t="str">
        <f t="shared" ref="S2701:S2764" si="181">IF(C2701="","",C2701&amp;I2701)</f>
        <v/>
      </c>
      <c r="T2701" t="str">
        <f t="shared" si="179"/>
        <v/>
      </c>
    </row>
    <row r="2702" spans="18:20">
      <c r="R2702" s="24" t="str">
        <f t="shared" si="180"/>
        <v/>
      </c>
      <c r="S2702" s="24" t="str">
        <f t="shared" si="181"/>
        <v/>
      </c>
      <c r="T2702" t="str">
        <f t="shared" si="179"/>
        <v/>
      </c>
    </row>
    <row r="2703" spans="18:20">
      <c r="R2703" s="24" t="str">
        <f t="shared" si="180"/>
        <v/>
      </c>
      <c r="S2703" s="24" t="str">
        <f t="shared" si="181"/>
        <v/>
      </c>
      <c r="T2703" t="str">
        <f t="shared" si="179"/>
        <v/>
      </c>
    </row>
    <row r="2704" spans="18:20">
      <c r="R2704" s="24" t="str">
        <f t="shared" si="180"/>
        <v/>
      </c>
      <c r="S2704" s="24" t="str">
        <f t="shared" si="181"/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ref="T2764:T2827" si="182">IF(OR(C2764="",I2764&lt;&gt;"ENTRADA"),"",TEXT(B2764,"AAMMDD")&amp;"-"&amp;TEXT(VALUE(SUBSTITUTE(A2764,"MOV-","")),"000"))</f>
        <v/>
      </c>
    </row>
    <row r="2765" spans="18:20">
      <c r="R2765" s="24" t="str">
        <f t="shared" ref="R2765:R2828" si="183">IF(H2765="","",H2765&amp;I2765)</f>
        <v/>
      </c>
      <c r="S2765" s="24" t="str">
        <f t="shared" ref="S2765:S2828" si="184">IF(C2765="","",C2765&amp;I2765)</f>
        <v/>
      </c>
      <c r="T2765" t="str">
        <f t="shared" si="182"/>
        <v/>
      </c>
    </row>
    <row r="2766" spans="18:20">
      <c r="R2766" s="24" t="str">
        <f t="shared" si="183"/>
        <v/>
      </c>
      <c r="S2766" s="24" t="str">
        <f t="shared" si="184"/>
        <v/>
      </c>
      <c r="T2766" t="str">
        <f t="shared" si="182"/>
        <v/>
      </c>
    </row>
    <row r="2767" spans="18:20">
      <c r="R2767" s="24" t="str">
        <f t="shared" si="183"/>
        <v/>
      </c>
      <c r="S2767" s="24" t="str">
        <f t="shared" si="184"/>
        <v/>
      </c>
      <c r="T2767" t="str">
        <f t="shared" si="182"/>
        <v/>
      </c>
    </row>
    <row r="2768" spans="18:20">
      <c r="R2768" s="24" t="str">
        <f t="shared" si="183"/>
        <v/>
      </c>
      <c r="S2768" s="24" t="str">
        <f t="shared" si="184"/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ref="T2828:T2891" si="185">IF(OR(C2828="",I2828&lt;&gt;"ENTRADA"),"",TEXT(B2828,"AAMMDD")&amp;"-"&amp;TEXT(VALUE(SUBSTITUTE(A2828,"MOV-","")),"000"))</f>
        <v/>
      </c>
    </row>
    <row r="2829" spans="18:20">
      <c r="R2829" s="24" t="str">
        <f t="shared" ref="R2829:R2892" si="186">IF(H2829="","",H2829&amp;I2829)</f>
        <v/>
      </c>
      <c r="S2829" s="24" t="str">
        <f t="shared" ref="S2829:S2892" si="187">IF(C2829="","",C2829&amp;I2829)</f>
        <v/>
      </c>
      <c r="T2829" t="str">
        <f t="shared" si="185"/>
        <v/>
      </c>
    </row>
    <row r="2830" spans="18:20">
      <c r="R2830" s="24" t="str">
        <f t="shared" si="186"/>
        <v/>
      </c>
      <c r="S2830" s="24" t="str">
        <f t="shared" si="187"/>
        <v/>
      </c>
      <c r="T2830" t="str">
        <f t="shared" si="185"/>
        <v/>
      </c>
    </row>
    <row r="2831" spans="18:20">
      <c r="R2831" s="24" t="str">
        <f t="shared" si="186"/>
        <v/>
      </c>
      <c r="S2831" s="24" t="str">
        <f t="shared" si="187"/>
        <v/>
      </c>
      <c r="T2831" t="str">
        <f t="shared" si="185"/>
        <v/>
      </c>
    </row>
    <row r="2832" spans="18:20">
      <c r="R2832" s="24" t="str">
        <f t="shared" si="186"/>
        <v/>
      </c>
      <c r="S2832" s="24" t="str">
        <f t="shared" si="187"/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ref="T2892:T2955" si="188">IF(OR(C2892="",I2892&lt;&gt;"ENTRADA"),"",TEXT(B2892,"AAMMDD")&amp;"-"&amp;TEXT(VALUE(SUBSTITUTE(A2892,"MOV-","")),"000"))</f>
        <v/>
      </c>
    </row>
    <row r="2893" spans="18:20">
      <c r="R2893" s="24" t="str">
        <f t="shared" ref="R2893:R2956" si="189">IF(H2893="","",H2893&amp;I2893)</f>
        <v/>
      </c>
      <c r="S2893" s="24" t="str">
        <f t="shared" ref="S2893:S2956" si="190">IF(C2893="","",C2893&amp;I2893)</f>
        <v/>
      </c>
      <c r="T2893" t="str">
        <f t="shared" si="188"/>
        <v/>
      </c>
    </row>
    <row r="2894" spans="18:20">
      <c r="R2894" s="24" t="str">
        <f t="shared" si="189"/>
        <v/>
      </c>
      <c r="S2894" s="24" t="str">
        <f t="shared" si="190"/>
        <v/>
      </c>
      <c r="T2894" t="str">
        <f t="shared" si="188"/>
        <v/>
      </c>
    </row>
    <row r="2895" spans="18:20">
      <c r="R2895" s="24" t="str">
        <f t="shared" si="189"/>
        <v/>
      </c>
      <c r="S2895" s="24" t="str">
        <f t="shared" si="190"/>
        <v/>
      </c>
      <c r="T2895" t="str">
        <f t="shared" si="188"/>
        <v/>
      </c>
    </row>
    <row r="2896" spans="18:20">
      <c r="R2896" s="24" t="str">
        <f t="shared" si="189"/>
        <v/>
      </c>
      <c r="S2896" s="24" t="str">
        <f t="shared" si="190"/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ref="T2956:T3019" si="191">IF(OR(C2956="",I2956&lt;&gt;"ENTRADA"),"",TEXT(B2956,"AAMMDD")&amp;"-"&amp;TEXT(VALUE(SUBSTITUTE(A2956,"MOV-","")),"000"))</f>
        <v/>
      </c>
    </row>
    <row r="2957" spans="18:20">
      <c r="R2957" s="24" t="str">
        <f t="shared" ref="R2957:R3020" si="192">IF(H2957="","",H2957&amp;I2957)</f>
        <v/>
      </c>
      <c r="S2957" s="24" t="str">
        <f t="shared" ref="S2957:S3020" si="193">IF(C2957="","",C2957&amp;I2957)</f>
        <v/>
      </c>
      <c r="T2957" t="str">
        <f t="shared" si="191"/>
        <v/>
      </c>
    </row>
    <row r="2958" spans="18:20">
      <c r="R2958" s="24" t="str">
        <f t="shared" si="192"/>
        <v/>
      </c>
      <c r="S2958" s="24" t="str">
        <f t="shared" si="193"/>
        <v/>
      </c>
      <c r="T2958" t="str">
        <f t="shared" si="191"/>
        <v/>
      </c>
    </row>
    <row r="2959" spans="18:20">
      <c r="R2959" s="24" t="str">
        <f t="shared" si="192"/>
        <v/>
      </c>
      <c r="S2959" s="24" t="str">
        <f t="shared" si="193"/>
        <v/>
      </c>
      <c r="T2959" t="str">
        <f t="shared" si="191"/>
        <v/>
      </c>
    </row>
    <row r="2960" spans="18:20">
      <c r="R2960" s="24" t="str">
        <f t="shared" si="192"/>
        <v/>
      </c>
      <c r="S2960" s="24" t="str">
        <f t="shared" si="193"/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ref="T3020:T3083" si="194">IF(OR(C3020="",I3020&lt;&gt;"ENTRADA"),"",TEXT(B3020,"AAMMDD")&amp;"-"&amp;TEXT(VALUE(SUBSTITUTE(A3020,"MOV-","")),"000"))</f>
        <v/>
      </c>
    </row>
    <row r="3021" spans="18:20">
      <c r="R3021" s="24" t="str">
        <f t="shared" ref="R3021:R3084" si="195">IF(H3021="","",H3021&amp;I3021)</f>
        <v/>
      </c>
      <c r="S3021" s="24" t="str">
        <f t="shared" ref="S3021:S3084" si="196">IF(C3021="","",C3021&amp;I3021)</f>
        <v/>
      </c>
      <c r="T3021" t="str">
        <f t="shared" si="194"/>
        <v/>
      </c>
    </row>
    <row r="3022" spans="18:20">
      <c r="R3022" s="24" t="str">
        <f t="shared" si="195"/>
        <v/>
      </c>
      <c r="S3022" s="24" t="str">
        <f t="shared" si="196"/>
        <v/>
      </c>
      <c r="T3022" t="str">
        <f t="shared" si="194"/>
        <v/>
      </c>
    </row>
    <row r="3023" spans="18:20">
      <c r="R3023" s="24" t="str">
        <f t="shared" si="195"/>
        <v/>
      </c>
      <c r="S3023" s="24" t="str">
        <f t="shared" si="196"/>
        <v/>
      </c>
      <c r="T3023" t="str">
        <f t="shared" si="194"/>
        <v/>
      </c>
    </row>
    <row r="3024" spans="18:20">
      <c r="R3024" s="24" t="str">
        <f t="shared" si="195"/>
        <v/>
      </c>
      <c r="S3024" s="24" t="str">
        <f t="shared" si="196"/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ref="T3084:T3147" si="197">IF(OR(C3084="",I3084&lt;&gt;"ENTRADA"),"",TEXT(B3084,"AAMMDD")&amp;"-"&amp;TEXT(VALUE(SUBSTITUTE(A3084,"MOV-","")),"000"))</f>
        <v/>
      </c>
    </row>
    <row r="3085" spans="18:20">
      <c r="R3085" s="24" t="str">
        <f t="shared" ref="R3085:R3148" si="198">IF(H3085="","",H3085&amp;I3085)</f>
        <v/>
      </c>
      <c r="S3085" s="24" t="str">
        <f t="shared" ref="S3085:S3148" si="199">IF(C3085="","",C3085&amp;I3085)</f>
        <v/>
      </c>
      <c r="T3085" t="str">
        <f t="shared" si="197"/>
        <v/>
      </c>
    </row>
    <row r="3086" spans="18:20">
      <c r="R3086" s="24" t="str">
        <f t="shared" si="198"/>
        <v/>
      </c>
      <c r="S3086" s="24" t="str">
        <f t="shared" si="199"/>
        <v/>
      </c>
      <c r="T3086" t="str">
        <f t="shared" si="197"/>
        <v/>
      </c>
    </row>
    <row r="3087" spans="18:20">
      <c r="R3087" s="24" t="str">
        <f t="shared" si="198"/>
        <v/>
      </c>
      <c r="S3087" s="24" t="str">
        <f t="shared" si="199"/>
        <v/>
      </c>
      <c r="T3087" t="str">
        <f t="shared" si="197"/>
        <v/>
      </c>
    </row>
    <row r="3088" spans="18:20">
      <c r="R3088" s="24" t="str">
        <f t="shared" si="198"/>
        <v/>
      </c>
      <c r="S3088" s="24" t="str">
        <f t="shared" si="199"/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ref="T3148:T3211" si="200">IF(OR(C3148="",I3148&lt;&gt;"ENTRADA"),"",TEXT(B3148,"AAMMDD")&amp;"-"&amp;TEXT(VALUE(SUBSTITUTE(A3148,"MOV-","")),"000"))</f>
        <v/>
      </c>
    </row>
    <row r="3149" spans="18:20">
      <c r="R3149" s="24" t="str">
        <f t="shared" ref="R3149:R3212" si="201">IF(H3149="","",H3149&amp;I3149)</f>
        <v/>
      </c>
      <c r="S3149" s="24" t="str">
        <f t="shared" ref="S3149:S3212" si="202">IF(C3149="","",C3149&amp;I3149)</f>
        <v/>
      </c>
      <c r="T3149" t="str">
        <f t="shared" si="200"/>
        <v/>
      </c>
    </row>
    <row r="3150" spans="18:20">
      <c r="R3150" s="24" t="str">
        <f t="shared" si="201"/>
        <v/>
      </c>
      <c r="S3150" s="24" t="str">
        <f t="shared" si="202"/>
        <v/>
      </c>
      <c r="T3150" t="str">
        <f t="shared" si="200"/>
        <v/>
      </c>
    </row>
    <row r="3151" spans="18:20">
      <c r="R3151" s="24" t="str">
        <f t="shared" si="201"/>
        <v/>
      </c>
      <c r="S3151" s="24" t="str">
        <f t="shared" si="202"/>
        <v/>
      </c>
      <c r="T3151" t="str">
        <f t="shared" si="200"/>
        <v/>
      </c>
    </row>
    <row r="3152" spans="18:20">
      <c r="R3152" s="24" t="str">
        <f t="shared" si="201"/>
        <v/>
      </c>
      <c r="S3152" s="24" t="str">
        <f t="shared" si="202"/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ref="T3212:T3275" si="203">IF(OR(C3212="",I3212&lt;&gt;"ENTRADA"),"",TEXT(B3212,"AAMMDD")&amp;"-"&amp;TEXT(VALUE(SUBSTITUTE(A3212,"MOV-","")),"000"))</f>
        <v/>
      </c>
    </row>
    <row r="3213" spans="18:20">
      <c r="R3213" s="24" t="str">
        <f t="shared" ref="R3213:R3276" si="204">IF(H3213="","",H3213&amp;I3213)</f>
        <v/>
      </c>
      <c r="S3213" s="24" t="str">
        <f t="shared" ref="S3213:S3276" si="205">IF(C3213="","",C3213&amp;I3213)</f>
        <v/>
      </c>
      <c r="T3213" t="str">
        <f t="shared" si="203"/>
        <v/>
      </c>
    </row>
    <row r="3214" spans="18:20">
      <c r="R3214" s="24" t="str">
        <f t="shared" si="204"/>
        <v/>
      </c>
      <c r="S3214" s="24" t="str">
        <f t="shared" si="205"/>
        <v/>
      </c>
      <c r="T3214" t="str">
        <f t="shared" si="203"/>
        <v/>
      </c>
    </row>
    <row r="3215" spans="18:20">
      <c r="R3215" s="24" t="str">
        <f t="shared" si="204"/>
        <v/>
      </c>
      <c r="S3215" s="24" t="str">
        <f t="shared" si="205"/>
        <v/>
      </c>
      <c r="T3215" t="str">
        <f t="shared" si="203"/>
        <v/>
      </c>
    </row>
    <row r="3216" spans="18:20">
      <c r="R3216" s="24" t="str">
        <f t="shared" si="204"/>
        <v/>
      </c>
      <c r="S3216" s="24" t="str">
        <f t="shared" si="205"/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ref="T3276:T3339" si="206">IF(OR(C3276="",I3276&lt;&gt;"ENTRADA"),"",TEXT(B3276,"AAMMDD")&amp;"-"&amp;TEXT(VALUE(SUBSTITUTE(A3276,"MOV-","")),"000"))</f>
        <v/>
      </c>
    </row>
    <row r="3277" spans="18:20">
      <c r="R3277" s="24" t="str">
        <f t="shared" ref="R3277:R3340" si="207">IF(H3277="","",H3277&amp;I3277)</f>
        <v/>
      </c>
      <c r="S3277" s="24" t="str">
        <f t="shared" ref="S3277:S3340" si="208">IF(C3277="","",C3277&amp;I3277)</f>
        <v/>
      </c>
      <c r="T3277" t="str">
        <f t="shared" si="206"/>
        <v/>
      </c>
    </row>
    <row r="3278" spans="18:20">
      <c r="R3278" s="24" t="str">
        <f t="shared" si="207"/>
        <v/>
      </c>
      <c r="S3278" s="24" t="str">
        <f t="shared" si="208"/>
        <v/>
      </c>
      <c r="T3278" t="str">
        <f t="shared" si="206"/>
        <v/>
      </c>
    </row>
    <row r="3279" spans="18:20">
      <c r="R3279" s="24" t="str">
        <f t="shared" si="207"/>
        <v/>
      </c>
      <c r="S3279" s="24" t="str">
        <f t="shared" si="208"/>
        <v/>
      </c>
      <c r="T3279" t="str">
        <f t="shared" si="206"/>
        <v/>
      </c>
    </row>
    <row r="3280" spans="18:20">
      <c r="R3280" s="24" t="str">
        <f t="shared" si="207"/>
        <v/>
      </c>
      <c r="S3280" s="24" t="str">
        <f t="shared" si="208"/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ref="T3340:T3403" si="209">IF(OR(C3340="",I3340&lt;&gt;"ENTRADA"),"",TEXT(B3340,"AAMMDD")&amp;"-"&amp;TEXT(VALUE(SUBSTITUTE(A3340,"MOV-","")),"000"))</f>
        <v/>
      </c>
    </row>
    <row r="3341" spans="18:20">
      <c r="R3341" s="24" t="str">
        <f t="shared" ref="R3341:R3404" si="210">IF(H3341="","",H3341&amp;I3341)</f>
        <v/>
      </c>
      <c r="S3341" s="24" t="str">
        <f t="shared" ref="S3341:S3404" si="211">IF(C3341="","",C3341&amp;I3341)</f>
        <v/>
      </c>
      <c r="T3341" t="str">
        <f t="shared" si="209"/>
        <v/>
      </c>
    </row>
    <row r="3342" spans="18:20">
      <c r="R3342" s="24" t="str">
        <f t="shared" si="210"/>
        <v/>
      </c>
      <c r="S3342" s="24" t="str">
        <f t="shared" si="211"/>
        <v/>
      </c>
      <c r="T3342" t="str">
        <f t="shared" si="209"/>
        <v/>
      </c>
    </row>
    <row r="3343" spans="18:20">
      <c r="R3343" s="24" t="str">
        <f t="shared" si="210"/>
        <v/>
      </c>
      <c r="S3343" s="24" t="str">
        <f t="shared" si="211"/>
        <v/>
      </c>
      <c r="T3343" t="str">
        <f t="shared" si="209"/>
        <v/>
      </c>
    </row>
    <row r="3344" spans="18:20">
      <c r="R3344" s="24" t="str">
        <f t="shared" si="210"/>
        <v/>
      </c>
      <c r="S3344" s="24" t="str">
        <f t="shared" si="211"/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ref="T3404:T3467" si="212">IF(OR(C3404="",I3404&lt;&gt;"ENTRADA"),"",TEXT(B3404,"AAMMDD")&amp;"-"&amp;TEXT(VALUE(SUBSTITUTE(A3404,"MOV-","")),"000"))</f>
        <v/>
      </c>
    </row>
    <row r="3405" spans="18:20">
      <c r="R3405" s="24" t="str">
        <f t="shared" ref="R3405:R3468" si="213">IF(H3405="","",H3405&amp;I3405)</f>
        <v/>
      </c>
      <c r="S3405" s="24" t="str">
        <f t="shared" ref="S3405:S3468" si="214">IF(C3405="","",C3405&amp;I3405)</f>
        <v/>
      </c>
      <c r="T3405" t="str">
        <f t="shared" si="212"/>
        <v/>
      </c>
    </row>
    <row r="3406" spans="18:20">
      <c r="R3406" s="24" t="str">
        <f t="shared" si="213"/>
        <v/>
      </c>
      <c r="S3406" s="24" t="str">
        <f t="shared" si="214"/>
        <v/>
      </c>
      <c r="T3406" t="str">
        <f t="shared" si="212"/>
        <v/>
      </c>
    </row>
    <row r="3407" spans="18:20">
      <c r="R3407" s="24" t="str">
        <f t="shared" si="213"/>
        <v/>
      </c>
      <c r="S3407" s="24" t="str">
        <f t="shared" si="214"/>
        <v/>
      </c>
      <c r="T3407" t="str">
        <f t="shared" si="212"/>
        <v/>
      </c>
    </row>
    <row r="3408" spans="18:20">
      <c r="R3408" s="24" t="str">
        <f t="shared" si="213"/>
        <v/>
      </c>
      <c r="S3408" s="24" t="str">
        <f t="shared" si="214"/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ref="T3468:T3531" si="215">IF(OR(C3468="",I3468&lt;&gt;"ENTRADA"),"",TEXT(B3468,"AAMMDD")&amp;"-"&amp;TEXT(VALUE(SUBSTITUTE(A3468,"MOV-","")),"000"))</f>
        <v/>
      </c>
    </row>
    <row r="3469" spans="18:20">
      <c r="R3469" s="24" t="str">
        <f t="shared" ref="R3469:R3532" si="216">IF(H3469="","",H3469&amp;I3469)</f>
        <v/>
      </c>
      <c r="S3469" s="24" t="str">
        <f t="shared" ref="S3469:S3532" si="217">IF(C3469="","",C3469&amp;I3469)</f>
        <v/>
      </c>
      <c r="T3469" t="str">
        <f t="shared" si="215"/>
        <v/>
      </c>
    </row>
    <row r="3470" spans="18:20">
      <c r="R3470" s="24" t="str">
        <f t="shared" si="216"/>
        <v/>
      </c>
      <c r="S3470" s="24" t="str">
        <f t="shared" si="217"/>
        <v/>
      </c>
      <c r="T3470" t="str">
        <f t="shared" si="215"/>
        <v/>
      </c>
    </row>
    <row r="3471" spans="18:20">
      <c r="R3471" s="24" t="str">
        <f t="shared" si="216"/>
        <v/>
      </c>
      <c r="S3471" s="24" t="str">
        <f t="shared" si="217"/>
        <v/>
      </c>
      <c r="T3471" t="str">
        <f t="shared" si="215"/>
        <v/>
      </c>
    </row>
    <row r="3472" spans="18:20">
      <c r="R3472" s="24" t="str">
        <f t="shared" si="216"/>
        <v/>
      </c>
      <c r="S3472" s="24" t="str">
        <f t="shared" si="217"/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ref="T3532:T3595" si="218">IF(OR(C3532="",I3532&lt;&gt;"ENTRADA"),"",TEXT(B3532,"AAMMDD")&amp;"-"&amp;TEXT(VALUE(SUBSTITUTE(A3532,"MOV-","")),"000"))</f>
        <v/>
      </c>
    </row>
    <row r="3533" spans="18:20">
      <c r="R3533" s="24" t="str">
        <f t="shared" ref="R3533:R3596" si="219">IF(H3533="","",H3533&amp;I3533)</f>
        <v/>
      </c>
      <c r="S3533" s="24" t="str">
        <f t="shared" ref="S3533:S3596" si="220">IF(C3533="","",C3533&amp;I3533)</f>
        <v/>
      </c>
      <c r="T3533" t="str">
        <f t="shared" si="218"/>
        <v/>
      </c>
    </row>
    <row r="3534" spans="18:20">
      <c r="R3534" s="24" t="str">
        <f t="shared" si="219"/>
        <v/>
      </c>
      <c r="S3534" s="24" t="str">
        <f t="shared" si="220"/>
        <v/>
      </c>
      <c r="T3534" t="str">
        <f t="shared" si="218"/>
        <v/>
      </c>
    </row>
    <row r="3535" spans="18:20">
      <c r="R3535" s="24" t="str">
        <f t="shared" si="219"/>
        <v/>
      </c>
      <c r="S3535" s="24" t="str">
        <f t="shared" si="220"/>
        <v/>
      </c>
      <c r="T3535" t="str">
        <f t="shared" si="218"/>
        <v/>
      </c>
    </row>
    <row r="3536" spans="18:20">
      <c r="R3536" s="24" t="str">
        <f t="shared" si="219"/>
        <v/>
      </c>
      <c r="S3536" s="24" t="str">
        <f t="shared" si="220"/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ref="T3596:T3659" si="221">IF(OR(C3596="",I3596&lt;&gt;"ENTRADA"),"",TEXT(B3596,"AAMMDD")&amp;"-"&amp;TEXT(VALUE(SUBSTITUTE(A3596,"MOV-","")),"000"))</f>
        <v/>
      </c>
    </row>
    <row r="3597" spans="18:20">
      <c r="R3597" s="24" t="str">
        <f t="shared" ref="R3597:R3660" si="222">IF(H3597="","",H3597&amp;I3597)</f>
        <v/>
      </c>
      <c r="S3597" s="24" t="str">
        <f t="shared" ref="S3597:S3660" si="223">IF(C3597="","",C3597&amp;I3597)</f>
        <v/>
      </c>
      <c r="T3597" t="str">
        <f t="shared" si="221"/>
        <v/>
      </c>
    </row>
    <row r="3598" spans="18:20">
      <c r="R3598" s="24" t="str">
        <f t="shared" si="222"/>
        <v/>
      </c>
      <c r="S3598" s="24" t="str">
        <f t="shared" si="223"/>
        <v/>
      </c>
      <c r="T3598" t="str">
        <f t="shared" si="221"/>
        <v/>
      </c>
    </row>
    <row r="3599" spans="18:20">
      <c r="R3599" s="24" t="str">
        <f t="shared" si="222"/>
        <v/>
      </c>
      <c r="S3599" s="24" t="str">
        <f t="shared" si="223"/>
        <v/>
      </c>
      <c r="T3599" t="str">
        <f t="shared" si="221"/>
        <v/>
      </c>
    </row>
    <row r="3600" spans="18:20">
      <c r="R3600" s="24" t="str">
        <f t="shared" si="222"/>
        <v/>
      </c>
      <c r="S3600" s="24" t="str">
        <f t="shared" si="223"/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ref="T3660:T3723" si="224">IF(OR(C3660="",I3660&lt;&gt;"ENTRADA"),"",TEXT(B3660,"AAMMDD")&amp;"-"&amp;TEXT(VALUE(SUBSTITUTE(A3660,"MOV-","")),"000"))</f>
        <v/>
      </c>
    </row>
    <row r="3661" spans="18:20">
      <c r="R3661" s="24" t="str">
        <f t="shared" ref="R3661:R3724" si="225">IF(H3661="","",H3661&amp;I3661)</f>
        <v/>
      </c>
      <c r="S3661" s="24" t="str">
        <f t="shared" ref="S3661:S3724" si="226">IF(C3661="","",C3661&amp;I3661)</f>
        <v/>
      </c>
      <c r="T3661" t="str">
        <f t="shared" si="224"/>
        <v/>
      </c>
    </row>
    <row r="3662" spans="18:20">
      <c r="R3662" s="24" t="str">
        <f t="shared" si="225"/>
        <v/>
      </c>
      <c r="S3662" s="24" t="str">
        <f t="shared" si="226"/>
        <v/>
      </c>
      <c r="T3662" t="str">
        <f t="shared" si="224"/>
        <v/>
      </c>
    </row>
    <row r="3663" spans="18:20">
      <c r="R3663" s="24" t="str">
        <f t="shared" si="225"/>
        <v/>
      </c>
      <c r="S3663" s="24" t="str">
        <f t="shared" si="226"/>
        <v/>
      </c>
      <c r="T3663" t="str">
        <f t="shared" si="224"/>
        <v/>
      </c>
    </row>
    <row r="3664" spans="18:20">
      <c r="R3664" s="24" t="str">
        <f t="shared" si="225"/>
        <v/>
      </c>
      <c r="S3664" s="24" t="str">
        <f t="shared" si="226"/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ref="T3724:T3787" si="227">IF(OR(C3724="",I3724&lt;&gt;"ENTRADA"),"",TEXT(B3724,"AAMMDD")&amp;"-"&amp;TEXT(VALUE(SUBSTITUTE(A3724,"MOV-","")),"000"))</f>
        <v/>
      </c>
    </row>
    <row r="3725" spans="18:20">
      <c r="R3725" s="24" t="str">
        <f t="shared" ref="R3725:R3788" si="228">IF(H3725="","",H3725&amp;I3725)</f>
        <v/>
      </c>
      <c r="S3725" s="24" t="str">
        <f t="shared" ref="S3725:S3788" si="229">IF(C3725="","",C3725&amp;I3725)</f>
        <v/>
      </c>
      <c r="T3725" t="str">
        <f t="shared" si="227"/>
        <v/>
      </c>
    </row>
    <row r="3726" spans="18:20">
      <c r="R3726" s="24" t="str">
        <f t="shared" si="228"/>
        <v/>
      </c>
      <c r="S3726" s="24" t="str">
        <f t="shared" si="229"/>
        <v/>
      </c>
      <c r="T3726" t="str">
        <f t="shared" si="227"/>
        <v/>
      </c>
    </row>
    <row r="3727" spans="18:20">
      <c r="R3727" s="24" t="str">
        <f t="shared" si="228"/>
        <v/>
      </c>
      <c r="S3727" s="24" t="str">
        <f t="shared" si="229"/>
        <v/>
      </c>
      <c r="T3727" t="str">
        <f t="shared" si="227"/>
        <v/>
      </c>
    </row>
    <row r="3728" spans="18:20">
      <c r="R3728" s="24" t="str">
        <f t="shared" si="228"/>
        <v/>
      </c>
      <c r="S3728" s="24" t="str">
        <f t="shared" si="229"/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ref="T3788:T3851" si="230">IF(OR(C3788="",I3788&lt;&gt;"ENTRADA"),"",TEXT(B3788,"AAMMDD")&amp;"-"&amp;TEXT(VALUE(SUBSTITUTE(A3788,"MOV-","")),"000"))</f>
        <v/>
      </c>
    </row>
    <row r="3789" spans="18:20">
      <c r="R3789" s="24" t="str">
        <f t="shared" ref="R3789:R3852" si="231">IF(H3789="","",H3789&amp;I3789)</f>
        <v/>
      </c>
      <c r="S3789" s="24" t="str">
        <f t="shared" ref="S3789:S3852" si="232">IF(C3789="","",C3789&amp;I3789)</f>
        <v/>
      </c>
      <c r="T3789" t="str">
        <f t="shared" si="230"/>
        <v/>
      </c>
    </row>
    <row r="3790" spans="18:20">
      <c r="R3790" s="24" t="str">
        <f t="shared" si="231"/>
        <v/>
      </c>
      <c r="S3790" s="24" t="str">
        <f t="shared" si="232"/>
        <v/>
      </c>
      <c r="T3790" t="str">
        <f t="shared" si="230"/>
        <v/>
      </c>
    </row>
    <row r="3791" spans="18:20">
      <c r="R3791" s="24" t="str">
        <f t="shared" si="231"/>
        <v/>
      </c>
      <c r="S3791" s="24" t="str">
        <f t="shared" si="232"/>
        <v/>
      </c>
      <c r="T3791" t="str">
        <f t="shared" si="230"/>
        <v/>
      </c>
    </row>
    <row r="3792" spans="18:20">
      <c r="R3792" s="24" t="str">
        <f t="shared" si="231"/>
        <v/>
      </c>
      <c r="S3792" s="24" t="str">
        <f t="shared" si="232"/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ref="T3852:T3915" si="233">IF(OR(C3852="",I3852&lt;&gt;"ENTRADA"),"",TEXT(B3852,"AAMMDD")&amp;"-"&amp;TEXT(VALUE(SUBSTITUTE(A3852,"MOV-","")),"000"))</f>
        <v/>
      </c>
    </row>
    <row r="3853" spans="18:20">
      <c r="R3853" s="24" t="str">
        <f t="shared" ref="R3853:R3916" si="234">IF(H3853="","",H3853&amp;I3853)</f>
        <v/>
      </c>
      <c r="S3853" s="24" t="str">
        <f t="shared" ref="S3853:S3916" si="235">IF(C3853="","",C3853&amp;I3853)</f>
        <v/>
      </c>
      <c r="T3853" t="str">
        <f t="shared" si="233"/>
        <v/>
      </c>
    </row>
    <row r="3854" spans="18:20">
      <c r="R3854" s="24" t="str">
        <f t="shared" si="234"/>
        <v/>
      </c>
      <c r="S3854" s="24" t="str">
        <f t="shared" si="235"/>
        <v/>
      </c>
      <c r="T3854" t="str">
        <f t="shared" si="233"/>
        <v/>
      </c>
    </row>
    <row r="3855" spans="18:20">
      <c r="R3855" s="24" t="str">
        <f t="shared" si="234"/>
        <v/>
      </c>
      <c r="S3855" s="24" t="str">
        <f t="shared" si="235"/>
        <v/>
      </c>
      <c r="T3855" t="str">
        <f t="shared" si="233"/>
        <v/>
      </c>
    </row>
    <row r="3856" spans="18:20">
      <c r="R3856" s="24" t="str">
        <f t="shared" si="234"/>
        <v/>
      </c>
      <c r="S3856" s="24" t="str">
        <f t="shared" si="235"/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ref="T3916:T3979" si="236">IF(OR(C3916="",I3916&lt;&gt;"ENTRADA"),"",TEXT(B3916,"AAMMDD")&amp;"-"&amp;TEXT(VALUE(SUBSTITUTE(A3916,"MOV-","")),"000"))</f>
        <v/>
      </c>
    </row>
    <row r="3917" spans="18:20">
      <c r="R3917" s="24" t="str">
        <f t="shared" ref="R3917:R3980" si="237">IF(H3917="","",H3917&amp;I3917)</f>
        <v/>
      </c>
      <c r="S3917" s="24" t="str">
        <f t="shared" ref="S3917:S3980" si="238">IF(C3917="","",C3917&amp;I3917)</f>
        <v/>
      </c>
      <c r="T3917" t="str">
        <f t="shared" si="236"/>
        <v/>
      </c>
    </row>
    <row r="3918" spans="18:20">
      <c r="R3918" s="24" t="str">
        <f t="shared" si="237"/>
        <v/>
      </c>
      <c r="S3918" s="24" t="str">
        <f t="shared" si="238"/>
        <v/>
      </c>
      <c r="T3918" t="str">
        <f t="shared" si="236"/>
        <v/>
      </c>
    </row>
    <row r="3919" spans="18:20">
      <c r="R3919" s="24" t="str">
        <f t="shared" si="237"/>
        <v/>
      </c>
      <c r="S3919" s="24" t="str">
        <f t="shared" si="238"/>
        <v/>
      </c>
      <c r="T3919" t="str">
        <f t="shared" si="236"/>
        <v/>
      </c>
    </row>
    <row r="3920" spans="18:20">
      <c r="R3920" s="24" t="str">
        <f t="shared" si="237"/>
        <v/>
      </c>
      <c r="S3920" s="24" t="str">
        <f t="shared" si="238"/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ref="T3980:T4043" si="239">IF(OR(C3980="",I3980&lt;&gt;"ENTRADA"),"",TEXT(B3980,"AAMMDD")&amp;"-"&amp;TEXT(VALUE(SUBSTITUTE(A3980,"MOV-","")),"000"))</f>
        <v/>
      </c>
    </row>
    <row r="3981" spans="18:20">
      <c r="R3981" s="24" t="str">
        <f t="shared" ref="R3981:R4044" si="240">IF(H3981="","",H3981&amp;I3981)</f>
        <v/>
      </c>
      <c r="S3981" s="24" t="str">
        <f t="shared" ref="S3981:S4044" si="241">IF(C3981="","",C3981&amp;I3981)</f>
        <v/>
      </c>
      <c r="T3981" t="str">
        <f t="shared" si="239"/>
        <v/>
      </c>
    </row>
    <row r="3982" spans="18:20">
      <c r="R3982" s="24" t="str">
        <f t="shared" si="240"/>
        <v/>
      </c>
      <c r="S3982" s="24" t="str">
        <f t="shared" si="241"/>
        <v/>
      </c>
      <c r="T3982" t="str">
        <f t="shared" si="239"/>
        <v/>
      </c>
    </row>
    <row r="3983" spans="18:20">
      <c r="R3983" s="24" t="str">
        <f t="shared" si="240"/>
        <v/>
      </c>
      <c r="S3983" s="24" t="str">
        <f t="shared" si="241"/>
        <v/>
      </c>
      <c r="T3983" t="str">
        <f t="shared" si="239"/>
        <v/>
      </c>
    </row>
    <row r="3984" spans="18:20">
      <c r="R3984" s="24" t="str">
        <f t="shared" si="240"/>
        <v/>
      </c>
      <c r="S3984" s="24" t="str">
        <f t="shared" si="241"/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ref="T4044:T4107" si="242">IF(OR(C4044="",I4044&lt;&gt;"ENTRADA"),"",TEXT(B4044,"AAMMDD")&amp;"-"&amp;TEXT(VALUE(SUBSTITUTE(A4044,"MOV-","")),"000"))</f>
        <v/>
      </c>
    </row>
    <row r="4045" spans="18:20">
      <c r="R4045" s="24" t="str">
        <f t="shared" ref="R4045:R4108" si="243">IF(H4045="","",H4045&amp;I4045)</f>
        <v/>
      </c>
      <c r="S4045" s="24" t="str">
        <f t="shared" ref="S4045:S4108" si="244">IF(C4045="","",C4045&amp;I4045)</f>
        <v/>
      </c>
      <c r="T4045" t="str">
        <f t="shared" si="242"/>
        <v/>
      </c>
    </row>
    <row r="4046" spans="18:20">
      <c r="R4046" s="24" t="str">
        <f t="shared" si="243"/>
        <v/>
      </c>
      <c r="S4046" s="24" t="str">
        <f t="shared" si="244"/>
        <v/>
      </c>
      <c r="T4046" t="str">
        <f t="shared" si="242"/>
        <v/>
      </c>
    </row>
    <row r="4047" spans="18:20">
      <c r="R4047" s="24" t="str">
        <f t="shared" si="243"/>
        <v/>
      </c>
      <c r="S4047" s="24" t="str">
        <f t="shared" si="244"/>
        <v/>
      </c>
      <c r="T4047" t="str">
        <f t="shared" si="242"/>
        <v/>
      </c>
    </row>
    <row r="4048" spans="18:20">
      <c r="R4048" s="24" t="str">
        <f t="shared" si="243"/>
        <v/>
      </c>
      <c r="S4048" s="24" t="str">
        <f t="shared" si="244"/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ref="T4108:T4171" si="245">IF(OR(C4108="",I4108&lt;&gt;"ENTRADA"),"",TEXT(B4108,"AAMMDD")&amp;"-"&amp;TEXT(VALUE(SUBSTITUTE(A4108,"MOV-","")),"000"))</f>
        <v/>
      </c>
    </row>
    <row r="4109" spans="18:20">
      <c r="R4109" s="24" t="str">
        <f t="shared" ref="R4109:R4172" si="246">IF(H4109="","",H4109&amp;I4109)</f>
        <v/>
      </c>
      <c r="S4109" s="24" t="str">
        <f t="shared" ref="S4109:S4172" si="247">IF(C4109="","",C4109&amp;I4109)</f>
        <v/>
      </c>
      <c r="T4109" t="str">
        <f t="shared" si="245"/>
        <v/>
      </c>
    </row>
    <row r="4110" spans="18:20">
      <c r="R4110" s="24" t="str">
        <f t="shared" si="246"/>
        <v/>
      </c>
      <c r="S4110" s="24" t="str">
        <f t="shared" si="247"/>
        <v/>
      </c>
      <c r="T4110" t="str">
        <f t="shared" si="245"/>
        <v/>
      </c>
    </row>
    <row r="4111" spans="18:20">
      <c r="R4111" s="24" t="str">
        <f t="shared" si="246"/>
        <v/>
      </c>
      <c r="S4111" s="24" t="str">
        <f t="shared" si="247"/>
        <v/>
      </c>
      <c r="T4111" t="str">
        <f t="shared" si="245"/>
        <v/>
      </c>
    </row>
    <row r="4112" spans="18:20">
      <c r="R4112" s="24" t="str">
        <f t="shared" si="246"/>
        <v/>
      </c>
      <c r="S4112" s="24" t="str">
        <f t="shared" si="247"/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ref="T4172:T4235" si="248">IF(OR(C4172="",I4172&lt;&gt;"ENTRADA"),"",TEXT(B4172,"AAMMDD")&amp;"-"&amp;TEXT(VALUE(SUBSTITUTE(A4172,"MOV-","")),"000"))</f>
        <v/>
      </c>
    </row>
    <row r="4173" spans="18:20">
      <c r="R4173" s="24" t="str">
        <f t="shared" ref="R4173:R4236" si="249">IF(H4173="","",H4173&amp;I4173)</f>
        <v/>
      </c>
      <c r="S4173" s="24" t="str">
        <f t="shared" ref="S4173:S4236" si="250">IF(C4173="","",C4173&amp;I4173)</f>
        <v/>
      </c>
      <c r="T4173" t="str">
        <f t="shared" si="248"/>
        <v/>
      </c>
    </row>
    <row r="4174" spans="18:20">
      <c r="R4174" s="24" t="str">
        <f t="shared" si="249"/>
        <v/>
      </c>
      <c r="S4174" s="24" t="str">
        <f t="shared" si="250"/>
        <v/>
      </c>
      <c r="T4174" t="str">
        <f t="shared" si="248"/>
        <v/>
      </c>
    </row>
    <row r="4175" spans="18:20">
      <c r="R4175" s="24" t="str">
        <f t="shared" si="249"/>
        <v/>
      </c>
      <c r="S4175" s="24" t="str">
        <f t="shared" si="250"/>
        <v/>
      </c>
      <c r="T4175" t="str">
        <f t="shared" si="248"/>
        <v/>
      </c>
    </row>
    <row r="4176" spans="18:20">
      <c r="R4176" s="24" t="str">
        <f t="shared" si="249"/>
        <v/>
      </c>
      <c r="S4176" s="24" t="str">
        <f t="shared" si="250"/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ref="T4236:T4299" si="251">IF(OR(C4236="",I4236&lt;&gt;"ENTRADA"),"",TEXT(B4236,"AAMMDD")&amp;"-"&amp;TEXT(VALUE(SUBSTITUTE(A4236,"MOV-","")),"000"))</f>
        <v/>
      </c>
    </row>
    <row r="4237" spans="18:20">
      <c r="R4237" s="24" t="str">
        <f t="shared" ref="R4237:R4300" si="252">IF(H4237="","",H4237&amp;I4237)</f>
        <v/>
      </c>
      <c r="S4237" s="24" t="str">
        <f t="shared" ref="S4237:S4300" si="253">IF(C4237="","",C4237&amp;I4237)</f>
        <v/>
      </c>
      <c r="T4237" t="str">
        <f t="shared" si="251"/>
        <v/>
      </c>
    </row>
    <row r="4238" spans="18:20">
      <c r="R4238" s="24" t="str">
        <f t="shared" si="252"/>
        <v/>
      </c>
      <c r="S4238" s="24" t="str">
        <f t="shared" si="253"/>
        <v/>
      </c>
      <c r="T4238" t="str">
        <f t="shared" si="251"/>
        <v/>
      </c>
    </row>
    <row r="4239" spans="18:20">
      <c r="R4239" s="24" t="str">
        <f t="shared" si="252"/>
        <v/>
      </c>
      <c r="S4239" s="24" t="str">
        <f t="shared" si="253"/>
        <v/>
      </c>
      <c r="T4239" t="str">
        <f t="shared" si="251"/>
        <v/>
      </c>
    </row>
    <row r="4240" spans="18:20">
      <c r="R4240" s="24" t="str">
        <f t="shared" si="252"/>
        <v/>
      </c>
      <c r="S4240" s="24" t="str">
        <f t="shared" si="253"/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ref="T4300:T4363" si="254">IF(OR(C4300="",I4300&lt;&gt;"ENTRADA"),"",TEXT(B4300,"AAMMDD")&amp;"-"&amp;TEXT(VALUE(SUBSTITUTE(A4300,"MOV-","")),"000"))</f>
        <v/>
      </c>
    </row>
    <row r="4301" spans="18:20">
      <c r="R4301" s="24" t="str">
        <f t="shared" ref="R4301:R4364" si="255">IF(H4301="","",H4301&amp;I4301)</f>
        <v/>
      </c>
      <c r="S4301" s="24" t="str">
        <f t="shared" ref="S4301:S4364" si="256">IF(C4301="","",C4301&amp;I4301)</f>
        <v/>
      </c>
      <c r="T4301" t="str">
        <f t="shared" si="254"/>
        <v/>
      </c>
    </row>
    <row r="4302" spans="18:20">
      <c r="R4302" s="24" t="str">
        <f t="shared" si="255"/>
        <v/>
      </c>
      <c r="S4302" s="24" t="str">
        <f t="shared" si="256"/>
        <v/>
      </c>
      <c r="T4302" t="str">
        <f t="shared" si="254"/>
        <v/>
      </c>
    </row>
    <row r="4303" spans="18:20">
      <c r="R4303" s="24" t="str">
        <f t="shared" si="255"/>
        <v/>
      </c>
      <c r="S4303" s="24" t="str">
        <f t="shared" si="256"/>
        <v/>
      </c>
      <c r="T4303" t="str">
        <f t="shared" si="254"/>
        <v/>
      </c>
    </row>
    <row r="4304" spans="18:20">
      <c r="R4304" s="24" t="str">
        <f t="shared" si="255"/>
        <v/>
      </c>
      <c r="S4304" s="24" t="str">
        <f t="shared" si="256"/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ref="T4364:T4427" si="257">IF(OR(C4364="",I4364&lt;&gt;"ENTRADA"),"",TEXT(B4364,"AAMMDD")&amp;"-"&amp;TEXT(VALUE(SUBSTITUTE(A4364,"MOV-","")),"000"))</f>
        <v/>
      </c>
    </row>
    <row r="4365" spans="18:20">
      <c r="R4365" s="24" t="str">
        <f t="shared" ref="R4365:R4428" si="258">IF(H4365="","",H4365&amp;I4365)</f>
        <v/>
      </c>
      <c r="S4365" s="24" t="str">
        <f t="shared" ref="S4365:S4428" si="259">IF(C4365="","",C4365&amp;I4365)</f>
        <v/>
      </c>
      <c r="T4365" t="str">
        <f t="shared" si="257"/>
        <v/>
      </c>
    </row>
    <row r="4366" spans="18:20">
      <c r="R4366" s="24" t="str">
        <f t="shared" si="258"/>
        <v/>
      </c>
      <c r="S4366" s="24" t="str">
        <f t="shared" si="259"/>
        <v/>
      </c>
      <c r="T4366" t="str">
        <f t="shared" si="257"/>
        <v/>
      </c>
    </row>
    <row r="4367" spans="18:20">
      <c r="R4367" s="24" t="str">
        <f t="shared" si="258"/>
        <v/>
      </c>
      <c r="S4367" s="24" t="str">
        <f t="shared" si="259"/>
        <v/>
      </c>
      <c r="T4367" t="str">
        <f t="shared" si="257"/>
        <v/>
      </c>
    </row>
    <row r="4368" spans="18:20">
      <c r="R4368" s="24" t="str">
        <f t="shared" si="258"/>
        <v/>
      </c>
      <c r="S4368" s="24" t="str">
        <f t="shared" si="259"/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ref="T4428:T4491" si="260">IF(OR(C4428="",I4428&lt;&gt;"ENTRADA"),"",TEXT(B4428,"AAMMDD")&amp;"-"&amp;TEXT(VALUE(SUBSTITUTE(A4428,"MOV-","")),"000"))</f>
        <v/>
      </c>
    </row>
    <row r="4429" spans="18:20">
      <c r="R4429" s="24" t="str">
        <f t="shared" ref="R4429:R4492" si="261">IF(H4429="","",H4429&amp;I4429)</f>
        <v/>
      </c>
      <c r="S4429" s="24" t="str">
        <f t="shared" ref="S4429:S4492" si="262">IF(C4429="","",C4429&amp;I4429)</f>
        <v/>
      </c>
      <c r="T4429" t="str">
        <f t="shared" si="260"/>
        <v/>
      </c>
    </row>
    <row r="4430" spans="18:20">
      <c r="R4430" s="24" t="str">
        <f t="shared" si="261"/>
        <v/>
      </c>
      <c r="S4430" s="24" t="str">
        <f t="shared" si="262"/>
        <v/>
      </c>
      <c r="T4430" t="str">
        <f t="shared" si="260"/>
        <v/>
      </c>
    </row>
    <row r="4431" spans="18:20">
      <c r="R4431" s="24" t="str">
        <f t="shared" si="261"/>
        <v/>
      </c>
      <c r="S4431" s="24" t="str">
        <f t="shared" si="262"/>
        <v/>
      </c>
      <c r="T4431" t="str">
        <f t="shared" si="260"/>
        <v/>
      </c>
    </row>
    <row r="4432" spans="18:20">
      <c r="R4432" s="24" t="str">
        <f t="shared" si="261"/>
        <v/>
      </c>
      <c r="S4432" s="24" t="str">
        <f t="shared" si="262"/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ref="T4492:T4555" si="263">IF(OR(C4492="",I4492&lt;&gt;"ENTRADA"),"",TEXT(B4492,"AAMMDD")&amp;"-"&amp;TEXT(VALUE(SUBSTITUTE(A4492,"MOV-","")),"000"))</f>
        <v/>
      </c>
    </row>
    <row r="4493" spans="18:20">
      <c r="R4493" s="24" t="str">
        <f t="shared" ref="R4493:R4556" si="264">IF(H4493="","",H4493&amp;I4493)</f>
        <v/>
      </c>
      <c r="S4493" s="24" t="str">
        <f t="shared" ref="S4493:S4556" si="265">IF(C4493="","",C4493&amp;I4493)</f>
        <v/>
      </c>
      <c r="T4493" t="str">
        <f t="shared" si="263"/>
        <v/>
      </c>
    </row>
    <row r="4494" spans="18:20">
      <c r="R4494" s="24" t="str">
        <f t="shared" si="264"/>
        <v/>
      </c>
      <c r="S4494" s="24" t="str">
        <f t="shared" si="265"/>
        <v/>
      </c>
      <c r="T4494" t="str">
        <f t="shared" si="263"/>
        <v/>
      </c>
    </row>
    <row r="4495" spans="18:20">
      <c r="R4495" s="24" t="str">
        <f t="shared" si="264"/>
        <v/>
      </c>
      <c r="S4495" s="24" t="str">
        <f t="shared" si="265"/>
        <v/>
      </c>
      <c r="T4495" t="str">
        <f t="shared" si="263"/>
        <v/>
      </c>
    </row>
    <row r="4496" spans="18:20">
      <c r="R4496" s="24" t="str">
        <f t="shared" si="264"/>
        <v/>
      </c>
      <c r="S4496" s="24" t="str">
        <f t="shared" si="265"/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ref="T4556:T4619" si="266">IF(OR(C4556="",I4556&lt;&gt;"ENTRADA"),"",TEXT(B4556,"AAMMDD")&amp;"-"&amp;TEXT(VALUE(SUBSTITUTE(A4556,"MOV-","")),"000"))</f>
        <v/>
      </c>
    </row>
    <row r="4557" spans="18:20">
      <c r="R4557" s="24" t="str">
        <f t="shared" ref="R4557:R4620" si="267">IF(H4557="","",H4557&amp;I4557)</f>
        <v/>
      </c>
      <c r="S4557" s="24" t="str">
        <f t="shared" ref="S4557:S4620" si="268">IF(C4557="","",C4557&amp;I4557)</f>
        <v/>
      </c>
      <c r="T4557" t="str">
        <f t="shared" si="266"/>
        <v/>
      </c>
    </row>
    <row r="4558" spans="18:20">
      <c r="R4558" s="24" t="str">
        <f t="shared" si="267"/>
        <v/>
      </c>
      <c r="S4558" s="24" t="str">
        <f t="shared" si="268"/>
        <v/>
      </c>
      <c r="T4558" t="str">
        <f t="shared" si="266"/>
        <v/>
      </c>
    </row>
    <row r="4559" spans="18:20">
      <c r="R4559" s="24" t="str">
        <f t="shared" si="267"/>
        <v/>
      </c>
      <c r="S4559" s="24" t="str">
        <f t="shared" si="268"/>
        <v/>
      </c>
      <c r="T4559" t="str">
        <f t="shared" si="266"/>
        <v/>
      </c>
    </row>
    <row r="4560" spans="18:20">
      <c r="R4560" s="24" t="str">
        <f t="shared" si="267"/>
        <v/>
      </c>
      <c r="S4560" s="24" t="str">
        <f t="shared" si="268"/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ref="T4620:T4683" si="269">IF(OR(C4620="",I4620&lt;&gt;"ENTRADA"),"",TEXT(B4620,"AAMMDD")&amp;"-"&amp;TEXT(VALUE(SUBSTITUTE(A4620,"MOV-","")),"000"))</f>
        <v/>
      </c>
    </row>
    <row r="4621" spans="18:20">
      <c r="R4621" s="24" t="str">
        <f t="shared" ref="R4621:R4684" si="270">IF(H4621="","",H4621&amp;I4621)</f>
        <v/>
      </c>
      <c r="S4621" s="24" t="str">
        <f t="shared" ref="S4621:S4684" si="271">IF(C4621="","",C4621&amp;I4621)</f>
        <v/>
      </c>
      <c r="T4621" t="str">
        <f t="shared" si="269"/>
        <v/>
      </c>
    </row>
    <row r="4622" spans="18:20">
      <c r="R4622" s="24" t="str">
        <f t="shared" si="270"/>
        <v/>
      </c>
      <c r="S4622" s="24" t="str">
        <f t="shared" si="271"/>
        <v/>
      </c>
      <c r="T4622" t="str">
        <f t="shared" si="269"/>
        <v/>
      </c>
    </row>
    <row r="4623" spans="18:20">
      <c r="R4623" s="24" t="str">
        <f t="shared" si="270"/>
        <v/>
      </c>
      <c r="S4623" s="24" t="str">
        <f t="shared" si="271"/>
        <v/>
      </c>
      <c r="T4623" t="str">
        <f t="shared" si="269"/>
        <v/>
      </c>
    </row>
    <row r="4624" spans="18:20">
      <c r="R4624" s="24" t="str">
        <f t="shared" si="270"/>
        <v/>
      </c>
      <c r="S4624" s="24" t="str">
        <f t="shared" si="271"/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ref="T4684:T4747" si="272">IF(OR(C4684="",I4684&lt;&gt;"ENTRADA"),"",TEXT(B4684,"AAMMDD")&amp;"-"&amp;TEXT(VALUE(SUBSTITUTE(A4684,"MOV-","")),"000"))</f>
        <v/>
      </c>
    </row>
    <row r="4685" spans="18:20">
      <c r="R4685" s="24" t="str">
        <f t="shared" ref="R4685:R4748" si="273">IF(H4685="","",H4685&amp;I4685)</f>
        <v/>
      </c>
      <c r="S4685" s="24" t="str">
        <f t="shared" ref="S4685:S4748" si="274">IF(C4685="","",C4685&amp;I4685)</f>
        <v/>
      </c>
      <c r="T4685" t="str">
        <f t="shared" si="272"/>
        <v/>
      </c>
    </row>
    <row r="4686" spans="18:20">
      <c r="R4686" s="24" t="str">
        <f t="shared" si="273"/>
        <v/>
      </c>
      <c r="S4686" s="24" t="str">
        <f t="shared" si="274"/>
        <v/>
      </c>
      <c r="T4686" t="str">
        <f t="shared" si="272"/>
        <v/>
      </c>
    </row>
    <row r="4687" spans="18:20">
      <c r="R4687" s="24" t="str">
        <f t="shared" si="273"/>
        <v/>
      </c>
      <c r="S4687" s="24" t="str">
        <f t="shared" si="274"/>
        <v/>
      </c>
      <c r="T4687" t="str">
        <f t="shared" si="272"/>
        <v/>
      </c>
    </row>
    <row r="4688" spans="18:20">
      <c r="R4688" s="24" t="str">
        <f t="shared" si="273"/>
        <v/>
      </c>
      <c r="S4688" s="24" t="str">
        <f t="shared" si="274"/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ref="T4748:T4811" si="275">IF(OR(C4748="",I4748&lt;&gt;"ENTRADA"),"",TEXT(B4748,"AAMMDD")&amp;"-"&amp;TEXT(VALUE(SUBSTITUTE(A4748,"MOV-","")),"000"))</f>
        <v/>
      </c>
    </row>
    <row r="4749" spans="18:20">
      <c r="R4749" s="24" t="str">
        <f t="shared" ref="R4749:R4812" si="276">IF(H4749="","",H4749&amp;I4749)</f>
        <v/>
      </c>
      <c r="S4749" s="24" t="str">
        <f t="shared" ref="S4749:S4812" si="277">IF(C4749="","",C4749&amp;I4749)</f>
        <v/>
      </c>
      <c r="T4749" t="str">
        <f t="shared" si="275"/>
        <v/>
      </c>
    </row>
    <row r="4750" spans="18:20">
      <c r="R4750" s="24" t="str">
        <f t="shared" si="276"/>
        <v/>
      </c>
      <c r="S4750" s="24" t="str">
        <f t="shared" si="277"/>
        <v/>
      </c>
      <c r="T4750" t="str">
        <f t="shared" si="275"/>
        <v/>
      </c>
    </row>
    <row r="4751" spans="18:20">
      <c r="R4751" s="24" t="str">
        <f t="shared" si="276"/>
        <v/>
      </c>
      <c r="S4751" s="24" t="str">
        <f t="shared" si="277"/>
        <v/>
      </c>
      <c r="T4751" t="str">
        <f t="shared" si="275"/>
        <v/>
      </c>
    </row>
    <row r="4752" spans="18:20">
      <c r="R4752" s="24" t="str">
        <f t="shared" si="276"/>
        <v/>
      </c>
      <c r="S4752" s="24" t="str">
        <f t="shared" si="277"/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ref="T4812:T4875" si="278">IF(OR(C4812="",I4812&lt;&gt;"ENTRADA"),"",TEXT(B4812,"AAMMDD")&amp;"-"&amp;TEXT(VALUE(SUBSTITUTE(A4812,"MOV-","")),"000"))</f>
        <v/>
      </c>
    </row>
    <row r="4813" spans="18:20">
      <c r="R4813" s="24" t="str">
        <f t="shared" ref="R4813:R4876" si="279">IF(H4813="","",H4813&amp;I4813)</f>
        <v/>
      </c>
      <c r="S4813" s="24" t="str">
        <f t="shared" ref="S4813:S4876" si="280">IF(C4813="","",C4813&amp;I4813)</f>
        <v/>
      </c>
      <c r="T4813" t="str">
        <f t="shared" si="278"/>
        <v/>
      </c>
    </row>
    <row r="4814" spans="18:20">
      <c r="R4814" s="24" t="str">
        <f t="shared" si="279"/>
        <v/>
      </c>
      <c r="S4814" s="24" t="str">
        <f t="shared" si="280"/>
        <v/>
      </c>
      <c r="T4814" t="str">
        <f t="shared" si="278"/>
        <v/>
      </c>
    </row>
    <row r="4815" spans="18:20">
      <c r="R4815" s="24" t="str">
        <f t="shared" si="279"/>
        <v/>
      </c>
      <c r="S4815" s="24" t="str">
        <f t="shared" si="280"/>
        <v/>
      </c>
      <c r="T4815" t="str">
        <f t="shared" si="278"/>
        <v/>
      </c>
    </row>
    <row r="4816" spans="18:20">
      <c r="R4816" s="24" t="str">
        <f t="shared" si="279"/>
        <v/>
      </c>
      <c r="S4816" s="24" t="str">
        <f t="shared" si="280"/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ref="T4876:T4939" si="281">IF(OR(C4876="",I4876&lt;&gt;"ENTRADA"),"",TEXT(B4876,"AAMMDD")&amp;"-"&amp;TEXT(VALUE(SUBSTITUTE(A4876,"MOV-","")),"000"))</f>
        <v/>
      </c>
    </row>
    <row r="4877" spans="18:20">
      <c r="R4877" s="24" t="str">
        <f t="shared" ref="R4877:R4940" si="282">IF(H4877="","",H4877&amp;I4877)</f>
        <v/>
      </c>
      <c r="S4877" s="24" t="str">
        <f t="shared" ref="S4877:S4940" si="283">IF(C4877="","",C4877&amp;I4877)</f>
        <v/>
      </c>
      <c r="T4877" t="str">
        <f t="shared" si="281"/>
        <v/>
      </c>
    </row>
    <row r="4878" spans="18:20">
      <c r="R4878" s="24" t="str">
        <f t="shared" si="282"/>
        <v/>
      </c>
      <c r="S4878" s="24" t="str">
        <f t="shared" si="283"/>
        <v/>
      </c>
      <c r="T4878" t="str">
        <f t="shared" si="281"/>
        <v/>
      </c>
    </row>
    <row r="4879" spans="18:20">
      <c r="R4879" s="24" t="str">
        <f t="shared" si="282"/>
        <v/>
      </c>
      <c r="S4879" s="24" t="str">
        <f t="shared" si="283"/>
        <v/>
      </c>
      <c r="T4879" t="str">
        <f t="shared" si="281"/>
        <v/>
      </c>
    </row>
    <row r="4880" spans="18:20">
      <c r="R4880" s="24" t="str">
        <f t="shared" si="282"/>
        <v/>
      </c>
      <c r="S4880" s="24" t="str">
        <f t="shared" si="283"/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ref="T4940:T5003" si="284">IF(OR(C4940="",I4940&lt;&gt;"ENTRADA"),"",TEXT(B4940,"AAMMDD")&amp;"-"&amp;TEXT(VALUE(SUBSTITUTE(A4940,"MOV-","")),"000"))</f>
        <v/>
      </c>
    </row>
    <row r="4941" spans="18:20">
      <c r="R4941" s="24" t="str">
        <f t="shared" ref="R4941:R5004" si="285">IF(H4941="","",H4941&amp;I4941)</f>
        <v/>
      </c>
      <c r="S4941" s="24" t="str">
        <f t="shared" ref="S4941:S5004" si="286">IF(C4941="","",C4941&amp;I4941)</f>
        <v/>
      </c>
      <c r="T4941" t="str">
        <f t="shared" si="284"/>
        <v/>
      </c>
    </row>
    <row r="4942" spans="18:20">
      <c r="R4942" s="24" t="str">
        <f t="shared" si="285"/>
        <v/>
      </c>
      <c r="S4942" s="24" t="str">
        <f t="shared" si="286"/>
        <v/>
      </c>
      <c r="T4942" t="str">
        <f t="shared" si="284"/>
        <v/>
      </c>
    </row>
    <row r="4943" spans="18:20">
      <c r="R4943" s="24" t="str">
        <f t="shared" si="285"/>
        <v/>
      </c>
      <c r="S4943" s="24" t="str">
        <f t="shared" si="286"/>
        <v/>
      </c>
      <c r="T4943" t="str">
        <f t="shared" si="284"/>
        <v/>
      </c>
    </row>
    <row r="4944" spans="18:20">
      <c r="R4944" s="24" t="str">
        <f t="shared" si="285"/>
        <v/>
      </c>
      <c r="S4944" s="24" t="str">
        <f t="shared" si="286"/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ref="T5004:T5067" si="287">IF(OR(C5004="",I5004&lt;&gt;"ENTRADA"),"",TEXT(B5004,"AAMMDD")&amp;"-"&amp;TEXT(VALUE(SUBSTITUTE(A5004,"MOV-","")),"000"))</f>
        <v/>
      </c>
    </row>
    <row r="5005" spans="18:20">
      <c r="R5005" s="24" t="str">
        <f t="shared" ref="R5005:R5068" si="288">IF(H5005="","",H5005&amp;I5005)</f>
        <v/>
      </c>
      <c r="S5005" s="24" t="str">
        <f t="shared" ref="S5005:S5068" si="289">IF(C5005="","",C5005&amp;I5005)</f>
        <v/>
      </c>
      <c r="T5005" t="str">
        <f t="shared" si="287"/>
        <v/>
      </c>
    </row>
    <row r="5006" spans="18:20">
      <c r="R5006" s="24" t="str">
        <f t="shared" si="288"/>
        <v/>
      </c>
      <c r="S5006" s="24" t="str">
        <f t="shared" si="289"/>
        <v/>
      </c>
      <c r="T5006" t="str">
        <f t="shared" si="287"/>
        <v/>
      </c>
    </row>
    <row r="5007" spans="18:20">
      <c r="R5007" s="24" t="str">
        <f t="shared" si="288"/>
        <v/>
      </c>
      <c r="S5007" s="24" t="str">
        <f t="shared" si="289"/>
        <v/>
      </c>
      <c r="T5007" t="str">
        <f t="shared" si="287"/>
        <v/>
      </c>
    </row>
    <row r="5008" spans="18:20">
      <c r="R5008" s="24" t="str">
        <f t="shared" si="288"/>
        <v/>
      </c>
      <c r="S5008" s="24" t="str">
        <f t="shared" si="289"/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ref="T5068:T5131" si="290">IF(OR(C5068="",I5068&lt;&gt;"ENTRADA"),"",TEXT(B5068,"AAMMDD")&amp;"-"&amp;TEXT(VALUE(SUBSTITUTE(A5068,"MOV-","")),"000"))</f>
        <v/>
      </c>
    </row>
    <row r="5069" spans="18:20">
      <c r="R5069" s="24" t="str">
        <f t="shared" ref="R5069:R5132" si="291">IF(H5069="","",H5069&amp;I5069)</f>
        <v/>
      </c>
      <c r="S5069" s="24" t="str">
        <f t="shared" ref="S5069:S5132" si="292">IF(C5069="","",C5069&amp;I5069)</f>
        <v/>
      </c>
      <c r="T5069" t="str">
        <f t="shared" si="290"/>
        <v/>
      </c>
    </row>
    <row r="5070" spans="18:20">
      <c r="R5070" s="24" t="str">
        <f t="shared" si="291"/>
        <v/>
      </c>
      <c r="S5070" s="24" t="str">
        <f t="shared" si="292"/>
        <v/>
      </c>
      <c r="T5070" t="str">
        <f t="shared" si="290"/>
        <v/>
      </c>
    </row>
    <row r="5071" spans="18:20">
      <c r="R5071" s="24" t="str">
        <f t="shared" si="291"/>
        <v/>
      </c>
      <c r="S5071" s="24" t="str">
        <f t="shared" si="292"/>
        <v/>
      </c>
      <c r="T5071" t="str">
        <f t="shared" si="290"/>
        <v/>
      </c>
    </row>
    <row r="5072" spans="18:20">
      <c r="R5072" s="24" t="str">
        <f t="shared" si="291"/>
        <v/>
      </c>
      <c r="S5072" s="24" t="str">
        <f t="shared" si="292"/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ref="T5132:T5195" si="293">IF(OR(C5132="",I5132&lt;&gt;"ENTRADA"),"",TEXT(B5132,"AAMMDD")&amp;"-"&amp;TEXT(VALUE(SUBSTITUTE(A5132,"MOV-","")),"000"))</f>
        <v/>
      </c>
    </row>
    <row r="5133" spans="18:20">
      <c r="R5133" s="24" t="str">
        <f t="shared" ref="R5133:R5196" si="294">IF(H5133="","",H5133&amp;I5133)</f>
        <v/>
      </c>
      <c r="S5133" s="24" t="str">
        <f t="shared" ref="S5133:S5196" si="295">IF(C5133="","",C5133&amp;I5133)</f>
        <v/>
      </c>
      <c r="T5133" t="str">
        <f t="shared" si="293"/>
        <v/>
      </c>
    </row>
    <row r="5134" spans="18:20">
      <c r="R5134" s="24" t="str">
        <f t="shared" si="294"/>
        <v/>
      </c>
      <c r="S5134" s="24" t="str">
        <f t="shared" si="295"/>
        <v/>
      </c>
      <c r="T5134" t="str">
        <f t="shared" si="293"/>
        <v/>
      </c>
    </row>
    <row r="5135" spans="18:20">
      <c r="R5135" s="24" t="str">
        <f t="shared" si="294"/>
        <v/>
      </c>
      <c r="S5135" s="24" t="str">
        <f t="shared" si="295"/>
        <v/>
      </c>
      <c r="T5135" t="str">
        <f t="shared" si="293"/>
        <v/>
      </c>
    </row>
    <row r="5136" spans="18:20">
      <c r="R5136" s="24" t="str">
        <f t="shared" si="294"/>
        <v/>
      </c>
      <c r="S5136" s="24" t="str">
        <f t="shared" si="295"/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ref="T5196:T5259" si="296">IF(OR(C5196="",I5196&lt;&gt;"ENTRADA"),"",TEXT(B5196,"AAMMDD")&amp;"-"&amp;TEXT(VALUE(SUBSTITUTE(A5196,"MOV-","")),"000"))</f>
        <v/>
      </c>
    </row>
    <row r="5197" spans="18:20">
      <c r="R5197" s="24" t="str">
        <f t="shared" ref="R5197:R5260" si="297">IF(H5197="","",H5197&amp;I5197)</f>
        <v/>
      </c>
      <c r="S5197" s="24" t="str">
        <f t="shared" ref="S5197:S5260" si="298">IF(C5197="","",C5197&amp;I5197)</f>
        <v/>
      </c>
      <c r="T5197" t="str">
        <f t="shared" si="296"/>
        <v/>
      </c>
    </row>
    <row r="5198" spans="18:20">
      <c r="R5198" s="24" t="str">
        <f t="shared" si="297"/>
        <v/>
      </c>
      <c r="S5198" s="24" t="str">
        <f t="shared" si="298"/>
        <v/>
      </c>
      <c r="T5198" t="str">
        <f t="shared" si="296"/>
        <v/>
      </c>
    </row>
    <row r="5199" spans="18:20">
      <c r="R5199" s="24" t="str">
        <f t="shared" si="297"/>
        <v/>
      </c>
      <c r="S5199" s="24" t="str">
        <f t="shared" si="298"/>
        <v/>
      </c>
      <c r="T5199" t="str">
        <f t="shared" si="296"/>
        <v/>
      </c>
    </row>
    <row r="5200" spans="18:20">
      <c r="R5200" s="24" t="str">
        <f t="shared" si="297"/>
        <v/>
      </c>
      <c r="S5200" s="24" t="str">
        <f t="shared" si="298"/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ref="T5260:T5323" si="299">IF(OR(C5260="",I5260&lt;&gt;"ENTRADA"),"",TEXT(B5260,"AAMMDD")&amp;"-"&amp;TEXT(VALUE(SUBSTITUTE(A5260,"MOV-","")),"000"))</f>
        <v/>
      </c>
    </row>
    <row r="5261" spans="18:20">
      <c r="R5261" s="24" t="str">
        <f t="shared" ref="R5261:R5324" si="300">IF(H5261="","",H5261&amp;I5261)</f>
        <v/>
      </c>
      <c r="S5261" s="24" t="str">
        <f t="shared" ref="S5261:S5324" si="301">IF(C5261="","",C5261&amp;I5261)</f>
        <v/>
      </c>
      <c r="T5261" t="str">
        <f t="shared" si="299"/>
        <v/>
      </c>
    </row>
    <row r="5262" spans="18:20">
      <c r="R5262" s="24" t="str">
        <f t="shared" si="300"/>
        <v/>
      </c>
      <c r="S5262" s="24" t="str">
        <f t="shared" si="301"/>
        <v/>
      </c>
      <c r="T5262" t="str">
        <f t="shared" si="299"/>
        <v/>
      </c>
    </row>
    <row r="5263" spans="18:20">
      <c r="R5263" s="24" t="str">
        <f t="shared" si="300"/>
        <v/>
      </c>
      <c r="S5263" s="24" t="str">
        <f t="shared" si="301"/>
        <v/>
      </c>
      <c r="T5263" t="str">
        <f t="shared" si="299"/>
        <v/>
      </c>
    </row>
    <row r="5264" spans="18:20">
      <c r="R5264" s="24" t="str">
        <f t="shared" si="300"/>
        <v/>
      </c>
      <c r="S5264" s="24" t="str">
        <f t="shared" si="301"/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ref="T5324:T5387" si="302">IF(OR(C5324="",I5324&lt;&gt;"ENTRADA"),"",TEXT(B5324,"AAMMDD")&amp;"-"&amp;TEXT(VALUE(SUBSTITUTE(A5324,"MOV-","")),"000"))</f>
        <v/>
      </c>
    </row>
    <row r="5325" spans="18:20">
      <c r="R5325" s="24" t="str">
        <f t="shared" ref="R5325:R5388" si="303">IF(H5325="","",H5325&amp;I5325)</f>
        <v/>
      </c>
      <c r="S5325" s="24" t="str">
        <f t="shared" ref="S5325:S5388" si="304">IF(C5325="","",C5325&amp;I5325)</f>
        <v/>
      </c>
      <c r="T5325" t="str">
        <f t="shared" si="302"/>
        <v/>
      </c>
    </row>
    <row r="5326" spans="18:20">
      <c r="R5326" s="24" t="str">
        <f t="shared" si="303"/>
        <v/>
      </c>
      <c r="S5326" s="24" t="str">
        <f t="shared" si="304"/>
        <v/>
      </c>
      <c r="T5326" t="str">
        <f t="shared" si="302"/>
        <v/>
      </c>
    </row>
    <row r="5327" spans="18:20">
      <c r="R5327" s="24" t="str">
        <f t="shared" si="303"/>
        <v/>
      </c>
      <c r="S5327" s="24" t="str">
        <f t="shared" si="304"/>
        <v/>
      </c>
      <c r="T5327" t="str">
        <f t="shared" si="302"/>
        <v/>
      </c>
    </row>
    <row r="5328" spans="18:20">
      <c r="R5328" s="24" t="str">
        <f t="shared" si="303"/>
        <v/>
      </c>
      <c r="S5328" s="24" t="str">
        <f t="shared" si="304"/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ref="T5388:T5451" si="305">IF(OR(C5388="",I5388&lt;&gt;"ENTRADA"),"",TEXT(B5388,"AAMMDD")&amp;"-"&amp;TEXT(VALUE(SUBSTITUTE(A5388,"MOV-","")),"000"))</f>
        <v/>
      </c>
    </row>
    <row r="5389" spans="18:20">
      <c r="R5389" s="24" t="str">
        <f t="shared" ref="R5389:R5452" si="306">IF(H5389="","",H5389&amp;I5389)</f>
        <v/>
      </c>
      <c r="S5389" s="24" t="str">
        <f t="shared" ref="S5389:S5452" si="307">IF(C5389="","",C5389&amp;I5389)</f>
        <v/>
      </c>
      <c r="T5389" t="str">
        <f t="shared" si="305"/>
        <v/>
      </c>
    </row>
    <row r="5390" spans="18:20">
      <c r="R5390" s="24" t="str">
        <f t="shared" si="306"/>
        <v/>
      </c>
      <c r="S5390" s="24" t="str">
        <f t="shared" si="307"/>
        <v/>
      </c>
      <c r="T5390" t="str">
        <f t="shared" si="305"/>
        <v/>
      </c>
    </row>
    <row r="5391" spans="18:20">
      <c r="R5391" s="24" t="str">
        <f t="shared" si="306"/>
        <v/>
      </c>
      <c r="S5391" s="24" t="str">
        <f t="shared" si="307"/>
        <v/>
      </c>
      <c r="T5391" t="str">
        <f t="shared" si="305"/>
        <v/>
      </c>
    </row>
    <row r="5392" spans="18:20">
      <c r="R5392" s="24" t="str">
        <f t="shared" si="306"/>
        <v/>
      </c>
      <c r="S5392" s="24" t="str">
        <f t="shared" si="307"/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ref="T5452:T5515" si="308">IF(OR(C5452="",I5452&lt;&gt;"ENTRADA"),"",TEXT(B5452,"AAMMDD")&amp;"-"&amp;TEXT(VALUE(SUBSTITUTE(A5452,"MOV-","")),"000"))</f>
        <v/>
      </c>
    </row>
    <row r="5453" spans="18:20">
      <c r="R5453" s="24" t="str">
        <f t="shared" ref="R5453:R5516" si="309">IF(H5453="","",H5453&amp;I5453)</f>
        <v/>
      </c>
      <c r="S5453" s="24" t="str">
        <f t="shared" ref="S5453:S5516" si="310">IF(C5453="","",C5453&amp;I5453)</f>
        <v/>
      </c>
      <c r="T5453" t="str">
        <f t="shared" si="308"/>
        <v/>
      </c>
    </row>
    <row r="5454" spans="18:20">
      <c r="R5454" s="24" t="str">
        <f t="shared" si="309"/>
        <v/>
      </c>
      <c r="S5454" s="24" t="str">
        <f t="shared" si="310"/>
        <v/>
      </c>
      <c r="T5454" t="str">
        <f t="shared" si="308"/>
        <v/>
      </c>
    </row>
    <row r="5455" spans="18:20">
      <c r="R5455" s="24" t="str">
        <f t="shared" si="309"/>
        <v/>
      </c>
      <c r="S5455" s="24" t="str">
        <f t="shared" si="310"/>
        <v/>
      </c>
      <c r="T5455" t="str">
        <f t="shared" si="308"/>
        <v/>
      </c>
    </row>
    <row r="5456" spans="18:20">
      <c r="R5456" s="24" t="str">
        <f t="shared" si="309"/>
        <v/>
      </c>
      <c r="S5456" s="24" t="str">
        <f t="shared" si="310"/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ref="T5516:T5579" si="311">IF(OR(C5516="",I5516&lt;&gt;"ENTRADA"),"",TEXT(B5516,"AAMMDD")&amp;"-"&amp;TEXT(VALUE(SUBSTITUTE(A5516,"MOV-","")),"000"))</f>
        <v/>
      </c>
    </row>
    <row r="5517" spans="18:20">
      <c r="R5517" s="24" t="str">
        <f t="shared" ref="R5517:R5580" si="312">IF(H5517="","",H5517&amp;I5517)</f>
        <v/>
      </c>
      <c r="S5517" s="24" t="str">
        <f t="shared" ref="S5517:S5580" si="313">IF(C5517="","",C5517&amp;I5517)</f>
        <v/>
      </c>
      <c r="T5517" t="str">
        <f t="shared" si="311"/>
        <v/>
      </c>
    </row>
    <row r="5518" spans="18:20">
      <c r="R5518" s="24" t="str">
        <f t="shared" si="312"/>
        <v/>
      </c>
      <c r="S5518" s="24" t="str">
        <f t="shared" si="313"/>
        <v/>
      </c>
      <c r="T5518" t="str">
        <f t="shared" si="311"/>
        <v/>
      </c>
    </row>
    <row r="5519" spans="18:20">
      <c r="R5519" s="24" t="str">
        <f t="shared" si="312"/>
        <v/>
      </c>
      <c r="S5519" s="24" t="str">
        <f t="shared" si="313"/>
        <v/>
      </c>
      <c r="T5519" t="str">
        <f t="shared" si="311"/>
        <v/>
      </c>
    </row>
    <row r="5520" spans="18:20">
      <c r="R5520" s="24" t="str">
        <f t="shared" si="312"/>
        <v/>
      </c>
      <c r="S5520" s="24" t="str">
        <f t="shared" si="313"/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ref="T5580:T5643" si="314">IF(OR(C5580="",I5580&lt;&gt;"ENTRADA"),"",TEXT(B5580,"AAMMDD")&amp;"-"&amp;TEXT(VALUE(SUBSTITUTE(A5580,"MOV-","")),"000"))</f>
        <v/>
      </c>
    </row>
    <row r="5581" spans="18:20">
      <c r="R5581" s="24" t="str">
        <f t="shared" ref="R5581:R5644" si="315">IF(H5581="","",H5581&amp;I5581)</f>
        <v/>
      </c>
      <c r="S5581" s="24" t="str">
        <f t="shared" ref="S5581:S5644" si="316">IF(C5581="","",C5581&amp;I5581)</f>
        <v/>
      </c>
      <c r="T5581" t="str">
        <f t="shared" si="314"/>
        <v/>
      </c>
    </row>
    <row r="5582" spans="18:20">
      <c r="R5582" s="24" t="str">
        <f t="shared" si="315"/>
        <v/>
      </c>
      <c r="S5582" s="24" t="str">
        <f t="shared" si="316"/>
        <v/>
      </c>
      <c r="T5582" t="str">
        <f t="shared" si="314"/>
        <v/>
      </c>
    </row>
    <row r="5583" spans="18:20">
      <c r="R5583" s="24" t="str">
        <f t="shared" si="315"/>
        <v/>
      </c>
      <c r="S5583" s="24" t="str">
        <f t="shared" si="316"/>
        <v/>
      </c>
      <c r="T5583" t="str">
        <f t="shared" si="314"/>
        <v/>
      </c>
    </row>
    <row r="5584" spans="18:20">
      <c r="R5584" s="24" t="str">
        <f t="shared" si="315"/>
        <v/>
      </c>
      <c r="S5584" s="24" t="str">
        <f t="shared" si="316"/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ref="T5644:T5707" si="317">IF(OR(C5644="",I5644&lt;&gt;"ENTRADA"),"",TEXT(B5644,"AAMMDD")&amp;"-"&amp;TEXT(VALUE(SUBSTITUTE(A5644,"MOV-","")),"000"))</f>
        <v/>
      </c>
    </row>
    <row r="5645" spans="18:20">
      <c r="R5645" s="24" t="str">
        <f t="shared" ref="R5645:R5708" si="318">IF(H5645="","",H5645&amp;I5645)</f>
        <v/>
      </c>
      <c r="S5645" s="24" t="str">
        <f t="shared" ref="S5645:S5708" si="319">IF(C5645="","",C5645&amp;I5645)</f>
        <v/>
      </c>
      <c r="T5645" t="str">
        <f t="shared" si="317"/>
        <v/>
      </c>
    </row>
    <row r="5646" spans="18:20">
      <c r="R5646" s="24" t="str">
        <f t="shared" si="318"/>
        <v/>
      </c>
      <c r="S5646" s="24" t="str">
        <f t="shared" si="319"/>
        <v/>
      </c>
      <c r="T5646" t="str">
        <f t="shared" si="317"/>
        <v/>
      </c>
    </row>
    <row r="5647" spans="18:20">
      <c r="R5647" s="24" t="str">
        <f t="shared" si="318"/>
        <v/>
      </c>
      <c r="S5647" s="24" t="str">
        <f t="shared" si="319"/>
        <v/>
      </c>
      <c r="T5647" t="str">
        <f t="shared" si="317"/>
        <v/>
      </c>
    </row>
    <row r="5648" spans="18:20">
      <c r="R5648" s="24" t="str">
        <f t="shared" si="318"/>
        <v/>
      </c>
      <c r="S5648" s="24" t="str">
        <f t="shared" si="319"/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ref="T5708:T5771" si="320">IF(OR(C5708="",I5708&lt;&gt;"ENTRADA"),"",TEXT(B5708,"AAMMDD")&amp;"-"&amp;TEXT(VALUE(SUBSTITUTE(A5708,"MOV-","")),"000"))</f>
        <v/>
      </c>
    </row>
    <row r="5709" spans="18:20">
      <c r="R5709" s="24" t="str">
        <f t="shared" ref="R5709:R5772" si="321">IF(H5709="","",H5709&amp;I5709)</f>
        <v/>
      </c>
      <c r="S5709" s="24" t="str">
        <f t="shared" ref="S5709:S5772" si="322">IF(C5709="","",C5709&amp;I5709)</f>
        <v/>
      </c>
      <c r="T5709" t="str">
        <f t="shared" si="320"/>
        <v/>
      </c>
    </row>
    <row r="5710" spans="18:20">
      <c r="R5710" s="24" t="str">
        <f t="shared" si="321"/>
        <v/>
      </c>
      <c r="S5710" s="24" t="str">
        <f t="shared" si="322"/>
        <v/>
      </c>
      <c r="T5710" t="str">
        <f t="shared" si="320"/>
        <v/>
      </c>
    </row>
    <row r="5711" spans="18:20">
      <c r="R5711" s="24" t="str">
        <f t="shared" si="321"/>
        <v/>
      </c>
      <c r="S5711" s="24" t="str">
        <f t="shared" si="322"/>
        <v/>
      </c>
      <c r="T5711" t="str">
        <f t="shared" si="320"/>
        <v/>
      </c>
    </row>
    <row r="5712" spans="18:20">
      <c r="R5712" s="24" t="str">
        <f t="shared" si="321"/>
        <v/>
      </c>
      <c r="S5712" s="24" t="str">
        <f t="shared" si="322"/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ref="T5772:T5835" si="323">IF(OR(C5772="",I5772&lt;&gt;"ENTRADA"),"",TEXT(B5772,"AAMMDD")&amp;"-"&amp;TEXT(VALUE(SUBSTITUTE(A5772,"MOV-","")),"000"))</f>
        <v/>
      </c>
    </row>
    <row r="5773" spans="18:20">
      <c r="R5773" s="24" t="str">
        <f t="shared" ref="R5773:R5836" si="324">IF(H5773="","",H5773&amp;I5773)</f>
        <v/>
      </c>
      <c r="S5773" s="24" t="str">
        <f t="shared" ref="S5773:S5836" si="325">IF(C5773="","",C5773&amp;I5773)</f>
        <v/>
      </c>
      <c r="T5773" t="str">
        <f t="shared" si="323"/>
        <v/>
      </c>
    </row>
    <row r="5774" spans="18:20">
      <c r="R5774" s="24" t="str">
        <f t="shared" si="324"/>
        <v/>
      </c>
      <c r="S5774" s="24" t="str">
        <f t="shared" si="325"/>
        <v/>
      </c>
      <c r="T5774" t="str">
        <f t="shared" si="323"/>
        <v/>
      </c>
    </row>
    <row r="5775" spans="18:20">
      <c r="R5775" s="24" t="str">
        <f t="shared" si="324"/>
        <v/>
      </c>
      <c r="S5775" s="24" t="str">
        <f t="shared" si="325"/>
        <v/>
      </c>
      <c r="T5775" t="str">
        <f t="shared" si="323"/>
        <v/>
      </c>
    </row>
    <row r="5776" spans="18:20">
      <c r="R5776" s="24" t="str">
        <f t="shared" si="324"/>
        <v/>
      </c>
      <c r="S5776" s="24" t="str">
        <f t="shared" si="325"/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ref="T5836:T5899" si="326">IF(OR(C5836="",I5836&lt;&gt;"ENTRADA"),"",TEXT(B5836,"AAMMDD")&amp;"-"&amp;TEXT(VALUE(SUBSTITUTE(A5836,"MOV-","")),"000"))</f>
        <v/>
      </c>
    </row>
    <row r="5837" spans="18:20">
      <c r="R5837" s="24" t="str">
        <f t="shared" ref="R5837:R5900" si="327">IF(H5837="","",H5837&amp;I5837)</f>
        <v/>
      </c>
      <c r="S5837" s="24" t="str">
        <f t="shared" ref="S5837:S5900" si="328">IF(C5837="","",C5837&amp;I5837)</f>
        <v/>
      </c>
      <c r="T5837" t="str">
        <f t="shared" si="326"/>
        <v/>
      </c>
    </row>
    <row r="5838" spans="18:20">
      <c r="R5838" s="24" t="str">
        <f t="shared" si="327"/>
        <v/>
      </c>
      <c r="S5838" s="24" t="str">
        <f t="shared" si="328"/>
        <v/>
      </c>
      <c r="T5838" t="str">
        <f t="shared" si="326"/>
        <v/>
      </c>
    </row>
    <row r="5839" spans="18:20">
      <c r="R5839" s="24" t="str">
        <f t="shared" si="327"/>
        <v/>
      </c>
      <c r="S5839" s="24" t="str">
        <f t="shared" si="328"/>
        <v/>
      </c>
      <c r="T5839" t="str">
        <f t="shared" si="326"/>
        <v/>
      </c>
    </row>
    <row r="5840" spans="18:20">
      <c r="R5840" s="24" t="str">
        <f t="shared" si="327"/>
        <v/>
      </c>
      <c r="S5840" s="24" t="str">
        <f t="shared" si="328"/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ref="T5900:T5963" si="329">IF(OR(C5900="",I5900&lt;&gt;"ENTRADA"),"",TEXT(B5900,"AAMMDD")&amp;"-"&amp;TEXT(VALUE(SUBSTITUTE(A5900,"MOV-","")),"000"))</f>
        <v/>
      </c>
    </row>
    <row r="5901" spans="18:20">
      <c r="R5901" s="24" t="str">
        <f t="shared" ref="R5901:R5964" si="330">IF(H5901="","",H5901&amp;I5901)</f>
        <v/>
      </c>
      <c r="S5901" s="24" t="str">
        <f t="shared" ref="S5901:S5964" si="331">IF(C5901="","",C5901&amp;I5901)</f>
        <v/>
      </c>
      <c r="T5901" t="str">
        <f t="shared" si="329"/>
        <v/>
      </c>
    </row>
    <row r="5902" spans="18:20">
      <c r="R5902" s="24" t="str">
        <f t="shared" si="330"/>
        <v/>
      </c>
      <c r="S5902" s="24" t="str">
        <f t="shared" si="331"/>
        <v/>
      </c>
      <c r="T5902" t="str">
        <f t="shared" si="329"/>
        <v/>
      </c>
    </row>
    <row r="5903" spans="18:20">
      <c r="R5903" s="24" t="str">
        <f t="shared" si="330"/>
        <v/>
      </c>
      <c r="S5903" s="24" t="str">
        <f t="shared" si="331"/>
        <v/>
      </c>
      <c r="T5903" t="str">
        <f t="shared" si="329"/>
        <v/>
      </c>
    </row>
    <row r="5904" spans="18:20">
      <c r="R5904" s="24" t="str">
        <f t="shared" si="330"/>
        <v/>
      </c>
      <c r="S5904" s="24" t="str">
        <f t="shared" si="331"/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ref="T5964:T6027" si="332">IF(OR(C5964="",I5964&lt;&gt;"ENTRADA"),"",TEXT(B5964,"AAMMDD")&amp;"-"&amp;TEXT(VALUE(SUBSTITUTE(A5964,"MOV-","")),"000"))</f>
        <v/>
      </c>
    </row>
    <row r="5965" spans="18:20">
      <c r="R5965" s="24" t="str">
        <f t="shared" ref="R5965:R6028" si="333">IF(H5965="","",H5965&amp;I5965)</f>
        <v/>
      </c>
      <c r="S5965" s="24" t="str">
        <f t="shared" ref="S5965:S6028" si="334">IF(C5965="","",C5965&amp;I5965)</f>
        <v/>
      </c>
      <c r="T5965" t="str">
        <f t="shared" si="332"/>
        <v/>
      </c>
    </row>
    <row r="5966" spans="18:20">
      <c r="R5966" s="24" t="str">
        <f t="shared" si="333"/>
        <v/>
      </c>
      <c r="S5966" s="24" t="str">
        <f t="shared" si="334"/>
        <v/>
      </c>
      <c r="T5966" t="str">
        <f t="shared" si="332"/>
        <v/>
      </c>
    </row>
    <row r="5967" spans="18:20">
      <c r="R5967" s="24" t="str">
        <f t="shared" si="333"/>
        <v/>
      </c>
      <c r="S5967" s="24" t="str">
        <f t="shared" si="334"/>
        <v/>
      </c>
      <c r="T5967" t="str">
        <f t="shared" si="332"/>
        <v/>
      </c>
    </row>
    <row r="5968" spans="18:20">
      <c r="R5968" s="24" t="str">
        <f t="shared" si="333"/>
        <v/>
      </c>
      <c r="S5968" s="24" t="str">
        <f t="shared" si="334"/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ref="T6028:T6091" si="335">IF(OR(C6028="",I6028&lt;&gt;"ENTRADA"),"",TEXT(B6028,"AAMMDD")&amp;"-"&amp;TEXT(VALUE(SUBSTITUTE(A6028,"MOV-","")),"000"))</f>
        <v/>
      </c>
    </row>
    <row r="6029" spans="18:20">
      <c r="R6029" s="24" t="str">
        <f t="shared" ref="R6029:R6092" si="336">IF(H6029="","",H6029&amp;I6029)</f>
        <v/>
      </c>
      <c r="S6029" s="24" t="str">
        <f t="shared" ref="S6029:S6092" si="337">IF(C6029="","",C6029&amp;I6029)</f>
        <v/>
      </c>
      <c r="T6029" t="str">
        <f t="shared" si="335"/>
        <v/>
      </c>
    </row>
    <row r="6030" spans="18:20">
      <c r="R6030" s="24" t="str">
        <f t="shared" si="336"/>
        <v/>
      </c>
      <c r="S6030" s="24" t="str">
        <f t="shared" si="337"/>
        <v/>
      </c>
      <c r="T6030" t="str">
        <f t="shared" si="335"/>
        <v/>
      </c>
    </row>
    <row r="6031" spans="18:20">
      <c r="R6031" s="24" t="str">
        <f t="shared" si="336"/>
        <v/>
      </c>
      <c r="S6031" s="24" t="str">
        <f t="shared" si="337"/>
        <v/>
      </c>
      <c r="T6031" t="str">
        <f t="shared" si="335"/>
        <v/>
      </c>
    </row>
    <row r="6032" spans="18:20">
      <c r="R6032" s="24" t="str">
        <f t="shared" si="336"/>
        <v/>
      </c>
      <c r="S6032" s="24" t="str">
        <f t="shared" si="337"/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ref="T6092:T6155" si="338">IF(OR(C6092="",I6092&lt;&gt;"ENTRADA"),"",TEXT(B6092,"AAMMDD")&amp;"-"&amp;TEXT(VALUE(SUBSTITUTE(A6092,"MOV-","")),"000"))</f>
        <v/>
      </c>
    </row>
    <row r="6093" spans="18:20">
      <c r="R6093" s="24" t="str">
        <f t="shared" ref="R6093:R6156" si="339">IF(H6093="","",H6093&amp;I6093)</f>
        <v/>
      </c>
      <c r="S6093" s="24" t="str">
        <f t="shared" ref="S6093:S6156" si="340">IF(C6093="","",C6093&amp;I6093)</f>
        <v/>
      </c>
      <c r="T6093" t="str">
        <f t="shared" si="338"/>
        <v/>
      </c>
    </row>
    <row r="6094" spans="18:20">
      <c r="R6094" s="24" t="str">
        <f t="shared" si="339"/>
        <v/>
      </c>
      <c r="S6094" s="24" t="str">
        <f t="shared" si="340"/>
        <v/>
      </c>
      <c r="T6094" t="str">
        <f t="shared" si="338"/>
        <v/>
      </c>
    </row>
    <row r="6095" spans="18:20">
      <c r="R6095" s="24" t="str">
        <f t="shared" si="339"/>
        <v/>
      </c>
      <c r="S6095" s="24" t="str">
        <f t="shared" si="340"/>
        <v/>
      </c>
      <c r="T6095" t="str">
        <f t="shared" si="338"/>
        <v/>
      </c>
    </row>
    <row r="6096" spans="18:20">
      <c r="R6096" s="24" t="str">
        <f t="shared" si="339"/>
        <v/>
      </c>
      <c r="S6096" s="24" t="str">
        <f t="shared" si="340"/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ref="T6156:T6219" si="341">IF(OR(C6156="",I6156&lt;&gt;"ENTRADA"),"",TEXT(B6156,"AAMMDD")&amp;"-"&amp;TEXT(VALUE(SUBSTITUTE(A6156,"MOV-","")),"000"))</f>
        <v/>
      </c>
    </row>
    <row r="6157" spans="18:20">
      <c r="R6157" s="24" t="str">
        <f t="shared" ref="R6157:R6220" si="342">IF(H6157="","",H6157&amp;I6157)</f>
        <v/>
      </c>
      <c r="S6157" s="24" t="str">
        <f t="shared" ref="S6157:S6220" si="343">IF(C6157="","",C6157&amp;I6157)</f>
        <v/>
      </c>
      <c r="T6157" t="str">
        <f t="shared" si="341"/>
        <v/>
      </c>
    </row>
    <row r="6158" spans="18:20">
      <c r="R6158" s="24" t="str">
        <f t="shared" si="342"/>
        <v/>
      </c>
      <c r="S6158" s="24" t="str">
        <f t="shared" si="343"/>
        <v/>
      </c>
      <c r="T6158" t="str">
        <f t="shared" si="341"/>
        <v/>
      </c>
    </row>
    <row r="6159" spans="18:20">
      <c r="R6159" s="24" t="str">
        <f t="shared" si="342"/>
        <v/>
      </c>
      <c r="S6159" s="24" t="str">
        <f t="shared" si="343"/>
        <v/>
      </c>
      <c r="T6159" t="str">
        <f t="shared" si="341"/>
        <v/>
      </c>
    </row>
    <row r="6160" spans="18:20">
      <c r="R6160" s="24" t="str">
        <f t="shared" si="342"/>
        <v/>
      </c>
      <c r="S6160" s="24" t="str">
        <f t="shared" si="343"/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ref="T6220:T6283" si="344">IF(OR(C6220="",I6220&lt;&gt;"ENTRADA"),"",TEXT(B6220,"AAMMDD")&amp;"-"&amp;TEXT(VALUE(SUBSTITUTE(A6220,"MOV-","")),"000"))</f>
        <v/>
      </c>
    </row>
    <row r="6221" spans="18:20">
      <c r="R6221" s="24" t="str">
        <f t="shared" ref="R6221:R6284" si="345">IF(H6221="","",H6221&amp;I6221)</f>
        <v/>
      </c>
      <c r="S6221" s="24" t="str">
        <f t="shared" ref="S6221:S6284" si="346">IF(C6221="","",C6221&amp;I6221)</f>
        <v/>
      </c>
      <c r="T6221" t="str">
        <f t="shared" si="344"/>
        <v/>
      </c>
    </row>
    <row r="6222" spans="18:20">
      <c r="R6222" s="24" t="str">
        <f t="shared" si="345"/>
        <v/>
      </c>
      <c r="S6222" s="24" t="str">
        <f t="shared" si="346"/>
        <v/>
      </c>
      <c r="T6222" t="str">
        <f t="shared" si="344"/>
        <v/>
      </c>
    </row>
    <row r="6223" spans="18:20">
      <c r="R6223" s="24" t="str">
        <f t="shared" si="345"/>
        <v/>
      </c>
      <c r="S6223" s="24" t="str">
        <f t="shared" si="346"/>
        <v/>
      </c>
      <c r="T6223" t="str">
        <f t="shared" si="344"/>
        <v/>
      </c>
    </row>
    <row r="6224" spans="18:20">
      <c r="R6224" s="24" t="str">
        <f t="shared" si="345"/>
        <v/>
      </c>
      <c r="S6224" s="24" t="str">
        <f t="shared" si="346"/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ref="T6284:T6347" si="347">IF(OR(C6284="",I6284&lt;&gt;"ENTRADA"),"",TEXT(B6284,"AAMMDD")&amp;"-"&amp;TEXT(VALUE(SUBSTITUTE(A6284,"MOV-","")),"000"))</f>
        <v/>
      </c>
    </row>
    <row r="6285" spans="18:20">
      <c r="R6285" s="24" t="str">
        <f t="shared" ref="R6285:R6348" si="348">IF(H6285="","",H6285&amp;I6285)</f>
        <v/>
      </c>
      <c r="S6285" s="24" t="str">
        <f t="shared" ref="S6285:S6348" si="349">IF(C6285="","",C6285&amp;I6285)</f>
        <v/>
      </c>
      <c r="T6285" t="str">
        <f t="shared" si="347"/>
        <v/>
      </c>
    </row>
    <row r="6286" spans="18:20">
      <c r="R6286" s="24" t="str">
        <f t="shared" si="348"/>
        <v/>
      </c>
      <c r="S6286" s="24" t="str">
        <f t="shared" si="349"/>
        <v/>
      </c>
      <c r="T6286" t="str">
        <f t="shared" si="347"/>
        <v/>
      </c>
    </row>
    <row r="6287" spans="18:20">
      <c r="R6287" s="24" t="str">
        <f t="shared" si="348"/>
        <v/>
      </c>
      <c r="S6287" s="24" t="str">
        <f t="shared" si="349"/>
        <v/>
      </c>
      <c r="T6287" t="str">
        <f t="shared" si="347"/>
        <v/>
      </c>
    </row>
    <row r="6288" spans="18:20">
      <c r="R6288" s="24" t="str">
        <f t="shared" si="348"/>
        <v/>
      </c>
      <c r="S6288" s="24" t="str">
        <f t="shared" si="349"/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ref="T6348:T6411" si="350">IF(OR(C6348="",I6348&lt;&gt;"ENTRADA"),"",TEXT(B6348,"AAMMDD")&amp;"-"&amp;TEXT(VALUE(SUBSTITUTE(A6348,"MOV-","")),"000"))</f>
        <v/>
      </c>
    </row>
    <row r="6349" spans="18:20">
      <c r="R6349" s="24" t="str">
        <f t="shared" ref="R6349:R6412" si="351">IF(H6349="","",H6349&amp;I6349)</f>
        <v/>
      </c>
      <c r="S6349" s="24" t="str">
        <f t="shared" ref="S6349:S6412" si="352">IF(C6349="","",C6349&amp;I6349)</f>
        <v/>
      </c>
      <c r="T6349" t="str">
        <f t="shared" si="350"/>
        <v/>
      </c>
    </row>
    <row r="6350" spans="18:20">
      <c r="R6350" s="24" t="str">
        <f t="shared" si="351"/>
        <v/>
      </c>
      <c r="S6350" s="24" t="str">
        <f t="shared" si="352"/>
        <v/>
      </c>
      <c r="T6350" t="str">
        <f t="shared" si="350"/>
        <v/>
      </c>
    </row>
    <row r="6351" spans="18:20">
      <c r="R6351" s="24" t="str">
        <f t="shared" si="351"/>
        <v/>
      </c>
      <c r="S6351" s="24" t="str">
        <f t="shared" si="352"/>
        <v/>
      </c>
      <c r="T6351" t="str">
        <f t="shared" si="350"/>
        <v/>
      </c>
    </row>
    <row r="6352" spans="18:20">
      <c r="R6352" s="24" t="str">
        <f t="shared" si="351"/>
        <v/>
      </c>
      <c r="S6352" s="24" t="str">
        <f t="shared" si="352"/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ref="T6412:T6475" si="353">IF(OR(C6412="",I6412&lt;&gt;"ENTRADA"),"",TEXT(B6412,"AAMMDD")&amp;"-"&amp;TEXT(VALUE(SUBSTITUTE(A6412,"MOV-","")),"000"))</f>
        <v/>
      </c>
    </row>
    <row r="6413" spans="18:20">
      <c r="R6413" s="24" t="str">
        <f t="shared" ref="R6413:R6476" si="354">IF(H6413="","",H6413&amp;I6413)</f>
        <v/>
      </c>
      <c r="S6413" s="24" t="str">
        <f t="shared" ref="S6413:S6476" si="355">IF(C6413="","",C6413&amp;I6413)</f>
        <v/>
      </c>
      <c r="T6413" t="str">
        <f t="shared" si="353"/>
        <v/>
      </c>
    </row>
    <row r="6414" spans="18:20">
      <c r="R6414" s="24" t="str">
        <f t="shared" si="354"/>
        <v/>
      </c>
      <c r="S6414" s="24" t="str">
        <f t="shared" si="355"/>
        <v/>
      </c>
      <c r="T6414" t="str">
        <f t="shared" si="353"/>
        <v/>
      </c>
    </row>
    <row r="6415" spans="18:20">
      <c r="R6415" s="24" t="str">
        <f t="shared" si="354"/>
        <v/>
      </c>
      <c r="S6415" s="24" t="str">
        <f t="shared" si="355"/>
        <v/>
      </c>
      <c r="T6415" t="str">
        <f t="shared" si="353"/>
        <v/>
      </c>
    </row>
    <row r="6416" spans="18:20">
      <c r="R6416" s="24" t="str">
        <f t="shared" si="354"/>
        <v/>
      </c>
      <c r="S6416" s="24" t="str">
        <f t="shared" si="355"/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ref="T6476:T6539" si="356">IF(OR(C6476="",I6476&lt;&gt;"ENTRADA"),"",TEXT(B6476,"AAMMDD")&amp;"-"&amp;TEXT(VALUE(SUBSTITUTE(A6476,"MOV-","")),"000"))</f>
        <v/>
      </c>
    </row>
    <row r="6477" spans="18:20">
      <c r="R6477" s="24" t="str">
        <f t="shared" ref="R6477:R6540" si="357">IF(H6477="","",H6477&amp;I6477)</f>
        <v/>
      </c>
      <c r="S6477" s="24" t="str">
        <f t="shared" ref="S6477:S6540" si="358">IF(C6477="","",C6477&amp;I6477)</f>
        <v/>
      </c>
      <c r="T6477" t="str">
        <f t="shared" si="356"/>
        <v/>
      </c>
    </row>
    <row r="6478" spans="18:20">
      <c r="R6478" s="24" t="str">
        <f t="shared" si="357"/>
        <v/>
      </c>
      <c r="S6478" s="24" t="str">
        <f t="shared" si="358"/>
        <v/>
      </c>
      <c r="T6478" t="str">
        <f t="shared" si="356"/>
        <v/>
      </c>
    </row>
    <row r="6479" spans="18:20">
      <c r="R6479" s="24" t="str">
        <f t="shared" si="357"/>
        <v/>
      </c>
      <c r="S6479" s="24" t="str">
        <f t="shared" si="358"/>
        <v/>
      </c>
      <c r="T6479" t="str">
        <f t="shared" si="356"/>
        <v/>
      </c>
    </row>
    <row r="6480" spans="18:20">
      <c r="R6480" s="24" t="str">
        <f t="shared" si="357"/>
        <v/>
      </c>
      <c r="S6480" s="24" t="str">
        <f t="shared" si="358"/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ref="T6540:T6603" si="359">IF(OR(C6540="",I6540&lt;&gt;"ENTRADA"),"",TEXT(B6540,"AAMMDD")&amp;"-"&amp;TEXT(VALUE(SUBSTITUTE(A6540,"MOV-","")),"000"))</f>
        <v/>
      </c>
    </row>
    <row r="6541" spans="18:20">
      <c r="R6541" s="24" t="str">
        <f t="shared" ref="R6541:R6604" si="360">IF(H6541="","",H6541&amp;I6541)</f>
        <v/>
      </c>
      <c r="S6541" s="24" t="str">
        <f t="shared" ref="S6541:S6604" si="361">IF(C6541="","",C6541&amp;I6541)</f>
        <v/>
      </c>
      <c r="T6541" t="str">
        <f t="shared" si="359"/>
        <v/>
      </c>
    </row>
    <row r="6542" spans="18:20">
      <c r="R6542" s="24" t="str">
        <f t="shared" si="360"/>
        <v/>
      </c>
      <c r="S6542" s="24" t="str">
        <f t="shared" si="361"/>
        <v/>
      </c>
      <c r="T6542" t="str">
        <f t="shared" si="359"/>
        <v/>
      </c>
    </row>
    <row r="6543" spans="18:20">
      <c r="R6543" s="24" t="str">
        <f t="shared" si="360"/>
        <v/>
      </c>
      <c r="S6543" s="24" t="str">
        <f t="shared" si="361"/>
        <v/>
      </c>
      <c r="T6543" t="str">
        <f t="shared" si="359"/>
        <v/>
      </c>
    </row>
    <row r="6544" spans="18:20">
      <c r="R6544" s="24" t="str">
        <f t="shared" si="360"/>
        <v/>
      </c>
      <c r="S6544" s="24" t="str">
        <f t="shared" si="361"/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ref="T6604:T6667" si="362">IF(OR(C6604="",I6604&lt;&gt;"ENTRADA"),"",TEXT(B6604,"AAMMDD")&amp;"-"&amp;TEXT(VALUE(SUBSTITUTE(A6604,"MOV-","")),"000"))</f>
        <v/>
      </c>
    </row>
    <row r="6605" spans="18:20">
      <c r="R6605" s="24" t="str">
        <f t="shared" ref="R6605:R6668" si="363">IF(H6605="","",H6605&amp;I6605)</f>
        <v/>
      </c>
      <c r="S6605" s="24" t="str">
        <f t="shared" ref="S6605:S6668" si="364">IF(C6605="","",C6605&amp;I6605)</f>
        <v/>
      </c>
      <c r="T6605" t="str">
        <f t="shared" si="362"/>
        <v/>
      </c>
    </row>
    <row r="6606" spans="18:20">
      <c r="R6606" s="24" t="str">
        <f t="shared" si="363"/>
        <v/>
      </c>
      <c r="S6606" s="24" t="str">
        <f t="shared" si="364"/>
        <v/>
      </c>
      <c r="T6606" t="str">
        <f t="shared" si="362"/>
        <v/>
      </c>
    </row>
    <row r="6607" spans="18:20">
      <c r="R6607" s="24" t="str">
        <f t="shared" si="363"/>
        <v/>
      </c>
      <c r="S6607" s="24" t="str">
        <f t="shared" si="364"/>
        <v/>
      </c>
      <c r="T6607" t="str">
        <f t="shared" si="362"/>
        <v/>
      </c>
    </row>
    <row r="6608" spans="18:20">
      <c r="R6608" s="24" t="str">
        <f t="shared" si="363"/>
        <v/>
      </c>
      <c r="S6608" s="24" t="str">
        <f t="shared" si="364"/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ref="T6668:T6701" si="365">IF(OR(C6668="",I6668&lt;&gt;"ENTRADA"),"",TEXT(B6668,"AAMMDD")&amp;"-"&amp;TEXT(VALUE(SUBSTITUTE(A6668,"MOV-","")),"000"))</f>
        <v/>
      </c>
    </row>
    <row r="6669" spans="18:20">
      <c r="R6669" s="24" t="str">
        <f t="shared" ref="R6669:R6701" si="366">IF(H6669="","",H6669&amp;I6669)</f>
        <v/>
      </c>
      <c r="S6669" s="24" t="str">
        <f t="shared" ref="S6669:S6701" si="367">IF(C6669="","",C6669&amp;I6669)</f>
        <v/>
      </c>
      <c r="T6669" t="str">
        <f t="shared" si="365"/>
        <v/>
      </c>
    </row>
    <row r="6670" spans="18:20">
      <c r="R6670" s="24" t="str">
        <f t="shared" si="366"/>
        <v/>
      </c>
      <c r="S6670" s="24" t="str">
        <f t="shared" si="367"/>
        <v/>
      </c>
      <c r="T6670" t="str">
        <f t="shared" si="365"/>
        <v/>
      </c>
    </row>
    <row r="6671" spans="18:20">
      <c r="R6671" s="24" t="str">
        <f t="shared" si="366"/>
        <v/>
      </c>
      <c r="S6671" s="24" t="str">
        <f t="shared" si="367"/>
        <v/>
      </c>
      <c r="T6671" t="str">
        <f t="shared" si="365"/>
        <v/>
      </c>
    </row>
    <row r="6672" spans="18:20">
      <c r="R6672" s="24" t="str">
        <f t="shared" si="366"/>
        <v/>
      </c>
      <c r="S6672" s="24" t="str">
        <f t="shared" si="367"/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T6702" t="str">
        <f t="shared" ref="T6655:T6718" si="368">IF(C6702="","",UPPER(LEFT(SUBSTITUTE(C6702," ",""),3))&amp;"-"&amp;TEXT(B6702,"AAMMDD")&amp;"-1")</f>
        <v/>
      </c>
    </row>
    <row r="6703" spans="18:20">
      <c r="T6703" t="str">
        <f t="shared" si="368"/>
        <v/>
      </c>
    </row>
    <row r="6704" spans="18:20">
      <c r="T6704" t="str">
        <f t="shared" si="368"/>
        <v/>
      </c>
    </row>
    <row r="6705" spans="20:20">
      <c r="T6705" t="str">
        <f t="shared" si="368"/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ref="T6719:T6782" si="369">IF(C6719="","",UPPER(LEFT(SUBSTITUTE(C6719," ",""),3))&amp;"-"&amp;TEXT(B6719,"AAMMDD")&amp;"-1")</f>
        <v/>
      </c>
    </row>
    <row r="6720" spans="20:20">
      <c r="T6720" t="str">
        <f t="shared" si="369"/>
        <v/>
      </c>
    </row>
    <row r="6721" spans="20:20">
      <c r="T6721" t="str">
        <f t="shared" si="369"/>
        <v/>
      </c>
    </row>
    <row r="6722" spans="20:20">
      <c r="T6722" t="str">
        <f t="shared" si="369"/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ref="T6783:T6846" si="370">IF(C6783="","",UPPER(LEFT(SUBSTITUTE(C6783," ",""),3))&amp;"-"&amp;TEXT(B6783,"AAMMDD")&amp;"-1")</f>
        <v/>
      </c>
    </row>
    <row r="6784" spans="20:20">
      <c r="T6784" t="str">
        <f t="shared" si="370"/>
        <v/>
      </c>
    </row>
    <row r="6785" spans="20:20">
      <c r="T6785" t="str">
        <f t="shared" si="370"/>
        <v/>
      </c>
    </row>
    <row r="6786" spans="20:20">
      <c r="T6786" t="str">
        <f t="shared" si="370"/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ref="T6847:T6910" si="371">IF(C6847="","",UPPER(LEFT(SUBSTITUTE(C6847," ",""),3))&amp;"-"&amp;TEXT(B6847,"AAMMDD")&amp;"-1")</f>
        <v/>
      </c>
    </row>
    <row r="6848" spans="20:20">
      <c r="T6848" t="str">
        <f t="shared" si="371"/>
        <v/>
      </c>
    </row>
    <row r="6849" spans="20:20">
      <c r="T6849" t="str">
        <f t="shared" si="371"/>
        <v/>
      </c>
    </row>
    <row r="6850" spans="20:20">
      <c r="T6850" t="str">
        <f t="shared" si="371"/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ref="T6911:T6974" si="372">IF(C6911="","",UPPER(LEFT(SUBSTITUTE(C6911," ",""),3))&amp;"-"&amp;TEXT(B6911,"AAMMDD")&amp;"-1")</f>
        <v/>
      </c>
    </row>
    <row r="6912" spans="20:20">
      <c r="T6912" t="str">
        <f t="shared" si="372"/>
        <v/>
      </c>
    </row>
    <row r="6913" spans="20:20">
      <c r="T6913" t="str">
        <f t="shared" si="372"/>
        <v/>
      </c>
    </row>
    <row r="6914" spans="20:20">
      <c r="T6914" t="str">
        <f t="shared" si="372"/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ref="T6975:T7038" si="373">IF(C6975="","",UPPER(LEFT(SUBSTITUTE(C6975," ",""),3))&amp;"-"&amp;TEXT(B6975,"AAMMDD")&amp;"-1")</f>
        <v/>
      </c>
    </row>
    <row r="6976" spans="20:20">
      <c r="T6976" t="str">
        <f t="shared" si="373"/>
        <v/>
      </c>
    </row>
    <row r="6977" spans="20:20">
      <c r="T6977" t="str">
        <f t="shared" si="373"/>
        <v/>
      </c>
    </row>
    <row r="6978" spans="20:20">
      <c r="T6978" t="str">
        <f t="shared" si="373"/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ref="T7039:T7102" si="374">IF(C7039="","",UPPER(LEFT(SUBSTITUTE(C7039," ",""),3))&amp;"-"&amp;TEXT(B7039,"AAMMDD")&amp;"-1")</f>
        <v/>
      </c>
    </row>
    <row r="7040" spans="20:20">
      <c r="T7040" t="str">
        <f t="shared" si="374"/>
        <v/>
      </c>
    </row>
    <row r="7041" spans="20:20">
      <c r="T7041" t="str">
        <f t="shared" si="374"/>
        <v/>
      </c>
    </row>
    <row r="7042" spans="20:20">
      <c r="T7042" t="str">
        <f t="shared" si="374"/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ref="T7103:T7166" si="375">IF(C7103="","",UPPER(LEFT(SUBSTITUTE(C7103," ",""),3))&amp;"-"&amp;TEXT(B7103,"AAMMDD")&amp;"-1")</f>
        <v/>
      </c>
    </row>
    <row r="7104" spans="20:20">
      <c r="T7104" t="str">
        <f t="shared" si="375"/>
        <v/>
      </c>
    </row>
    <row r="7105" spans="20:20">
      <c r="T7105" t="str">
        <f t="shared" si="375"/>
        <v/>
      </c>
    </row>
    <row r="7106" spans="20:20">
      <c r="T7106" t="str">
        <f t="shared" si="375"/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ref="T7167:T7230" si="376">IF(C7167="","",UPPER(LEFT(SUBSTITUTE(C7167," ",""),3))&amp;"-"&amp;TEXT(B7167,"AAMMDD")&amp;"-1")</f>
        <v/>
      </c>
    </row>
    <row r="7168" spans="20:20">
      <c r="T7168" t="str">
        <f t="shared" si="376"/>
        <v/>
      </c>
    </row>
    <row r="7169" spans="20:20">
      <c r="T7169" t="str">
        <f t="shared" si="376"/>
        <v/>
      </c>
    </row>
    <row r="7170" spans="20:20">
      <c r="T7170" t="str">
        <f t="shared" si="376"/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ref="T7231:T7294" si="377">IF(C7231="","",UPPER(LEFT(SUBSTITUTE(C7231," ",""),3))&amp;"-"&amp;TEXT(B7231,"AAMMDD")&amp;"-1")</f>
        <v/>
      </c>
    </row>
    <row r="7232" spans="20:20">
      <c r="T7232" t="str">
        <f t="shared" si="377"/>
        <v/>
      </c>
    </row>
    <row r="7233" spans="20:20">
      <c r="T7233" t="str">
        <f t="shared" si="377"/>
        <v/>
      </c>
    </row>
    <row r="7234" spans="20:20">
      <c r="T7234" t="str">
        <f t="shared" si="377"/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ref="T7295:T7358" si="378">IF(C7295="","",UPPER(LEFT(SUBSTITUTE(C7295," ",""),3))&amp;"-"&amp;TEXT(B7295,"AAMMDD")&amp;"-1")</f>
        <v/>
      </c>
    </row>
    <row r="7296" spans="20:20">
      <c r="T7296" t="str">
        <f t="shared" si="378"/>
        <v/>
      </c>
    </row>
    <row r="7297" spans="20:20">
      <c r="T7297" t="str">
        <f t="shared" si="378"/>
        <v/>
      </c>
    </row>
    <row r="7298" spans="20:20">
      <c r="T7298" t="str">
        <f t="shared" si="378"/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ref="T7359:T7422" si="379">IF(C7359="","",UPPER(LEFT(SUBSTITUTE(C7359," ",""),3))&amp;"-"&amp;TEXT(B7359,"AAMMDD")&amp;"-1")</f>
        <v/>
      </c>
    </row>
    <row r="7360" spans="20:20">
      <c r="T7360" t="str">
        <f t="shared" si="379"/>
        <v/>
      </c>
    </row>
    <row r="7361" spans="20:20">
      <c r="T7361" t="str">
        <f t="shared" si="379"/>
        <v/>
      </c>
    </row>
    <row r="7362" spans="20:20">
      <c r="T7362" t="str">
        <f t="shared" si="379"/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ref="T7423:T7486" si="380">IF(C7423="","",UPPER(LEFT(SUBSTITUTE(C7423," ",""),3))&amp;"-"&amp;TEXT(B7423,"AAMMDD")&amp;"-1")</f>
        <v/>
      </c>
    </row>
    <row r="7424" spans="20:20">
      <c r="T7424" t="str">
        <f t="shared" si="380"/>
        <v/>
      </c>
    </row>
    <row r="7425" spans="20:20">
      <c r="T7425" t="str">
        <f t="shared" si="380"/>
        <v/>
      </c>
    </row>
    <row r="7426" spans="20:20">
      <c r="T7426" t="str">
        <f t="shared" si="380"/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ref="T7487:T7550" si="381">IF(C7487="","",UPPER(LEFT(SUBSTITUTE(C7487," ",""),3))&amp;"-"&amp;TEXT(B7487,"AAMMDD")&amp;"-1")</f>
        <v/>
      </c>
    </row>
    <row r="7488" spans="20:20">
      <c r="T7488" t="str">
        <f t="shared" si="381"/>
        <v/>
      </c>
    </row>
    <row r="7489" spans="20:20">
      <c r="T7489" t="str">
        <f t="shared" si="381"/>
        <v/>
      </c>
    </row>
    <row r="7490" spans="20:20">
      <c r="T7490" t="str">
        <f t="shared" si="381"/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ref="T7551:T7614" si="382">IF(C7551="","",UPPER(LEFT(SUBSTITUTE(C7551," ",""),3))&amp;"-"&amp;TEXT(B7551,"AAMMDD")&amp;"-1")</f>
        <v/>
      </c>
    </row>
    <row r="7552" spans="20:20">
      <c r="T7552" t="str">
        <f t="shared" si="382"/>
        <v/>
      </c>
    </row>
    <row r="7553" spans="20:20">
      <c r="T7553" t="str">
        <f t="shared" si="382"/>
        <v/>
      </c>
    </row>
    <row r="7554" spans="20:20">
      <c r="T7554" t="str">
        <f t="shared" si="382"/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ref="T7615:T7678" si="383">IF(C7615="","",UPPER(LEFT(SUBSTITUTE(C7615," ",""),3))&amp;"-"&amp;TEXT(B7615,"AAMMDD")&amp;"-1")</f>
        <v/>
      </c>
    </row>
    <row r="7616" spans="20:20">
      <c r="T7616" t="str">
        <f t="shared" si="383"/>
        <v/>
      </c>
    </row>
    <row r="7617" spans="20:20">
      <c r="T7617" t="str">
        <f t="shared" si="383"/>
        <v/>
      </c>
    </row>
    <row r="7618" spans="20:20">
      <c r="T7618" t="str">
        <f t="shared" si="383"/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ref="T7679:T7742" si="384">IF(C7679="","",UPPER(LEFT(SUBSTITUTE(C7679," ",""),3))&amp;"-"&amp;TEXT(B7679,"AAMMDD")&amp;"-1")</f>
        <v/>
      </c>
    </row>
    <row r="7680" spans="20:20">
      <c r="T7680" t="str">
        <f t="shared" si="384"/>
        <v/>
      </c>
    </row>
    <row r="7681" spans="20:20">
      <c r="T7681" t="str">
        <f t="shared" si="384"/>
        <v/>
      </c>
    </row>
    <row r="7682" spans="20:20">
      <c r="T7682" t="str">
        <f t="shared" si="384"/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ref="T7743:T7806" si="385">IF(C7743="","",UPPER(LEFT(SUBSTITUTE(C7743," ",""),3))&amp;"-"&amp;TEXT(B7743,"AAMMDD")&amp;"-1")</f>
        <v/>
      </c>
    </row>
    <row r="7744" spans="20:20">
      <c r="T7744" t="str">
        <f t="shared" si="385"/>
        <v/>
      </c>
    </row>
    <row r="7745" spans="20:20">
      <c r="T7745" t="str">
        <f t="shared" si="385"/>
        <v/>
      </c>
    </row>
    <row r="7746" spans="20:20">
      <c r="T7746" t="str">
        <f t="shared" si="385"/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ref="T7807:T7870" si="386">IF(C7807="","",UPPER(LEFT(SUBSTITUTE(C7807," ",""),3))&amp;"-"&amp;TEXT(B7807,"AAMMDD")&amp;"-1")</f>
        <v/>
      </c>
    </row>
    <row r="7808" spans="20:20">
      <c r="T7808" t="str">
        <f t="shared" si="386"/>
        <v/>
      </c>
    </row>
    <row r="7809" spans="20:20">
      <c r="T7809" t="str">
        <f t="shared" si="386"/>
        <v/>
      </c>
    </row>
    <row r="7810" spans="20:20">
      <c r="T7810" t="str">
        <f t="shared" si="386"/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ref="T7871:T7934" si="387">IF(C7871="","",UPPER(LEFT(SUBSTITUTE(C7871," ",""),3))&amp;"-"&amp;TEXT(B7871,"AAMMDD")&amp;"-1")</f>
        <v/>
      </c>
    </row>
    <row r="7872" spans="20:20">
      <c r="T7872" t="str">
        <f t="shared" si="387"/>
        <v/>
      </c>
    </row>
    <row r="7873" spans="20:20">
      <c r="T7873" t="str">
        <f t="shared" si="387"/>
        <v/>
      </c>
    </row>
    <row r="7874" spans="20:20">
      <c r="T7874" t="str">
        <f t="shared" si="387"/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ref="T7935:T7998" si="388">IF(C7935="","",UPPER(LEFT(SUBSTITUTE(C7935," ",""),3))&amp;"-"&amp;TEXT(B7935,"AAMMDD")&amp;"-1")</f>
        <v/>
      </c>
    </row>
    <row r="7936" spans="20:20">
      <c r="T7936" t="str">
        <f t="shared" si="388"/>
        <v/>
      </c>
    </row>
    <row r="7937" spans="20:20">
      <c r="T7937" t="str">
        <f t="shared" si="388"/>
        <v/>
      </c>
    </row>
    <row r="7938" spans="20:20">
      <c r="T7938" t="str">
        <f t="shared" si="388"/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ref="T7999:T8062" si="389">IF(C7999="","",UPPER(LEFT(SUBSTITUTE(C7999," ",""),3))&amp;"-"&amp;TEXT(B7999,"AAMMDD")&amp;"-1")</f>
        <v/>
      </c>
    </row>
    <row r="8000" spans="20:20">
      <c r="T8000" t="str">
        <f t="shared" si="389"/>
        <v/>
      </c>
    </row>
    <row r="8001" spans="20:20">
      <c r="T8001" t="str">
        <f t="shared" si="389"/>
        <v/>
      </c>
    </row>
    <row r="8002" spans="20:20">
      <c r="T8002" t="str">
        <f t="shared" si="389"/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ref="T8063:T8126" si="390">IF(C8063="","",UPPER(LEFT(SUBSTITUTE(C8063," ",""),3))&amp;"-"&amp;TEXT(B8063,"AAMMDD")&amp;"-1")</f>
        <v/>
      </c>
    </row>
    <row r="8064" spans="20:20">
      <c r="T8064" t="str">
        <f t="shared" si="390"/>
        <v/>
      </c>
    </row>
    <row r="8065" spans="20:20">
      <c r="T8065" t="str">
        <f t="shared" si="390"/>
        <v/>
      </c>
    </row>
    <row r="8066" spans="20:20">
      <c r="T8066" t="str">
        <f t="shared" si="390"/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ref="T8127:T8190" si="391">IF(C8127="","",UPPER(LEFT(SUBSTITUTE(C8127," ",""),3))&amp;"-"&amp;TEXT(B8127,"AAMMDD")&amp;"-1")</f>
        <v/>
      </c>
    </row>
    <row r="8128" spans="20:20">
      <c r="T8128" t="str">
        <f t="shared" si="391"/>
        <v/>
      </c>
    </row>
    <row r="8129" spans="20:20">
      <c r="T8129" t="str">
        <f t="shared" si="391"/>
        <v/>
      </c>
    </row>
    <row r="8130" spans="20:20">
      <c r="T8130" t="str">
        <f t="shared" si="391"/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ref="T8191:T8254" si="392">IF(C8191="","",UPPER(LEFT(SUBSTITUTE(C8191," ",""),3))&amp;"-"&amp;TEXT(B8191,"AAMMDD")&amp;"-1")</f>
        <v/>
      </c>
    </row>
    <row r="8192" spans="20:20">
      <c r="T8192" t="str">
        <f t="shared" si="392"/>
        <v/>
      </c>
    </row>
    <row r="8193" spans="20:20">
      <c r="T8193" t="str">
        <f t="shared" si="392"/>
        <v/>
      </c>
    </row>
    <row r="8194" spans="20:20">
      <c r="T8194" t="str">
        <f t="shared" si="392"/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ref="T8255:T8318" si="393">IF(C8255="","",UPPER(LEFT(SUBSTITUTE(C8255," ",""),3))&amp;"-"&amp;TEXT(B8255,"AAMMDD")&amp;"-1")</f>
        <v/>
      </c>
    </row>
    <row r="8256" spans="20:20">
      <c r="T8256" t="str">
        <f t="shared" si="393"/>
        <v/>
      </c>
    </row>
    <row r="8257" spans="20:20">
      <c r="T8257" t="str">
        <f t="shared" si="393"/>
        <v/>
      </c>
    </row>
    <row r="8258" spans="20:20">
      <c r="T8258" t="str">
        <f t="shared" si="393"/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ref="T8319:T8382" si="394">IF(C8319="","",UPPER(LEFT(SUBSTITUTE(C8319," ",""),3))&amp;"-"&amp;TEXT(B8319,"AAMMDD")&amp;"-1")</f>
        <v/>
      </c>
    </row>
    <row r="8320" spans="20:20">
      <c r="T8320" t="str">
        <f t="shared" si="394"/>
        <v/>
      </c>
    </row>
    <row r="8321" spans="20:20">
      <c r="T8321" t="str">
        <f t="shared" si="394"/>
        <v/>
      </c>
    </row>
    <row r="8322" spans="20:20">
      <c r="T8322" t="str">
        <f t="shared" si="394"/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ref="T8383:T8446" si="395">IF(C8383="","",UPPER(LEFT(SUBSTITUTE(C8383," ",""),3))&amp;"-"&amp;TEXT(B8383,"AAMMDD")&amp;"-1")</f>
        <v/>
      </c>
    </row>
    <row r="8384" spans="20:20">
      <c r="T8384" t="str">
        <f t="shared" si="395"/>
        <v/>
      </c>
    </row>
    <row r="8385" spans="20:20">
      <c r="T8385" t="str">
        <f t="shared" si="395"/>
        <v/>
      </c>
    </row>
    <row r="8386" spans="20:20">
      <c r="T8386" t="str">
        <f t="shared" si="395"/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ref="T8447:T8510" si="396">IF(C8447="","",UPPER(LEFT(SUBSTITUTE(C8447," ",""),3))&amp;"-"&amp;TEXT(B8447,"AAMMDD")&amp;"-1")</f>
        <v/>
      </c>
    </row>
    <row r="8448" spans="20:20">
      <c r="T8448" t="str">
        <f t="shared" si="396"/>
        <v/>
      </c>
    </row>
    <row r="8449" spans="20:20">
      <c r="T8449" t="str">
        <f t="shared" si="396"/>
        <v/>
      </c>
    </row>
    <row r="8450" spans="20:20">
      <c r="T8450" t="str">
        <f t="shared" si="396"/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ref="T8511:T8574" si="397">IF(C8511="","",UPPER(LEFT(SUBSTITUTE(C8511," ",""),3))&amp;"-"&amp;TEXT(B8511,"AAMMDD")&amp;"-1")</f>
        <v/>
      </c>
    </row>
    <row r="8512" spans="20:20">
      <c r="T8512" t="str">
        <f t="shared" si="397"/>
        <v/>
      </c>
    </row>
    <row r="8513" spans="20:20">
      <c r="T8513" t="str">
        <f t="shared" si="397"/>
        <v/>
      </c>
    </row>
    <row r="8514" spans="20:20">
      <c r="T8514" t="str">
        <f t="shared" si="397"/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ref="T8575:T8638" si="398">IF(C8575="","",UPPER(LEFT(SUBSTITUTE(C8575," ",""),3))&amp;"-"&amp;TEXT(B8575,"AAMMDD")&amp;"-1")</f>
        <v/>
      </c>
    </row>
    <row r="8576" spans="20:20">
      <c r="T8576" t="str">
        <f t="shared" si="398"/>
        <v/>
      </c>
    </row>
    <row r="8577" spans="20:20">
      <c r="T8577" t="str">
        <f t="shared" si="398"/>
        <v/>
      </c>
    </row>
    <row r="8578" spans="20:20">
      <c r="T8578" t="str">
        <f t="shared" si="398"/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ref="T8639:T8702" si="399">IF(C8639="","",UPPER(LEFT(SUBSTITUTE(C8639," ",""),3))&amp;"-"&amp;TEXT(B8639,"AAMMDD")&amp;"-1")</f>
        <v/>
      </c>
    </row>
    <row r="8640" spans="20:20">
      <c r="T8640" t="str">
        <f t="shared" si="399"/>
        <v/>
      </c>
    </row>
    <row r="8641" spans="20:20">
      <c r="T8641" t="str">
        <f t="shared" si="399"/>
        <v/>
      </c>
    </row>
    <row r="8642" spans="20:20">
      <c r="T8642" t="str">
        <f t="shared" si="399"/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ref="T8703:T8766" si="400">IF(C8703="","",UPPER(LEFT(SUBSTITUTE(C8703," ",""),3))&amp;"-"&amp;TEXT(B8703,"AAMMDD")&amp;"-1")</f>
        <v/>
      </c>
    </row>
    <row r="8704" spans="20:20">
      <c r="T8704" t="str">
        <f t="shared" si="400"/>
        <v/>
      </c>
    </row>
    <row r="8705" spans="20:20">
      <c r="T8705" t="str">
        <f t="shared" si="400"/>
        <v/>
      </c>
    </row>
    <row r="8706" spans="20:20">
      <c r="T8706" t="str">
        <f t="shared" si="400"/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ref="T8767:T8830" si="401">IF(C8767="","",UPPER(LEFT(SUBSTITUTE(C8767," ",""),3))&amp;"-"&amp;TEXT(B8767,"AAMMDD")&amp;"-1")</f>
        <v/>
      </c>
    </row>
    <row r="8768" spans="20:20">
      <c r="T8768" t="str">
        <f t="shared" si="401"/>
        <v/>
      </c>
    </row>
    <row r="8769" spans="20:20">
      <c r="T8769" t="str">
        <f t="shared" si="401"/>
        <v/>
      </c>
    </row>
    <row r="8770" spans="20:20">
      <c r="T8770" t="str">
        <f t="shared" si="401"/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ref="T8831:T8894" si="402">IF(C8831="","",UPPER(LEFT(SUBSTITUTE(C8831," ",""),3))&amp;"-"&amp;TEXT(B8831,"AAMMDD")&amp;"-1")</f>
        <v/>
      </c>
    </row>
    <row r="8832" spans="20:20">
      <c r="T8832" t="str">
        <f t="shared" si="402"/>
        <v/>
      </c>
    </row>
    <row r="8833" spans="20:20">
      <c r="T8833" t="str">
        <f t="shared" si="402"/>
        <v/>
      </c>
    </row>
    <row r="8834" spans="20:20">
      <c r="T8834" t="str">
        <f t="shared" si="402"/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ref="T8895:T8958" si="403">IF(C8895="","",UPPER(LEFT(SUBSTITUTE(C8895," ",""),3))&amp;"-"&amp;TEXT(B8895,"AAMMDD")&amp;"-1")</f>
        <v/>
      </c>
    </row>
    <row r="8896" spans="20:20">
      <c r="T8896" t="str">
        <f t="shared" si="403"/>
        <v/>
      </c>
    </row>
    <row r="8897" spans="20:20">
      <c r="T8897" t="str">
        <f t="shared" si="403"/>
        <v/>
      </c>
    </row>
    <row r="8898" spans="20:20">
      <c r="T8898" t="str">
        <f t="shared" si="403"/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ref="T8959:T9022" si="404">IF(C8959="","",UPPER(LEFT(SUBSTITUTE(C8959," ",""),3))&amp;"-"&amp;TEXT(B8959,"AAMMDD")&amp;"-1")</f>
        <v/>
      </c>
    </row>
    <row r="8960" spans="20:20">
      <c r="T8960" t="str">
        <f t="shared" si="404"/>
        <v/>
      </c>
    </row>
    <row r="8961" spans="20:20">
      <c r="T8961" t="str">
        <f t="shared" si="404"/>
        <v/>
      </c>
    </row>
    <row r="8962" spans="20:20">
      <c r="T8962" t="str">
        <f t="shared" si="404"/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ref="T9023:T9086" si="405">IF(C9023="","",UPPER(LEFT(SUBSTITUTE(C9023," ",""),3))&amp;"-"&amp;TEXT(B9023,"AAMMDD")&amp;"-1")</f>
        <v/>
      </c>
    </row>
    <row r="9024" spans="20:20">
      <c r="T9024" t="str">
        <f t="shared" si="405"/>
        <v/>
      </c>
    </row>
    <row r="9025" spans="20:20">
      <c r="T9025" t="str">
        <f t="shared" si="405"/>
        <v/>
      </c>
    </row>
    <row r="9026" spans="20:20">
      <c r="T9026" t="str">
        <f t="shared" si="405"/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ref="T9087:T9150" si="406">IF(C9087="","",UPPER(LEFT(SUBSTITUTE(C9087," ",""),3))&amp;"-"&amp;TEXT(B9087,"AAMMDD")&amp;"-1")</f>
        <v/>
      </c>
    </row>
    <row r="9088" spans="20:20">
      <c r="T9088" t="str">
        <f t="shared" si="406"/>
        <v/>
      </c>
    </row>
    <row r="9089" spans="20:20">
      <c r="T9089" t="str">
        <f t="shared" si="406"/>
        <v/>
      </c>
    </row>
    <row r="9090" spans="20:20">
      <c r="T9090" t="str">
        <f t="shared" si="406"/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ref="T9151:T9214" si="407">IF(C9151="","",UPPER(LEFT(SUBSTITUTE(C9151," ",""),3))&amp;"-"&amp;TEXT(B9151,"AAMMDD")&amp;"-1")</f>
        <v/>
      </c>
    </row>
    <row r="9152" spans="20:20">
      <c r="T9152" t="str">
        <f t="shared" si="407"/>
        <v/>
      </c>
    </row>
    <row r="9153" spans="20:20">
      <c r="T9153" t="str">
        <f t="shared" si="407"/>
        <v/>
      </c>
    </row>
    <row r="9154" spans="20:20">
      <c r="T9154" t="str">
        <f t="shared" si="407"/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ref="T9215:T9278" si="408">IF(C9215="","",UPPER(LEFT(SUBSTITUTE(C9215," ",""),3))&amp;"-"&amp;TEXT(B9215,"AAMMDD")&amp;"-1")</f>
        <v/>
      </c>
    </row>
    <row r="9216" spans="20:20">
      <c r="T9216" t="str">
        <f t="shared" si="408"/>
        <v/>
      </c>
    </row>
    <row r="9217" spans="20:20">
      <c r="T9217" t="str">
        <f t="shared" si="408"/>
        <v/>
      </c>
    </row>
    <row r="9218" spans="20:20">
      <c r="T9218" t="str">
        <f t="shared" si="408"/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ref="T9279:T9342" si="409">IF(C9279="","",UPPER(LEFT(SUBSTITUTE(C9279," ",""),3))&amp;"-"&amp;TEXT(B9279,"AAMMDD")&amp;"-1")</f>
        <v/>
      </c>
    </row>
    <row r="9280" spans="20:20">
      <c r="T9280" t="str">
        <f t="shared" si="409"/>
        <v/>
      </c>
    </row>
    <row r="9281" spans="20:20">
      <c r="T9281" t="str">
        <f t="shared" si="409"/>
        <v/>
      </c>
    </row>
    <row r="9282" spans="20:20">
      <c r="T9282" t="str">
        <f t="shared" si="409"/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ref="T9343:T9406" si="410">IF(C9343="","",UPPER(LEFT(SUBSTITUTE(C9343," ",""),3))&amp;"-"&amp;TEXT(B9343,"AAMMDD")&amp;"-1")</f>
        <v/>
      </c>
    </row>
    <row r="9344" spans="20:20">
      <c r="T9344" t="str">
        <f t="shared" si="410"/>
        <v/>
      </c>
    </row>
    <row r="9345" spans="20:20">
      <c r="T9345" t="str">
        <f t="shared" si="410"/>
        <v/>
      </c>
    </row>
    <row r="9346" spans="20:20">
      <c r="T9346" t="str">
        <f t="shared" si="410"/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ref="T9407:T9470" si="411">IF(C9407="","",UPPER(LEFT(SUBSTITUTE(C9407," ",""),3))&amp;"-"&amp;TEXT(B9407,"AAMMDD")&amp;"-1")</f>
        <v/>
      </c>
    </row>
    <row r="9408" spans="20:20">
      <c r="T9408" t="str">
        <f t="shared" si="411"/>
        <v/>
      </c>
    </row>
    <row r="9409" spans="20:20">
      <c r="T9409" t="str">
        <f t="shared" si="411"/>
        <v/>
      </c>
    </row>
    <row r="9410" spans="20:20">
      <c r="T9410" t="str">
        <f t="shared" si="411"/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ref="T9471:T9534" si="412">IF(C9471="","",UPPER(LEFT(SUBSTITUTE(C9471," ",""),3))&amp;"-"&amp;TEXT(B9471,"AAMMDD")&amp;"-1")</f>
        <v/>
      </c>
    </row>
    <row r="9472" spans="20:20">
      <c r="T9472" t="str">
        <f t="shared" si="412"/>
        <v/>
      </c>
    </row>
    <row r="9473" spans="20:20">
      <c r="T9473" t="str">
        <f t="shared" si="412"/>
        <v/>
      </c>
    </row>
    <row r="9474" spans="20:20">
      <c r="T9474" t="str">
        <f t="shared" si="412"/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ref="T9535:T9598" si="413">IF(C9535="","",UPPER(LEFT(SUBSTITUTE(C9535," ",""),3))&amp;"-"&amp;TEXT(B9535,"AAMMDD")&amp;"-1")</f>
        <v/>
      </c>
    </row>
    <row r="9536" spans="20:20">
      <c r="T9536" t="str">
        <f t="shared" si="413"/>
        <v/>
      </c>
    </row>
    <row r="9537" spans="20:20">
      <c r="T9537" t="str">
        <f t="shared" si="413"/>
        <v/>
      </c>
    </row>
    <row r="9538" spans="20:20">
      <c r="T9538" t="str">
        <f t="shared" si="413"/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ref="T9599:T9662" si="414">IF(C9599="","",UPPER(LEFT(SUBSTITUTE(C9599," ",""),3))&amp;"-"&amp;TEXT(B9599,"AAMMDD")&amp;"-1")</f>
        <v/>
      </c>
    </row>
    <row r="9600" spans="20:20">
      <c r="T9600" t="str">
        <f t="shared" si="414"/>
        <v/>
      </c>
    </row>
    <row r="9601" spans="20:20">
      <c r="T9601" t="str">
        <f t="shared" si="414"/>
        <v/>
      </c>
    </row>
    <row r="9602" spans="20:20">
      <c r="T9602" t="str">
        <f t="shared" si="414"/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ref="T9663:T9726" si="415">IF(C9663="","",UPPER(LEFT(SUBSTITUTE(C9663," ",""),3))&amp;"-"&amp;TEXT(B9663,"AAMMDD")&amp;"-1")</f>
        <v/>
      </c>
    </row>
    <row r="9664" spans="20:20">
      <c r="T9664" t="str">
        <f t="shared" si="415"/>
        <v/>
      </c>
    </row>
    <row r="9665" spans="20:20">
      <c r="T9665" t="str">
        <f t="shared" si="415"/>
        <v/>
      </c>
    </row>
    <row r="9666" spans="20:20">
      <c r="T9666" t="str">
        <f t="shared" si="415"/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ref="T9727:T9790" si="416">IF(C9727="","",UPPER(LEFT(SUBSTITUTE(C9727," ",""),3))&amp;"-"&amp;TEXT(B9727,"AAMMDD")&amp;"-1")</f>
        <v/>
      </c>
    </row>
    <row r="9728" spans="20:20">
      <c r="T9728" t="str">
        <f t="shared" si="416"/>
        <v/>
      </c>
    </row>
    <row r="9729" spans="20:20">
      <c r="T9729" t="str">
        <f t="shared" si="416"/>
        <v/>
      </c>
    </row>
    <row r="9730" spans="20:20">
      <c r="T9730" t="str">
        <f t="shared" si="416"/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ref="T9791:T9854" si="417">IF(C9791="","",UPPER(LEFT(SUBSTITUTE(C9791," ",""),3))&amp;"-"&amp;TEXT(B9791,"AAMMDD")&amp;"-1")</f>
        <v/>
      </c>
    </row>
    <row r="9792" spans="20:20">
      <c r="T9792" t="str">
        <f t="shared" si="417"/>
        <v/>
      </c>
    </row>
    <row r="9793" spans="20:20">
      <c r="T9793" t="str">
        <f t="shared" si="417"/>
        <v/>
      </c>
    </row>
    <row r="9794" spans="20:20">
      <c r="T9794" t="str">
        <f t="shared" si="417"/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ref="T9855:T9918" si="418">IF(C9855="","",UPPER(LEFT(SUBSTITUTE(C9855," ",""),3))&amp;"-"&amp;TEXT(B9855,"AAMMDD")&amp;"-1")</f>
        <v/>
      </c>
    </row>
    <row r="9856" spans="20:20">
      <c r="T9856" t="str">
        <f t="shared" si="418"/>
        <v/>
      </c>
    </row>
    <row r="9857" spans="20:20">
      <c r="T9857" t="str">
        <f t="shared" si="418"/>
        <v/>
      </c>
    </row>
    <row r="9858" spans="20:20">
      <c r="T9858" t="str">
        <f t="shared" si="418"/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ref="T9919:T9982" si="419">IF(C9919="","",UPPER(LEFT(SUBSTITUTE(C9919," ",""),3))&amp;"-"&amp;TEXT(B9919,"AAMMDD")&amp;"-1")</f>
        <v/>
      </c>
    </row>
    <row r="9920" spans="20:20">
      <c r="T9920" t="str">
        <f t="shared" si="419"/>
        <v/>
      </c>
    </row>
    <row r="9921" spans="20:20">
      <c r="T9921" t="str">
        <f t="shared" si="419"/>
        <v/>
      </c>
    </row>
    <row r="9922" spans="20:20">
      <c r="T9922" t="str">
        <f t="shared" si="419"/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ref="T9983:T10046" si="420">IF(C9983="","",UPPER(LEFT(SUBSTITUTE(C9983," ",""),3))&amp;"-"&amp;TEXT(B9983,"AAMMDD")&amp;"-1")</f>
        <v/>
      </c>
    </row>
    <row r="9984" spans="20:20">
      <c r="T9984" t="str">
        <f t="shared" si="420"/>
        <v/>
      </c>
    </row>
    <row r="9985" spans="20:20">
      <c r="T9985" t="str">
        <f t="shared" si="420"/>
        <v/>
      </c>
    </row>
    <row r="9986" spans="20:20">
      <c r="T9986" t="str">
        <f t="shared" si="420"/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ref="T10047:T10110" si="421">IF(C10047="","",UPPER(LEFT(SUBSTITUTE(C10047," ",""),3))&amp;"-"&amp;TEXT(B10047,"AAMMDD")&amp;"-1")</f>
        <v/>
      </c>
    </row>
    <row r="10048" spans="20:20">
      <c r="T10048" t="str">
        <f t="shared" si="421"/>
        <v/>
      </c>
    </row>
    <row r="10049" spans="20:20">
      <c r="T10049" t="str">
        <f t="shared" si="421"/>
        <v/>
      </c>
    </row>
    <row r="10050" spans="20:20">
      <c r="T10050" t="str">
        <f t="shared" si="421"/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ref="T10111:T10174" si="422">IF(C10111="","",UPPER(LEFT(SUBSTITUTE(C10111," ",""),3))&amp;"-"&amp;TEXT(B10111,"AAMMDD")&amp;"-1")</f>
        <v/>
      </c>
    </row>
    <row r="10112" spans="20:20">
      <c r="T10112" t="str">
        <f t="shared" si="422"/>
        <v/>
      </c>
    </row>
    <row r="10113" spans="20:20">
      <c r="T10113" t="str">
        <f t="shared" si="422"/>
        <v/>
      </c>
    </row>
    <row r="10114" spans="20:20">
      <c r="T10114" t="str">
        <f t="shared" si="422"/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ref="T10175:T10238" si="423">IF(C10175="","",UPPER(LEFT(SUBSTITUTE(C10175," ",""),3))&amp;"-"&amp;TEXT(B10175,"AAMMDD")&amp;"-1")</f>
        <v/>
      </c>
    </row>
    <row r="10176" spans="20:20">
      <c r="T10176" t="str">
        <f t="shared" si="423"/>
        <v/>
      </c>
    </row>
    <row r="10177" spans="20:20">
      <c r="T10177" t="str">
        <f t="shared" si="423"/>
        <v/>
      </c>
    </row>
    <row r="10178" spans="20:20">
      <c r="T10178" t="str">
        <f t="shared" si="423"/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ref="T10239:T10302" si="424">IF(C10239="","",UPPER(LEFT(SUBSTITUTE(C10239," ",""),3))&amp;"-"&amp;TEXT(B10239,"AAMMDD")&amp;"-1")</f>
        <v/>
      </c>
    </row>
    <row r="10240" spans="20:20">
      <c r="T10240" t="str">
        <f t="shared" si="424"/>
        <v/>
      </c>
    </row>
    <row r="10241" spans="20:20">
      <c r="T10241" t="str">
        <f t="shared" si="424"/>
        <v/>
      </c>
    </row>
    <row r="10242" spans="20:20">
      <c r="T10242" t="str">
        <f t="shared" si="424"/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ref="T10303:T10366" si="425">IF(C10303="","",UPPER(LEFT(SUBSTITUTE(C10303," ",""),3))&amp;"-"&amp;TEXT(B10303,"AAMMDD")&amp;"-1")</f>
        <v/>
      </c>
    </row>
    <row r="10304" spans="20:20">
      <c r="T10304" t="str">
        <f t="shared" si="425"/>
        <v/>
      </c>
    </row>
    <row r="10305" spans="20:20">
      <c r="T10305" t="str">
        <f t="shared" si="425"/>
        <v/>
      </c>
    </row>
    <row r="10306" spans="20:20">
      <c r="T10306" t="str">
        <f t="shared" si="425"/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ref="T10367:T10430" si="426">IF(C10367="","",UPPER(LEFT(SUBSTITUTE(C10367," ",""),3))&amp;"-"&amp;TEXT(B10367,"AAMMDD")&amp;"-1")</f>
        <v/>
      </c>
    </row>
    <row r="10368" spans="20:20">
      <c r="T10368" t="str">
        <f t="shared" si="426"/>
        <v/>
      </c>
    </row>
    <row r="10369" spans="20:20">
      <c r="T10369" t="str">
        <f t="shared" si="426"/>
        <v/>
      </c>
    </row>
    <row r="10370" spans="20:20">
      <c r="T10370" t="str">
        <f t="shared" si="426"/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ref="T10431:T10494" si="427">IF(C10431="","",UPPER(LEFT(SUBSTITUTE(C10431," ",""),3))&amp;"-"&amp;TEXT(B10431,"AAMMDD")&amp;"-1")</f>
        <v/>
      </c>
    </row>
    <row r="10432" spans="20:20">
      <c r="T10432" t="str">
        <f t="shared" si="427"/>
        <v/>
      </c>
    </row>
    <row r="10433" spans="20:20">
      <c r="T10433" t="str">
        <f t="shared" si="427"/>
        <v/>
      </c>
    </row>
    <row r="10434" spans="20:20">
      <c r="T10434" t="str">
        <f t="shared" si="427"/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ref="T10495:T10558" si="428">IF(C10495="","",UPPER(LEFT(SUBSTITUTE(C10495," ",""),3))&amp;"-"&amp;TEXT(B10495,"AAMMDD")&amp;"-1")</f>
        <v/>
      </c>
    </row>
    <row r="10496" spans="20:20">
      <c r="T10496" t="str">
        <f t="shared" si="428"/>
        <v/>
      </c>
    </row>
    <row r="10497" spans="20:20">
      <c r="T10497" t="str">
        <f t="shared" si="428"/>
        <v/>
      </c>
    </row>
    <row r="10498" spans="20:20">
      <c r="T10498" t="str">
        <f t="shared" si="428"/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ref="T10559:T10622" si="429">IF(C10559="","",UPPER(LEFT(SUBSTITUTE(C10559," ",""),3))&amp;"-"&amp;TEXT(B10559,"AAMMDD")&amp;"-1")</f>
        <v/>
      </c>
    </row>
    <row r="10560" spans="20:20">
      <c r="T10560" t="str">
        <f t="shared" si="429"/>
        <v/>
      </c>
    </row>
    <row r="10561" spans="20:20">
      <c r="T10561" t="str">
        <f t="shared" si="429"/>
        <v/>
      </c>
    </row>
    <row r="10562" spans="20:20">
      <c r="T10562" t="str">
        <f t="shared" si="429"/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ref="T10623:T10686" si="430">IF(C10623="","",UPPER(LEFT(SUBSTITUTE(C10623," ",""),3))&amp;"-"&amp;TEXT(B10623,"AAMMDD")&amp;"-1")</f>
        <v/>
      </c>
    </row>
    <row r="10624" spans="20:20">
      <c r="T10624" t="str">
        <f t="shared" si="430"/>
        <v/>
      </c>
    </row>
    <row r="10625" spans="20:20">
      <c r="T10625" t="str">
        <f t="shared" si="430"/>
        <v/>
      </c>
    </row>
    <row r="10626" spans="20:20">
      <c r="T10626" t="str">
        <f t="shared" si="430"/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ref="T10687:T10750" si="431">IF(C10687="","",UPPER(LEFT(SUBSTITUTE(C10687," ",""),3))&amp;"-"&amp;TEXT(B10687,"AAMMDD")&amp;"-1")</f>
        <v/>
      </c>
    </row>
    <row r="10688" spans="20:20">
      <c r="T10688" t="str">
        <f t="shared" si="431"/>
        <v/>
      </c>
    </row>
    <row r="10689" spans="20:20">
      <c r="T10689" t="str">
        <f t="shared" si="431"/>
        <v/>
      </c>
    </row>
    <row r="10690" spans="20:20">
      <c r="T10690" t="str">
        <f t="shared" si="431"/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ref="T10751:T10814" si="432">IF(C10751="","",UPPER(LEFT(SUBSTITUTE(C10751," ",""),3))&amp;"-"&amp;TEXT(B10751,"AAMMDD")&amp;"-1")</f>
        <v/>
      </c>
    </row>
    <row r="10752" spans="20:20">
      <c r="T10752" t="str">
        <f t="shared" si="432"/>
        <v/>
      </c>
    </row>
    <row r="10753" spans="20:20">
      <c r="T10753" t="str">
        <f t="shared" si="432"/>
        <v/>
      </c>
    </row>
    <row r="10754" spans="20:20">
      <c r="T10754" t="str">
        <f t="shared" si="432"/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ref="T10815:T10878" si="433">IF(C10815="","",UPPER(LEFT(SUBSTITUTE(C10815," ",""),3))&amp;"-"&amp;TEXT(B10815,"AAMMDD")&amp;"-1")</f>
        <v/>
      </c>
    </row>
    <row r="10816" spans="20:20">
      <c r="T10816" t="str">
        <f t="shared" si="433"/>
        <v/>
      </c>
    </row>
    <row r="10817" spans="20:20">
      <c r="T10817" t="str">
        <f t="shared" si="433"/>
        <v/>
      </c>
    </row>
    <row r="10818" spans="20:20">
      <c r="T10818" t="str">
        <f t="shared" si="433"/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ref="T10879:T10942" si="434">IF(C10879="","",UPPER(LEFT(SUBSTITUTE(C10879," ",""),3))&amp;"-"&amp;TEXT(B10879,"AAMMDD")&amp;"-1")</f>
        <v/>
      </c>
    </row>
    <row r="10880" spans="20:20">
      <c r="T10880" t="str">
        <f t="shared" si="434"/>
        <v/>
      </c>
    </row>
    <row r="10881" spans="20:20">
      <c r="T10881" t="str">
        <f t="shared" si="434"/>
        <v/>
      </c>
    </row>
    <row r="10882" spans="20:20">
      <c r="T10882" t="str">
        <f t="shared" si="434"/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ref="T10943:T11006" si="435">IF(C10943="","",UPPER(LEFT(SUBSTITUTE(C10943," ",""),3))&amp;"-"&amp;TEXT(B10943,"AAMMDD")&amp;"-1")</f>
        <v/>
      </c>
    </row>
    <row r="10944" spans="20:20">
      <c r="T10944" t="str">
        <f t="shared" si="435"/>
        <v/>
      </c>
    </row>
    <row r="10945" spans="20:20">
      <c r="T10945" t="str">
        <f t="shared" si="435"/>
        <v/>
      </c>
    </row>
    <row r="10946" spans="20:20">
      <c r="T10946" t="str">
        <f t="shared" si="435"/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ref="T11007:T11070" si="436">IF(C11007="","",UPPER(LEFT(SUBSTITUTE(C11007," ",""),3))&amp;"-"&amp;TEXT(B11007,"AAMMDD")&amp;"-1")</f>
        <v/>
      </c>
    </row>
    <row r="11008" spans="20:20">
      <c r="T11008" t="str">
        <f t="shared" si="436"/>
        <v/>
      </c>
    </row>
    <row r="11009" spans="20:20">
      <c r="T11009" t="str">
        <f t="shared" si="436"/>
        <v/>
      </c>
    </row>
    <row r="11010" spans="20:20">
      <c r="T11010" t="str">
        <f t="shared" si="436"/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ref="T11071:T11134" si="437">IF(C11071="","",UPPER(LEFT(SUBSTITUTE(C11071," ",""),3))&amp;"-"&amp;TEXT(B11071,"AAMMDD")&amp;"-1")</f>
        <v/>
      </c>
    </row>
    <row r="11072" spans="20:20">
      <c r="T11072" t="str">
        <f t="shared" si="437"/>
        <v/>
      </c>
    </row>
    <row r="11073" spans="20:20">
      <c r="T11073" t="str">
        <f t="shared" si="437"/>
        <v/>
      </c>
    </row>
    <row r="11074" spans="20:20">
      <c r="T11074" t="str">
        <f t="shared" si="437"/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ref="T11135:T11198" si="438">IF(C11135="","",UPPER(LEFT(SUBSTITUTE(C11135," ",""),3))&amp;"-"&amp;TEXT(B11135,"AAMMDD")&amp;"-1")</f>
        <v/>
      </c>
    </row>
    <row r="11136" spans="20:20">
      <c r="T11136" t="str">
        <f t="shared" si="438"/>
        <v/>
      </c>
    </row>
    <row r="11137" spans="20:20">
      <c r="T11137" t="str">
        <f t="shared" si="438"/>
        <v/>
      </c>
    </row>
    <row r="11138" spans="20:20">
      <c r="T11138" t="str">
        <f t="shared" si="438"/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ref="T11199:T11262" si="439">IF(C11199="","",UPPER(LEFT(SUBSTITUTE(C11199," ",""),3))&amp;"-"&amp;TEXT(B11199,"AAMMDD")&amp;"-1")</f>
        <v/>
      </c>
    </row>
    <row r="11200" spans="20:20">
      <c r="T11200" t="str">
        <f t="shared" si="439"/>
        <v/>
      </c>
    </row>
    <row r="11201" spans="20:20">
      <c r="T11201" t="str">
        <f t="shared" si="439"/>
        <v/>
      </c>
    </row>
    <row r="11202" spans="20:20">
      <c r="T11202" t="str">
        <f t="shared" si="439"/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ref="T11263:T11326" si="440">IF(C11263="","",UPPER(LEFT(SUBSTITUTE(C11263," ",""),3))&amp;"-"&amp;TEXT(B11263,"AAMMDD")&amp;"-1")</f>
        <v/>
      </c>
    </row>
    <row r="11264" spans="20:20">
      <c r="T11264" t="str">
        <f t="shared" si="440"/>
        <v/>
      </c>
    </row>
    <row r="11265" spans="20:20">
      <c r="T11265" t="str">
        <f t="shared" si="440"/>
        <v/>
      </c>
    </row>
    <row r="11266" spans="20:20">
      <c r="T11266" t="str">
        <f t="shared" si="440"/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ref="T11327:T11390" si="441">IF(C11327="","",UPPER(LEFT(SUBSTITUTE(C11327," ",""),3))&amp;"-"&amp;TEXT(B11327,"AAMMDD")&amp;"-1")</f>
        <v/>
      </c>
    </row>
    <row r="11328" spans="20:20">
      <c r="T11328" t="str">
        <f t="shared" si="441"/>
        <v/>
      </c>
    </row>
    <row r="11329" spans="20:20">
      <c r="T11329" t="str">
        <f t="shared" si="441"/>
        <v/>
      </c>
    </row>
    <row r="11330" spans="20:20">
      <c r="T11330" t="str">
        <f t="shared" si="441"/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ref="T11391:T11454" si="442">IF(C11391="","",UPPER(LEFT(SUBSTITUTE(C11391," ",""),3))&amp;"-"&amp;TEXT(B11391,"AAMMDD")&amp;"-1")</f>
        <v/>
      </c>
    </row>
    <row r="11392" spans="20:20">
      <c r="T11392" t="str">
        <f t="shared" si="442"/>
        <v/>
      </c>
    </row>
    <row r="11393" spans="20:20">
      <c r="T11393" t="str">
        <f t="shared" si="442"/>
        <v/>
      </c>
    </row>
    <row r="11394" spans="20:20">
      <c r="T11394" t="str">
        <f t="shared" si="442"/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ref="T11455:T11518" si="443">IF(C11455="","",UPPER(LEFT(SUBSTITUTE(C11455," ",""),3))&amp;"-"&amp;TEXT(B11455,"AAMMDD")&amp;"-1")</f>
        <v/>
      </c>
    </row>
    <row r="11456" spans="20:20">
      <c r="T11456" t="str">
        <f t="shared" si="443"/>
        <v/>
      </c>
    </row>
    <row r="11457" spans="20:20">
      <c r="T11457" t="str">
        <f t="shared" si="443"/>
        <v/>
      </c>
    </row>
    <row r="11458" spans="20:20">
      <c r="T11458" t="str">
        <f t="shared" si="443"/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ref="T11519:T11582" si="444">IF(C11519="","",UPPER(LEFT(SUBSTITUTE(C11519," ",""),3))&amp;"-"&amp;TEXT(B11519,"AAMMDD")&amp;"-1")</f>
        <v/>
      </c>
    </row>
    <row r="11520" spans="20:20">
      <c r="T11520" t="str">
        <f t="shared" si="444"/>
        <v/>
      </c>
    </row>
    <row r="11521" spans="20:20">
      <c r="T11521" t="str">
        <f t="shared" si="444"/>
        <v/>
      </c>
    </row>
    <row r="11522" spans="20:20">
      <c r="T11522" t="str">
        <f t="shared" si="444"/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ref="T11583:T11646" si="445">IF(C11583="","",UPPER(LEFT(SUBSTITUTE(C11583," ",""),3))&amp;"-"&amp;TEXT(B11583,"AAMMDD")&amp;"-1")</f>
        <v/>
      </c>
    </row>
    <row r="11584" spans="20:20">
      <c r="T11584" t="str">
        <f t="shared" si="445"/>
        <v/>
      </c>
    </row>
    <row r="11585" spans="20:20">
      <c r="T11585" t="str">
        <f t="shared" si="445"/>
        <v/>
      </c>
    </row>
    <row r="11586" spans="20:20">
      <c r="T11586" t="str">
        <f t="shared" si="445"/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ref="T11647:T11710" si="446">IF(C11647="","",UPPER(LEFT(SUBSTITUTE(C11647," ",""),3))&amp;"-"&amp;TEXT(B11647,"AAMMDD")&amp;"-1")</f>
        <v/>
      </c>
    </row>
    <row r="11648" spans="20:20">
      <c r="T11648" t="str">
        <f t="shared" si="446"/>
        <v/>
      </c>
    </row>
    <row r="11649" spans="20:20">
      <c r="T11649" t="str">
        <f t="shared" si="446"/>
        <v/>
      </c>
    </row>
    <row r="11650" spans="20:20">
      <c r="T11650" t="str">
        <f t="shared" si="446"/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ref="T11711:T11774" si="447">IF(C11711="","",UPPER(LEFT(SUBSTITUTE(C11711," ",""),3))&amp;"-"&amp;TEXT(B11711,"AAMMDD")&amp;"-1")</f>
        <v/>
      </c>
    </row>
    <row r="11712" spans="20:20">
      <c r="T11712" t="str">
        <f t="shared" si="447"/>
        <v/>
      </c>
    </row>
    <row r="11713" spans="20:20">
      <c r="T11713" t="str">
        <f t="shared" si="447"/>
        <v/>
      </c>
    </row>
    <row r="11714" spans="20:20">
      <c r="T11714" t="str">
        <f t="shared" si="447"/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ref="T11775:T11838" si="448">IF(C11775="","",UPPER(LEFT(SUBSTITUTE(C11775," ",""),3))&amp;"-"&amp;TEXT(B11775,"AAMMDD")&amp;"-1")</f>
        <v/>
      </c>
    </row>
    <row r="11776" spans="20:20">
      <c r="T11776" t="str">
        <f t="shared" si="448"/>
        <v/>
      </c>
    </row>
    <row r="11777" spans="20:20">
      <c r="T11777" t="str">
        <f t="shared" si="448"/>
        <v/>
      </c>
    </row>
    <row r="11778" spans="20:20">
      <c r="T11778" t="str">
        <f t="shared" si="448"/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ref="T11839:T11902" si="449">IF(C11839="","",UPPER(LEFT(SUBSTITUTE(C11839," ",""),3))&amp;"-"&amp;TEXT(B11839,"AAMMDD")&amp;"-1")</f>
        <v/>
      </c>
    </row>
    <row r="11840" spans="20:20">
      <c r="T11840" t="str">
        <f t="shared" si="449"/>
        <v/>
      </c>
    </row>
    <row r="11841" spans="20:20">
      <c r="T11841" t="str">
        <f t="shared" si="449"/>
        <v/>
      </c>
    </row>
    <row r="11842" spans="20:20">
      <c r="T11842" t="str">
        <f t="shared" si="449"/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ref="T11903:T11966" si="450">IF(C11903="","",UPPER(LEFT(SUBSTITUTE(C11903," ",""),3))&amp;"-"&amp;TEXT(B11903,"AAMMDD")&amp;"-1")</f>
        <v/>
      </c>
    </row>
    <row r="11904" spans="20:20">
      <c r="T11904" t="str">
        <f t="shared" si="450"/>
        <v/>
      </c>
    </row>
    <row r="11905" spans="20:20">
      <c r="T11905" t="str">
        <f t="shared" si="450"/>
        <v/>
      </c>
    </row>
    <row r="11906" spans="20:20">
      <c r="T11906" t="str">
        <f t="shared" si="450"/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ref="T11967:T11998" si="451">IF(C11967="","",UPPER(LEFT(SUBSTITUTE(C11967," ",""),3))&amp;"-"&amp;TEXT(B11967,"AAMMDD")&amp;"-1")</f>
        <v/>
      </c>
    </row>
    <row r="11968" spans="20:20">
      <c r="T11968" t="str">
        <f t="shared" si="451"/>
        <v/>
      </c>
    </row>
    <row r="11969" spans="20:20">
      <c r="T11969" t="str">
        <f t="shared" si="451"/>
        <v/>
      </c>
    </row>
    <row r="11970" spans="20:20">
      <c r="T11970" t="str">
        <f t="shared" si="451"/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</sheetData>
  <phoneticPr fontId="10" type="noConversion"/>
  <conditionalFormatting sqref="A2:Q2 A12:A2001 B502:Q1998 A3:P11 Q3:Q501 B12:P501">
    <cfRule type="expression" dxfId="8" priority="1">
      <formula>$I2="ENTRADA"</formula>
    </cfRule>
    <cfRule type="expression" dxfId="7" priority="2">
      <formula>$I2="SALIDA"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E2:E1998</xm:sqref>
        </x14:dataValidation>
        <x14:dataValidation type="list" allowBlank="1" xr:uid="{00000000-0002-0000-0000-000005000000}">
          <x14:formula1>
            <xm:f>Listas!$F$3:$F$200</xm:f>
          </x14:formula1>
          <xm:sqref>I2:I1998</xm:sqref>
        </x14:dataValidation>
        <x14:dataValidation type="list" allowBlank="1" xr:uid="{00000000-0002-0000-0000-000006000000}">
          <x14:formula1>
            <xm:f>Listas!$G$3:$G$200</xm:f>
          </x14:formula1>
          <xm:sqref>L2:L1998</xm:sqref>
        </x14:dataValidation>
        <x14:dataValidation type="list" allowBlank="1" xr:uid="{00000000-0002-0000-0000-000007000000}">
          <x14:formula1>
            <xm:f>Listas!$H$3:$H$200</xm:f>
          </x14:formula1>
          <xm:sqref>O2:O1998</xm:sqref>
        </x14:dataValidation>
        <x14:dataValidation type="list" allowBlank="1" xr:uid="{00000000-0002-0000-0000-000000000000}">
          <x14:formula1>
            <xm:f>Listas!$A$3:$A$200</xm:f>
          </x14:formula1>
          <xm:sqref>C2:C1998</xm:sqref>
        </x14:dataValidation>
        <x14:dataValidation type="list" allowBlank="1" xr:uid="{00000000-0002-0000-0000-000001000000}">
          <x14:formula1>
            <xm:f>Listas!$B$3:$B$200</xm:f>
          </x14:formula1>
          <xm:sqref>D2:D1998</xm:sqref>
        </x14:dataValidation>
        <x14:dataValidation type="list" allowBlank="1" xr:uid="{00000000-0002-0000-0000-000004000000}">
          <x14:formula1>
            <xm:f>Listas!$E$3:$E$200</xm:f>
          </x14:formula1>
          <xm:sqref>G2:G1998</xm:sqref>
        </x14:dataValidation>
        <x14:dataValidation type="list" allowBlank="1" xr:uid="{00000000-0002-0000-0000-000003000000}">
          <x14:formula1>
            <xm:f>Listas!$D$3:$D$200</xm:f>
          </x14:formula1>
          <xm:sqref>F2:F1998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5"/>
  <sheetViews>
    <sheetView showGridLines="0" workbookViewId="0">
      <pane ySplit="3" topLeftCell="B15" activePane="bottomLeft" state="frozen"/>
      <selection pane="bottomLeft" activeCell="C20" sqref="C20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6" t="s">
        <v>2154</v>
      </c>
      <c r="B1" s="36"/>
      <c r="C1" s="36"/>
      <c r="D1" s="36"/>
      <c r="E1" s="36"/>
      <c r="F1" s="36"/>
      <c r="G1" s="36"/>
      <c r="H1" s="36"/>
    </row>
    <row r="2" spans="1:11">
      <c r="A2" s="17" t="s">
        <v>2155</v>
      </c>
    </row>
    <row r="3" spans="1:11" ht="25.5">
      <c r="A3" s="20" t="s">
        <v>2156</v>
      </c>
      <c r="B3" s="25" t="s">
        <v>2157</v>
      </c>
      <c r="C3" s="25" t="s">
        <v>2158</v>
      </c>
      <c r="D3" s="25" t="s">
        <v>4</v>
      </c>
      <c r="E3" s="25" t="s">
        <v>5</v>
      </c>
      <c r="F3" s="25" t="s">
        <v>6</v>
      </c>
      <c r="G3" s="25" t="s">
        <v>11</v>
      </c>
      <c r="H3" s="25" t="s">
        <v>2159</v>
      </c>
      <c r="I3" s="20" t="s">
        <v>2160</v>
      </c>
      <c r="J3" s="20" t="s">
        <v>2161</v>
      </c>
      <c r="K3" s="20" t="s">
        <v>2162</v>
      </c>
    </row>
    <row r="4" spans="1:11" ht="14.25">
      <c r="A4" s="18" t="s">
        <v>189</v>
      </c>
      <c r="B4" s="3" t="str">
        <f>IFERROR(INDEX(Movimientos!$C$2:$C$1998,MATCH(A4&amp;"ENTRADA",Movimientos!$R$2:$R$1998,0)),"-")</f>
        <v>Colza Curry CL</v>
      </c>
      <c r="C4" s="3" t="str">
        <f>IFERROR(INDEX(Movimientos!$D$2:$D$1998,MATCH(A4&amp;"ENTRADA",Movimientos!$R$2:$R$1998,0)),"-")</f>
        <v>CURRY CL</v>
      </c>
      <c r="D4" s="3" t="str">
        <f>IFERROR(INDEX(Movimientos!$E$2:$E$1998,MATCH(A4&amp;"ENTRADA",Movimientos!$R$2:$R$1998,0)),"-")</f>
        <v>Semilla</v>
      </c>
      <c r="E4" s="3" t="str">
        <f>IFERROR(INDEX(Movimientos!$F$2:$F$1998,MATCH(A4&amp;"ENTRADA",Movimientos!$R$2:$R$1998,0)),"-")</f>
        <v>Colza</v>
      </c>
      <c r="F4" s="3" t="str">
        <f>IFERROR(INDEX(Movimientos!$G$2:$G$1998,MATCH(A4&amp;"ENTRADA",Movimientos!$R$2:$R$1998,0)),"-")</f>
        <v>ERRO</v>
      </c>
      <c r="G4" s="3" t="str">
        <f>IFERROR(INDEX(Movimientos!$L$2:$L$1998,MATCH(A4&amp;"ENTRADA",Movimientos!$R$2:$R$1998,0)),"-")</f>
        <v>kg</v>
      </c>
      <c r="H4" s="19" t="str">
        <f>IFERROR(IF(INDEX(Movimientos!$M$2:$M$1998,MATCH(A4&amp;"ENTRADA",Movimientos!$R$2:$R$1998,0))=0,"S/D",INDEX(Movimientos!$M$2:$M$1998,MATCH(A4&amp;"ENTRADA",Movimientos!$R$2:$R$1998,0))),"S/D")</f>
        <v>S/D</v>
      </c>
      <c r="I4" s="16" t="str">
        <f t="shared" ref="I4:I10" ca="1" si="0">IF(OR(A4="",H4="S/D"),"S/D",H4-TODAY())</f>
        <v>S/D</v>
      </c>
      <c r="J4" s="6">
        <f>IF(A4="","",SUMIFS(Movimientos!$K:$K,Movimientos!$H:$H,A4))</f>
        <v>840</v>
      </c>
      <c r="K4" s="14" t="str">
        <f t="shared" ref="K4:K63" ca="1" si="1">IF(A4="","",IF(J4&lt;0.01,"SIN STOCK",IF(H4="S/D","OK",IF(H4&lt;TODAY(),"VENCIDO",IF(I4&gt;=180,"OK","PRÓXIMO A VENCER")))))</f>
        <v>OK</v>
      </c>
    </row>
    <row r="5" spans="1:11" ht="14.25">
      <c r="A5" s="18" t="s">
        <v>105</v>
      </c>
      <c r="B5" s="3" t="str">
        <f>IFERROR(INDEX(Movimientos!$C$2:$C$1998,MATCH(A5&amp;"ENTRADA",Movimientos!$R$2:$R$1998,0)),"-")</f>
        <v>Korvetto</v>
      </c>
      <c r="C5" s="3" t="str">
        <f>IFERROR(INDEX(Movimientos!$D$2:$D$1998,MATCH(A5&amp;"ENTRADA",Movimientos!$R$2:$R$1998,0)),"-")</f>
        <v xml:space="preserve">Clopyralid 12% + Halauxyfen methyl 0,51% </v>
      </c>
      <c r="D5" s="3" t="str">
        <f>IFERROR(INDEX(Movimientos!$E$2:$E$1998,MATCH(A5&amp;"ENTRADA",Movimientos!$R$2:$R$1998,0)),"-")</f>
        <v>Herbicida</v>
      </c>
      <c r="E5" s="3" t="str">
        <f>IFERROR(INDEX(Movimientos!$F$2:$F$1998,MATCH(A5&amp;"ENTRADA",Movimientos!$R$2:$R$1998,0)),"-")</f>
        <v>Postemergente</v>
      </c>
      <c r="F5" s="3" t="str">
        <f>IFERROR(INDEX(Movimientos!$G$2:$G$1998,MATCH(A5&amp;"ENTRADA",Movimientos!$R$2:$R$1998,0)),"-")</f>
        <v>GS Agro</v>
      </c>
      <c r="G5" s="3" t="str">
        <f>IFERROR(INDEX(Movimientos!$L$2:$L$1998,MATCH(A5&amp;"ENTRADA",Movimientos!$R$2:$R$1998,0)),"-")</f>
        <v>L</v>
      </c>
      <c r="H5" s="19">
        <f>IFERROR(IF(INDEX(Movimientos!$M$2:$M$1998,MATCH(A5&amp;"ENTRADA",Movimientos!$R$2:$R$1998,0))=0,"S/D",INDEX(Movimientos!$M$2:$M$1998,MATCH(A5&amp;"ENTRADA",Movimientos!$R$2:$R$1998,0))),"S/D")</f>
        <v>46710</v>
      </c>
      <c r="I5" s="16">
        <f t="shared" ca="1" si="0"/>
        <v>574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 ht="14.25">
      <c r="A6" s="18" t="s">
        <v>2163</v>
      </c>
      <c r="B6" s="3" t="str">
        <f>IFERROR(INDEX(Movimientos!$C$2:$C$1998,MATCH(A6&amp;"ENTRADA",Movimientos!$R$2:$R$1998,0)),"-")</f>
        <v>Lontrel</v>
      </c>
      <c r="C6" s="3" t="str">
        <f>IFERROR(INDEX(Movimientos!$D$2:$D$1998,MATCH(A6&amp;"ENTRADA",Movimientos!$R$2:$R$1998,0)),"-")</f>
        <v>Clopyralid sal monoetanolamina 40.9%</v>
      </c>
      <c r="D6" s="3" t="str">
        <f>IFERROR(INDEX(Movimientos!$E$2:$E$1998,MATCH(A6&amp;"ENTRADA",Movimientos!$R$2:$R$1998,0)),"-")</f>
        <v>Herbicida</v>
      </c>
      <c r="E6" s="3" t="str">
        <f>IFERROR(INDEX(Movimientos!$F$2:$F$1998,MATCH(A6&amp;"ENTRADA",Movimientos!$R$2:$R$1998,0)),"-")</f>
        <v>Postemergente</v>
      </c>
      <c r="F6" s="3" t="str">
        <f>IFERROR(INDEX(Movimientos!$G$2:$G$1998,MATCH(A6&amp;"ENTRADA",Movimientos!$R$2:$R$1998,0)),"-")</f>
        <v>GS Agro</v>
      </c>
      <c r="G6" s="3" t="str">
        <f>IFERROR(INDEX(Movimientos!$L$2:$L$1998,MATCH(A6&amp;"ENTRADA",Movimientos!$R$2:$R$1998,0)),"-")</f>
        <v>L</v>
      </c>
      <c r="H6" s="19">
        <f>IFERROR(IF(INDEX(Movimientos!$M$2:$M$1998,MATCH(A6&amp;"ENTRADA",Movimientos!$R$2:$R$1998,0))=0,"S/D",INDEX(Movimientos!$M$2:$M$1998,MATCH(A6&amp;"ENTRADA",Movimientos!$R$2:$R$1998,0))),"S/D")</f>
        <v>46500</v>
      </c>
      <c r="I6" s="16">
        <f t="shared" ca="1" si="0"/>
        <v>364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 ht="14.25">
      <c r="A7" s="18" t="s">
        <v>63</v>
      </c>
      <c r="B7" s="3" t="str">
        <f>IFERROR(INDEX(Movimientos!$C$2:$C$1998,MATCH(A7&amp;"ENTRADA",Movimientos!$R$2:$R$1998,0)),"-")</f>
        <v>Preside</v>
      </c>
      <c r="C7" s="3" t="str">
        <f>IFERROR(INDEX(Movimientos!$D$2:$D$1998,MATCH(A7&amp;"ENTRADA",Movimientos!$R$2:$R$1998,0)),"-")</f>
        <v>Flumetsulam 11,35%</v>
      </c>
      <c r="D7" s="3" t="str">
        <f>IFERROR(INDEX(Movimientos!$E$2:$E$1998,MATCH(A7&amp;"ENTRADA",Movimientos!$R$2:$R$1998,0)),"-")</f>
        <v>Herbicida</v>
      </c>
      <c r="E7" s="3" t="str">
        <f>IFERROR(INDEX(Movimientos!$F$2:$F$1998,MATCH(A7&amp;"ENTRADA",Movimientos!$R$2:$R$1998,0)),"-")</f>
        <v>Preemergente</v>
      </c>
      <c r="F7" s="3" t="str">
        <f>IFERROR(INDEX(Movimientos!$G$2:$G$1998,MATCH(A7&amp;"ENTRADA",Movimientos!$R$2:$R$1998,0)),"-")</f>
        <v>GS Agro</v>
      </c>
      <c r="G7" s="3" t="str">
        <f>IFERROR(INDEX(Movimientos!$L$2:$L$1998,MATCH(A7&amp;"ENTRADA",Movimientos!$R$2:$R$1998,0)),"-")</f>
        <v>L</v>
      </c>
      <c r="H7" s="19">
        <f>IFERROR(IF(INDEX(Movimientos!$M$2:$M$1998,MATCH(A7&amp;"ENTRADA",Movimientos!$R$2:$R$1998,0))=0,"S/D",INDEX(Movimientos!$M$2:$M$1998,MATCH(A7&amp;"ENTRADA",Movimientos!$R$2:$R$1998,0))),"S/D")</f>
        <v>46528</v>
      </c>
      <c r="I7" s="16">
        <f t="shared" ca="1" si="0"/>
        <v>392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 ht="14.25">
      <c r="A8" s="18" t="s">
        <v>2164</v>
      </c>
      <c r="B8" s="3" t="str">
        <f>IFERROR(INDEX(Movimientos!$C$2:$C$1998,MATCH(A8&amp;"ENTRADA",Movimientos!$R$2:$R$1998,0)),"-")</f>
        <v>Preside</v>
      </c>
      <c r="C8" s="3" t="str">
        <f>IFERROR(INDEX(Movimientos!$D$2:$D$1998,MATCH(A8&amp;"ENTRADA",Movimientos!$R$2:$R$1998,0)),"-")</f>
        <v>Flumetsulam 11,35%</v>
      </c>
      <c r="D8" s="3" t="str">
        <f>IFERROR(INDEX(Movimientos!$E$2:$E$1998,MATCH(A8&amp;"ENTRADA",Movimientos!$R$2:$R$1998,0)),"-")</f>
        <v>Herbicida</v>
      </c>
      <c r="E8" s="3" t="str">
        <f>IFERROR(INDEX(Movimientos!$F$2:$F$1998,MATCH(A8&amp;"ENTRADA",Movimientos!$R$2:$R$1998,0)),"-")</f>
        <v>Preemergente</v>
      </c>
      <c r="F8" s="3" t="str">
        <f>IFERROR(INDEX(Movimientos!$G$2:$G$1998,MATCH(A8&amp;"ENTRADA",Movimientos!$R$2:$R$1998,0)),"-")</f>
        <v>GS Agro</v>
      </c>
      <c r="G8" s="3" t="str">
        <f>IFERROR(INDEX(Movimientos!$L$2:$L$1998,MATCH(A8&amp;"ENTRADA",Movimientos!$R$2:$R$1998,0)),"-")</f>
        <v>L</v>
      </c>
      <c r="H8" s="19">
        <f>IFERROR(IF(INDEX(Movimientos!$M$2:$M$1998,MATCH(A8&amp;"ENTRADA",Movimientos!$R$2:$R$1998,0))=0,"S/D",INDEX(Movimientos!$M$2:$M$1998,MATCH(A8&amp;"ENTRADA",Movimientos!$R$2:$R$1998,0))),"S/D")</f>
        <v>46761</v>
      </c>
      <c r="I8" s="16">
        <f t="shared" ca="1" si="0"/>
        <v>625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 ht="14.25">
      <c r="A9" s="18" t="s">
        <v>2165</v>
      </c>
      <c r="B9" s="3" t="str">
        <f>IFERROR(INDEX(Movimientos!$C$2:$C$1998,MATCH(A9&amp;"ENTRADA",Movimientos!$R$2:$R$1998,0)),"-")</f>
        <v>Tordon 24K</v>
      </c>
      <c r="C9" s="3" t="str">
        <f>IFERROR(INDEX(Movimientos!$D$2:$D$1998,MATCH(A9&amp;"ENTRADA",Movimientos!$R$2:$R$1998,0)),"-")</f>
        <v>Picloram 24,9%</v>
      </c>
      <c r="D9" s="3" t="str">
        <f>IFERROR(INDEX(Movimientos!$E$2:$E$1998,MATCH(A9&amp;"ENTRADA",Movimientos!$R$2:$R$1998,0)),"-")</f>
        <v>Herbicida</v>
      </c>
      <c r="E9" s="3" t="str">
        <f>IFERROR(INDEX(Movimientos!$F$2:$F$1998,MATCH(A9&amp;"ENTRADA",Movimientos!$R$2:$R$1998,0)),"-")</f>
        <v>Postemergente</v>
      </c>
      <c r="F9" s="3" t="str">
        <f>IFERROR(INDEX(Movimientos!$G$2:$G$1998,MATCH(A9&amp;"ENTRADA",Movimientos!$R$2:$R$1998,0)),"-")</f>
        <v>GS Agro</v>
      </c>
      <c r="G9" s="3" t="str">
        <f>IFERROR(INDEX(Movimientos!$L$2:$L$1998,MATCH(A9&amp;"ENTRADA",Movimientos!$R$2:$R$1998,0)),"-")</f>
        <v>L</v>
      </c>
      <c r="H9" s="19">
        <f>IFERROR(IF(INDEX(Movimientos!$M$2:$M$1998,MATCH(A9&amp;"ENTRADA",Movimientos!$R$2:$R$1998,0))=0,"S/D",INDEX(Movimientos!$M$2:$M$1998,MATCH(A9&amp;"ENTRADA",Movimientos!$R$2:$R$1998,0))),"S/D")</f>
        <v>46517</v>
      </c>
      <c r="I9" s="16">
        <f t="shared" ca="1" si="0"/>
        <v>381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 ht="14.25">
      <c r="A10" s="18" t="s">
        <v>96</v>
      </c>
      <c r="B10" s="3" t="str">
        <f>IFERROR(INDEX(Movimientos!$C$2:$C$1998,MATCH(A10&amp;"ENTRADA",Movimientos!$R$2:$R$1998,0)),"-")</f>
        <v>Tronador</v>
      </c>
      <c r="C10" s="3" t="str">
        <f>IFERROR(INDEX(Movimientos!$D$2:$D$1998,MATCH(A10&amp;"ENTRADA",Movimientos!$R$2:$R$1998,0)),"-")</f>
        <v>Halauxifen metil 3.3% + Aminopyralid 2.7% + Metsulfuron metil 20%</v>
      </c>
      <c r="D10" s="3" t="str">
        <f>IFERROR(INDEX(Movimientos!$E$2:$E$1998,MATCH(A10&amp;"ENTRADA",Movimientos!$R$2:$R$1998,0)),"-")</f>
        <v>Herbicida</v>
      </c>
      <c r="E10" s="3" t="str">
        <f>IFERROR(INDEX(Movimientos!$F$2:$F$1998,MATCH(A10&amp;"ENTRADA",Movimientos!$R$2:$R$1998,0)),"-")</f>
        <v>Postemergente</v>
      </c>
      <c r="F10" s="3" t="str">
        <f>IFERROR(INDEX(Movimientos!$G$2:$G$1998,MATCH(A10&amp;"ENTRADA",Movimientos!$R$2:$R$1998,0)),"-")</f>
        <v>GS Agro</v>
      </c>
      <c r="G10" s="3" t="str">
        <f>IFERROR(INDEX(Movimientos!$L$2:$L$1998,MATCH(A10&amp;"ENTRADA",Movimientos!$R$2:$R$1998,0)),"-")</f>
        <v>Pack</v>
      </c>
      <c r="H10" s="19">
        <f>IFERROR(IF(INDEX(Movimientos!$M$2:$M$1998,MATCH(A10&amp;"ENTRADA",Movimientos!$R$2:$R$1998,0))=0,"S/D",INDEX(Movimientos!$M$2:$M$1998,MATCH(A10&amp;"ENTRADA",Movimientos!$R$2:$R$1998,0))),"S/D")</f>
        <v>46443</v>
      </c>
      <c r="I10" s="16">
        <f t="shared" ca="1" si="0"/>
        <v>307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 ht="14.25">
      <c r="A11" s="18" t="s">
        <v>67</v>
      </c>
      <c r="B11" s="3" t="str">
        <f>IFERROR(INDEX(Movimientos!$C$2:$C$1998,MATCH(A11&amp;"ENTRADA",Movimientos!$R$2:$R$1998,0)),"-")</f>
        <v>Venceweed extra</v>
      </c>
      <c r="C11" s="3" t="str">
        <f>IFERROR(INDEX(Movimientos!$D$2:$D$1998,MATCH(A11&amp;"ENTRADA",Movimientos!$R$2:$R$1998,0)),"-")</f>
        <v>2,4-Db-Butilo 93.1%</v>
      </c>
      <c r="D11" s="3" t="str">
        <f>IFERROR(INDEX(Movimientos!$E$2:$E$1998,MATCH(A11&amp;"ENTRADA",Movimientos!$R$2:$R$1998,0)),"-")</f>
        <v>Herbicida</v>
      </c>
      <c r="E11" s="3" t="str">
        <f>IFERROR(INDEX(Movimientos!$F$2:$F$1998,MATCH(A11&amp;"ENTRADA",Movimientos!$R$2:$R$1998,0)),"-")</f>
        <v>Postemergente</v>
      </c>
      <c r="F11" s="3" t="str">
        <f>IFERROR(INDEX(Movimientos!$G$2:$G$1998,MATCH(A11&amp;"ENTRADA",Movimientos!$R$2:$R$1998,0)),"-")</f>
        <v>GS Agro</v>
      </c>
      <c r="G11" s="3" t="str">
        <f>IFERROR(INDEX(Movimientos!$L$2:$L$1998,MATCH(A11&amp;"ENTRADA",Movimientos!$R$2:$R$1998,0)),"-")</f>
        <v>L</v>
      </c>
      <c r="H11" s="19">
        <f>IFERROR(IF(INDEX(Movimientos!$M$2:$M$1998,MATCH(A11&amp;"ENTRADA",Movimientos!$R$2:$R$1998,0))=0,"S/D",INDEX(Movimientos!$M$2:$M$1998,MATCH(A11&amp;"ENTRADA",Movimientos!$R$2:$R$1998,0))),"S/D")</f>
        <v>46737</v>
      </c>
      <c r="I11" s="16">
        <f t="shared" ref="I11:I70" ca="1" si="2">IF(OR(A11="",H11="S/D"),"S/D",H11-TODAY())</f>
        <v>601</v>
      </c>
      <c r="J11" s="6">
        <f>IF(A11="","",SUMIFS(Movimientos!$K:$K,Movimientos!$H:$H,A11))</f>
        <v>2340</v>
      </c>
      <c r="K11" s="14" t="str">
        <f t="shared" ca="1" si="1"/>
        <v>OK</v>
      </c>
    </row>
    <row r="12" spans="1:11" ht="14.25">
      <c r="A12" s="18" t="s">
        <v>147</v>
      </c>
      <c r="B12" s="3" t="str">
        <f>IFERROR(INDEX(Movimientos!$C$2:$C$1998,MATCH(A12&amp;"ENTRADA",Movimientos!$R$2:$R$1998,0)),"-")</f>
        <v>Silobolsa</v>
      </c>
      <c r="C12" s="3" t="str">
        <f>IFERROR(INDEX(Movimientos!$D$2:$D$1998,MATCH(A12&amp;"ENTRADA",Movimientos!$R$2:$R$1998,0)),"-")</f>
        <v>Silobolsa 9 pies</v>
      </c>
      <c r="D12" s="3" t="str">
        <f>IFERROR(INDEX(Movimientos!$E$2:$E$1998,MATCH(A12&amp;"ENTRADA",Movimientos!$R$2:$R$1998,0)),"-")</f>
        <v>Silobolsa</v>
      </c>
      <c r="E12" s="3">
        <f>IFERROR(INDEX(Movimientos!$F$2:$F$1998,MATCH(A12&amp;"ENTRADA",Movimientos!$R$2:$R$1998,0)),"-")</f>
        <v>0</v>
      </c>
      <c r="F12" s="3" t="str">
        <f>IFERROR(INDEX(Movimientos!$G$2:$G$1998,MATCH(A12&amp;"ENTRADA",Movimientos!$R$2:$R$1998,0)),"-")</f>
        <v>AYP Agrogestiones</v>
      </c>
      <c r="G12" s="3" t="str">
        <f>IFERROR(INDEX(Movimientos!$L$2:$L$1998,MATCH(A12&amp;"ENTRADA",Movimientos!$R$2:$R$1998,0)),"-")</f>
        <v>unidad</v>
      </c>
      <c r="H12" s="19" t="str">
        <f>IFERROR(IF(INDEX(Movimientos!$M$2:$M$1998,MATCH(A12&amp;"ENTRADA",Movimientos!$R$2:$R$1998,0))=0,"S/D",INDEX(Movimientos!$M$2:$M$1998,MATCH(A12&amp;"ENTRADA",Movimientos!$R$2:$R$1998,0))),"S/D")</f>
        <v>S/D</v>
      </c>
      <c r="I12" s="16" t="str">
        <f t="shared" ca="1" si="2"/>
        <v>S/D</v>
      </c>
      <c r="J12" s="6">
        <f>IF(A12="","",SUMIFS(Movimientos!$K:$K,Movimientos!$H:$H,A12))</f>
        <v>30</v>
      </c>
      <c r="K12" s="14" t="str">
        <f t="shared" ca="1" si="1"/>
        <v>OK</v>
      </c>
    </row>
    <row r="13" spans="1:11" ht="14.25">
      <c r="A13" s="18" t="s">
        <v>93</v>
      </c>
      <c r="B13" s="3" t="str">
        <f>IFERROR(INDEX(Movimientos!$C$2:$C$1998,MATCH(A13&amp;"ENTRADA",Movimientos!$R$2:$R$1998,0)),"-")</f>
        <v>Dedalo elite</v>
      </c>
      <c r="C13" s="3" t="str">
        <f>IFERROR(INDEX(Movimientos!$D$2:$D$1998,MATCH(A13&amp;"ENTRADA",Movimientos!$R$2:$R$1998,0)),"-")</f>
        <v>2,4 D Acido 27.2%</v>
      </c>
      <c r="D13" s="3" t="str">
        <f>IFERROR(INDEX(Movimientos!$E$2:$E$1998,MATCH(A13&amp;"ENTRADA",Movimientos!$R$2:$R$1998,0)),"-")</f>
        <v>Herbicida</v>
      </c>
      <c r="E13" s="3" t="str">
        <f>IFERROR(INDEX(Movimientos!$F$2:$F$1998,MATCH(A13&amp;"ENTRADA",Movimientos!$R$2:$R$1998,0)),"-")</f>
        <v>Postemergente</v>
      </c>
      <c r="F13" s="3" t="str">
        <f>IFERROR(INDEX(Movimientos!$G$2:$G$1998,MATCH(A13&amp;"ENTRADA",Movimientos!$R$2:$R$1998,0)),"-")</f>
        <v>Agromil</v>
      </c>
      <c r="G13" s="3" t="str">
        <f>IFERROR(INDEX(Movimientos!$L$2:$L$1998,MATCH(A13&amp;"ENTRADA",Movimientos!$R$2:$R$1998,0)),"-")</f>
        <v>L</v>
      </c>
      <c r="H13" s="19">
        <f>IFERROR(IF(INDEX(Movimientos!$M$2:$M$1998,MATCH(A13&amp;"ENTRADA",Movimientos!$R$2:$R$1998,0))=0,"S/D",INDEX(Movimientos!$M$2:$M$1998,MATCH(A13&amp;"ENTRADA",Movimientos!$R$2:$R$1998,0))),"S/D")</f>
        <v>46725</v>
      </c>
      <c r="I13" s="16">
        <f t="shared" ca="1" si="2"/>
        <v>589</v>
      </c>
      <c r="J13" s="6">
        <f>IF(A13="","",SUMIFS(Movimientos!$K:$K,Movimientos!$H:$H,A13))</f>
        <v>11900</v>
      </c>
      <c r="K13" s="14" t="str">
        <f t="shared" ca="1" si="1"/>
        <v>OK</v>
      </c>
    </row>
    <row r="14" spans="1:11" ht="14.25">
      <c r="A14" s="18" t="s">
        <v>144</v>
      </c>
      <c r="B14" s="3" t="str">
        <f>IFERROR(INDEX(Movimientos!$C$2:$C$1998,MATCH(A14&amp;"ENTRADA",Movimientos!$R$2:$R$1998,0)),"-")</f>
        <v>Raigrás E284</v>
      </c>
      <c r="C14" s="3" t="str">
        <f>IFERROR(INDEX(Movimientos!$D$2:$D$1998,MATCH(A14&amp;"ENTRADA",Movimientos!$R$2:$R$1998,0)),"-")</f>
        <v>Estanzuela 284</v>
      </c>
      <c r="D14" s="3" t="str">
        <f>IFERROR(INDEX(Movimientos!$E$2:$E$1998,MATCH(A14&amp;"ENTRADA",Movimientos!$R$2:$R$1998,0)),"-")</f>
        <v>Semilla</v>
      </c>
      <c r="E14" s="3" t="str">
        <f>IFERROR(INDEX(Movimientos!$F$2:$F$1998,MATCH(A14&amp;"ENTRADA",Movimientos!$R$2:$R$1998,0)),"-")</f>
        <v>Raigrás</v>
      </c>
      <c r="F14" s="3" t="str">
        <f>IFERROR(INDEX(Movimientos!$G$2:$G$1998,MATCH(A14&amp;"ENTRADA",Movimientos!$R$2:$R$1998,0)),"-")</f>
        <v>Granicor</v>
      </c>
      <c r="G14" s="3" t="str">
        <f>IFERROR(INDEX(Movimientos!$L$2:$L$1998,MATCH(A14&amp;"ENTRADA",Movimientos!$R$2:$R$1998,0)),"-")</f>
        <v>kg</v>
      </c>
      <c r="H14" s="19" t="str">
        <f>IFERROR(IF(INDEX(Movimientos!$M$2:$M$1998,MATCH(A14&amp;"ENTRADA",Movimientos!$R$2:$R$1998,0))=0,"S/D",INDEX(Movimientos!$M$2:$M$1998,MATCH(A14&amp;"ENTRADA",Movimientos!$R$2:$R$1998,0))),"S/D")</f>
        <v>S/D</v>
      </c>
      <c r="I14" s="16" t="str">
        <f t="shared" ca="1" si="2"/>
        <v>S/D</v>
      </c>
      <c r="J14" s="6">
        <f>IF(A14="","",SUMIFS(Movimientos!$K:$K,Movimientos!$H:$H,A14))</f>
        <v>9625</v>
      </c>
      <c r="K14" s="14" t="str">
        <f t="shared" ca="1" si="1"/>
        <v>OK</v>
      </c>
    </row>
    <row r="15" spans="1:11" ht="14.25">
      <c r="A15" s="18" t="s">
        <v>99</v>
      </c>
      <c r="B15" s="3" t="str">
        <f>IFERROR(INDEX(Movimientos!$C$2:$C$1998,MATCH(A15&amp;"ENTRADA",Movimientos!$R$2:$R$1998,0)),"-")</f>
        <v>Starane Xtra</v>
      </c>
      <c r="C15" s="3" t="str">
        <f>IFERROR(INDEX(Movimientos!$D$2:$D$1998,MATCH(A15&amp;"ENTRADA",Movimientos!$R$2:$R$1998,0)),"-")</f>
        <v>Fluroxypyr Meptil 45,52%</v>
      </c>
      <c r="D15" s="3" t="str">
        <f>IFERROR(INDEX(Movimientos!$E$2:$E$1998,MATCH(A15&amp;"ENTRADA",Movimientos!$R$2:$R$1998,0)),"-")</f>
        <v>Herbicida</v>
      </c>
      <c r="E15" s="3" t="str">
        <f>IFERROR(INDEX(Movimientos!$F$2:$F$1998,MATCH(A15&amp;"ENTRADA",Movimientos!$R$2:$R$1998,0)),"-")</f>
        <v>Postemergente</v>
      </c>
      <c r="F15" s="3" t="str">
        <f>IFERROR(INDEX(Movimientos!$G$2:$G$1998,MATCH(A15&amp;"ENTRADA",Movimientos!$R$2:$R$1998,0)),"-")</f>
        <v>GS Agro</v>
      </c>
      <c r="G15" s="3" t="str">
        <f>IFERROR(INDEX(Movimientos!$L$2:$L$1998,MATCH(A15&amp;"ENTRADA",Movimientos!$R$2:$R$1998,0)),"-")</f>
        <v>L</v>
      </c>
      <c r="H15" s="19">
        <f>IFERROR(IF(INDEX(Movimientos!$M$2:$M$1998,MATCH(A15&amp;"ENTRADA",Movimientos!$R$2:$R$1998,0))=0,"S/D",INDEX(Movimientos!$M$2:$M$1998,MATCH(A15&amp;"ENTRADA",Movimientos!$R$2:$R$1998,0))),"S/D")</f>
        <v>46509</v>
      </c>
      <c r="I15" s="16">
        <f t="shared" ca="1" si="2"/>
        <v>373</v>
      </c>
      <c r="J15" s="6">
        <f>IF(A15="","",SUMIFS(Movimientos!$K:$K,Movimientos!$H:$H,A15))</f>
        <v>500</v>
      </c>
      <c r="K15" s="14" t="str">
        <f t="shared" ca="1" si="1"/>
        <v>OK</v>
      </c>
    </row>
    <row r="16" spans="1:11" ht="14.25">
      <c r="A16" s="18" t="s">
        <v>102</v>
      </c>
      <c r="B16" s="3" t="str">
        <f>IFERROR(INDEX(Movimientos!$C$2:$C$1998,MATCH(A16&amp;"ENTRADA",Movimientos!$R$2:$R$1998,0)),"-")</f>
        <v>Pixxaro</v>
      </c>
      <c r="C16" s="3" t="str">
        <f>IFERROR(INDEX(Movimientos!$D$2:$D$1998,MATCH(A16&amp;"ENTRADA",Movimientos!$R$2:$R$1998,0)),"-")</f>
        <v>Fluroxypyr meptyl 34,91% + Halauxyfen methyl 1.64% + Cloquintocet mexyl 1.57%</v>
      </c>
      <c r="D16" s="3" t="str">
        <f>IFERROR(INDEX(Movimientos!$E$2:$E$1998,MATCH(A16&amp;"ENTRADA",Movimientos!$R$2:$R$1998,0)),"-")</f>
        <v>Herbicida</v>
      </c>
      <c r="E16" s="3" t="str">
        <f>IFERROR(INDEX(Movimientos!$F$2:$F$1998,MATCH(A16&amp;"ENTRADA",Movimientos!$R$2:$R$1998,0)),"-")</f>
        <v>Postemergente</v>
      </c>
      <c r="F16" s="3" t="str">
        <f>IFERROR(INDEX(Movimientos!$G$2:$G$1998,MATCH(A16&amp;"ENTRADA",Movimientos!$R$2:$R$1998,0)),"-")</f>
        <v>GS Agro</v>
      </c>
      <c r="G16" s="3" t="str">
        <f>IFERROR(INDEX(Movimientos!$L$2:$L$1998,MATCH(A16&amp;"ENTRADA",Movimientos!$R$2:$R$1998,0)),"-")</f>
        <v>L</v>
      </c>
      <c r="H16" s="19">
        <f>IFERROR(IF(INDEX(Movimientos!$M$2:$M$1998,MATCH(A16&amp;"ENTRADA",Movimientos!$R$2:$R$1998,0))=0,"S/D",INDEX(Movimientos!$M$2:$M$1998,MATCH(A16&amp;"ENTRADA",Movimientos!$R$2:$R$1998,0))),"S/D")</f>
        <v>46397</v>
      </c>
      <c r="I16" s="16">
        <f t="shared" ca="1" si="2"/>
        <v>261</v>
      </c>
      <c r="J16" s="6">
        <f>IF(A16="","",SUMIFS(Movimientos!$K:$K,Movimientos!$H:$H,A16))</f>
        <v>200</v>
      </c>
      <c r="K16" s="14" t="str">
        <f t="shared" ca="1" si="1"/>
        <v>OK</v>
      </c>
    </row>
    <row r="17" spans="1:11" ht="14.25">
      <c r="A17" s="18" t="s">
        <v>2166</v>
      </c>
      <c r="B17" s="3" t="str">
        <f>IFERROR(INDEX(Movimientos!$C$2:$C$1998,MATCH(A17&amp;"ENTRADA",Movimientos!$R$2:$R$1998,0)),"-")</f>
        <v>Colza Hyola 575 CL</v>
      </c>
      <c r="C17" s="3" t="str">
        <f>IFERROR(INDEX(Movimientos!$D$2:$D$1998,MATCH(A17&amp;"ENTRADA",Movimientos!$R$2:$R$1998,0)),"-")</f>
        <v>HYOLA 575 CL</v>
      </c>
      <c r="D17" s="3" t="str">
        <f>IFERROR(INDEX(Movimientos!$E$2:$E$1998,MATCH(A17&amp;"ENTRADA",Movimientos!$R$2:$R$1998,0)),"-")</f>
        <v>Semilla</v>
      </c>
      <c r="E17" s="3" t="str">
        <f>IFERROR(INDEX(Movimientos!$F$2:$F$1998,MATCH(A17&amp;"ENTRADA",Movimientos!$R$2:$R$1998,0)),"-")</f>
        <v>Colza</v>
      </c>
      <c r="F17" s="3" t="str">
        <f>IFERROR(INDEX(Movimientos!$G$2:$G$1998,MATCH(A17&amp;"ENTRADA",Movimientos!$R$2:$R$1998,0)),"-")</f>
        <v>ERRO</v>
      </c>
      <c r="G17" s="3" t="str">
        <f>IFERROR(INDEX(Movimientos!$L$2:$L$1998,MATCH(A17&amp;"ENTRADA",Movimientos!$R$2:$R$1998,0)),"-")</f>
        <v>kg</v>
      </c>
      <c r="H17" s="19" t="str">
        <f>IFERROR(IF(INDEX(Movimientos!$M$2:$M$1998,MATCH(A17&amp;"ENTRADA",Movimientos!$R$2:$R$1998,0))=0,"S/D",INDEX(Movimientos!$M$2:$M$1998,MATCH(A17&amp;"ENTRADA",Movimientos!$R$2:$R$1998,0))),"S/D")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1"/>
        <v>OK</v>
      </c>
    </row>
    <row r="18" spans="1:11" ht="14.25">
      <c r="A18" s="18" t="s">
        <v>207</v>
      </c>
      <c r="B18" s="3" t="str">
        <f>IFERROR(INDEX(Movimientos!$C$2:$C$1998,MATCH(A18&amp;"ENTRADA",Movimientos!$R$2:$R$1998,0)),"-")</f>
        <v>Colza Apolo CL</v>
      </c>
      <c r="C18" s="3" t="str">
        <f>IFERROR(INDEX(Movimientos!$D$2:$D$1998,MATCH(A18&amp;"ENTRADA",Movimientos!$R$2:$R$1998,0)),"-")</f>
        <v>APOLO CL</v>
      </c>
      <c r="D18" s="3" t="str">
        <f>IFERROR(INDEX(Movimientos!$E$2:$E$1998,MATCH(A18&amp;"ENTRADA",Movimientos!$R$2:$R$1998,0)),"-")</f>
        <v>Semilla</v>
      </c>
      <c r="E18" s="3" t="str">
        <f>IFERROR(INDEX(Movimientos!$F$2:$F$1998,MATCH(A18&amp;"ENTRADA",Movimientos!$R$2:$R$1998,0)),"-")</f>
        <v>Colza</v>
      </c>
      <c r="F18" s="3" t="str">
        <f>IFERROR(INDEX(Movimientos!$G$2:$G$1998,MATCH(A18&amp;"ENTRADA",Movimientos!$R$2:$R$1998,0)),"-")</f>
        <v>ERRO</v>
      </c>
      <c r="G18" s="3" t="str">
        <f>IFERROR(INDEX(Movimientos!$L$2:$L$1998,MATCH(A18&amp;"ENTRADA",Movimientos!$R$2:$R$1998,0)),"-")</f>
        <v>kg</v>
      </c>
      <c r="H18" s="19" t="str">
        <f>IFERROR(IF(INDEX(Movimientos!$M$2:$M$1998,MATCH(A18&amp;"ENTRADA",Movimientos!$R$2:$R$1998,0))=0,"S/D",INDEX(Movimientos!$M$2:$M$1998,MATCH(A18&amp;"ENTRADA",Movimientos!$R$2:$R$1998,0))),"S/D")</f>
        <v>S/D</v>
      </c>
      <c r="I18" s="16" t="str">
        <f t="shared" ca="1" si="2"/>
        <v>S/D</v>
      </c>
      <c r="J18" s="6">
        <f>IF(A18="","",SUMIFS(Movimientos!$K:$K,Movimientos!$H:$H,A18))</f>
        <v>0</v>
      </c>
      <c r="K18" s="14" t="str">
        <f ca="1">IF(A18="","",IF(J18&lt;0.01,"SIN STOCK",IF(H18="S/D","OK",IF(H18&lt;TODAY(),"VENCIDO",IF(I18&gt;=180,"OK","PRÓXIMO A VENCER")))))</f>
        <v>SIN STOCK</v>
      </c>
    </row>
    <row r="19" spans="1:11" ht="14.25">
      <c r="A19" s="18" t="s">
        <v>119</v>
      </c>
      <c r="B19" s="3" t="str">
        <f>IFERROR(INDEX(Movimientos!$C$2:$C$1998,MATCH(A19&amp;"ENTRADA",Movimientos!$R$2:$R$1998,0)),"-")</f>
        <v>Azuka</v>
      </c>
      <c r="C19" s="3" t="str">
        <f>IFERROR(INDEX(Movimientos!$D$2:$D$1998,MATCH(A19&amp;"ENTRADA",Movimientos!$R$2:$R$1998,0)),"-")</f>
        <v>Glifosato Sal DMA 608 g/L. Equivalente en glifosato 480 g/L</v>
      </c>
      <c r="D19" s="3" t="str">
        <f>IFERROR(INDEX(Movimientos!$E$2:$E$1998,MATCH(A19&amp;"ENTRADA",Movimientos!$R$2:$R$1998,0)),"-")</f>
        <v>Herbicida</v>
      </c>
      <c r="E19" s="3" t="str">
        <f>IFERROR(INDEX(Movimientos!$F$2:$F$1998,MATCH(A19&amp;"ENTRADA",Movimientos!$R$2:$R$1998,0)),"-")</f>
        <v>Postemergente</v>
      </c>
      <c r="F19" s="3" t="str">
        <f>IFERROR(INDEX(Movimientos!$G$2:$G$1998,MATCH(A19&amp;"ENTRADA",Movimientos!$R$2:$R$1998,0)),"-")</f>
        <v>Proquimur</v>
      </c>
      <c r="G19" s="3" t="str">
        <f>IFERROR(INDEX(Movimientos!$L$2:$L$1998,MATCH(A19&amp;"ENTRADA",Movimientos!$R$2:$R$1998,0)),"-")</f>
        <v>L</v>
      </c>
      <c r="H19" s="19">
        <f>IFERROR(IF(INDEX(Movimientos!$M$2:$M$1998,MATCH(A19&amp;"ENTRADA",Movimientos!$R$2:$R$1998,0))=0,"S/D",INDEX(Movimientos!$M$2:$M$1998,MATCH(A19&amp;"ENTRADA",Movimientos!$R$2:$R$1998,0))),"S/D")</f>
        <v>46692</v>
      </c>
      <c r="I19" s="16">
        <f t="shared" ca="1" si="2"/>
        <v>556</v>
      </c>
      <c r="J19" s="6">
        <f>IF(A19="","",SUMIFS(Movimientos!$K:$K,Movimientos!$H:$H,A19))</f>
        <v>31740</v>
      </c>
      <c r="K19" s="14" t="str">
        <f t="shared" ca="1" si="1"/>
        <v>OK</v>
      </c>
    </row>
    <row r="20" spans="1:11" ht="14.25">
      <c r="A20" s="18" t="s">
        <v>194</v>
      </c>
      <c r="B20" s="3" t="str">
        <f>IFERROR(INDEX(Movimientos!$C$2:$C$1998,MATCH(A20&amp;"ENTRADA",Movimientos!$R$2:$R$1998,0)),"-")</f>
        <v>Pardo</v>
      </c>
      <c r="C20" s="3" t="str">
        <f>IFERROR(INDEX(Movimientos!$D$2:$D$1998,MATCH(A20&amp;"ENTRADA",Movimientos!$R$2:$R$1998,0)),"-")</f>
        <v>Clethodim 240 g/L</v>
      </c>
      <c r="D20" s="3" t="str">
        <f>IFERROR(INDEX(Movimientos!$E$2:$E$1998,MATCH(A20&amp;"ENTRADA",Movimientos!$R$2:$R$1998,0)),"-")</f>
        <v>Herbicida</v>
      </c>
      <c r="E20" s="3" t="str">
        <f>IFERROR(INDEX(Movimientos!$F$2:$F$1998,MATCH(A20&amp;"ENTRADA",Movimientos!$R$2:$R$1998,0)),"-")</f>
        <v>Postemergente</v>
      </c>
      <c r="F20" s="3" t="str">
        <f>IFERROR(INDEX(Movimientos!$G$2:$G$1998,MATCH(A20&amp;"ENTRADA",Movimientos!$R$2:$R$1998,0)),"-")</f>
        <v>Proquimur</v>
      </c>
      <c r="G20" s="3" t="str">
        <f>IFERROR(INDEX(Movimientos!$L$2:$L$1998,MATCH(A20&amp;"ENTRADA",Movimientos!$R$2:$R$1998,0)),"-")</f>
        <v>L</v>
      </c>
      <c r="H20" s="19">
        <f>IFERROR(IF(INDEX(Movimientos!$M$2:$M$1998,MATCH(A20&amp;"ENTRADA",Movimientos!$R$2:$R$1998,0))=0,"S/D",INDEX(Movimientos!$M$2:$M$1998,MATCH(A20&amp;"ENTRADA",Movimientos!$R$2:$R$1998,0))),"S/D")</f>
        <v>46753</v>
      </c>
      <c r="I20" s="16">
        <f t="shared" ca="1" si="2"/>
        <v>617</v>
      </c>
      <c r="J20" s="6">
        <f>IF(A20="","",SUMIFS(Movimientos!$K:$K,Movimientos!$H:$H,A20))</f>
        <v>17520</v>
      </c>
      <c r="K20" s="14" t="str">
        <f t="shared" ca="1" si="1"/>
        <v>OK</v>
      </c>
    </row>
    <row r="21" spans="1:11" ht="14.25">
      <c r="A21" s="18" t="s">
        <v>200</v>
      </c>
      <c r="B21" s="3" t="str">
        <f>IFERROR(INDEX(Movimientos!$C$2:$C$1998,MATCH(A21&amp;"ENTRADA",Movimientos!$R$2:$R$1998,0)),"-")</f>
        <v>Harrier</v>
      </c>
      <c r="C21" s="3" t="str">
        <f>IFERROR(INDEX(Movimientos!$D$2:$D$1998,MATCH(A21&amp;"ENTRADA",Movimientos!$R$2:$R$1998,0)),"-")</f>
        <v>ALCOHOL LINEAL ETOXILADO 32.7%</v>
      </c>
      <c r="D21" s="3" t="str">
        <f>IFERROR(INDEX(Movimientos!$E$2:$E$1998,MATCH(A21&amp;"ENTRADA",Movimientos!$R$2:$R$1998,0)),"-")</f>
        <v>Coadyuvante</v>
      </c>
      <c r="E21" s="3">
        <f>IFERROR(INDEX(Movimientos!$F$2:$F$1998,MATCH(A21&amp;"ENTRADA",Movimientos!$R$2:$R$1998,0)),"-")</f>
        <v>0</v>
      </c>
      <c r="F21" s="3" t="str">
        <f>IFERROR(INDEX(Movimientos!$G$2:$G$1998,MATCH(A21&amp;"ENTRADA",Movimientos!$R$2:$R$1998,0)),"-")</f>
        <v>Don asdrual</v>
      </c>
      <c r="G21" s="3" t="str">
        <f>IFERROR(INDEX(Movimientos!$L$2:$L$1998,MATCH(A21&amp;"ENTRADA",Movimientos!$R$2:$R$1998,0)),"-")</f>
        <v>L</v>
      </c>
      <c r="H21" s="19">
        <f>IFERROR(IF(INDEX(Movimientos!$M$2:$M$1998,MATCH(A21&amp;"ENTRADA",Movimientos!$R$2:$R$1998,0))=0,"S/D",INDEX(Movimientos!$M$2:$M$1998,MATCH(A21&amp;"ENTRADA",Movimientos!$R$2:$R$1998,0))),"S/D")</f>
        <v>46661</v>
      </c>
      <c r="I21" s="16">
        <f t="shared" ca="1" si="2"/>
        <v>525</v>
      </c>
      <c r="J21" s="6">
        <f>IF(A21="","",SUMIFS(Movimientos!$K:$K,Movimientos!$H:$H,A21))</f>
        <v>880</v>
      </c>
      <c r="K21" s="14" t="str">
        <f t="shared" ca="1" si="1"/>
        <v>OK</v>
      </c>
    </row>
    <row r="22" spans="1:11" ht="14.25">
      <c r="A22" s="18" t="s">
        <v>214</v>
      </c>
      <c r="B22" s="3" t="str">
        <f>IFERROR(INDEX(Movimientos!$C$2:$C$1998,MATCH(A22&amp;"ENTRADA",Movimientos!$R$2:$R$1998,0)),"-")</f>
        <v>Harrier</v>
      </c>
      <c r="C22" s="3" t="str">
        <f>IFERROR(INDEX(Movimientos!$D$2:$D$1998,MATCH(A22&amp;"ENTRADA",Movimientos!$R$2:$R$1998,0)),"-")</f>
        <v>ALCOHOL LINEAL ETOXILADO 32.7%</v>
      </c>
      <c r="D22" s="3" t="str">
        <f>IFERROR(INDEX(Movimientos!$E$2:$E$1998,MATCH(A22&amp;"ENTRADA",Movimientos!$R$2:$R$1998,0)),"-")</f>
        <v>Coadyuvante</v>
      </c>
      <c r="E22" s="3">
        <f>IFERROR(INDEX(Movimientos!$F$2:$F$1998,MATCH(A22&amp;"ENTRADA",Movimientos!$R$2:$R$1998,0)),"-")</f>
        <v>0</v>
      </c>
      <c r="F22" s="3" t="str">
        <f>IFERROR(INDEX(Movimientos!$G$2:$G$1998,MATCH(A22&amp;"ENTRADA",Movimientos!$R$2:$R$1998,0)),"-")</f>
        <v>Don asdrual</v>
      </c>
      <c r="G22" s="3" t="str">
        <f>IFERROR(INDEX(Movimientos!$L$2:$L$1998,MATCH(A22&amp;"ENTRADA",Movimientos!$R$2:$R$1998,0)),"-")</f>
        <v>L</v>
      </c>
      <c r="H22" s="19">
        <f>IFERROR(IF(INDEX(Movimientos!$M$2:$M$1998,MATCH(A22&amp;"ENTRADA",Movimientos!$R$2:$R$1998,0))=0,"S/D",INDEX(Movimientos!$M$2:$M$1998,MATCH(A22&amp;"ENTRADA",Movimientos!$R$2:$R$1998,0))),"S/D")</f>
        <v>46813</v>
      </c>
      <c r="I22" s="16">
        <f t="shared" ca="1" si="2"/>
        <v>677</v>
      </c>
      <c r="J22" s="6">
        <f>IF(A22="","",SUMIFS(Movimientos!$K:$K,Movimientos!$H:$H,A22))</f>
        <v>4960</v>
      </c>
      <c r="K22" s="14" t="str">
        <f t="shared" ca="1" si="1"/>
        <v>OK</v>
      </c>
    </row>
    <row r="23" spans="1:11" ht="14.25">
      <c r="A23" s="18" t="s">
        <v>202</v>
      </c>
      <c r="B23" s="3" t="str">
        <f>IFERROR(INDEX(Movimientos!$C$2:$C$1998,MATCH(A23&amp;"ENTRADA",Movimientos!$R$2:$R$1998,0)),"-")</f>
        <v>Full control</v>
      </c>
      <c r="C23" s="3" t="str">
        <f>IFERROR(INDEX(Movimientos!$D$2:$D$1998,MATCH(A23&amp;"ENTRADA",Movimientos!$R$2:$R$1998,0)),"-")</f>
        <v>ACIDO FOSFORICO 23 g</v>
      </c>
      <c r="D23" s="3" t="str">
        <f>IFERROR(INDEX(Movimientos!$E$2:$E$1998,MATCH(A23&amp;"ENTRADA",Movimientos!$R$2:$R$1998,0)),"-")</f>
        <v>Coadyuvante</v>
      </c>
      <c r="E23" s="3">
        <f>IFERROR(INDEX(Movimientos!$F$2:$F$1998,MATCH(A23&amp;"ENTRADA",Movimientos!$R$2:$R$1998,0)),"-")</f>
        <v>0</v>
      </c>
      <c r="F23" s="3" t="str">
        <f>IFERROR(INDEX(Movimientos!$G$2:$G$1998,MATCH(A23&amp;"ENTRADA",Movimientos!$R$2:$R$1998,0)),"-")</f>
        <v>Don asdrual</v>
      </c>
      <c r="G23" s="3" t="str">
        <f>IFERROR(INDEX(Movimientos!$L$2:$L$1998,MATCH(A23&amp;"ENTRADA",Movimientos!$R$2:$R$1998,0)),"-")</f>
        <v>L</v>
      </c>
      <c r="H23" s="19">
        <f>IFERROR(IF(INDEX(Movimientos!$M$2:$M$1998,MATCH(A23&amp;"ENTRADA",Movimientos!$R$2:$R$1998,0))=0,"S/D",INDEX(Movimientos!$M$2:$M$1998,MATCH(A23&amp;"ENTRADA",Movimientos!$R$2:$R$1998,0))),"S/D")</f>
        <v>46661</v>
      </c>
      <c r="I23" s="16">
        <f t="shared" ca="1" si="2"/>
        <v>525</v>
      </c>
      <c r="J23" s="6">
        <f>IF(A23="","",SUMIFS(Movimientos!$K:$K,Movimientos!$H:$H,A23))</f>
        <v>1155</v>
      </c>
      <c r="K23" s="14" t="str">
        <f t="shared" ca="1" si="1"/>
        <v>OK</v>
      </c>
    </row>
    <row r="24" spans="1:11" ht="14.25">
      <c r="A24" s="18" t="s">
        <v>2167</v>
      </c>
      <c r="B24" s="3" t="str">
        <f>IFERROR(INDEX(Movimientos!$C$2:$C$1998,MATCH(A24&amp;"ENTRADA",Movimientos!$R$2:$R$1998,0)),"-")</f>
        <v>Maxi Drop</v>
      </c>
      <c r="C24" s="3" t="str">
        <f>IFERROR(INDEX(Movimientos!$D$2:$D$1998,MATCH(A24&amp;"ENTRADA",Movimientos!$R$2:$R$1998,0)),"-")</f>
        <v>ACEITE DE SOJA 48 g</v>
      </c>
      <c r="D24" s="3" t="str">
        <f>IFERROR(INDEX(Movimientos!$E$2:$E$1998,MATCH(A24&amp;"ENTRADA",Movimientos!$R$2:$R$1998,0)),"-")</f>
        <v>Coadyuvante</v>
      </c>
      <c r="E24" s="3">
        <f>IFERROR(INDEX(Movimientos!$F$2:$F$1998,MATCH(A24&amp;"ENTRADA",Movimientos!$R$2:$R$1998,0)),"-")</f>
        <v>0</v>
      </c>
      <c r="F24" s="3" t="str">
        <f>IFERROR(INDEX(Movimientos!$G$2:$G$1998,MATCH(A24&amp;"ENTRADA",Movimientos!$R$2:$R$1998,0)),"-")</f>
        <v>Don asdrual</v>
      </c>
      <c r="G24" s="3" t="str">
        <f>IFERROR(INDEX(Movimientos!$L$2:$L$1998,MATCH(A24&amp;"ENTRADA",Movimientos!$R$2:$R$1998,0)),"-")</f>
        <v>L</v>
      </c>
      <c r="H24" s="19">
        <f>IFERROR(IF(INDEX(Movimientos!$M$2:$M$1998,MATCH(A24&amp;"ENTRADA",Movimientos!$R$2:$R$1998,0))=0,"S/D",INDEX(Movimientos!$M$2:$M$1998,MATCH(A24&amp;"ENTRADA",Movimientos!$R$2:$R$1998,0))),"S/D")</f>
        <v>46388</v>
      </c>
      <c r="I24" s="16">
        <f t="shared" ca="1" si="2"/>
        <v>252</v>
      </c>
      <c r="J24" s="6">
        <f>IF(A24="","",SUMIFS(Movimientos!$K:$K,Movimientos!$H:$H,A24))</f>
        <v>195</v>
      </c>
      <c r="K24" s="14" t="str">
        <f t="shared" ca="1" si="1"/>
        <v>OK</v>
      </c>
    </row>
    <row r="25" spans="1:11" ht="14.25">
      <c r="A25" s="18" t="s">
        <v>2168</v>
      </c>
      <c r="B25" s="3" t="str">
        <f>IFERROR(INDEX(Movimientos!$C$2:$C$1998,MATCH(A25&amp;"ENTRADA",Movimientos!$R$2:$R$1998,0)),"-")</f>
        <v>Axial</v>
      </c>
      <c r="C25" s="3" t="str">
        <f>IFERROR(INDEX(Movimientos!$D$2:$D$1998,MATCH(A25&amp;"ENTRADA",Movimientos!$R$2:$R$1998,0)),"-")</f>
        <v>PINOXADEN 5 GR + CLOQUINTOCET-MEXIL 1.25 GR</v>
      </c>
      <c r="D25" s="3" t="str">
        <f>IFERROR(INDEX(Movimientos!$E$2:$E$1998,MATCH(A25&amp;"ENTRADA",Movimientos!$R$2:$R$1998,0)),"-")</f>
        <v>Herbicida</v>
      </c>
      <c r="E25" s="3" t="str">
        <f>IFERROR(INDEX(Movimientos!$F$2:$F$1998,MATCH(A25&amp;"ENTRADA",Movimientos!$R$2:$R$1998,0)),"-")</f>
        <v>Postemergente</v>
      </c>
      <c r="F25" s="3" t="str">
        <f>IFERROR(INDEX(Movimientos!$G$2:$G$1998,MATCH(A25&amp;"ENTRADA",Movimientos!$R$2:$R$1998,0)),"-")</f>
        <v>GS Agro</v>
      </c>
      <c r="G25" s="3" t="str">
        <f>IFERROR(INDEX(Movimientos!$L$2:$L$1998,MATCH(A25&amp;"ENTRADA",Movimientos!$R$2:$R$1998,0)),"-")</f>
        <v>L</v>
      </c>
      <c r="H25" s="19" t="str">
        <f>IFERROR(IF(INDEX(Movimientos!$M$2:$M$1998,MATCH(A25&amp;"ENTRADA",Movimientos!$R$2:$R$1998,0))=0,"S/D",INDEX(Movimientos!$M$2:$M$1998,MATCH(A25&amp;"ENTRADA",Movimientos!$R$2:$R$1998,0))),"S/D")</f>
        <v>S/D</v>
      </c>
      <c r="I25" s="16" t="str">
        <f t="shared" ca="1" si="2"/>
        <v>S/D</v>
      </c>
      <c r="J25" s="6">
        <f>IF(A25="","",SUMIFS(Movimientos!$K:$K,Movimientos!$H:$H,A25))</f>
        <v>2000</v>
      </c>
      <c r="K25" s="14" t="str">
        <f t="shared" ca="1" si="1"/>
        <v>OK</v>
      </c>
    </row>
    <row r="26" spans="1:11" ht="14.25">
      <c r="A26" s="18" t="s">
        <v>2169</v>
      </c>
      <c r="B26" s="3" t="str">
        <f>IFERROR(INDEX(Movimientos!$C$2:$C$1998,MATCH(A26&amp;"ENTRADA",Movimientos!$R$2:$R$1998,0)),"-")</f>
        <v>Colza Nuola 300</v>
      </c>
      <c r="C26" s="3" t="str">
        <f>IFERROR(INDEX(Movimientos!$D$2:$D$1998,MATCH(A26&amp;"ENTRADA",Movimientos!$R$2:$R$1998,0)),"-")</f>
        <v>Nuola 300</v>
      </c>
      <c r="D26" s="3" t="str">
        <f>IFERROR(INDEX(Movimientos!$E$2:$E$1998,MATCH(A26&amp;"ENTRADA",Movimientos!$R$2:$R$1998,0)),"-")</f>
        <v>Semilla</v>
      </c>
      <c r="E26" s="3" t="str">
        <f>IFERROR(INDEX(Movimientos!$F$2:$F$1998,MATCH(A26&amp;"ENTRADA",Movimientos!$R$2:$R$1998,0)),"-")</f>
        <v>Colza</v>
      </c>
      <c r="F26" s="3" t="str">
        <f>IFERROR(INDEX(Movimientos!$G$2:$G$1998,MATCH(A26&amp;"ENTRADA",Movimientos!$R$2:$R$1998,0)),"-")</f>
        <v>Agroterra</v>
      </c>
      <c r="G26" s="3" t="str">
        <f>IFERROR(INDEX(Movimientos!$L$2:$L$1998,MATCH(A26&amp;"ENTRADA",Movimientos!$R$2:$R$1998,0)),"-")</f>
        <v>kg</v>
      </c>
      <c r="H26" s="19" t="str">
        <f>IFERROR(IF(INDEX(Movimientos!$M$2:$M$1998,MATCH(A26&amp;"ENTRADA",Movimientos!$R$2:$R$1998,0))=0,"S/D",INDEX(Movimientos!$M$2:$M$1998,MATCH(A26&amp;"ENTRADA",Movimientos!$R$2:$R$1998,0))),"S/D")</f>
        <v>S/D</v>
      </c>
      <c r="I26" s="16" t="str">
        <f t="shared" ca="1" si="2"/>
        <v>S/D</v>
      </c>
      <c r="J26" s="6">
        <f>IF(A26="","",SUMIFS(Movimientos!$K:$K,Movimientos!$H:$H,A26))</f>
        <v>3200</v>
      </c>
      <c r="K26" s="14" t="str">
        <f t="shared" ca="1" si="1"/>
        <v>OK</v>
      </c>
    </row>
    <row r="27" spans="1:11" ht="14.25">
      <c r="A27" s="18" t="s">
        <v>2170</v>
      </c>
      <c r="B27" s="3" t="str">
        <f>IFERROR(INDEX(Movimientos!$C$2:$C$1998,MATCH(A27&amp;"ENTRADA",Movimientos!$R$2:$R$1998,0)),"-")</f>
        <v>Colza Ceres IMI</v>
      </c>
      <c r="C27" s="3" t="str">
        <f>IFERROR(INDEX(Movimientos!$D$2:$D$1998,MATCH(A27&amp;"ENTRADA",Movimientos!$R$2:$R$1998,0)),"-")</f>
        <v>Ceres IMI</v>
      </c>
      <c r="D27" s="3" t="str">
        <f>IFERROR(INDEX(Movimientos!$E$2:$E$1998,MATCH(A27&amp;"ENTRADA",Movimientos!$R$2:$R$1998,0)),"-")</f>
        <v>Semilla</v>
      </c>
      <c r="E27" s="3" t="str">
        <f>IFERROR(INDEX(Movimientos!$F$2:$F$1998,MATCH(A27&amp;"ENTRADA",Movimientos!$R$2:$R$1998,0)),"-")</f>
        <v>Colza</v>
      </c>
      <c r="F27" s="3" t="str">
        <f>IFERROR(INDEX(Movimientos!$G$2:$G$1998,MATCH(A27&amp;"ENTRADA",Movimientos!$R$2:$R$1998,0)),"-")</f>
        <v>Agroterra</v>
      </c>
      <c r="G27" s="3" t="str">
        <f>IFERROR(INDEX(Movimientos!$L$2:$L$1998,MATCH(A27&amp;"ENTRADA",Movimientos!$R$2:$R$1998,0)),"-")</f>
        <v>kg</v>
      </c>
      <c r="H27" s="19" t="str">
        <f>IFERROR(IF(INDEX(Movimientos!$M$2:$M$1998,MATCH(A27&amp;"ENTRADA",Movimientos!$R$2:$R$1998,0))=0,"S/D",INDEX(Movimientos!$M$2:$M$1998,MATCH(A27&amp;"ENTRADA",Movimientos!$R$2:$R$1998,0))),"S/D")</f>
        <v>S/D</v>
      </c>
      <c r="I27" s="16" t="str">
        <f t="shared" ca="1" si="2"/>
        <v>S/D</v>
      </c>
      <c r="J27" s="6">
        <f>IF(A27="","",SUMIFS(Movimientos!$K:$K,Movimientos!$H:$H,A27))</f>
        <v>1425</v>
      </c>
      <c r="K27" s="14" t="str">
        <f t="shared" ca="1" si="1"/>
        <v>OK</v>
      </c>
    </row>
    <row r="28" spans="1:11" ht="14.25">
      <c r="A28" s="18" t="s">
        <v>2171</v>
      </c>
      <c r="B28" s="3" t="str">
        <f>IFERROR(INDEX(Movimientos!$C$2:$C$1998,MATCH(A28&amp;"ENTRADA",Movimientos!$R$2:$R$1998,0)),"-")</f>
        <v>Festuca Carape</v>
      </c>
      <c r="C28" s="3" t="str">
        <f>IFERROR(INDEX(Movimientos!$D$2:$D$1998,MATCH(A28&amp;"ENTRADA",Movimientos!$R$2:$R$1998,0)),"-")</f>
        <v>Festuca Carape</v>
      </c>
      <c r="D28" s="3" t="str">
        <f>IFERROR(INDEX(Movimientos!$E$2:$E$1998,MATCH(A28&amp;"ENTRADA",Movimientos!$R$2:$R$1998,0)),"-")</f>
        <v>Semilla</v>
      </c>
      <c r="E28" s="3" t="str">
        <f>IFERROR(INDEX(Movimientos!$F$2:$F$1998,MATCH(A28&amp;"ENTRADA",Movimientos!$R$2:$R$1998,0)),"-")</f>
        <v>Festuca</v>
      </c>
      <c r="F28" s="3" t="str">
        <f>IFERROR(INDEX(Movimientos!$G$2:$G$1998,MATCH(A28&amp;"ENTRADA",Movimientos!$R$2:$R$1998,0)),"-")</f>
        <v>Megaagro</v>
      </c>
      <c r="G28" s="3" t="str">
        <f>IFERROR(INDEX(Movimientos!$L$2:$L$1998,MATCH(A28&amp;"ENTRADA",Movimientos!$R$2:$R$1998,0)),"-")</f>
        <v>kg</v>
      </c>
      <c r="H28" s="19" t="str">
        <f>IFERROR(IF(INDEX(Movimientos!$M$2:$M$1998,MATCH(A28&amp;"ENTRADA",Movimientos!$R$2:$R$1998,0))=0,"S/D",INDEX(Movimientos!$M$2:$M$1998,MATCH(A28&amp;"ENTRADA",Movimientos!$R$2:$R$1998,0))),"S/D")</f>
        <v>S/D</v>
      </c>
      <c r="I28" s="16" t="str">
        <f t="shared" ca="1" si="2"/>
        <v>S/D</v>
      </c>
      <c r="J28" s="6">
        <f>IF(A28="","",SUMIFS(Movimientos!$K:$K,Movimientos!$H:$H,A28))</f>
        <v>3400</v>
      </c>
      <c r="K28" s="14" t="str">
        <f t="shared" ca="1" si="1"/>
        <v>OK</v>
      </c>
    </row>
    <row r="29" spans="1:11" ht="14.25">
      <c r="A29" s="18" t="s">
        <v>2172</v>
      </c>
      <c r="B29" s="3" t="str">
        <f>IFERROR(INDEX(Movimientos!$C$2:$C$1998,MATCH(A29&amp;"ENTRADA",Movimientos!$R$2:$R$1998,0)),"-")</f>
        <v>Alfalfa Verdor</v>
      </c>
      <c r="C29" s="3" t="str">
        <f>IFERROR(INDEX(Movimientos!$D$2:$D$1998,MATCH(A29&amp;"ENTRADA",Movimientos!$R$2:$R$1998,0)),"-")</f>
        <v>Alfalfa Verdor momla 384-2n-04</v>
      </c>
      <c r="D29" s="3" t="str">
        <f>IFERROR(INDEX(Movimientos!$E$2:$E$1998,MATCH(A29&amp;"ENTRADA",Movimientos!$R$2:$R$1998,0)),"-")</f>
        <v>Semilla</v>
      </c>
      <c r="E29" s="3" t="str">
        <f>IFERROR(INDEX(Movimientos!$F$2:$F$1998,MATCH(A29&amp;"ENTRADA",Movimientos!$R$2:$R$1998,0)),"-")</f>
        <v>Alfalfa</v>
      </c>
      <c r="F29" s="3" t="str">
        <f>IFERROR(INDEX(Movimientos!$G$2:$G$1998,MATCH(A29&amp;"ENTRADA",Movimientos!$R$2:$R$1998,0)),"-")</f>
        <v>Megaagro</v>
      </c>
      <c r="G29" s="3" t="str">
        <f>IFERROR(INDEX(Movimientos!$L$2:$L$1998,MATCH(A29&amp;"ENTRADA",Movimientos!$R$2:$R$1998,0)),"-")</f>
        <v>kg</v>
      </c>
      <c r="H29" s="19" t="str">
        <f>IFERROR(IF(INDEX(Movimientos!$M$2:$M$1998,MATCH(A29&amp;"ENTRADA",Movimientos!$R$2:$R$1998,0))=0,"S/D",INDEX(Movimientos!$M$2:$M$1998,MATCH(A29&amp;"ENTRADA",Movimientos!$R$2:$R$1998,0))),"S/D")</f>
        <v>S/D</v>
      </c>
      <c r="I29" s="16" t="str">
        <f t="shared" ca="1" si="2"/>
        <v>S/D</v>
      </c>
      <c r="J29" s="6">
        <f>IF(A29="","",SUMIFS(Movimientos!$K:$K,Movimientos!$H:$H,A29))</f>
        <v>375</v>
      </c>
      <c r="K29" s="14" t="str">
        <f t="shared" ca="1" si="1"/>
        <v>OK</v>
      </c>
    </row>
    <row r="30" spans="1:11" ht="14.25">
      <c r="A30" s="18" t="s">
        <v>2173</v>
      </c>
      <c r="B30" s="3" t="str">
        <f>IFERROR(INDEX(Movimientos!$C$2:$C$1998,MATCH(A30&amp;"ENTRADA",Movimientos!$R$2:$R$1998,0)),"-")</f>
        <v>Achicora Inia Nova</v>
      </c>
      <c r="C30" s="3" t="str">
        <f>IFERROR(INDEX(Movimientos!$D$2:$D$1998,MATCH(A30&amp;"ENTRADA",Movimientos!$R$2:$R$1998,0)),"-")</f>
        <v xml:space="preserve">Achicora inia nova </v>
      </c>
      <c r="D30" s="3" t="str">
        <f>IFERROR(INDEX(Movimientos!$E$2:$E$1998,MATCH(A30&amp;"ENTRADA",Movimientos!$R$2:$R$1998,0)),"-")</f>
        <v>Semilla</v>
      </c>
      <c r="E30" s="3" t="str">
        <f>IFERROR(INDEX(Movimientos!$F$2:$F$1998,MATCH(A30&amp;"ENTRADA",Movimientos!$R$2:$R$1998,0)),"-")</f>
        <v>Achicoria</v>
      </c>
      <c r="F30" s="3" t="str">
        <f>IFERROR(INDEX(Movimientos!$G$2:$G$1998,MATCH(A30&amp;"ENTRADA",Movimientos!$R$2:$R$1998,0)),"-")</f>
        <v>Megaagro</v>
      </c>
      <c r="G30" s="3" t="str">
        <f>IFERROR(INDEX(Movimientos!$L$2:$L$1998,MATCH(A30&amp;"ENTRADA",Movimientos!$R$2:$R$1998,0)),"-")</f>
        <v>kg</v>
      </c>
      <c r="H30" s="19" t="str">
        <f>IFERROR(IF(INDEX(Movimientos!$M$2:$M$1998,MATCH(A30&amp;"ENTRADA",Movimientos!$R$2:$R$1998,0))=0,"S/D",INDEX(Movimientos!$M$2:$M$1998,MATCH(A30&amp;"ENTRADA",Movimientos!$R$2:$R$1998,0))),"S/D")</f>
        <v>S/D</v>
      </c>
      <c r="I30" s="16" t="str">
        <f t="shared" ca="1" si="2"/>
        <v>S/D</v>
      </c>
      <c r="J30" s="6">
        <f>IF(A30="","",SUMIFS(Movimientos!$K:$K,Movimientos!$H:$H,A30))</f>
        <v>750</v>
      </c>
      <c r="K30" s="14" t="str">
        <f t="shared" ca="1" si="1"/>
        <v>OK</v>
      </c>
    </row>
    <row r="31" spans="1:11" ht="14.25">
      <c r="A31" s="18" t="s">
        <v>2174</v>
      </c>
      <c r="B31" s="3" t="str">
        <f>IFERROR(INDEX(Movimientos!$C$2:$C$1998,MATCH(A31&amp;"ENTRADA",Movimientos!$R$2:$R$1998,0)),"-")</f>
        <v>Colza Nuola 300</v>
      </c>
      <c r="C31" s="3" t="str">
        <f>IFERROR(INDEX(Movimientos!$D$2:$D$1998,MATCH(A31&amp;"ENTRADA",Movimientos!$R$2:$R$1998,0)),"-")</f>
        <v>Nuola 300</v>
      </c>
      <c r="D31" s="3" t="str">
        <f>IFERROR(INDEX(Movimientos!$E$2:$E$1998,MATCH(A31&amp;"ENTRADA",Movimientos!$R$2:$R$1998,0)),"-")</f>
        <v>Semilla</v>
      </c>
      <c r="E31" s="3" t="str">
        <f>IFERROR(INDEX(Movimientos!$F$2:$F$1998,MATCH(A31&amp;"ENTRADA",Movimientos!$R$2:$R$1998,0)),"-")</f>
        <v>Colza</v>
      </c>
      <c r="F31" s="3" t="str">
        <f>IFERROR(INDEX(Movimientos!$G$2:$G$1998,MATCH(A31&amp;"ENTRADA",Movimientos!$R$2:$R$1998,0)),"-")</f>
        <v>Cargil</v>
      </c>
      <c r="G31" s="3" t="str">
        <f>IFERROR(INDEX(Movimientos!$L$2:$L$1998,MATCH(A31&amp;"ENTRADA",Movimientos!$R$2:$R$1998,0)),"-")</f>
        <v>kg</v>
      </c>
      <c r="H31" s="19" t="str">
        <f>IFERROR(IF(INDEX(Movimientos!$M$2:$M$1998,MATCH(A31&amp;"ENTRADA",Movimientos!$R$2:$R$1998,0))=0,"S/D",INDEX(Movimientos!$M$2:$M$1998,MATCH(A31&amp;"ENTRADA",Movimientos!$R$2:$R$1998,0))),"S/D")</f>
        <v>S/D</v>
      </c>
      <c r="I31" s="16" t="str">
        <f t="shared" ca="1" si="2"/>
        <v>S/D</v>
      </c>
      <c r="J31" s="6">
        <f>IF(A31="","",SUMIFS(Movimientos!$K:$K,Movimientos!$H:$H,A31))</f>
        <v>1600</v>
      </c>
      <c r="K31" s="14" t="str">
        <f t="shared" ca="1" si="1"/>
        <v>OK</v>
      </c>
    </row>
    <row r="32" spans="1:11" ht="14.25">
      <c r="A32" s="18" t="s">
        <v>2175</v>
      </c>
      <c r="B32" s="3" t="str">
        <f>IFERROR(INDEX(Movimientos!$C$2:$C$1998,MATCH(A32&amp;"ENTRADA",Movimientos!$R$2:$R$1998,0)),"-")</f>
        <v xml:space="preserve">Festuca Sortija C2 </v>
      </c>
      <c r="C32" s="3" t="str">
        <f>IFERROR(INDEX(Movimientos!$D$2:$D$1998,MATCH(A32&amp;"ENTRADA",Movimientos!$R$2:$R$1998,0)),"-")</f>
        <v>Festuca Sortija C2</v>
      </c>
      <c r="D32" s="3" t="str">
        <f>IFERROR(INDEX(Movimientos!$E$2:$E$1998,MATCH(A32&amp;"ENTRADA",Movimientos!$R$2:$R$1998,0)),"-")</f>
        <v>Semilla</v>
      </c>
      <c r="E32" s="3" t="str">
        <f>IFERROR(INDEX(Movimientos!$F$2:$F$1998,MATCH(A32&amp;"ENTRADA",Movimientos!$R$2:$R$1998,0)),"-")</f>
        <v>Festuca</v>
      </c>
      <c r="F32" s="3" t="str">
        <f>IFERROR(INDEX(Movimientos!$G$2:$G$1998,MATCH(A32&amp;"ENTRADA",Movimientos!$R$2:$R$1998,0)),"-")</f>
        <v>Agrofuturo</v>
      </c>
      <c r="G32" s="3" t="str">
        <f>IFERROR(INDEX(Movimientos!$L$2:$L$1998,MATCH(A32&amp;"ENTRADA",Movimientos!$R$2:$R$1998,0)),"-")</f>
        <v>kg</v>
      </c>
      <c r="H32" s="19" t="str">
        <f>IFERROR(IF(INDEX(Movimientos!$M$2:$M$1998,MATCH(A32&amp;"ENTRADA",Movimientos!$R$2:$R$1998,0))=0,"S/D",INDEX(Movimientos!$M$2:$M$1998,MATCH(A32&amp;"ENTRADA",Movimientos!$R$2:$R$1998,0))),"S/D")</f>
        <v>S/D</v>
      </c>
      <c r="I32" s="16" t="str">
        <f t="shared" ca="1" si="2"/>
        <v>S/D</v>
      </c>
      <c r="J32" s="6">
        <f>IF(A32="","",SUMIFS(Movimientos!$K:$K,Movimientos!$H:$H,A32))</f>
        <v>6800</v>
      </c>
      <c r="K32" s="14" t="str">
        <f t="shared" ca="1" si="1"/>
        <v>OK</v>
      </c>
    </row>
    <row r="33" spans="1:11" ht="14.25">
      <c r="A33" s="18" t="s">
        <v>2176</v>
      </c>
      <c r="B33" s="3" t="str">
        <f>IFERROR(INDEX(Movimientos!$C$2:$C$1998,MATCH(A33&amp;"ENTRADA",Movimientos!$R$2:$R$1998,0)),"-")</f>
        <v>Dactylis Drover</v>
      </c>
      <c r="C33" s="3" t="str">
        <f>IFERROR(INDEX(Movimientos!$D$2:$D$1998,MATCH(A33&amp;"ENTRADA",Movimientos!$R$2:$R$1998,0)),"-")</f>
        <v>Dactylis Drover ecotec af gram c2</v>
      </c>
      <c r="D33" s="3" t="str">
        <f>IFERROR(INDEX(Movimientos!$E$2:$E$1998,MATCH(A33&amp;"ENTRADA",Movimientos!$R$2:$R$1998,0)),"-")</f>
        <v>Semilla</v>
      </c>
      <c r="E33" s="3" t="str">
        <f>IFERROR(INDEX(Movimientos!$F$2:$F$1998,MATCH(A33&amp;"ENTRADA",Movimientos!$R$2:$R$1998,0)),"-")</f>
        <v>Dactylis</v>
      </c>
      <c r="F33" s="3" t="str">
        <f>IFERROR(INDEX(Movimientos!$G$2:$G$1998,MATCH(A33&amp;"ENTRADA",Movimientos!$R$2:$R$1998,0)),"-")</f>
        <v>Agrofuturo</v>
      </c>
      <c r="G33" s="3" t="str">
        <f>IFERROR(INDEX(Movimientos!$L$2:$L$1998,MATCH(A33&amp;"ENTRADA",Movimientos!$R$2:$R$1998,0)),"-")</f>
        <v>kg</v>
      </c>
      <c r="H33" s="19" t="str">
        <f>IFERROR(IF(INDEX(Movimientos!$M$2:$M$1998,MATCH(A33&amp;"ENTRADA",Movimientos!$R$2:$R$1998,0))=0,"S/D",INDEX(Movimientos!$M$2:$M$1998,MATCH(A33&amp;"ENTRADA",Movimientos!$R$2:$R$1998,0))),"S/D")</f>
        <v>S/D</v>
      </c>
      <c r="I33" s="16" t="str">
        <f t="shared" ca="1" si="2"/>
        <v>S/D</v>
      </c>
      <c r="J33" s="6">
        <f>IF(A33="","",SUMIFS(Movimientos!$K:$K,Movimientos!$H:$H,A33))</f>
        <v>975</v>
      </c>
      <c r="K33" s="14" t="str">
        <f t="shared" ca="1" si="1"/>
        <v>OK</v>
      </c>
    </row>
    <row r="34" spans="1:11" ht="14.25">
      <c r="A34" s="18" t="s">
        <v>2177</v>
      </c>
      <c r="B34" s="3" t="str">
        <f>IFERROR(INDEX(Movimientos!$C$2:$C$1998,MATCH(A34&amp;"ENTRADA",Movimientos!$R$2:$R$1998,0)),"-")</f>
        <v>Trebol Blanco E Zapican</v>
      </c>
      <c r="C34" s="3" t="str">
        <f>IFERROR(INDEX(Movimientos!$D$2:$D$1998,MATCH(A34&amp;"ENTRADA",Movimientos!$R$2:$R$1998,0)),"-")</f>
        <v>Trebol Blanco E Zapican Ecotec AF</v>
      </c>
      <c r="D34" s="3" t="str">
        <f>IFERROR(INDEX(Movimientos!$E$2:$E$1998,MATCH(A34&amp;"ENTRADA",Movimientos!$R$2:$R$1998,0)),"-")</f>
        <v>Semilla</v>
      </c>
      <c r="E34" s="3" t="str">
        <f>IFERROR(INDEX(Movimientos!$F$2:$F$1998,MATCH(A34&amp;"ENTRADA",Movimientos!$R$2:$R$1998,0)),"-")</f>
        <v>Trebol Blanco</v>
      </c>
      <c r="F34" s="3" t="str">
        <f>IFERROR(INDEX(Movimientos!$G$2:$G$1998,MATCH(A34&amp;"ENTRADA",Movimientos!$R$2:$R$1998,0)),"-")</f>
        <v>Agrofuturo</v>
      </c>
      <c r="G34" s="3" t="str">
        <f>IFERROR(INDEX(Movimientos!$L$2:$L$1998,MATCH(A34&amp;"ENTRADA",Movimientos!$R$2:$R$1998,0)),"-")</f>
        <v>kg</v>
      </c>
      <c r="H34" s="19" t="str">
        <f>IFERROR(IF(INDEX(Movimientos!$M$2:$M$1998,MATCH(A34&amp;"ENTRADA",Movimientos!$R$2:$R$1998,0))=0,"S/D",INDEX(Movimientos!$M$2:$M$1998,MATCH(A34&amp;"ENTRADA",Movimientos!$R$2:$R$1998,0))),"S/D")</f>
        <v>S/D</v>
      </c>
      <c r="I34" s="16" t="str">
        <f t="shared" ca="1" si="2"/>
        <v>S/D</v>
      </c>
      <c r="J34" s="6">
        <f>IF(A34="","",SUMIFS(Movimientos!$K:$K,Movimientos!$H:$H,A34))</f>
        <v>1375</v>
      </c>
      <c r="K34" s="14" t="str">
        <f t="shared" ca="1" si="1"/>
        <v>OK</v>
      </c>
    </row>
    <row r="35" spans="1:11" ht="14.25">
      <c r="A35" s="18" t="s">
        <v>2178</v>
      </c>
      <c r="B35" s="3" t="str">
        <f>IFERROR(INDEX(Movimientos!$C$2:$C$1998,MATCH(A35&amp;"ENTRADA",Movimientos!$R$2:$R$1998,0)),"-")</f>
        <v>Trebol Rojo E116</v>
      </c>
      <c r="C35" s="3" t="str">
        <f>IFERROR(INDEX(Movimientos!$D$2:$D$1998,MATCH(A35&amp;"ENTRADA",Movimientos!$R$2:$R$1998,0)),"-")</f>
        <v>Trebol Rojo E116 Ecotec AF</v>
      </c>
      <c r="D35" s="3" t="str">
        <f>IFERROR(INDEX(Movimientos!$E$2:$E$1998,MATCH(A35&amp;"ENTRADA",Movimientos!$R$2:$R$1998,0)),"-")</f>
        <v>Semilla</v>
      </c>
      <c r="E35" s="3" t="str">
        <f>IFERROR(INDEX(Movimientos!$F$2:$F$1998,MATCH(A35&amp;"ENTRADA",Movimientos!$R$2:$R$1998,0)),"-")</f>
        <v xml:space="preserve">Trebol Rojo </v>
      </c>
      <c r="F35" s="3" t="str">
        <f>IFERROR(INDEX(Movimientos!$G$2:$G$1998,MATCH(A35&amp;"ENTRADA",Movimientos!$R$2:$R$1998,0)),"-")</f>
        <v>Agrofuturo</v>
      </c>
      <c r="G35" s="3" t="str">
        <f>IFERROR(INDEX(Movimientos!$L$2:$L$1998,MATCH(A35&amp;"ENTRADA",Movimientos!$R$2:$R$1998,0)),"-")</f>
        <v>kg</v>
      </c>
      <c r="H35" s="19" t="str">
        <f>IFERROR(IF(INDEX(Movimientos!$M$2:$M$1998,MATCH(A35&amp;"ENTRADA",Movimientos!$R$2:$R$1998,0))=0,"S/D",INDEX(Movimientos!$M$2:$M$1998,MATCH(A35&amp;"ENTRADA",Movimientos!$R$2:$R$1998,0))),"S/D")</f>
        <v>S/D</v>
      </c>
      <c r="I35" s="16" t="str">
        <f t="shared" ca="1" si="2"/>
        <v>S/D</v>
      </c>
      <c r="J35" s="6">
        <f>IF(A35="","",SUMIFS(Movimientos!$K:$K,Movimientos!$H:$H,A35))</f>
        <v>450</v>
      </c>
      <c r="K35" s="14" t="str">
        <f t="shared" ca="1" si="1"/>
        <v>OK</v>
      </c>
    </row>
    <row r="36" spans="1:11" ht="14.25">
      <c r="A36" s="18" t="s">
        <v>2179</v>
      </c>
      <c r="B36" s="3" t="str">
        <f>IFERROR(INDEX(Movimientos!$C$2:$C$1998,MATCH(A36&amp;"ENTRADA",Movimientos!$R$2:$R$1998,0)),"-")</f>
        <v>Phalaris Stockman Comb</v>
      </c>
      <c r="C36" s="3" t="str">
        <f>IFERROR(INDEX(Movimientos!$D$2:$D$1998,MATCH(A36&amp;"ENTRADA",Movimientos!$R$2:$R$1998,0)),"-")</f>
        <v>Phalaris Stockman Comb</v>
      </c>
      <c r="D36" s="3" t="str">
        <f>IFERROR(INDEX(Movimientos!$E$2:$E$1998,MATCH(A36&amp;"ENTRADA",Movimientos!$R$2:$R$1998,0)),"-")</f>
        <v>Semilla</v>
      </c>
      <c r="E36" s="3" t="str">
        <f>IFERROR(INDEX(Movimientos!$F$2:$F$1998,MATCH(A36&amp;"ENTRADA",Movimientos!$R$2:$R$1998,0)),"-")</f>
        <v>Phalaris</v>
      </c>
      <c r="F36" s="3" t="str">
        <f>IFERROR(INDEX(Movimientos!$G$2:$G$1998,MATCH(A36&amp;"ENTRADA",Movimientos!$R$2:$R$1998,0)),"-")</f>
        <v>Agrofuturo</v>
      </c>
      <c r="G36" s="3" t="str">
        <f>IFERROR(INDEX(Movimientos!$L$2:$L$1998,MATCH(A36&amp;"ENTRADA",Movimientos!$R$2:$R$1998,0)),"-")</f>
        <v>kg</v>
      </c>
      <c r="H36" s="19" t="str">
        <f>IFERROR(IF(INDEX(Movimientos!$M$2:$M$1998,MATCH(A36&amp;"ENTRADA",Movimientos!$R$2:$R$1998,0))=0,"S/D",INDEX(Movimientos!$M$2:$M$1998,MATCH(A36&amp;"ENTRADA",Movimientos!$R$2:$R$1998,0))),"S/D")</f>
        <v>S/D</v>
      </c>
      <c r="I36" s="16" t="str">
        <f t="shared" ca="1" si="2"/>
        <v>S/D</v>
      </c>
      <c r="J36" s="6">
        <f>IF(A36="","",SUMIFS(Movimientos!$K:$K,Movimientos!$H:$H,A36))</f>
        <v>275</v>
      </c>
      <c r="K36" s="14" t="str">
        <f t="shared" ca="1" si="1"/>
        <v>OK</v>
      </c>
    </row>
    <row r="37" spans="1:11" ht="14.25">
      <c r="A37" s="18" t="s">
        <v>2180</v>
      </c>
      <c r="B37" s="3" t="str">
        <f>IFERROR(INDEX(Movimientos!$C$2:$C$1998,MATCH(A37&amp;"ENTRADA",Movimientos!$R$2:$R$1998,0)),"-")</f>
        <v>-</v>
      </c>
      <c r="C37" s="3" t="str">
        <f>IFERROR(INDEX(Movimientos!$D$2:$D$1998,MATCH(A37&amp;"ENTRADA",Movimientos!$R$2:$R$1998,0)),"-")</f>
        <v>-</v>
      </c>
      <c r="D37" s="3" t="str">
        <f>IFERROR(INDEX(Movimientos!$E$2:$E$1998,MATCH(A37&amp;"ENTRADA",Movimientos!$R$2:$R$1998,0)),"-")</f>
        <v>-</v>
      </c>
      <c r="E37" s="3" t="str">
        <f>IFERROR(INDEX(Movimientos!$F$2:$F$1998,MATCH(A37&amp;"ENTRADA",Movimientos!$R$2:$R$1998,0)),"-")</f>
        <v>-</v>
      </c>
      <c r="F37" s="3" t="str">
        <f>IFERROR(INDEX(Movimientos!$G$2:$G$1998,MATCH(A37&amp;"ENTRADA",Movimientos!$R$2:$R$1998,0)),"-")</f>
        <v>-</v>
      </c>
      <c r="G37" s="3" t="str">
        <f>IFERROR(INDEX(Movimientos!$L$2:$L$1998,MATCH(A37&amp;"ENTRADA",Movimientos!$R$2:$R$1998,0)),"-")</f>
        <v>-</v>
      </c>
      <c r="H37" s="19" t="str">
        <f>IFERROR(IF(INDEX(Movimientos!$M$2:$M$1998,MATCH(A37&amp;"ENTRADA",Movimientos!$R$2:$R$1998,0))=0,"S/D",INDEX(Movimientos!$M$2:$M$1998,MATCH(A37&amp;"ENTRADA",Movimientos!$R$2:$R$1998,0))),"S/D")</f>
        <v>S/D</v>
      </c>
      <c r="I37" s="16" t="str">
        <f t="shared" ca="1" si="2"/>
        <v>S/D</v>
      </c>
      <c r="J37" s="6">
        <f>IF(A37="","",SUMIFS(Movimientos!$K:$K,Movimientos!$H:$H,A37))</f>
        <v>0</v>
      </c>
      <c r="K37" s="14" t="str">
        <f t="shared" ca="1" si="1"/>
        <v>SIN STOCK</v>
      </c>
    </row>
    <row r="38" spans="1:11" ht="14.25">
      <c r="A38" s="18" t="s">
        <v>2181</v>
      </c>
      <c r="B38" s="3" t="str">
        <f>IFERROR(INDEX(Movimientos!$C$2:$C$1998,MATCH(A38&amp;"ENTRADA",Movimientos!$R$2:$R$1998,0)),"-")</f>
        <v>-</v>
      </c>
      <c r="C38" s="3" t="str">
        <f>IFERROR(INDEX(Movimientos!$D$2:$D$1998,MATCH(A38&amp;"ENTRADA",Movimientos!$R$2:$R$1998,0)),"-")</f>
        <v>-</v>
      </c>
      <c r="D38" s="3" t="str">
        <f>IFERROR(INDEX(Movimientos!$E$2:$E$1998,MATCH(A38&amp;"ENTRADA",Movimientos!$R$2:$R$1998,0)),"-")</f>
        <v>-</v>
      </c>
      <c r="E38" s="3" t="str">
        <f>IFERROR(INDEX(Movimientos!$F$2:$F$1998,MATCH(A38&amp;"ENTRADA",Movimientos!$R$2:$R$1998,0)),"-")</f>
        <v>-</v>
      </c>
      <c r="F38" s="3" t="str">
        <f>IFERROR(INDEX(Movimientos!$G$2:$G$1998,MATCH(A38&amp;"ENTRADA",Movimientos!$R$2:$R$1998,0)),"-")</f>
        <v>-</v>
      </c>
      <c r="G38" s="3" t="str">
        <f>IFERROR(INDEX(Movimientos!$L$2:$L$1998,MATCH(A38&amp;"ENTRADA",Movimientos!$R$2:$R$1998,0)),"-")</f>
        <v>-</v>
      </c>
      <c r="H38" s="19" t="str">
        <f>IFERROR(IF(INDEX(Movimientos!$M$2:$M$1998,MATCH(A38&amp;"ENTRADA",Movimientos!$R$2:$R$1998,0))=0,"S/D",INDEX(Movimientos!$M$2:$M$1998,MATCH(A38&amp;"ENTRADA",Movimientos!$R$2:$R$1998,0))),"S/D")</f>
        <v>S/D</v>
      </c>
      <c r="I38" s="16" t="str">
        <f t="shared" ca="1" si="2"/>
        <v>S/D</v>
      </c>
      <c r="J38" s="6">
        <f>IF(A38="","",SUMIFS(Movimientos!$K:$K,Movimientos!$H:$H,A38))</f>
        <v>0</v>
      </c>
      <c r="K38" s="14" t="str">
        <f t="shared" ca="1" si="1"/>
        <v>SIN STOCK</v>
      </c>
    </row>
    <row r="39" spans="1:11" ht="14.25">
      <c r="A39" s="18" t="s">
        <v>2182</v>
      </c>
      <c r="B39" s="3" t="str">
        <f>IFERROR(INDEX(Movimientos!$C$2:$C$1998,MATCH(A39&amp;"ENTRADA",Movimientos!$R$2:$R$1998,0)),"-")</f>
        <v>-</v>
      </c>
      <c r="C39" s="3" t="str">
        <f>IFERROR(INDEX(Movimientos!$D$2:$D$1998,MATCH(A39&amp;"ENTRADA",Movimientos!$R$2:$R$1998,0)),"-")</f>
        <v>-</v>
      </c>
      <c r="D39" s="3" t="str">
        <f>IFERROR(INDEX(Movimientos!$E$2:$E$1998,MATCH(A39&amp;"ENTRADA",Movimientos!$R$2:$R$1998,0)),"-")</f>
        <v>-</v>
      </c>
      <c r="E39" s="3" t="str">
        <f>IFERROR(INDEX(Movimientos!$F$2:$F$1998,MATCH(A39&amp;"ENTRADA",Movimientos!$R$2:$R$1998,0)),"-")</f>
        <v>-</v>
      </c>
      <c r="F39" s="3" t="str">
        <f>IFERROR(INDEX(Movimientos!$G$2:$G$1998,MATCH(A39&amp;"ENTRADA",Movimientos!$R$2:$R$1998,0)),"-")</f>
        <v>-</v>
      </c>
      <c r="G39" s="3" t="str">
        <f>IFERROR(INDEX(Movimientos!$L$2:$L$1998,MATCH(A39&amp;"ENTRADA",Movimientos!$R$2:$R$1998,0)),"-")</f>
        <v>-</v>
      </c>
      <c r="H39" s="19" t="str">
        <f>IFERROR(IF(INDEX(Movimientos!$M$2:$M$1998,MATCH(A39&amp;"ENTRADA",Movimientos!$R$2:$R$1998,0))=0,"S/D",INDEX(Movimientos!$M$2:$M$1998,MATCH(A39&amp;"ENTRADA",Movimientos!$R$2:$R$1998,0))),"S/D")</f>
        <v>S/D</v>
      </c>
      <c r="I39" s="16" t="str">
        <f t="shared" ca="1" si="2"/>
        <v>S/D</v>
      </c>
      <c r="J39" s="6">
        <f>IF(A39="","",SUMIFS(Movimientos!$K:$K,Movimientos!$H:$H,A39))</f>
        <v>0</v>
      </c>
      <c r="K39" s="14" t="str">
        <f t="shared" ca="1" si="1"/>
        <v>SIN STOCK</v>
      </c>
    </row>
    <row r="40" spans="1:11" ht="14.25">
      <c r="A40" s="18" t="s">
        <v>2183</v>
      </c>
      <c r="B40" s="3" t="str">
        <f>IFERROR(INDEX(Movimientos!$C$2:$C$1998,MATCH(A40&amp;"ENTRADA",Movimientos!$R$2:$R$1998,0)),"-")</f>
        <v>-</v>
      </c>
      <c r="C40" s="3" t="str">
        <f>IFERROR(INDEX(Movimientos!$D$2:$D$1998,MATCH(A40&amp;"ENTRADA",Movimientos!$R$2:$R$1998,0)),"-")</f>
        <v>-</v>
      </c>
      <c r="D40" s="3" t="str">
        <f>IFERROR(INDEX(Movimientos!$E$2:$E$1998,MATCH(A40&amp;"ENTRADA",Movimientos!$R$2:$R$1998,0)),"-")</f>
        <v>-</v>
      </c>
      <c r="E40" s="3" t="str">
        <f>IFERROR(INDEX(Movimientos!$F$2:$F$1998,MATCH(A40&amp;"ENTRADA",Movimientos!$R$2:$R$1998,0)),"-")</f>
        <v>-</v>
      </c>
      <c r="F40" s="3" t="str">
        <f>IFERROR(INDEX(Movimientos!$G$2:$G$1998,MATCH(A40&amp;"ENTRADA",Movimientos!$R$2:$R$1998,0)),"-")</f>
        <v>-</v>
      </c>
      <c r="G40" s="3" t="str">
        <f>IFERROR(INDEX(Movimientos!$L$2:$L$1998,MATCH(A40&amp;"ENTRADA",Movimientos!$R$2:$R$1998,0)),"-")</f>
        <v>-</v>
      </c>
      <c r="H40" s="19" t="str">
        <f>IFERROR(IF(INDEX(Movimientos!$M$2:$M$1998,MATCH(A40&amp;"ENTRADA",Movimientos!$R$2:$R$1998,0))=0,"S/D",INDEX(Movimientos!$M$2:$M$1998,MATCH(A40&amp;"ENTRADA",Movimientos!$R$2:$R$1998,0))),"S/D")</f>
        <v>S/D</v>
      </c>
      <c r="I40" s="16" t="str">
        <f t="shared" ca="1" si="2"/>
        <v>S/D</v>
      </c>
      <c r="J40" s="6">
        <f>IF(A40="","",SUMIFS(Movimientos!$K:$K,Movimientos!$H:$H,A40))</f>
        <v>0</v>
      </c>
      <c r="K40" s="14" t="str">
        <f t="shared" ca="1" si="1"/>
        <v>SIN STOCK</v>
      </c>
    </row>
    <row r="41" spans="1:11" ht="14.25">
      <c r="A41" s="18" t="s">
        <v>2184</v>
      </c>
      <c r="B41" s="3" t="str">
        <f>IFERROR(INDEX(Movimientos!$C$2:$C$1998,MATCH(A41&amp;"ENTRADA",Movimientos!$R$2:$R$1998,0)),"-")</f>
        <v>-</v>
      </c>
      <c r="C41" s="3" t="str">
        <f>IFERROR(INDEX(Movimientos!$D$2:$D$1998,MATCH(A41&amp;"ENTRADA",Movimientos!$R$2:$R$1998,0)),"-")</f>
        <v>-</v>
      </c>
      <c r="D41" s="3" t="str">
        <f>IFERROR(INDEX(Movimientos!$E$2:$E$1998,MATCH(A41&amp;"ENTRADA",Movimientos!$R$2:$R$1998,0)),"-")</f>
        <v>-</v>
      </c>
      <c r="E41" s="3" t="str">
        <f>IFERROR(INDEX(Movimientos!$F$2:$F$1998,MATCH(A41&amp;"ENTRADA",Movimientos!$R$2:$R$1998,0)),"-")</f>
        <v>-</v>
      </c>
      <c r="F41" s="3" t="str">
        <f>IFERROR(INDEX(Movimientos!$G$2:$G$1998,MATCH(A41&amp;"ENTRADA",Movimientos!$R$2:$R$1998,0)),"-")</f>
        <v>-</v>
      </c>
      <c r="G41" s="3" t="str">
        <f>IFERROR(INDEX(Movimientos!$L$2:$L$1998,MATCH(A41&amp;"ENTRADA",Movimientos!$R$2:$R$1998,0)),"-")</f>
        <v>-</v>
      </c>
      <c r="H41" s="19" t="str">
        <f>IFERROR(IF(INDEX(Movimientos!$M$2:$M$1998,MATCH(A41&amp;"ENTRADA",Movimientos!$R$2:$R$1998,0))=0,"S/D",INDEX(Movimientos!$M$2:$M$1998,MATCH(A41&amp;"ENTRADA",Movimientos!$R$2:$R$1998,0))),"S/D")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1"/>
        <v>SIN STOCK</v>
      </c>
    </row>
    <row r="42" spans="1:11" ht="14.25">
      <c r="A42" s="18" t="s">
        <v>2185</v>
      </c>
      <c r="B42" s="3" t="str">
        <f>IFERROR(INDEX(Movimientos!$C$2:$C$1998,MATCH(A42&amp;"ENTRADA",Movimientos!$R$2:$R$1998,0)),"-")</f>
        <v>-</v>
      </c>
      <c r="C42" s="3" t="str">
        <f>IFERROR(INDEX(Movimientos!$D$2:$D$1998,MATCH(A42&amp;"ENTRADA",Movimientos!$R$2:$R$1998,0)),"-")</f>
        <v>-</v>
      </c>
      <c r="D42" s="3" t="str">
        <f>IFERROR(INDEX(Movimientos!$E$2:$E$1998,MATCH(A42&amp;"ENTRADA",Movimientos!$R$2:$R$1998,0)),"-")</f>
        <v>-</v>
      </c>
      <c r="E42" s="3" t="str">
        <f>IFERROR(INDEX(Movimientos!$F$2:$F$1998,MATCH(A42&amp;"ENTRADA",Movimientos!$R$2:$R$1998,0)),"-")</f>
        <v>-</v>
      </c>
      <c r="F42" s="3" t="str">
        <f>IFERROR(INDEX(Movimientos!$G$2:$G$1998,MATCH(A42&amp;"ENTRADA",Movimientos!$R$2:$R$1998,0)),"-")</f>
        <v>-</v>
      </c>
      <c r="G42" s="3" t="str">
        <f>IFERROR(INDEX(Movimientos!$L$2:$L$1998,MATCH(A42&amp;"ENTRADA",Movimientos!$R$2:$R$1998,0)),"-")</f>
        <v>-</v>
      </c>
      <c r="H42" s="19" t="str">
        <f>IFERROR(IF(INDEX(Movimientos!$M$2:$M$1998,MATCH(A42&amp;"ENTRADA",Movimientos!$R$2:$R$1998,0))=0,"S/D",INDEX(Movimientos!$M$2:$M$1998,MATCH(A42&amp;"ENTRADA",Movimientos!$R$2:$R$1998,0))),"S/D")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1"/>
        <v>SIN STOCK</v>
      </c>
    </row>
    <row r="43" spans="1:11" ht="14.25">
      <c r="A43" s="18" t="s">
        <v>2186</v>
      </c>
      <c r="B43" s="3" t="str">
        <f>IFERROR(INDEX(Movimientos!$C$2:$C$1998,MATCH(A43&amp;"ENTRADA",Movimientos!$R$2:$R$1998,0)),"-")</f>
        <v>-</v>
      </c>
      <c r="C43" s="3" t="str">
        <f>IFERROR(INDEX(Movimientos!$D$2:$D$1998,MATCH(A43&amp;"ENTRADA",Movimientos!$R$2:$R$1998,0)),"-")</f>
        <v>-</v>
      </c>
      <c r="D43" s="3" t="str">
        <f>IFERROR(INDEX(Movimientos!$E$2:$E$1998,MATCH(A43&amp;"ENTRADA",Movimientos!$R$2:$R$1998,0)),"-")</f>
        <v>-</v>
      </c>
      <c r="E43" s="3" t="str">
        <f>IFERROR(INDEX(Movimientos!$F$2:$F$1998,MATCH(A43&amp;"ENTRADA",Movimientos!$R$2:$R$1998,0)),"-")</f>
        <v>-</v>
      </c>
      <c r="F43" s="3" t="str">
        <f>IFERROR(INDEX(Movimientos!$G$2:$G$1998,MATCH(A43&amp;"ENTRADA",Movimientos!$R$2:$R$1998,0)),"-")</f>
        <v>-</v>
      </c>
      <c r="G43" s="3" t="str">
        <f>IFERROR(INDEX(Movimientos!$L$2:$L$1998,MATCH(A43&amp;"ENTRADA",Movimientos!$R$2:$R$1998,0)),"-")</f>
        <v>-</v>
      </c>
      <c r="H43" s="19" t="str">
        <f>IFERROR(IF(INDEX(Movimientos!$M$2:$M$1998,MATCH(A43&amp;"ENTRADA",Movimientos!$R$2:$R$1998,0))=0,"S/D",INDEX(Movimientos!$M$2:$M$1998,MATCH(A43&amp;"ENTRADA",Movimientos!$R$2:$R$1998,0))),"S/D")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1"/>
        <v>SIN STOCK</v>
      </c>
    </row>
    <row r="44" spans="1:11" ht="14.25">
      <c r="A44" s="18" t="s">
        <v>2187</v>
      </c>
      <c r="B44" s="3" t="str">
        <f>IFERROR(INDEX(Movimientos!$C$2:$C$1998,MATCH(A44&amp;"ENTRADA",Movimientos!$R$2:$R$1998,0)),"-")</f>
        <v>-</v>
      </c>
      <c r="C44" s="3" t="str">
        <f>IFERROR(INDEX(Movimientos!$D$2:$D$1998,MATCH(A44&amp;"ENTRADA",Movimientos!$R$2:$R$1998,0)),"-")</f>
        <v>-</v>
      </c>
      <c r="D44" s="3" t="str">
        <f>IFERROR(INDEX(Movimientos!$E$2:$E$1998,MATCH(A44&amp;"ENTRADA",Movimientos!$R$2:$R$1998,0)),"-")</f>
        <v>-</v>
      </c>
      <c r="E44" s="3" t="str">
        <f>IFERROR(INDEX(Movimientos!$F$2:$F$1998,MATCH(A44&amp;"ENTRADA",Movimientos!$R$2:$R$1998,0)),"-")</f>
        <v>-</v>
      </c>
      <c r="F44" s="3" t="str">
        <f>IFERROR(INDEX(Movimientos!$G$2:$G$1998,MATCH(A44&amp;"ENTRADA",Movimientos!$R$2:$R$1998,0)),"-")</f>
        <v>-</v>
      </c>
      <c r="G44" s="3" t="str">
        <f>IFERROR(INDEX(Movimientos!$L$2:$L$1998,MATCH(A44&amp;"ENTRADA",Movimientos!$R$2:$R$1998,0)),"-")</f>
        <v>-</v>
      </c>
      <c r="H44" s="19" t="str">
        <f>IFERROR(IF(INDEX(Movimientos!$M$2:$M$1998,MATCH(A44&amp;"ENTRADA",Movimientos!$R$2:$R$1998,0))=0,"S/D",INDEX(Movimientos!$M$2:$M$1998,MATCH(A44&amp;"ENTRADA",Movimientos!$R$2:$R$1998,0))),"S/D")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1"/>
        <v>SIN STOCK</v>
      </c>
    </row>
    <row r="45" spans="1:11" ht="14.25">
      <c r="A45" s="18" t="s">
        <v>2188</v>
      </c>
      <c r="B45" s="3" t="str">
        <f>IFERROR(INDEX(Movimientos!$C$2:$C$1998,MATCH(A45&amp;"ENTRADA",Movimientos!$R$2:$R$1998,0)),"-")</f>
        <v>-</v>
      </c>
      <c r="C45" s="3" t="str">
        <f>IFERROR(INDEX(Movimientos!$D$2:$D$1998,MATCH(A45&amp;"ENTRADA",Movimientos!$R$2:$R$1998,0)),"-")</f>
        <v>-</v>
      </c>
      <c r="D45" s="3" t="str">
        <f>IFERROR(INDEX(Movimientos!$E$2:$E$1998,MATCH(A45&amp;"ENTRADA",Movimientos!$R$2:$R$1998,0)),"-")</f>
        <v>-</v>
      </c>
      <c r="E45" s="3" t="str">
        <f>IFERROR(INDEX(Movimientos!$F$2:$F$1998,MATCH(A45&amp;"ENTRADA",Movimientos!$R$2:$R$1998,0)),"-")</f>
        <v>-</v>
      </c>
      <c r="F45" s="3" t="str">
        <f>IFERROR(INDEX(Movimientos!$G$2:$G$1998,MATCH(A45&amp;"ENTRADA",Movimientos!$R$2:$R$1998,0)),"-")</f>
        <v>-</v>
      </c>
      <c r="G45" s="3" t="str">
        <f>IFERROR(INDEX(Movimientos!$L$2:$L$1998,MATCH(A45&amp;"ENTRADA",Movimientos!$R$2:$R$1998,0)),"-")</f>
        <v>-</v>
      </c>
      <c r="H45" s="19" t="str">
        <f>IFERROR(IF(INDEX(Movimientos!$M$2:$M$1998,MATCH(A45&amp;"ENTRADA",Movimientos!$R$2:$R$1998,0))=0,"S/D",INDEX(Movimientos!$M$2:$M$1998,MATCH(A45&amp;"ENTRADA",Movimientos!$R$2:$R$1998,0))),"S/D")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1"/>
        <v>SIN STOCK</v>
      </c>
    </row>
    <row r="46" spans="1:11" ht="14.25">
      <c r="A46" s="18" t="s">
        <v>2189</v>
      </c>
      <c r="B46" s="3" t="str">
        <f>IFERROR(INDEX(Movimientos!$C$2:$C$1998,MATCH(A46&amp;"ENTRADA",Movimientos!$R$2:$R$1998,0)),"-")</f>
        <v>-</v>
      </c>
      <c r="C46" s="3" t="str">
        <f>IFERROR(INDEX(Movimientos!$D$2:$D$1998,MATCH(A46&amp;"ENTRADA",Movimientos!$R$2:$R$1998,0)),"-")</f>
        <v>-</v>
      </c>
      <c r="D46" s="3" t="str">
        <f>IFERROR(INDEX(Movimientos!$E$2:$E$1998,MATCH(A46&amp;"ENTRADA",Movimientos!$R$2:$R$1998,0)),"-")</f>
        <v>-</v>
      </c>
      <c r="E46" s="3" t="str">
        <f>IFERROR(INDEX(Movimientos!$F$2:$F$1998,MATCH(A46&amp;"ENTRADA",Movimientos!$R$2:$R$1998,0)),"-")</f>
        <v>-</v>
      </c>
      <c r="F46" s="3" t="str">
        <f>IFERROR(INDEX(Movimientos!$G$2:$G$1998,MATCH(A46&amp;"ENTRADA",Movimientos!$R$2:$R$1998,0)),"-")</f>
        <v>-</v>
      </c>
      <c r="G46" s="3" t="str">
        <f>IFERROR(INDEX(Movimientos!$L$2:$L$1998,MATCH(A46&amp;"ENTRADA",Movimientos!$R$2:$R$1998,0)),"-")</f>
        <v>-</v>
      </c>
      <c r="H46" s="19" t="str">
        <f>IFERROR(IF(INDEX(Movimientos!$M$2:$M$1998,MATCH(A46&amp;"ENTRADA",Movimientos!$R$2:$R$1998,0))=0,"S/D",INDEX(Movimientos!$M$2:$M$1998,MATCH(A46&amp;"ENTRADA",Movimientos!$R$2:$R$1998,0))),"S/D")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1"/>
        <v>SIN STOCK</v>
      </c>
    </row>
    <row r="47" spans="1:11" ht="14.25">
      <c r="A47" s="18" t="s">
        <v>2190</v>
      </c>
      <c r="B47" s="3" t="str">
        <f>IFERROR(INDEX(Movimientos!$C$2:$C$1998,MATCH(A47&amp;"ENTRADA",Movimientos!$R$2:$R$1998,0)),"-")</f>
        <v>-</v>
      </c>
      <c r="C47" s="3" t="str">
        <f>IFERROR(INDEX(Movimientos!$D$2:$D$1998,MATCH(A47&amp;"ENTRADA",Movimientos!$R$2:$R$1998,0)),"-")</f>
        <v>-</v>
      </c>
      <c r="D47" s="3" t="str">
        <f>IFERROR(INDEX(Movimientos!$E$2:$E$1998,MATCH(A47&amp;"ENTRADA",Movimientos!$R$2:$R$1998,0)),"-")</f>
        <v>-</v>
      </c>
      <c r="E47" s="3" t="str">
        <f>IFERROR(INDEX(Movimientos!$F$2:$F$1998,MATCH(A47&amp;"ENTRADA",Movimientos!$R$2:$R$1998,0)),"-")</f>
        <v>-</v>
      </c>
      <c r="F47" s="3" t="str">
        <f>IFERROR(INDEX(Movimientos!$G$2:$G$1998,MATCH(A47&amp;"ENTRADA",Movimientos!$R$2:$R$1998,0)),"-")</f>
        <v>-</v>
      </c>
      <c r="G47" s="3" t="str">
        <f>IFERROR(INDEX(Movimientos!$L$2:$L$1998,MATCH(A47&amp;"ENTRADA",Movimientos!$R$2:$R$1998,0)),"-")</f>
        <v>-</v>
      </c>
      <c r="H47" s="19" t="str">
        <f>IFERROR(IF(INDEX(Movimientos!$M$2:$M$1998,MATCH(A47&amp;"ENTRADA",Movimientos!$R$2:$R$1998,0))=0,"S/D",INDEX(Movimientos!$M$2:$M$1998,MATCH(A47&amp;"ENTRADA",Movimientos!$R$2:$R$1998,0))),"S/D")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1"/>
        <v>SIN STOCK</v>
      </c>
    </row>
    <row r="48" spans="1:11" ht="14.25">
      <c r="A48" s="18" t="s">
        <v>2191</v>
      </c>
      <c r="B48" s="3" t="str">
        <f>IFERROR(INDEX(Movimientos!$C$2:$C$1998,MATCH(A48&amp;"ENTRADA",Movimientos!$R$2:$R$1998,0)),"-")</f>
        <v>-</v>
      </c>
      <c r="C48" s="3" t="str">
        <f>IFERROR(INDEX(Movimientos!$D$2:$D$1998,MATCH(A48&amp;"ENTRADA",Movimientos!$R$2:$R$1998,0)),"-")</f>
        <v>-</v>
      </c>
      <c r="D48" s="3" t="str">
        <f>IFERROR(INDEX(Movimientos!$E$2:$E$1998,MATCH(A48&amp;"ENTRADA",Movimientos!$R$2:$R$1998,0)),"-")</f>
        <v>-</v>
      </c>
      <c r="E48" s="3" t="str">
        <f>IFERROR(INDEX(Movimientos!$F$2:$F$1998,MATCH(A48&amp;"ENTRADA",Movimientos!$R$2:$R$1998,0)),"-")</f>
        <v>-</v>
      </c>
      <c r="F48" s="3" t="str">
        <f>IFERROR(INDEX(Movimientos!$G$2:$G$1998,MATCH(A48&amp;"ENTRADA",Movimientos!$R$2:$R$1998,0)),"-")</f>
        <v>-</v>
      </c>
      <c r="G48" s="3" t="str">
        <f>IFERROR(INDEX(Movimientos!$L$2:$L$1998,MATCH(A48&amp;"ENTRADA",Movimientos!$R$2:$R$1998,0)),"-")</f>
        <v>-</v>
      </c>
      <c r="H48" s="19" t="str">
        <f>IFERROR(IF(INDEX(Movimientos!$M$2:$M$1998,MATCH(A48&amp;"ENTRADA",Movimientos!$R$2:$R$1998,0))=0,"S/D",INDEX(Movimientos!$M$2:$M$1998,MATCH(A48&amp;"ENTRADA",Movimientos!$R$2:$R$1998,0))),"S/D")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1"/>
        <v>SIN STOCK</v>
      </c>
    </row>
    <row r="49" spans="1:11" ht="14.25">
      <c r="A49" s="18" t="s">
        <v>2192</v>
      </c>
      <c r="B49" s="3" t="str">
        <f>IFERROR(INDEX(Movimientos!$C$2:$C$1998,MATCH(A49&amp;"ENTRADA",Movimientos!$R$2:$R$1998,0)),"-")</f>
        <v>-</v>
      </c>
      <c r="C49" s="3" t="str">
        <f>IFERROR(INDEX(Movimientos!$D$2:$D$1998,MATCH(A49&amp;"ENTRADA",Movimientos!$R$2:$R$1998,0)),"-")</f>
        <v>-</v>
      </c>
      <c r="D49" s="3" t="str">
        <f>IFERROR(INDEX(Movimientos!$E$2:$E$1998,MATCH(A49&amp;"ENTRADA",Movimientos!$R$2:$R$1998,0)),"-")</f>
        <v>-</v>
      </c>
      <c r="E49" s="3" t="str">
        <f>IFERROR(INDEX(Movimientos!$F$2:$F$1998,MATCH(A49&amp;"ENTRADA",Movimientos!$R$2:$R$1998,0)),"-")</f>
        <v>-</v>
      </c>
      <c r="F49" s="3" t="str">
        <f>IFERROR(INDEX(Movimientos!$G$2:$G$1998,MATCH(A49&amp;"ENTRADA",Movimientos!$R$2:$R$1998,0)),"-")</f>
        <v>-</v>
      </c>
      <c r="G49" s="3" t="str">
        <f>IFERROR(INDEX(Movimientos!$L$2:$L$1998,MATCH(A49&amp;"ENTRADA",Movimientos!$R$2:$R$1998,0)),"-")</f>
        <v>-</v>
      </c>
      <c r="H49" s="19" t="str">
        <f>IFERROR(IF(INDEX(Movimientos!$M$2:$M$1998,MATCH(A49&amp;"ENTRADA",Movimientos!$R$2:$R$1998,0))=0,"S/D",INDEX(Movimientos!$M$2:$M$1998,MATCH(A49&amp;"ENTRADA",Movimientos!$R$2:$R$1998,0))),"S/D")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1"/>
        <v>SIN STOCK</v>
      </c>
    </row>
    <row r="50" spans="1:11" ht="14.25">
      <c r="A50" s="18" t="s">
        <v>2193</v>
      </c>
      <c r="B50" s="3" t="str">
        <f>IFERROR(INDEX(Movimientos!$C$2:$C$1998,MATCH(A50&amp;"ENTRADA",Movimientos!$R$2:$R$1998,0)),"-")</f>
        <v>-</v>
      </c>
      <c r="C50" s="3" t="str">
        <f>IFERROR(INDEX(Movimientos!$D$2:$D$1998,MATCH(A50&amp;"ENTRADA",Movimientos!$R$2:$R$1998,0)),"-")</f>
        <v>-</v>
      </c>
      <c r="D50" s="3" t="str">
        <f>IFERROR(INDEX(Movimientos!$E$2:$E$1998,MATCH(A50&amp;"ENTRADA",Movimientos!$R$2:$R$1998,0)),"-")</f>
        <v>-</v>
      </c>
      <c r="E50" s="3" t="str">
        <f>IFERROR(INDEX(Movimientos!$F$2:$F$1998,MATCH(A50&amp;"ENTRADA",Movimientos!$R$2:$R$1998,0)),"-")</f>
        <v>-</v>
      </c>
      <c r="F50" s="3" t="str">
        <f>IFERROR(INDEX(Movimientos!$G$2:$G$1998,MATCH(A50&amp;"ENTRADA",Movimientos!$R$2:$R$1998,0)),"-")</f>
        <v>-</v>
      </c>
      <c r="G50" s="3" t="str">
        <f>IFERROR(INDEX(Movimientos!$L$2:$L$1998,MATCH(A50&amp;"ENTRADA",Movimientos!$R$2:$R$1998,0)),"-")</f>
        <v>-</v>
      </c>
      <c r="H50" s="19" t="str">
        <f>IFERROR(IF(INDEX(Movimientos!$M$2:$M$1998,MATCH(A50&amp;"ENTRADA",Movimientos!$R$2:$R$1998,0))=0,"S/D",INDEX(Movimientos!$M$2:$M$1998,MATCH(A50&amp;"ENTRADA",Movimientos!$R$2:$R$1998,0))),"S/D")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1"/>
        <v>SIN STOCK</v>
      </c>
    </row>
    <row r="51" spans="1:11" ht="14.25">
      <c r="A51" s="18" t="s">
        <v>2194</v>
      </c>
      <c r="B51" s="3" t="str">
        <f>IFERROR(INDEX(Movimientos!$C$2:$C$1998,MATCH(A51&amp;"ENTRADA",Movimientos!$R$2:$R$1998,0)),"-")</f>
        <v>-</v>
      </c>
      <c r="C51" s="3" t="str">
        <f>IFERROR(INDEX(Movimientos!$D$2:$D$1998,MATCH(A51&amp;"ENTRADA",Movimientos!$R$2:$R$1998,0)),"-")</f>
        <v>-</v>
      </c>
      <c r="D51" s="3" t="str">
        <f>IFERROR(INDEX(Movimientos!$E$2:$E$1998,MATCH(A51&amp;"ENTRADA",Movimientos!$R$2:$R$1998,0)),"-")</f>
        <v>-</v>
      </c>
      <c r="E51" s="3" t="str">
        <f>IFERROR(INDEX(Movimientos!$F$2:$F$1998,MATCH(A51&amp;"ENTRADA",Movimientos!$R$2:$R$1998,0)),"-")</f>
        <v>-</v>
      </c>
      <c r="F51" s="3" t="str">
        <f>IFERROR(INDEX(Movimientos!$G$2:$G$1998,MATCH(A51&amp;"ENTRADA",Movimientos!$R$2:$R$1998,0)),"-")</f>
        <v>-</v>
      </c>
      <c r="G51" s="3" t="str">
        <f>IFERROR(INDEX(Movimientos!$L$2:$L$1998,MATCH(A51&amp;"ENTRADA",Movimientos!$R$2:$R$1998,0)),"-")</f>
        <v>-</v>
      </c>
      <c r="H51" s="19" t="str">
        <f>IFERROR(IF(INDEX(Movimientos!$M$2:$M$1998,MATCH(A51&amp;"ENTRADA",Movimientos!$R$2:$R$1998,0))=0,"S/D",INDEX(Movimientos!$M$2:$M$1998,MATCH(A51&amp;"ENTRADA",Movimientos!$R$2:$R$1998,0))),"S/D")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1"/>
        <v>SIN STOCK</v>
      </c>
    </row>
    <row r="52" spans="1:11" ht="14.25">
      <c r="A52" s="18" t="s">
        <v>2195</v>
      </c>
      <c r="B52" s="3" t="str">
        <f>IFERROR(INDEX(Movimientos!$C$2:$C$1998,MATCH(A52&amp;"ENTRADA",Movimientos!$R$2:$R$1998,0)),"-")</f>
        <v>-</v>
      </c>
      <c r="C52" s="3" t="str">
        <f>IFERROR(INDEX(Movimientos!$D$2:$D$1998,MATCH(A52&amp;"ENTRADA",Movimientos!$R$2:$R$1998,0)),"-")</f>
        <v>-</v>
      </c>
      <c r="D52" s="3" t="str">
        <f>IFERROR(INDEX(Movimientos!$E$2:$E$1998,MATCH(A52&amp;"ENTRADA",Movimientos!$R$2:$R$1998,0)),"-")</f>
        <v>-</v>
      </c>
      <c r="E52" s="3" t="str">
        <f>IFERROR(INDEX(Movimientos!$F$2:$F$1998,MATCH(A52&amp;"ENTRADA",Movimientos!$R$2:$R$1998,0)),"-")</f>
        <v>-</v>
      </c>
      <c r="F52" s="3" t="str">
        <f>IFERROR(INDEX(Movimientos!$G$2:$G$1998,MATCH(A52&amp;"ENTRADA",Movimientos!$R$2:$R$1998,0)),"-")</f>
        <v>-</v>
      </c>
      <c r="G52" s="3" t="str">
        <f>IFERROR(INDEX(Movimientos!$L$2:$L$1998,MATCH(A52&amp;"ENTRADA",Movimientos!$R$2:$R$1998,0)),"-")</f>
        <v>-</v>
      </c>
      <c r="H52" s="19" t="str">
        <f>IFERROR(IF(INDEX(Movimientos!$M$2:$M$1998,MATCH(A52&amp;"ENTRADA",Movimientos!$R$2:$R$1998,0))=0,"S/D",INDEX(Movimientos!$M$2:$M$1998,MATCH(A52&amp;"ENTRADA",Movimientos!$R$2:$R$1998,0))),"S/D")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1"/>
        <v>SIN STOCK</v>
      </c>
    </row>
    <row r="53" spans="1:11" ht="14.25">
      <c r="A53" s="18" t="s">
        <v>2196</v>
      </c>
      <c r="B53" s="3" t="str">
        <f>IFERROR(INDEX(Movimientos!$C$2:$C$1998,MATCH(A53&amp;"ENTRADA",Movimientos!$R$2:$R$1998,0)),"-")</f>
        <v>-</v>
      </c>
      <c r="C53" s="3" t="str">
        <f>IFERROR(INDEX(Movimientos!$D$2:$D$1998,MATCH(A53&amp;"ENTRADA",Movimientos!$R$2:$R$1998,0)),"-")</f>
        <v>-</v>
      </c>
      <c r="D53" s="3" t="str">
        <f>IFERROR(INDEX(Movimientos!$E$2:$E$1998,MATCH(A53&amp;"ENTRADA",Movimientos!$R$2:$R$1998,0)),"-")</f>
        <v>-</v>
      </c>
      <c r="E53" s="3" t="str">
        <f>IFERROR(INDEX(Movimientos!$F$2:$F$1998,MATCH(A53&amp;"ENTRADA",Movimientos!$R$2:$R$1998,0)),"-")</f>
        <v>-</v>
      </c>
      <c r="F53" s="3" t="str">
        <f>IFERROR(INDEX(Movimientos!$G$2:$G$1998,MATCH(A53&amp;"ENTRADA",Movimientos!$R$2:$R$1998,0)),"-")</f>
        <v>-</v>
      </c>
      <c r="G53" s="3" t="str">
        <f>IFERROR(INDEX(Movimientos!$L$2:$L$1998,MATCH(A53&amp;"ENTRADA",Movimientos!$R$2:$R$1998,0)),"-")</f>
        <v>-</v>
      </c>
      <c r="H53" s="19" t="str">
        <f>IFERROR(IF(INDEX(Movimientos!$M$2:$M$1998,MATCH(A53&amp;"ENTRADA",Movimientos!$R$2:$R$1998,0))=0,"S/D",INDEX(Movimientos!$M$2:$M$1998,MATCH(A53&amp;"ENTRADA",Movimientos!$R$2:$R$1998,0))),"S/D")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1"/>
        <v>SIN STOCK</v>
      </c>
    </row>
    <row r="54" spans="1:11" ht="14.25">
      <c r="A54" s="18" t="s">
        <v>2197</v>
      </c>
      <c r="B54" s="3" t="str">
        <f>IFERROR(INDEX(Movimientos!$C$2:$C$1998,MATCH(A54&amp;"ENTRADA",Movimientos!$R$2:$R$1998,0)),"-")</f>
        <v>-</v>
      </c>
      <c r="C54" s="3" t="str">
        <f>IFERROR(INDEX(Movimientos!$D$2:$D$1998,MATCH(A54&amp;"ENTRADA",Movimientos!$R$2:$R$1998,0)),"-")</f>
        <v>-</v>
      </c>
      <c r="D54" s="3" t="str">
        <f>IFERROR(INDEX(Movimientos!$E$2:$E$1998,MATCH(A54&amp;"ENTRADA",Movimientos!$R$2:$R$1998,0)),"-")</f>
        <v>-</v>
      </c>
      <c r="E54" s="3" t="str">
        <f>IFERROR(INDEX(Movimientos!$F$2:$F$1998,MATCH(A54&amp;"ENTRADA",Movimientos!$R$2:$R$1998,0)),"-")</f>
        <v>-</v>
      </c>
      <c r="F54" s="3" t="str">
        <f>IFERROR(INDEX(Movimientos!$G$2:$G$1998,MATCH(A54&amp;"ENTRADA",Movimientos!$R$2:$R$1998,0)),"-")</f>
        <v>-</v>
      </c>
      <c r="G54" s="3" t="str">
        <f>IFERROR(INDEX(Movimientos!$L$2:$L$1998,MATCH(A54&amp;"ENTRADA",Movimientos!$R$2:$R$1998,0)),"-")</f>
        <v>-</v>
      </c>
      <c r="H54" s="19" t="str">
        <f>IFERROR(IF(INDEX(Movimientos!$M$2:$M$1998,MATCH(A54&amp;"ENTRADA",Movimientos!$R$2:$R$1998,0))=0,"S/D",INDEX(Movimientos!$M$2:$M$1998,MATCH(A54&amp;"ENTRADA",Movimientos!$R$2:$R$1998,0))),"S/D")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1"/>
        <v>SIN STOCK</v>
      </c>
    </row>
    <row r="55" spans="1:11" ht="14.25">
      <c r="A55" s="18" t="s">
        <v>2198</v>
      </c>
      <c r="B55" s="3" t="str">
        <f>IFERROR(INDEX(Movimientos!$C$2:$C$1998,MATCH(A55&amp;"ENTRADA",Movimientos!$R$2:$R$1998,0)),"-")</f>
        <v>-</v>
      </c>
      <c r="C55" s="3" t="str">
        <f>IFERROR(INDEX(Movimientos!$D$2:$D$1998,MATCH(A55&amp;"ENTRADA",Movimientos!$R$2:$R$1998,0)),"-")</f>
        <v>-</v>
      </c>
      <c r="D55" s="3" t="str">
        <f>IFERROR(INDEX(Movimientos!$E$2:$E$1998,MATCH(A55&amp;"ENTRADA",Movimientos!$R$2:$R$1998,0)),"-")</f>
        <v>-</v>
      </c>
      <c r="E55" s="3" t="str">
        <f>IFERROR(INDEX(Movimientos!$F$2:$F$1998,MATCH(A55&amp;"ENTRADA",Movimientos!$R$2:$R$1998,0)),"-")</f>
        <v>-</v>
      </c>
      <c r="F55" s="3" t="str">
        <f>IFERROR(INDEX(Movimientos!$G$2:$G$1998,MATCH(A55&amp;"ENTRADA",Movimientos!$R$2:$R$1998,0)),"-")</f>
        <v>-</v>
      </c>
      <c r="G55" s="3" t="str">
        <f>IFERROR(INDEX(Movimientos!$L$2:$L$1998,MATCH(A55&amp;"ENTRADA",Movimientos!$R$2:$R$1998,0)),"-")</f>
        <v>-</v>
      </c>
      <c r="H55" s="19" t="str">
        <f>IFERROR(IF(INDEX(Movimientos!$M$2:$M$1998,MATCH(A55&amp;"ENTRADA",Movimientos!$R$2:$R$1998,0))=0,"S/D",INDEX(Movimientos!$M$2:$M$1998,MATCH(A55&amp;"ENTRADA",Movimientos!$R$2:$R$1998,0))),"S/D")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1"/>
        <v>SIN STOCK</v>
      </c>
    </row>
    <row r="56" spans="1:11" ht="14.25">
      <c r="A56" s="18" t="s">
        <v>2199</v>
      </c>
      <c r="B56" s="3" t="str">
        <f>IFERROR(INDEX(Movimientos!$C$2:$C$1998,MATCH(A56&amp;"ENTRADA",Movimientos!$R$2:$R$1998,0)),"-")</f>
        <v>-</v>
      </c>
      <c r="C56" s="3" t="str">
        <f>IFERROR(INDEX(Movimientos!$D$2:$D$1998,MATCH(A56&amp;"ENTRADA",Movimientos!$R$2:$R$1998,0)),"-")</f>
        <v>-</v>
      </c>
      <c r="D56" s="3" t="str">
        <f>IFERROR(INDEX(Movimientos!$E$2:$E$1998,MATCH(A56&amp;"ENTRADA",Movimientos!$R$2:$R$1998,0)),"-")</f>
        <v>-</v>
      </c>
      <c r="E56" s="3" t="str">
        <f>IFERROR(INDEX(Movimientos!$F$2:$F$1998,MATCH(A56&amp;"ENTRADA",Movimientos!$R$2:$R$1998,0)),"-")</f>
        <v>-</v>
      </c>
      <c r="F56" s="3" t="str">
        <f>IFERROR(INDEX(Movimientos!$G$2:$G$1998,MATCH(A56&amp;"ENTRADA",Movimientos!$R$2:$R$1998,0)),"-")</f>
        <v>-</v>
      </c>
      <c r="G56" s="3" t="str">
        <f>IFERROR(INDEX(Movimientos!$L$2:$L$1998,MATCH(A56&amp;"ENTRADA",Movimientos!$R$2:$R$1998,0)),"-")</f>
        <v>-</v>
      </c>
      <c r="H56" s="19" t="str">
        <f>IFERROR(IF(INDEX(Movimientos!$M$2:$M$1998,MATCH(A56&amp;"ENTRADA",Movimientos!$R$2:$R$1998,0))=0,"S/D",INDEX(Movimientos!$M$2:$M$1998,MATCH(A56&amp;"ENTRADA",Movimientos!$R$2:$R$1998,0))),"S/D")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1"/>
        <v>SIN STOCK</v>
      </c>
    </row>
    <row r="57" spans="1:11" ht="14.25">
      <c r="A57" s="18" t="s">
        <v>2200</v>
      </c>
      <c r="B57" s="3" t="str">
        <f>IFERROR(INDEX(Movimientos!$C$2:$C$1998,MATCH(A57&amp;"ENTRADA",Movimientos!$R$2:$R$1998,0)),"-")</f>
        <v>-</v>
      </c>
      <c r="C57" s="3" t="str">
        <f>IFERROR(INDEX(Movimientos!$D$2:$D$1998,MATCH(A57&amp;"ENTRADA",Movimientos!$R$2:$R$1998,0)),"-")</f>
        <v>-</v>
      </c>
      <c r="D57" s="3" t="str">
        <f>IFERROR(INDEX(Movimientos!$E$2:$E$1998,MATCH(A57&amp;"ENTRADA",Movimientos!$R$2:$R$1998,0)),"-")</f>
        <v>-</v>
      </c>
      <c r="E57" s="3" t="str">
        <f>IFERROR(INDEX(Movimientos!$F$2:$F$1998,MATCH(A57&amp;"ENTRADA",Movimientos!$R$2:$R$1998,0)),"-")</f>
        <v>-</v>
      </c>
      <c r="F57" s="3" t="str">
        <f>IFERROR(INDEX(Movimientos!$G$2:$G$1998,MATCH(A57&amp;"ENTRADA",Movimientos!$R$2:$R$1998,0)),"-")</f>
        <v>-</v>
      </c>
      <c r="G57" s="3" t="str">
        <f>IFERROR(INDEX(Movimientos!$L$2:$L$1998,MATCH(A57&amp;"ENTRADA",Movimientos!$R$2:$R$1998,0)),"-")</f>
        <v>-</v>
      </c>
      <c r="H57" s="19" t="str">
        <f>IFERROR(IF(INDEX(Movimientos!$M$2:$M$1998,MATCH(A57&amp;"ENTRADA",Movimientos!$R$2:$R$1998,0))=0,"S/D",INDEX(Movimientos!$M$2:$M$1998,MATCH(A57&amp;"ENTRADA",Movimientos!$R$2:$R$1998,0))),"S/D")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1"/>
        <v>SIN STOCK</v>
      </c>
    </row>
    <row r="58" spans="1:11" ht="14.25">
      <c r="A58" s="18" t="s">
        <v>2201</v>
      </c>
      <c r="B58" s="3" t="str">
        <f>IFERROR(INDEX(Movimientos!$C$2:$C$1998,MATCH(A58&amp;"ENTRADA",Movimientos!$R$2:$R$1998,0)),"-")</f>
        <v>-</v>
      </c>
      <c r="C58" s="3" t="str">
        <f>IFERROR(INDEX(Movimientos!$D$2:$D$1998,MATCH(A58&amp;"ENTRADA",Movimientos!$R$2:$R$1998,0)),"-")</f>
        <v>-</v>
      </c>
      <c r="D58" s="3" t="str">
        <f>IFERROR(INDEX(Movimientos!$E$2:$E$1998,MATCH(A58&amp;"ENTRADA",Movimientos!$R$2:$R$1998,0)),"-")</f>
        <v>-</v>
      </c>
      <c r="E58" s="3" t="str">
        <f>IFERROR(INDEX(Movimientos!$F$2:$F$1998,MATCH(A58&amp;"ENTRADA",Movimientos!$R$2:$R$1998,0)),"-")</f>
        <v>-</v>
      </c>
      <c r="F58" s="3" t="str">
        <f>IFERROR(INDEX(Movimientos!$G$2:$G$1998,MATCH(A58&amp;"ENTRADA",Movimientos!$R$2:$R$1998,0)),"-")</f>
        <v>-</v>
      </c>
      <c r="G58" s="3" t="str">
        <f>IFERROR(INDEX(Movimientos!$L$2:$L$1998,MATCH(A58&amp;"ENTRADA",Movimientos!$R$2:$R$1998,0)),"-")</f>
        <v>-</v>
      </c>
      <c r="H58" s="19" t="str">
        <f>IFERROR(IF(INDEX(Movimientos!$M$2:$M$1998,MATCH(A58&amp;"ENTRADA",Movimientos!$R$2:$R$1998,0))=0,"S/D",INDEX(Movimientos!$M$2:$M$1998,MATCH(A58&amp;"ENTRADA",Movimientos!$R$2:$R$1998,0))),"S/D")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1"/>
        <v>SIN STOCK</v>
      </c>
    </row>
    <row r="59" spans="1:11" ht="14.25">
      <c r="A59" s="18" t="s">
        <v>2202</v>
      </c>
      <c r="B59" s="3" t="str">
        <f>IFERROR(INDEX(Movimientos!$C$2:$C$1998,MATCH(A59&amp;"ENTRADA",Movimientos!$R$2:$R$1998,0)),"-")</f>
        <v>-</v>
      </c>
      <c r="C59" s="3" t="str">
        <f>IFERROR(INDEX(Movimientos!$D$2:$D$1998,MATCH(A59&amp;"ENTRADA",Movimientos!$R$2:$R$1998,0)),"-")</f>
        <v>-</v>
      </c>
      <c r="D59" s="3" t="str">
        <f>IFERROR(INDEX(Movimientos!$E$2:$E$1998,MATCH(A59&amp;"ENTRADA",Movimientos!$R$2:$R$1998,0)),"-")</f>
        <v>-</v>
      </c>
      <c r="E59" s="3" t="str">
        <f>IFERROR(INDEX(Movimientos!$F$2:$F$1998,MATCH(A59&amp;"ENTRADA",Movimientos!$R$2:$R$1998,0)),"-")</f>
        <v>-</v>
      </c>
      <c r="F59" s="3" t="str">
        <f>IFERROR(INDEX(Movimientos!$G$2:$G$1998,MATCH(A59&amp;"ENTRADA",Movimientos!$R$2:$R$1998,0)),"-")</f>
        <v>-</v>
      </c>
      <c r="G59" s="3" t="str">
        <f>IFERROR(INDEX(Movimientos!$L$2:$L$1998,MATCH(A59&amp;"ENTRADA",Movimientos!$R$2:$R$1998,0)),"-")</f>
        <v>-</v>
      </c>
      <c r="H59" s="19" t="str">
        <f>IFERROR(IF(INDEX(Movimientos!$M$2:$M$1998,MATCH(A59&amp;"ENTRADA",Movimientos!$R$2:$R$1998,0))=0,"S/D",INDEX(Movimientos!$M$2:$M$1998,MATCH(A59&amp;"ENTRADA",Movimientos!$R$2:$R$1998,0))),"S/D")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1"/>
        <v>SIN STOCK</v>
      </c>
    </row>
    <row r="60" spans="1:11" ht="14.25">
      <c r="A60" s="18" t="s">
        <v>2203</v>
      </c>
      <c r="B60" s="3" t="str">
        <f>IFERROR(INDEX(Movimientos!$C$2:$C$1998,MATCH(A60&amp;"ENTRADA",Movimientos!$R$2:$R$1998,0)),"-")</f>
        <v>-</v>
      </c>
      <c r="C60" s="3" t="str">
        <f>IFERROR(INDEX(Movimientos!$D$2:$D$1998,MATCH(A60&amp;"ENTRADA",Movimientos!$R$2:$R$1998,0)),"-")</f>
        <v>-</v>
      </c>
      <c r="D60" s="3" t="str">
        <f>IFERROR(INDEX(Movimientos!$E$2:$E$1998,MATCH(A60&amp;"ENTRADA",Movimientos!$R$2:$R$1998,0)),"-")</f>
        <v>-</v>
      </c>
      <c r="E60" s="3" t="str">
        <f>IFERROR(INDEX(Movimientos!$F$2:$F$1998,MATCH(A60&amp;"ENTRADA",Movimientos!$R$2:$R$1998,0)),"-")</f>
        <v>-</v>
      </c>
      <c r="F60" s="3" t="str">
        <f>IFERROR(INDEX(Movimientos!$G$2:$G$1998,MATCH(A60&amp;"ENTRADA",Movimientos!$R$2:$R$1998,0)),"-")</f>
        <v>-</v>
      </c>
      <c r="G60" s="3" t="str">
        <f>IFERROR(INDEX(Movimientos!$L$2:$L$1998,MATCH(A60&amp;"ENTRADA",Movimientos!$R$2:$R$1998,0)),"-")</f>
        <v>-</v>
      </c>
      <c r="H60" s="19" t="str">
        <f>IFERROR(IF(INDEX(Movimientos!$M$2:$M$1998,MATCH(A60&amp;"ENTRADA",Movimientos!$R$2:$R$1998,0))=0,"S/D",INDEX(Movimientos!$M$2:$M$1998,MATCH(A60&amp;"ENTRADA",Movimientos!$R$2:$R$1998,0))),"S/D")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1"/>
        <v>SIN STOCK</v>
      </c>
    </row>
    <row r="61" spans="1:11" ht="14.25">
      <c r="A61" s="18" t="s">
        <v>2204</v>
      </c>
      <c r="B61" s="3" t="str">
        <f>IFERROR(INDEX(Movimientos!$C$2:$C$1998,MATCH(A61&amp;"ENTRADA",Movimientos!$R$2:$R$1998,0)),"-")</f>
        <v>-</v>
      </c>
      <c r="C61" s="3" t="str">
        <f>IFERROR(INDEX(Movimientos!$D$2:$D$1998,MATCH(A61&amp;"ENTRADA",Movimientos!$R$2:$R$1998,0)),"-")</f>
        <v>-</v>
      </c>
      <c r="D61" s="3" t="str">
        <f>IFERROR(INDEX(Movimientos!$E$2:$E$1998,MATCH(A61&amp;"ENTRADA",Movimientos!$R$2:$R$1998,0)),"-")</f>
        <v>-</v>
      </c>
      <c r="E61" s="3" t="str">
        <f>IFERROR(INDEX(Movimientos!$F$2:$F$1998,MATCH(A61&amp;"ENTRADA",Movimientos!$R$2:$R$1998,0)),"-")</f>
        <v>-</v>
      </c>
      <c r="F61" s="3" t="str">
        <f>IFERROR(INDEX(Movimientos!$G$2:$G$1998,MATCH(A61&amp;"ENTRADA",Movimientos!$R$2:$R$1998,0)),"-")</f>
        <v>-</v>
      </c>
      <c r="G61" s="3" t="str">
        <f>IFERROR(INDEX(Movimientos!$L$2:$L$1998,MATCH(A61&amp;"ENTRADA",Movimientos!$R$2:$R$1998,0)),"-")</f>
        <v>-</v>
      </c>
      <c r="H61" s="19" t="str">
        <f>IFERROR(IF(INDEX(Movimientos!$M$2:$M$1998,MATCH(A61&amp;"ENTRADA",Movimientos!$R$2:$R$1998,0))=0,"S/D",INDEX(Movimientos!$M$2:$M$1998,MATCH(A61&amp;"ENTRADA",Movimientos!$R$2:$R$1998,0))),"S/D")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1"/>
        <v>SIN STOCK</v>
      </c>
    </row>
    <row r="62" spans="1:11" ht="14.25">
      <c r="A62" s="18" t="s">
        <v>2205</v>
      </c>
      <c r="B62" s="3" t="str">
        <f>IFERROR(INDEX(Movimientos!$C$2:$C$1998,MATCH(A62&amp;"ENTRADA",Movimientos!$R$2:$R$1998,0)),"-")</f>
        <v>-</v>
      </c>
      <c r="C62" s="3" t="str">
        <f>IFERROR(INDEX(Movimientos!$D$2:$D$1998,MATCH(A62&amp;"ENTRADA",Movimientos!$R$2:$R$1998,0)),"-")</f>
        <v>-</v>
      </c>
      <c r="D62" s="3" t="str">
        <f>IFERROR(INDEX(Movimientos!$E$2:$E$1998,MATCH(A62&amp;"ENTRADA",Movimientos!$R$2:$R$1998,0)),"-")</f>
        <v>-</v>
      </c>
      <c r="E62" s="3" t="str">
        <f>IFERROR(INDEX(Movimientos!$F$2:$F$1998,MATCH(A62&amp;"ENTRADA",Movimientos!$R$2:$R$1998,0)),"-")</f>
        <v>-</v>
      </c>
      <c r="F62" s="3" t="str">
        <f>IFERROR(INDEX(Movimientos!$G$2:$G$1998,MATCH(A62&amp;"ENTRADA",Movimientos!$R$2:$R$1998,0)),"-")</f>
        <v>-</v>
      </c>
      <c r="G62" s="3" t="str">
        <f>IFERROR(INDEX(Movimientos!$L$2:$L$1998,MATCH(A62&amp;"ENTRADA",Movimientos!$R$2:$R$1998,0)),"-")</f>
        <v>-</v>
      </c>
      <c r="H62" s="19" t="str">
        <f>IFERROR(IF(INDEX(Movimientos!$M$2:$M$1998,MATCH(A62&amp;"ENTRADA",Movimientos!$R$2:$R$1998,0))=0,"S/D",INDEX(Movimientos!$M$2:$M$1998,MATCH(A62&amp;"ENTRADA",Movimientos!$R$2:$R$1998,0))),"S/D")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1"/>
        <v>SIN STOCK</v>
      </c>
    </row>
    <row r="63" spans="1:11" ht="14.25">
      <c r="A63" s="18" t="s">
        <v>2206</v>
      </c>
      <c r="B63" s="3" t="str">
        <f>IFERROR(INDEX(Movimientos!$C$2:$C$1998,MATCH(A63&amp;"ENTRADA",Movimientos!$R$2:$R$1998,0)),"-")</f>
        <v>-</v>
      </c>
      <c r="C63" s="3" t="str">
        <f>IFERROR(INDEX(Movimientos!$D$2:$D$1998,MATCH(A63&amp;"ENTRADA",Movimientos!$R$2:$R$1998,0)),"-")</f>
        <v>-</v>
      </c>
      <c r="D63" s="3" t="str">
        <f>IFERROR(INDEX(Movimientos!$E$2:$E$1998,MATCH(A63&amp;"ENTRADA",Movimientos!$R$2:$R$1998,0)),"-")</f>
        <v>-</v>
      </c>
      <c r="E63" s="3" t="str">
        <f>IFERROR(INDEX(Movimientos!$F$2:$F$1998,MATCH(A63&amp;"ENTRADA",Movimientos!$R$2:$R$1998,0)),"-")</f>
        <v>-</v>
      </c>
      <c r="F63" s="3" t="str">
        <f>IFERROR(INDEX(Movimientos!$G$2:$G$1998,MATCH(A63&amp;"ENTRADA",Movimientos!$R$2:$R$1998,0)),"-")</f>
        <v>-</v>
      </c>
      <c r="G63" s="3" t="str">
        <f>IFERROR(INDEX(Movimientos!$L$2:$L$1998,MATCH(A63&amp;"ENTRADA",Movimientos!$R$2:$R$1998,0)),"-")</f>
        <v>-</v>
      </c>
      <c r="H63" s="19" t="str">
        <f>IFERROR(IF(INDEX(Movimientos!$M$2:$M$1998,MATCH(A63&amp;"ENTRADA",Movimientos!$R$2:$R$1998,0))=0,"S/D",INDEX(Movimientos!$M$2:$M$1998,MATCH(A63&amp;"ENTRADA",Movimientos!$R$2:$R$1998,0))),"S/D")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1"/>
        <v>SIN STOCK</v>
      </c>
    </row>
    <row r="64" spans="1:11" ht="14.25">
      <c r="A64" s="18" t="s">
        <v>2207</v>
      </c>
      <c r="B64" s="3" t="str">
        <f>IFERROR(INDEX(Movimientos!$C$2:$C$1998,MATCH(A64&amp;"ENTRADA",Movimientos!$R$2:$R$1998,0)),"-")</f>
        <v>-</v>
      </c>
      <c r="C64" s="3" t="str">
        <f>IFERROR(INDEX(Movimientos!$D$2:$D$1998,MATCH(A64&amp;"ENTRADA",Movimientos!$R$2:$R$1998,0)),"-")</f>
        <v>-</v>
      </c>
      <c r="D64" s="3" t="str">
        <f>IFERROR(INDEX(Movimientos!$E$2:$E$1998,MATCH(A64&amp;"ENTRADA",Movimientos!$R$2:$R$1998,0)),"-")</f>
        <v>-</v>
      </c>
      <c r="E64" s="3" t="str">
        <f>IFERROR(INDEX(Movimientos!$F$2:$F$1998,MATCH(A64&amp;"ENTRADA",Movimientos!$R$2:$R$1998,0)),"-")</f>
        <v>-</v>
      </c>
      <c r="F64" s="3" t="str">
        <f>IFERROR(INDEX(Movimientos!$G$2:$G$1998,MATCH(A64&amp;"ENTRADA",Movimientos!$R$2:$R$1998,0)),"-")</f>
        <v>-</v>
      </c>
      <c r="G64" s="3" t="str">
        <f>IFERROR(INDEX(Movimientos!$L$2:$L$1998,MATCH(A64&amp;"ENTRADA",Movimientos!$R$2:$R$1998,0)),"-")</f>
        <v>-</v>
      </c>
      <c r="H64" s="19" t="str">
        <f>IFERROR(IF(INDEX(Movimientos!$M$2:$M$1998,MATCH(A64&amp;"ENTRADA",Movimientos!$R$2:$R$1998,0))=0,"S/D",INDEX(Movimientos!$M$2:$M$1998,MATCH(A64&amp;"ENTRADA",Movimientos!$R$2:$R$1998,0))),"S/D")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ref="K64:K127" ca="1" si="3">IF(A64="","",IF(J64&lt;0.01,"SIN STOCK",IF(H64="S/D","OK",IF(H64&lt;TODAY(),"VENCIDO",IF(I64&gt;=180,"OK","PRÓXIMO A VENCER")))))</f>
        <v>SIN STOCK</v>
      </c>
    </row>
    <row r="65" spans="1:11" ht="14.25">
      <c r="A65" s="18" t="s">
        <v>2208</v>
      </c>
      <c r="B65" s="3" t="str">
        <f>IFERROR(INDEX(Movimientos!$C$2:$C$1998,MATCH(A65&amp;"ENTRADA",Movimientos!$R$2:$R$1998,0)),"-")</f>
        <v>-</v>
      </c>
      <c r="C65" s="3" t="str">
        <f>IFERROR(INDEX(Movimientos!$D$2:$D$1998,MATCH(A65&amp;"ENTRADA",Movimientos!$R$2:$R$1998,0)),"-")</f>
        <v>-</v>
      </c>
      <c r="D65" s="3" t="str">
        <f>IFERROR(INDEX(Movimientos!$E$2:$E$1998,MATCH(A65&amp;"ENTRADA",Movimientos!$R$2:$R$1998,0)),"-")</f>
        <v>-</v>
      </c>
      <c r="E65" s="3" t="str">
        <f>IFERROR(INDEX(Movimientos!$F$2:$F$1998,MATCH(A65&amp;"ENTRADA",Movimientos!$R$2:$R$1998,0)),"-")</f>
        <v>-</v>
      </c>
      <c r="F65" s="3" t="str">
        <f>IFERROR(INDEX(Movimientos!$G$2:$G$1998,MATCH(A65&amp;"ENTRADA",Movimientos!$R$2:$R$1998,0)),"-")</f>
        <v>-</v>
      </c>
      <c r="G65" s="3" t="str">
        <f>IFERROR(INDEX(Movimientos!$L$2:$L$1998,MATCH(A65&amp;"ENTRADA",Movimientos!$R$2:$R$1998,0)),"-")</f>
        <v>-</v>
      </c>
      <c r="H65" s="19" t="str">
        <f>IFERROR(IF(INDEX(Movimientos!$M$2:$M$1998,MATCH(A65&amp;"ENTRADA",Movimientos!$R$2:$R$1998,0))=0,"S/D",INDEX(Movimientos!$M$2:$M$1998,MATCH(A65&amp;"ENTRADA",Movimientos!$R$2:$R$1998,0))),"S/D")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SIN STOCK</v>
      </c>
    </row>
    <row r="66" spans="1:11" ht="14.25">
      <c r="A66" s="18" t="s">
        <v>2209</v>
      </c>
      <c r="B66" s="3" t="str">
        <f>IFERROR(INDEX(Movimientos!$C$2:$C$1998,MATCH(A66&amp;"ENTRADA",Movimientos!$R$2:$R$1998,0)),"-")</f>
        <v>-</v>
      </c>
      <c r="C66" s="3" t="str">
        <f>IFERROR(INDEX(Movimientos!$D$2:$D$1998,MATCH(A66&amp;"ENTRADA",Movimientos!$R$2:$R$1998,0)),"-")</f>
        <v>-</v>
      </c>
      <c r="D66" s="3" t="str">
        <f>IFERROR(INDEX(Movimientos!$E$2:$E$1998,MATCH(A66&amp;"ENTRADA",Movimientos!$R$2:$R$1998,0)),"-")</f>
        <v>-</v>
      </c>
      <c r="E66" s="3" t="str">
        <f>IFERROR(INDEX(Movimientos!$F$2:$F$1998,MATCH(A66&amp;"ENTRADA",Movimientos!$R$2:$R$1998,0)),"-")</f>
        <v>-</v>
      </c>
      <c r="F66" s="3" t="str">
        <f>IFERROR(INDEX(Movimientos!$G$2:$G$1998,MATCH(A66&amp;"ENTRADA",Movimientos!$R$2:$R$1998,0)),"-")</f>
        <v>-</v>
      </c>
      <c r="G66" s="3" t="str">
        <f>IFERROR(INDEX(Movimientos!$L$2:$L$1998,MATCH(A66&amp;"ENTRADA",Movimientos!$R$2:$R$1998,0)),"-")</f>
        <v>-</v>
      </c>
      <c r="H66" s="19" t="str">
        <f>IFERROR(IF(INDEX(Movimientos!$M$2:$M$1998,MATCH(A66&amp;"ENTRADA",Movimientos!$R$2:$R$1998,0))=0,"S/D",INDEX(Movimientos!$M$2:$M$1998,MATCH(A66&amp;"ENTRADA",Movimientos!$R$2:$R$1998,0))),"S/D")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SIN STOCK</v>
      </c>
    </row>
    <row r="67" spans="1:11" ht="14.25">
      <c r="A67" s="18" t="s">
        <v>2210</v>
      </c>
      <c r="B67" s="3" t="str">
        <f>IFERROR(INDEX(Movimientos!$C$2:$C$1998,MATCH(A67&amp;"ENTRADA",Movimientos!$R$2:$R$1998,0)),"-")</f>
        <v>-</v>
      </c>
      <c r="C67" s="3" t="str">
        <f>IFERROR(INDEX(Movimientos!$D$2:$D$1998,MATCH(A67&amp;"ENTRADA",Movimientos!$R$2:$R$1998,0)),"-")</f>
        <v>-</v>
      </c>
      <c r="D67" s="3" t="str">
        <f>IFERROR(INDEX(Movimientos!$E$2:$E$1998,MATCH(A67&amp;"ENTRADA",Movimientos!$R$2:$R$1998,0)),"-")</f>
        <v>-</v>
      </c>
      <c r="E67" s="3" t="str">
        <f>IFERROR(INDEX(Movimientos!$F$2:$F$1998,MATCH(A67&amp;"ENTRADA",Movimientos!$R$2:$R$1998,0)),"-")</f>
        <v>-</v>
      </c>
      <c r="F67" s="3" t="str">
        <f>IFERROR(INDEX(Movimientos!$G$2:$G$1998,MATCH(A67&amp;"ENTRADA",Movimientos!$R$2:$R$1998,0)),"-")</f>
        <v>-</v>
      </c>
      <c r="G67" s="3" t="str">
        <f>IFERROR(INDEX(Movimientos!$L$2:$L$1998,MATCH(A67&amp;"ENTRADA",Movimientos!$R$2:$R$1998,0)),"-")</f>
        <v>-</v>
      </c>
      <c r="H67" s="19" t="str">
        <f>IFERROR(IF(INDEX(Movimientos!$M$2:$M$1998,MATCH(A67&amp;"ENTRADA",Movimientos!$R$2:$R$1998,0))=0,"S/D",INDEX(Movimientos!$M$2:$M$1998,MATCH(A67&amp;"ENTRADA",Movimientos!$R$2:$R$1998,0))),"S/D")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SIN STOCK</v>
      </c>
    </row>
    <row r="68" spans="1:11" ht="14.25">
      <c r="A68" s="18" t="s">
        <v>2211</v>
      </c>
      <c r="B68" s="3" t="str">
        <f>IFERROR(INDEX(Movimientos!$C$2:$C$1998,MATCH(A68&amp;"ENTRADA",Movimientos!$R$2:$R$1998,0)),"-")</f>
        <v>-</v>
      </c>
      <c r="C68" s="3" t="str">
        <f>IFERROR(INDEX(Movimientos!$D$2:$D$1998,MATCH(A68&amp;"ENTRADA",Movimientos!$R$2:$R$1998,0)),"-")</f>
        <v>-</v>
      </c>
      <c r="D68" s="3" t="str">
        <f>IFERROR(INDEX(Movimientos!$E$2:$E$1998,MATCH(A68&amp;"ENTRADA",Movimientos!$R$2:$R$1998,0)),"-")</f>
        <v>-</v>
      </c>
      <c r="E68" s="3" t="str">
        <f>IFERROR(INDEX(Movimientos!$F$2:$F$1998,MATCH(A68&amp;"ENTRADA",Movimientos!$R$2:$R$1998,0)),"-")</f>
        <v>-</v>
      </c>
      <c r="F68" s="3" t="str">
        <f>IFERROR(INDEX(Movimientos!$G$2:$G$1998,MATCH(A68&amp;"ENTRADA",Movimientos!$R$2:$R$1998,0)),"-")</f>
        <v>-</v>
      </c>
      <c r="G68" s="3" t="str">
        <f>IFERROR(INDEX(Movimientos!$L$2:$L$1998,MATCH(A68&amp;"ENTRADA",Movimientos!$R$2:$R$1998,0)),"-")</f>
        <v>-</v>
      </c>
      <c r="H68" s="19" t="str">
        <f>IFERROR(IF(INDEX(Movimientos!$M$2:$M$1998,MATCH(A68&amp;"ENTRADA",Movimientos!$R$2:$R$1998,0))=0,"S/D",INDEX(Movimientos!$M$2:$M$1998,MATCH(A68&amp;"ENTRADA",Movimientos!$R$2:$R$1998,0))),"S/D")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SIN STOCK</v>
      </c>
    </row>
    <row r="69" spans="1:11" ht="14.25">
      <c r="A69" s="18" t="s">
        <v>2212</v>
      </c>
      <c r="B69" s="3" t="str">
        <f>IFERROR(INDEX(Movimientos!$C$2:$C$1998,MATCH(A69&amp;"ENTRADA",Movimientos!$R$2:$R$1998,0)),"-")</f>
        <v>-</v>
      </c>
      <c r="C69" s="3" t="str">
        <f>IFERROR(INDEX(Movimientos!$D$2:$D$1998,MATCH(A69&amp;"ENTRADA",Movimientos!$R$2:$R$1998,0)),"-")</f>
        <v>-</v>
      </c>
      <c r="D69" s="3" t="str">
        <f>IFERROR(INDEX(Movimientos!$E$2:$E$1998,MATCH(A69&amp;"ENTRADA",Movimientos!$R$2:$R$1998,0)),"-")</f>
        <v>-</v>
      </c>
      <c r="E69" s="3" t="str">
        <f>IFERROR(INDEX(Movimientos!$F$2:$F$1998,MATCH(A69&amp;"ENTRADA",Movimientos!$R$2:$R$1998,0)),"-")</f>
        <v>-</v>
      </c>
      <c r="F69" s="3" t="str">
        <f>IFERROR(INDEX(Movimientos!$G$2:$G$1998,MATCH(A69&amp;"ENTRADA",Movimientos!$R$2:$R$1998,0)),"-")</f>
        <v>-</v>
      </c>
      <c r="G69" s="3" t="str">
        <f>IFERROR(INDEX(Movimientos!$L$2:$L$1998,MATCH(A69&amp;"ENTRADA",Movimientos!$R$2:$R$1998,0)),"-")</f>
        <v>-</v>
      </c>
      <c r="H69" s="19" t="str">
        <f>IFERROR(IF(INDEX(Movimientos!$M$2:$M$1998,MATCH(A69&amp;"ENTRADA",Movimientos!$R$2:$R$1998,0))=0,"S/D",INDEX(Movimientos!$M$2:$M$1998,MATCH(A69&amp;"ENTRADA",Movimientos!$R$2:$R$1998,0))),"S/D")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SIN STOCK</v>
      </c>
    </row>
    <row r="70" spans="1:11" ht="14.25">
      <c r="A70" s="18" t="s">
        <v>2213</v>
      </c>
      <c r="B70" s="3" t="str">
        <f>IFERROR(INDEX(Movimientos!$C$2:$C$1998,MATCH(A70&amp;"ENTRADA",Movimientos!$R$2:$R$1998,0)),"-")</f>
        <v>-</v>
      </c>
      <c r="C70" s="3" t="str">
        <f>IFERROR(INDEX(Movimientos!$D$2:$D$1998,MATCH(A70&amp;"ENTRADA",Movimientos!$R$2:$R$1998,0)),"-")</f>
        <v>-</v>
      </c>
      <c r="D70" s="3" t="str">
        <f>IFERROR(INDEX(Movimientos!$E$2:$E$1998,MATCH(A70&amp;"ENTRADA",Movimientos!$R$2:$R$1998,0)),"-")</f>
        <v>-</v>
      </c>
      <c r="E70" s="3" t="str">
        <f>IFERROR(INDEX(Movimientos!$F$2:$F$1998,MATCH(A70&amp;"ENTRADA",Movimientos!$R$2:$R$1998,0)),"-")</f>
        <v>-</v>
      </c>
      <c r="F70" s="3" t="str">
        <f>IFERROR(INDEX(Movimientos!$G$2:$G$1998,MATCH(A70&amp;"ENTRADA",Movimientos!$R$2:$R$1998,0)),"-")</f>
        <v>-</v>
      </c>
      <c r="G70" s="3" t="str">
        <f>IFERROR(INDEX(Movimientos!$L$2:$L$1998,MATCH(A70&amp;"ENTRADA",Movimientos!$R$2:$R$1998,0)),"-")</f>
        <v>-</v>
      </c>
      <c r="H70" s="19" t="str">
        <f>IFERROR(IF(INDEX(Movimientos!$M$2:$M$1998,MATCH(A70&amp;"ENTRADA",Movimientos!$R$2:$R$1998,0))=0,"S/D",INDEX(Movimientos!$M$2:$M$1998,MATCH(A70&amp;"ENTRADA",Movimientos!$R$2:$R$1998,0))),"S/D")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SIN STOCK</v>
      </c>
    </row>
    <row r="71" spans="1:11" ht="14.25">
      <c r="A71" s="18" t="s">
        <v>2214</v>
      </c>
      <c r="B71" s="3" t="str">
        <f>IFERROR(INDEX(Movimientos!$C$2:$C$1998,MATCH(A71&amp;"ENTRADA",Movimientos!$R$2:$R$1998,0)),"-")</f>
        <v>-</v>
      </c>
      <c r="C71" s="3" t="str">
        <f>IFERROR(INDEX(Movimientos!$D$2:$D$1998,MATCH(A71&amp;"ENTRADA",Movimientos!$R$2:$R$1998,0)),"-")</f>
        <v>-</v>
      </c>
      <c r="D71" s="3" t="str">
        <f>IFERROR(INDEX(Movimientos!$E$2:$E$1998,MATCH(A71&amp;"ENTRADA",Movimientos!$R$2:$R$1998,0)),"-")</f>
        <v>-</v>
      </c>
      <c r="E71" s="3" t="str">
        <f>IFERROR(INDEX(Movimientos!$F$2:$F$1998,MATCH(A71&amp;"ENTRADA",Movimientos!$R$2:$R$1998,0)),"-")</f>
        <v>-</v>
      </c>
      <c r="F71" s="3" t="str">
        <f>IFERROR(INDEX(Movimientos!$G$2:$G$1998,MATCH(A71&amp;"ENTRADA",Movimientos!$R$2:$R$1998,0)),"-")</f>
        <v>-</v>
      </c>
      <c r="G71" s="3" t="str">
        <f>IFERROR(INDEX(Movimientos!$L$2:$L$1998,MATCH(A71&amp;"ENTRADA",Movimientos!$R$2:$R$1998,0)),"-")</f>
        <v>-</v>
      </c>
      <c r="H71" s="19" t="str">
        <f>IFERROR(IF(INDEX(Movimientos!$M$2:$M$1998,MATCH(A71&amp;"ENTRADA",Movimientos!$R$2:$R$1998,0))=0,"S/D",INDEX(Movimientos!$M$2:$M$1998,MATCH(A71&amp;"ENTRADA",Movimientos!$R$2:$R$1998,0))),"S/D")</f>
        <v>S/D</v>
      </c>
      <c r="I71" s="16" t="str">
        <f t="shared" ref="I71:I134" ca="1" si="4">IF(OR(A71="",H71="S/D"),"S/D",H71-TODAY())</f>
        <v>S/D</v>
      </c>
      <c r="J71" s="6">
        <f>IF(A71="","",SUMIFS(Movimientos!$K:$K,Movimientos!$H:$H,A71))</f>
        <v>0</v>
      </c>
      <c r="K71" s="14" t="str">
        <f t="shared" ca="1" si="3"/>
        <v>SIN STOCK</v>
      </c>
    </row>
    <row r="72" spans="1:11" ht="14.25">
      <c r="A72" s="18" t="s">
        <v>2215</v>
      </c>
      <c r="B72" s="3" t="str">
        <f>IFERROR(INDEX(Movimientos!$C$2:$C$1998,MATCH(A72&amp;"ENTRADA",Movimientos!$R$2:$R$1998,0)),"-")</f>
        <v>-</v>
      </c>
      <c r="C72" s="3" t="str">
        <f>IFERROR(INDEX(Movimientos!$D$2:$D$1998,MATCH(A72&amp;"ENTRADA",Movimientos!$R$2:$R$1998,0)),"-")</f>
        <v>-</v>
      </c>
      <c r="D72" s="3" t="str">
        <f>IFERROR(INDEX(Movimientos!$E$2:$E$1998,MATCH(A72&amp;"ENTRADA",Movimientos!$R$2:$R$1998,0)),"-")</f>
        <v>-</v>
      </c>
      <c r="E72" s="3" t="str">
        <f>IFERROR(INDEX(Movimientos!$F$2:$F$1998,MATCH(A72&amp;"ENTRADA",Movimientos!$R$2:$R$1998,0)),"-")</f>
        <v>-</v>
      </c>
      <c r="F72" s="3" t="str">
        <f>IFERROR(INDEX(Movimientos!$G$2:$G$1998,MATCH(A72&amp;"ENTRADA",Movimientos!$R$2:$R$1998,0)),"-")</f>
        <v>-</v>
      </c>
      <c r="G72" s="3" t="str">
        <f>IFERROR(INDEX(Movimientos!$L$2:$L$1998,MATCH(A72&amp;"ENTRADA",Movimientos!$R$2:$R$1998,0)),"-")</f>
        <v>-</v>
      </c>
      <c r="H72" s="19" t="str">
        <f>IFERROR(IF(INDEX(Movimientos!$M$2:$M$1998,MATCH(A72&amp;"ENTRADA",Movimientos!$R$2:$R$1998,0))=0,"S/D",INDEX(Movimientos!$M$2:$M$1998,MATCH(A72&amp;"ENTRADA",Movimientos!$R$2:$R$1998,0))),"S/D")</f>
        <v>S/D</v>
      </c>
      <c r="I72" s="16" t="str">
        <f t="shared" ca="1" si="4"/>
        <v>S/D</v>
      </c>
      <c r="J72" s="6">
        <f>IF(A72="","",SUMIFS(Movimientos!$K:$K,Movimientos!$H:$H,A72))</f>
        <v>0</v>
      </c>
      <c r="K72" s="14" t="str">
        <f t="shared" ca="1" si="3"/>
        <v>SIN STOCK</v>
      </c>
    </row>
    <row r="73" spans="1:11" ht="14.25">
      <c r="A73" s="18" t="s">
        <v>2216</v>
      </c>
      <c r="B73" s="3" t="str">
        <f>IFERROR(INDEX(Movimientos!$C$2:$C$1998,MATCH(A73&amp;"ENTRADA",Movimientos!$R$2:$R$1998,0)),"-")</f>
        <v>-</v>
      </c>
      <c r="C73" s="3" t="str">
        <f>IFERROR(INDEX(Movimientos!$D$2:$D$1998,MATCH(A73&amp;"ENTRADA",Movimientos!$R$2:$R$1998,0)),"-")</f>
        <v>-</v>
      </c>
      <c r="D73" s="3" t="str">
        <f>IFERROR(INDEX(Movimientos!$E$2:$E$1998,MATCH(A73&amp;"ENTRADA",Movimientos!$R$2:$R$1998,0)),"-")</f>
        <v>-</v>
      </c>
      <c r="E73" s="3" t="str">
        <f>IFERROR(INDEX(Movimientos!$F$2:$F$1998,MATCH(A73&amp;"ENTRADA",Movimientos!$R$2:$R$1998,0)),"-")</f>
        <v>-</v>
      </c>
      <c r="F73" s="3" t="str">
        <f>IFERROR(INDEX(Movimientos!$G$2:$G$1998,MATCH(A73&amp;"ENTRADA",Movimientos!$R$2:$R$1998,0)),"-")</f>
        <v>-</v>
      </c>
      <c r="G73" s="3" t="str">
        <f>IFERROR(INDEX(Movimientos!$L$2:$L$1998,MATCH(A73&amp;"ENTRADA",Movimientos!$R$2:$R$1998,0)),"-")</f>
        <v>-</v>
      </c>
      <c r="H73" s="19" t="str">
        <f>IFERROR(IF(INDEX(Movimientos!$M$2:$M$1998,MATCH(A73&amp;"ENTRADA",Movimientos!$R$2:$R$1998,0))=0,"S/D",INDEX(Movimientos!$M$2:$M$1998,MATCH(A73&amp;"ENTRADA",Movimientos!$R$2:$R$1998,0))),"S/D")</f>
        <v>S/D</v>
      </c>
      <c r="I73" s="16" t="str">
        <f t="shared" ca="1" si="4"/>
        <v>S/D</v>
      </c>
      <c r="J73" s="6">
        <f>IF(A73="","",SUMIFS(Movimientos!$K:$K,Movimientos!$H:$H,A73))</f>
        <v>0</v>
      </c>
      <c r="K73" s="14" t="str">
        <f t="shared" ca="1" si="3"/>
        <v>SIN STOCK</v>
      </c>
    </row>
    <row r="74" spans="1:11" ht="14.25">
      <c r="A74" s="18" t="s">
        <v>2217</v>
      </c>
      <c r="B74" s="3" t="str">
        <f>IFERROR(INDEX(Movimientos!$C$2:$C$1998,MATCH(A74&amp;"ENTRADA",Movimientos!$R$2:$R$1998,0)),"-")</f>
        <v>-</v>
      </c>
      <c r="C74" s="3" t="str">
        <f>IFERROR(INDEX(Movimientos!$D$2:$D$1998,MATCH(A74&amp;"ENTRADA",Movimientos!$R$2:$R$1998,0)),"-")</f>
        <v>-</v>
      </c>
      <c r="D74" s="3" t="str">
        <f>IFERROR(INDEX(Movimientos!$E$2:$E$1998,MATCH(A74&amp;"ENTRADA",Movimientos!$R$2:$R$1998,0)),"-")</f>
        <v>-</v>
      </c>
      <c r="E74" s="3" t="str">
        <f>IFERROR(INDEX(Movimientos!$F$2:$F$1998,MATCH(A74&amp;"ENTRADA",Movimientos!$R$2:$R$1998,0)),"-")</f>
        <v>-</v>
      </c>
      <c r="F74" s="3" t="str">
        <f>IFERROR(INDEX(Movimientos!$G$2:$G$1998,MATCH(A74&amp;"ENTRADA",Movimientos!$R$2:$R$1998,0)),"-")</f>
        <v>-</v>
      </c>
      <c r="G74" s="3" t="str">
        <f>IFERROR(INDEX(Movimientos!$L$2:$L$1998,MATCH(A74&amp;"ENTRADA",Movimientos!$R$2:$R$1998,0)),"-")</f>
        <v>-</v>
      </c>
      <c r="H74" s="19" t="str">
        <f>IFERROR(IF(INDEX(Movimientos!$M$2:$M$1998,MATCH(A74&amp;"ENTRADA",Movimientos!$R$2:$R$1998,0))=0,"S/D",INDEX(Movimientos!$M$2:$M$1998,MATCH(A74&amp;"ENTRADA",Movimientos!$R$2:$R$1998,0))),"S/D")</f>
        <v>S/D</v>
      </c>
      <c r="I74" s="16" t="str">
        <f t="shared" ca="1" si="4"/>
        <v>S/D</v>
      </c>
      <c r="J74" s="6">
        <f>IF(A74="","",SUMIFS(Movimientos!$K:$K,Movimientos!$H:$H,A74))</f>
        <v>0</v>
      </c>
      <c r="K74" s="14" t="str">
        <f t="shared" ca="1" si="3"/>
        <v>SIN STOCK</v>
      </c>
    </row>
    <row r="75" spans="1:11" ht="14.25">
      <c r="A75" s="18" t="s">
        <v>2218</v>
      </c>
      <c r="B75" s="3" t="str">
        <f>IFERROR(INDEX(Movimientos!$C$2:$C$1998,MATCH(A75&amp;"ENTRADA",Movimientos!$R$2:$R$1998,0)),"-")</f>
        <v>-</v>
      </c>
      <c r="C75" s="3" t="str">
        <f>IFERROR(INDEX(Movimientos!$D$2:$D$1998,MATCH(A75&amp;"ENTRADA",Movimientos!$R$2:$R$1998,0)),"-")</f>
        <v>-</v>
      </c>
      <c r="D75" s="3" t="str">
        <f>IFERROR(INDEX(Movimientos!$E$2:$E$1998,MATCH(A75&amp;"ENTRADA",Movimientos!$R$2:$R$1998,0)),"-")</f>
        <v>-</v>
      </c>
      <c r="E75" s="3" t="str">
        <f>IFERROR(INDEX(Movimientos!$F$2:$F$1998,MATCH(A75&amp;"ENTRADA",Movimientos!$R$2:$R$1998,0)),"-")</f>
        <v>-</v>
      </c>
      <c r="F75" s="3" t="str">
        <f>IFERROR(INDEX(Movimientos!$G$2:$G$1998,MATCH(A75&amp;"ENTRADA",Movimientos!$R$2:$R$1998,0)),"-")</f>
        <v>-</v>
      </c>
      <c r="G75" s="3" t="str">
        <f>IFERROR(INDEX(Movimientos!$L$2:$L$1998,MATCH(A75&amp;"ENTRADA",Movimientos!$R$2:$R$1998,0)),"-")</f>
        <v>-</v>
      </c>
      <c r="H75" s="19" t="str">
        <f>IFERROR(IF(INDEX(Movimientos!$M$2:$M$1998,MATCH(A75&amp;"ENTRADA",Movimientos!$R$2:$R$1998,0))=0,"S/D",INDEX(Movimientos!$M$2:$M$1998,MATCH(A75&amp;"ENTRADA",Movimientos!$R$2:$R$1998,0))),"S/D")</f>
        <v>S/D</v>
      </c>
      <c r="I75" s="16" t="str">
        <f t="shared" ca="1" si="4"/>
        <v>S/D</v>
      </c>
      <c r="J75" s="6">
        <f>IF(A75="","",SUMIFS(Movimientos!$K:$K,Movimientos!$H:$H,A75))</f>
        <v>0</v>
      </c>
      <c r="K75" s="14" t="str">
        <f t="shared" ca="1" si="3"/>
        <v>SIN STOCK</v>
      </c>
    </row>
    <row r="76" spans="1:11" ht="14.25">
      <c r="A76" s="18" t="s">
        <v>2219</v>
      </c>
      <c r="B76" s="3" t="str">
        <f>IFERROR(INDEX(Movimientos!$C$2:$C$1998,MATCH(A76&amp;"ENTRADA",Movimientos!$R$2:$R$1998,0)),"-")</f>
        <v>-</v>
      </c>
      <c r="C76" s="3" t="str">
        <f>IFERROR(INDEX(Movimientos!$D$2:$D$1998,MATCH(A76&amp;"ENTRADA",Movimientos!$R$2:$R$1998,0)),"-")</f>
        <v>-</v>
      </c>
      <c r="D76" s="3" t="str">
        <f>IFERROR(INDEX(Movimientos!$E$2:$E$1998,MATCH(A76&amp;"ENTRADA",Movimientos!$R$2:$R$1998,0)),"-")</f>
        <v>-</v>
      </c>
      <c r="E76" s="3" t="str">
        <f>IFERROR(INDEX(Movimientos!$F$2:$F$1998,MATCH(A76&amp;"ENTRADA",Movimientos!$R$2:$R$1998,0)),"-")</f>
        <v>-</v>
      </c>
      <c r="F76" s="3" t="str">
        <f>IFERROR(INDEX(Movimientos!$G$2:$G$1998,MATCH(A76&amp;"ENTRADA",Movimientos!$R$2:$R$1998,0)),"-")</f>
        <v>-</v>
      </c>
      <c r="G76" s="3" t="str">
        <f>IFERROR(INDEX(Movimientos!$L$2:$L$1998,MATCH(A76&amp;"ENTRADA",Movimientos!$R$2:$R$1998,0)),"-")</f>
        <v>-</v>
      </c>
      <c r="H76" s="19" t="str">
        <f>IFERROR(IF(INDEX(Movimientos!$M$2:$M$1998,MATCH(A76&amp;"ENTRADA",Movimientos!$R$2:$R$1998,0))=0,"S/D",INDEX(Movimientos!$M$2:$M$1998,MATCH(A76&amp;"ENTRADA",Movimientos!$R$2:$R$1998,0))),"S/D")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3"/>
        <v>SIN STOCK</v>
      </c>
    </row>
    <row r="77" spans="1:11" ht="14.25">
      <c r="A77" s="18" t="s">
        <v>2220</v>
      </c>
      <c r="B77" s="3" t="str">
        <f>IFERROR(INDEX(Movimientos!$C$2:$C$1998,MATCH(A77&amp;"ENTRADA",Movimientos!$R$2:$R$1998,0)),"-")</f>
        <v>-</v>
      </c>
      <c r="C77" s="3" t="str">
        <f>IFERROR(INDEX(Movimientos!$D$2:$D$1998,MATCH(A77&amp;"ENTRADA",Movimientos!$R$2:$R$1998,0)),"-")</f>
        <v>-</v>
      </c>
      <c r="D77" s="3" t="str">
        <f>IFERROR(INDEX(Movimientos!$E$2:$E$1998,MATCH(A77&amp;"ENTRADA",Movimientos!$R$2:$R$1998,0)),"-")</f>
        <v>-</v>
      </c>
      <c r="E77" s="3" t="str">
        <f>IFERROR(INDEX(Movimientos!$F$2:$F$1998,MATCH(A77&amp;"ENTRADA",Movimientos!$R$2:$R$1998,0)),"-")</f>
        <v>-</v>
      </c>
      <c r="F77" s="3" t="str">
        <f>IFERROR(INDEX(Movimientos!$G$2:$G$1998,MATCH(A77&amp;"ENTRADA",Movimientos!$R$2:$R$1998,0)),"-")</f>
        <v>-</v>
      </c>
      <c r="G77" s="3" t="str">
        <f>IFERROR(INDEX(Movimientos!$L$2:$L$1998,MATCH(A77&amp;"ENTRADA",Movimientos!$R$2:$R$1998,0)),"-")</f>
        <v>-</v>
      </c>
      <c r="H77" s="19" t="str">
        <f>IFERROR(IF(INDEX(Movimientos!$M$2:$M$1998,MATCH(A77&amp;"ENTRADA",Movimientos!$R$2:$R$1998,0))=0,"S/D",INDEX(Movimientos!$M$2:$M$1998,MATCH(A77&amp;"ENTRADA",Movimientos!$R$2:$R$1998,0))),"S/D")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3"/>
        <v>SIN STOCK</v>
      </c>
    </row>
    <row r="78" spans="1:11" ht="14.25">
      <c r="A78" s="18" t="s">
        <v>2221</v>
      </c>
      <c r="B78" s="3" t="str">
        <f>IFERROR(INDEX(Movimientos!$C$2:$C$1998,MATCH(A78&amp;"ENTRADA",Movimientos!$R$2:$R$1998,0)),"-")</f>
        <v>-</v>
      </c>
      <c r="C78" s="3" t="str">
        <f>IFERROR(INDEX(Movimientos!$D$2:$D$1998,MATCH(A78&amp;"ENTRADA",Movimientos!$R$2:$R$1998,0)),"-")</f>
        <v>-</v>
      </c>
      <c r="D78" s="3" t="str">
        <f>IFERROR(INDEX(Movimientos!$E$2:$E$1998,MATCH(A78&amp;"ENTRADA",Movimientos!$R$2:$R$1998,0)),"-")</f>
        <v>-</v>
      </c>
      <c r="E78" s="3" t="str">
        <f>IFERROR(INDEX(Movimientos!$F$2:$F$1998,MATCH(A78&amp;"ENTRADA",Movimientos!$R$2:$R$1998,0)),"-")</f>
        <v>-</v>
      </c>
      <c r="F78" s="3" t="str">
        <f>IFERROR(INDEX(Movimientos!$G$2:$G$1998,MATCH(A78&amp;"ENTRADA",Movimientos!$R$2:$R$1998,0)),"-")</f>
        <v>-</v>
      </c>
      <c r="G78" s="3" t="str">
        <f>IFERROR(INDEX(Movimientos!$L$2:$L$1998,MATCH(A78&amp;"ENTRADA",Movimientos!$R$2:$R$1998,0)),"-")</f>
        <v>-</v>
      </c>
      <c r="H78" s="19" t="str">
        <f>IFERROR(IF(INDEX(Movimientos!$M$2:$M$1998,MATCH(A78&amp;"ENTRADA",Movimientos!$R$2:$R$1998,0))=0,"S/D",INDEX(Movimientos!$M$2:$M$1998,MATCH(A78&amp;"ENTRADA",Movimientos!$R$2:$R$1998,0))),"S/D")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3"/>
        <v>SIN STOCK</v>
      </c>
    </row>
    <row r="79" spans="1:11" ht="14.25">
      <c r="A79" s="18" t="s">
        <v>2222</v>
      </c>
      <c r="B79" s="3" t="str">
        <f>IFERROR(INDEX(Movimientos!$C$2:$C$1998,MATCH(A79&amp;"ENTRADA",Movimientos!$R$2:$R$1998,0)),"-")</f>
        <v>-</v>
      </c>
      <c r="C79" s="3" t="str">
        <f>IFERROR(INDEX(Movimientos!$D$2:$D$1998,MATCH(A79&amp;"ENTRADA",Movimientos!$R$2:$R$1998,0)),"-")</f>
        <v>-</v>
      </c>
      <c r="D79" s="3" t="str">
        <f>IFERROR(INDEX(Movimientos!$E$2:$E$1998,MATCH(A79&amp;"ENTRADA",Movimientos!$R$2:$R$1998,0)),"-")</f>
        <v>-</v>
      </c>
      <c r="E79" s="3" t="str">
        <f>IFERROR(INDEX(Movimientos!$F$2:$F$1998,MATCH(A79&amp;"ENTRADA",Movimientos!$R$2:$R$1998,0)),"-")</f>
        <v>-</v>
      </c>
      <c r="F79" s="3" t="str">
        <f>IFERROR(INDEX(Movimientos!$G$2:$G$1998,MATCH(A79&amp;"ENTRADA",Movimientos!$R$2:$R$1998,0)),"-")</f>
        <v>-</v>
      </c>
      <c r="G79" s="3" t="str">
        <f>IFERROR(INDEX(Movimientos!$L$2:$L$1998,MATCH(A79&amp;"ENTRADA",Movimientos!$R$2:$R$1998,0)),"-")</f>
        <v>-</v>
      </c>
      <c r="H79" s="19" t="str">
        <f>IFERROR(IF(INDEX(Movimientos!$M$2:$M$1998,MATCH(A79&amp;"ENTRADA",Movimientos!$R$2:$R$1998,0))=0,"S/D",INDEX(Movimientos!$M$2:$M$1998,MATCH(A79&amp;"ENTRADA",Movimientos!$R$2:$R$1998,0))),"S/D")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3"/>
        <v>SIN STOCK</v>
      </c>
    </row>
    <row r="80" spans="1:11" ht="14.25">
      <c r="A80" s="18" t="s">
        <v>2223</v>
      </c>
      <c r="B80" s="3" t="str">
        <f>IFERROR(INDEX(Movimientos!$C$2:$C$1998,MATCH(A80&amp;"ENTRADA",Movimientos!$R$2:$R$1998,0)),"-")</f>
        <v>-</v>
      </c>
      <c r="C80" s="3" t="str">
        <f>IFERROR(INDEX(Movimientos!$D$2:$D$1998,MATCH(A80&amp;"ENTRADA",Movimientos!$R$2:$R$1998,0)),"-")</f>
        <v>-</v>
      </c>
      <c r="D80" s="3" t="str">
        <f>IFERROR(INDEX(Movimientos!$E$2:$E$1998,MATCH(A80&amp;"ENTRADA",Movimientos!$R$2:$R$1998,0)),"-")</f>
        <v>-</v>
      </c>
      <c r="E80" s="3" t="str">
        <f>IFERROR(INDEX(Movimientos!$F$2:$F$1998,MATCH(A80&amp;"ENTRADA",Movimientos!$R$2:$R$1998,0)),"-")</f>
        <v>-</v>
      </c>
      <c r="F80" s="3" t="str">
        <f>IFERROR(INDEX(Movimientos!$G$2:$G$1998,MATCH(A80&amp;"ENTRADA",Movimientos!$R$2:$R$1998,0)),"-")</f>
        <v>-</v>
      </c>
      <c r="G80" s="3" t="str">
        <f>IFERROR(INDEX(Movimientos!$L$2:$L$1998,MATCH(A80&amp;"ENTRADA",Movimientos!$R$2:$R$1998,0)),"-")</f>
        <v>-</v>
      </c>
      <c r="H80" s="19" t="str">
        <f>IFERROR(IF(INDEX(Movimientos!$M$2:$M$1998,MATCH(A80&amp;"ENTRADA",Movimientos!$R$2:$R$1998,0))=0,"S/D",INDEX(Movimientos!$M$2:$M$1998,MATCH(A80&amp;"ENTRADA",Movimientos!$R$2:$R$1998,0))),"S/D")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3"/>
        <v>SIN STOCK</v>
      </c>
    </row>
    <row r="81" spans="1:11" ht="14.25">
      <c r="A81" s="18" t="s">
        <v>2224</v>
      </c>
      <c r="B81" s="3" t="str">
        <f>IFERROR(INDEX(Movimientos!$C$2:$C$1998,MATCH(A81&amp;"ENTRADA",Movimientos!$R$2:$R$1998,0)),"-")</f>
        <v>-</v>
      </c>
      <c r="C81" s="3" t="str">
        <f>IFERROR(INDEX(Movimientos!$D$2:$D$1998,MATCH(A81&amp;"ENTRADA",Movimientos!$R$2:$R$1998,0)),"-")</f>
        <v>-</v>
      </c>
      <c r="D81" s="3" t="str">
        <f>IFERROR(INDEX(Movimientos!$E$2:$E$1998,MATCH(A81&amp;"ENTRADA",Movimientos!$R$2:$R$1998,0)),"-")</f>
        <v>-</v>
      </c>
      <c r="E81" s="3" t="str">
        <f>IFERROR(INDEX(Movimientos!$F$2:$F$1998,MATCH(A81&amp;"ENTRADA",Movimientos!$R$2:$R$1998,0)),"-")</f>
        <v>-</v>
      </c>
      <c r="F81" s="3" t="str">
        <f>IFERROR(INDEX(Movimientos!$G$2:$G$1998,MATCH(A81&amp;"ENTRADA",Movimientos!$R$2:$R$1998,0)),"-")</f>
        <v>-</v>
      </c>
      <c r="G81" s="3" t="str">
        <f>IFERROR(INDEX(Movimientos!$L$2:$L$1998,MATCH(A81&amp;"ENTRADA",Movimientos!$R$2:$R$1998,0)),"-")</f>
        <v>-</v>
      </c>
      <c r="H81" s="19" t="str">
        <f>IFERROR(IF(INDEX(Movimientos!$M$2:$M$1998,MATCH(A81&amp;"ENTRADA",Movimientos!$R$2:$R$1998,0))=0,"S/D",INDEX(Movimientos!$M$2:$M$1998,MATCH(A81&amp;"ENTRADA",Movimientos!$R$2:$R$1998,0))),"S/D")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3"/>
        <v>SIN STOCK</v>
      </c>
    </row>
    <row r="82" spans="1:11" ht="14.25">
      <c r="A82" s="18" t="s">
        <v>2225</v>
      </c>
      <c r="B82" s="3" t="str">
        <f>IFERROR(INDEX(Movimientos!$C$2:$C$1998,MATCH(A82&amp;"ENTRADA",Movimientos!$R$2:$R$1998,0)),"-")</f>
        <v>-</v>
      </c>
      <c r="C82" s="3" t="str">
        <f>IFERROR(INDEX(Movimientos!$D$2:$D$1998,MATCH(A82&amp;"ENTRADA",Movimientos!$R$2:$R$1998,0)),"-")</f>
        <v>-</v>
      </c>
      <c r="D82" s="3" t="str">
        <f>IFERROR(INDEX(Movimientos!$E$2:$E$1998,MATCH(A82&amp;"ENTRADA",Movimientos!$R$2:$R$1998,0)),"-")</f>
        <v>-</v>
      </c>
      <c r="E82" s="3" t="str">
        <f>IFERROR(INDEX(Movimientos!$F$2:$F$1998,MATCH(A82&amp;"ENTRADA",Movimientos!$R$2:$R$1998,0)),"-")</f>
        <v>-</v>
      </c>
      <c r="F82" s="3" t="str">
        <f>IFERROR(INDEX(Movimientos!$G$2:$G$1998,MATCH(A82&amp;"ENTRADA",Movimientos!$R$2:$R$1998,0)),"-")</f>
        <v>-</v>
      </c>
      <c r="G82" s="3" t="str">
        <f>IFERROR(INDEX(Movimientos!$L$2:$L$1998,MATCH(A82&amp;"ENTRADA",Movimientos!$R$2:$R$1998,0)),"-")</f>
        <v>-</v>
      </c>
      <c r="H82" s="19" t="str">
        <f>IFERROR(IF(INDEX(Movimientos!$M$2:$M$1998,MATCH(A82&amp;"ENTRADA",Movimientos!$R$2:$R$1998,0))=0,"S/D",INDEX(Movimientos!$M$2:$M$1998,MATCH(A82&amp;"ENTRADA",Movimientos!$R$2:$R$1998,0))),"S/D")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3"/>
        <v>SIN STOCK</v>
      </c>
    </row>
    <row r="83" spans="1:11" ht="14.25">
      <c r="A83" s="18" t="s">
        <v>2226</v>
      </c>
      <c r="B83" s="3" t="str">
        <f>IFERROR(INDEX(Movimientos!$C$2:$C$1998,MATCH(A83&amp;"ENTRADA",Movimientos!$R$2:$R$1998,0)),"-")</f>
        <v>-</v>
      </c>
      <c r="C83" s="3" t="str">
        <f>IFERROR(INDEX(Movimientos!$D$2:$D$1998,MATCH(A83&amp;"ENTRADA",Movimientos!$R$2:$R$1998,0)),"-")</f>
        <v>-</v>
      </c>
      <c r="D83" s="3" t="str">
        <f>IFERROR(INDEX(Movimientos!$E$2:$E$1998,MATCH(A83&amp;"ENTRADA",Movimientos!$R$2:$R$1998,0)),"-")</f>
        <v>-</v>
      </c>
      <c r="E83" s="3" t="str">
        <f>IFERROR(INDEX(Movimientos!$F$2:$F$1998,MATCH(A83&amp;"ENTRADA",Movimientos!$R$2:$R$1998,0)),"-")</f>
        <v>-</v>
      </c>
      <c r="F83" s="3" t="str">
        <f>IFERROR(INDEX(Movimientos!$G$2:$G$1998,MATCH(A83&amp;"ENTRADA",Movimientos!$R$2:$R$1998,0)),"-")</f>
        <v>-</v>
      </c>
      <c r="G83" s="3" t="str">
        <f>IFERROR(INDEX(Movimientos!$L$2:$L$1998,MATCH(A83&amp;"ENTRADA",Movimientos!$R$2:$R$1998,0)),"-")</f>
        <v>-</v>
      </c>
      <c r="H83" s="19" t="str">
        <f>IFERROR(IF(INDEX(Movimientos!$M$2:$M$1998,MATCH(A83&amp;"ENTRADA",Movimientos!$R$2:$R$1998,0))=0,"S/D",INDEX(Movimientos!$M$2:$M$1998,MATCH(A83&amp;"ENTRADA",Movimientos!$R$2:$R$1998,0))),"S/D")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3"/>
        <v>SIN STOCK</v>
      </c>
    </row>
    <row r="84" spans="1:11" ht="14.25">
      <c r="A84" s="18" t="s">
        <v>2227</v>
      </c>
      <c r="B84" s="3" t="str">
        <f>IFERROR(INDEX(Movimientos!$C$2:$C$1998,MATCH(A84&amp;"ENTRADA",Movimientos!$R$2:$R$1998,0)),"-")</f>
        <v>-</v>
      </c>
      <c r="C84" s="3" t="str">
        <f>IFERROR(INDEX(Movimientos!$D$2:$D$1998,MATCH(A84&amp;"ENTRADA",Movimientos!$R$2:$R$1998,0)),"-")</f>
        <v>-</v>
      </c>
      <c r="D84" s="3" t="str">
        <f>IFERROR(INDEX(Movimientos!$E$2:$E$1998,MATCH(A84&amp;"ENTRADA",Movimientos!$R$2:$R$1998,0)),"-")</f>
        <v>-</v>
      </c>
      <c r="E84" s="3" t="str">
        <f>IFERROR(INDEX(Movimientos!$F$2:$F$1998,MATCH(A84&amp;"ENTRADA",Movimientos!$R$2:$R$1998,0)),"-")</f>
        <v>-</v>
      </c>
      <c r="F84" s="3" t="str">
        <f>IFERROR(INDEX(Movimientos!$G$2:$G$1998,MATCH(A84&amp;"ENTRADA",Movimientos!$R$2:$R$1998,0)),"-")</f>
        <v>-</v>
      </c>
      <c r="G84" s="3" t="str">
        <f>IFERROR(INDEX(Movimientos!$L$2:$L$1998,MATCH(A84&amp;"ENTRADA",Movimientos!$R$2:$R$1998,0)),"-")</f>
        <v>-</v>
      </c>
      <c r="H84" s="19" t="str">
        <f>IFERROR(IF(INDEX(Movimientos!$M$2:$M$1998,MATCH(A84&amp;"ENTRADA",Movimientos!$R$2:$R$1998,0))=0,"S/D",INDEX(Movimientos!$M$2:$M$1998,MATCH(A84&amp;"ENTRADA",Movimientos!$R$2:$R$1998,0))),"S/D")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3"/>
        <v>SIN STOCK</v>
      </c>
    </row>
    <row r="85" spans="1:11" ht="14.25">
      <c r="A85" s="18" t="s">
        <v>2228</v>
      </c>
      <c r="B85" s="3" t="str">
        <f>IFERROR(INDEX(Movimientos!$C$2:$C$1998,MATCH(A85&amp;"ENTRADA",Movimientos!$R$2:$R$1998,0)),"-")</f>
        <v>-</v>
      </c>
      <c r="C85" s="3" t="str">
        <f>IFERROR(INDEX(Movimientos!$D$2:$D$1998,MATCH(A85&amp;"ENTRADA",Movimientos!$R$2:$R$1998,0)),"-")</f>
        <v>-</v>
      </c>
      <c r="D85" s="3" t="str">
        <f>IFERROR(INDEX(Movimientos!$E$2:$E$1998,MATCH(A85&amp;"ENTRADA",Movimientos!$R$2:$R$1998,0)),"-")</f>
        <v>-</v>
      </c>
      <c r="E85" s="3" t="str">
        <f>IFERROR(INDEX(Movimientos!$F$2:$F$1998,MATCH(A85&amp;"ENTRADA",Movimientos!$R$2:$R$1998,0)),"-")</f>
        <v>-</v>
      </c>
      <c r="F85" s="3" t="str">
        <f>IFERROR(INDEX(Movimientos!$G$2:$G$1998,MATCH(A85&amp;"ENTRADA",Movimientos!$R$2:$R$1998,0)),"-")</f>
        <v>-</v>
      </c>
      <c r="G85" s="3" t="str">
        <f>IFERROR(INDEX(Movimientos!$L$2:$L$1998,MATCH(A85&amp;"ENTRADA",Movimientos!$R$2:$R$1998,0)),"-")</f>
        <v>-</v>
      </c>
      <c r="H85" s="19" t="str">
        <f>IFERROR(IF(INDEX(Movimientos!$M$2:$M$1998,MATCH(A85&amp;"ENTRADA",Movimientos!$R$2:$R$1998,0))=0,"S/D",INDEX(Movimientos!$M$2:$M$1998,MATCH(A85&amp;"ENTRADA",Movimientos!$R$2:$R$1998,0))),"S/D")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3"/>
        <v>SIN STOCK</v>
      </c>
    </row>
    <row r="86" spans="1:11" ht="14.25">
      <c r="A86" s="18" t="s">
        <v>2229</v>
      </c>
      <c r="B86" s="3" t="str">
        <f>IFERROR(INDEX(Movimientos!$C$2:$C$1998,MATCH(A86&amp;"ENTRADA",Movimientos!$R$2:$R$1998,0)),"-")</f>
        <v>-</v>
      </c>
      <c r="C86" s="3" t="str">
        <f>IFERROR(INDEX(Movimientos!$D$2:$D$1998,MATCH(A86&amp;"ENTRADA",Movimientos!$R$2:$R$1998,0)),"-")</f>
        <v>-</v>
      </c>
      <c r="D86" s="3" t="str">
        <f>IFERROR(INDEX(Movimientos!$E$2:$E$1998,MATCH(A86&amp;"ENTRADA",Movimientos!$R$2:$R$1998,0)),"-")</f>
        <v>-</v>
      </c>
      <c r="E86" s="3" t="str">
        <f>IFERROR(INDEX(Movimientos!$F$2:$F$1998,MATCH(A86&amp;"ENTRADA",Movimientos!$R$2:$R$1998,0)),"-")</f>
        <v>-</v>
      </c>
      <c r="F86" s="3" t="str">
        <f>IFERROR(INDEX(Movimientos!$G$2:$G$1998,MATCH(A86&amp;"ENTRADA",Movimientos!$R$2:$R$1998,0)),"-")</f>
        <v>-</v>
      </c>
      <c r="G86" s="3" t="str">
        <f>IFERROR(INDEX(Movimientos!$L$2:$L$1998,MATCH(A86&amp;"ENTRADA",Movimientos!$R$2:$R$1998,0)),"-")</f>
        <v>-</v>
      </c>
      <c r="H86" s="19" t="str">
        <f>IFERROR(IF(INDEX(Movimientos!$M$2:$M$1998,MATCH(A86&amp;"ENTRADA",Movimientos!$R$2:$R$1998,0))=0,"S/D",INDEX(Movimientos!$M$2:$M$1998,MATCH(A86&amp;"ENTRADA",Movimientos!$R$2:$R$1998,0))),"S/D")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3"/>
        <v>SIN STOCK</v>
      </c>
    </row>
    <row r="87" spans="1:11" ht="14.25">
      <c r="A87" s="18" t="s">
        <v>2230</v>
      </c>
      <c r="B87" s="3" t="str">
        <f>IFERROR(INDEX(Movimientos!$C$2:$C$1998,MATCH(A87&amp;"ENTRADA",Movimientos!$R$2:$R$1998,0)),"-")</f>
        <v>-</v>
      </c>
      <c r="C87" s="3" t="str">
        <f>IFERROR(INDEX(Movimientos!$D$2:$D$1998,MATCH(A87&amp;"ENTRADA",Movimientos!$R$2:$R$1998,0)),"-")</f>
        <v>-</v>
      </c>
      <c r="D87" s="3" t="str">
        <f>IFERROR(INDEX(Movimientos!$E$2:$E$1998,MATCH(A87&amp;"ENTRADA",Movimientos!$R$2:$R$1998,0)),"-")</f>
        <v>-</v>
      </c>
      <c r="E87" s="3" t="str">
        <f>IFERROR(INDEX(Movimientos!$F$2:$F$1998,MATCH(A87&amp;"ENTRADA",Movimientos!$R$2:$R$1998,0)),"-")</f>
        <v>-</v>
      </c>
      <c r="F87" s="3" t="str">
        <f>IFERROR(INDEX(Movimientos!$G$2:$G$1998,MATCH(A87&amp;"ENTRADA",Movimientos!$R$2:$R$1998,0)),"-")</f>
        <v>-</v>
      </c>
      <c r="G87" s="3" t="str">
        <f>IFERROR(INDEX(Movimientos!$L$2:$L$1998,MATCH(A87&amp;"ENTRADA",Movimientos!$R$2:$R$1998,0)),"-")</f>
        <v>-</v>
      </c>
      <c r="H87" s="19" t="str">
        <f>IFERROR(IF(INDEX(Movimientos!$M$2:$M$1998,MATCH(A87&amp;"ENTRADA",Movimientos!$R$2:$R$1998,0))=0,"S/D",INDEX(Movimientos!$M$2:$M$1998,MATCH(A87&amp;"ENTRADA",Movimientos!$R$2:$R$1998,0))),"S/D")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3"/>
        <v>SIN STOCK</v>
      </c>
    </row>
    <row r="88" spans="1:11" ht="14.25">
      <c r="A88" s="18" t="s">
        <v>2231</v>
      </c>
      <c r="B88" s="3" t="str">
        <f>IFERROR(INDEX(Movimientos!$C$2:$C$1998,MATCH(A88&amp;"ENTRADA",Movimientos!$R$2:$R$1998,0)),"-")</f>
        <v>-</v>
      </c>
      <c r="C88" s="3" t="str">
        <f>IFERROR(INDEX(Movimientos!$D$2:$D$1998,MATCH(A88&amp;"ENTRADA",Movimientos!$R$2:$R$1998,0)),"-")</f>
        <v>-</v>
      </c>
      <c r="D88" s="3" t="str">
        <f>IFERROR(INDEX(Movimientos!$E$2:$E$1998,MATCH(A88&amp;"ENTRADA",Movimientos!$R$2:$R$1998,0)),"-")</f>
        <v>-</v>
      </c>
      <c r="E88" s="3" t="str">
        <f>IFERROR(INDEX(Movimientos!$F$2:$F$1998,MATCH(A88&amp;"ENTRADA",Movimientos!$R$2:$R$1998,0)),"-")</f>
        <v>-</v>
      </c>
      <c r="F88" s="3" t="str">
        <f>IFERROR(INDEX(Movimientos!$G$2:$G$1998,MATCH(A88&amp;"ENTRADA",Movimientos!$R$2:$R$1998,0)),"-")</f>
        <v>-</v>
      </c>
      <c r="G88" s="3" t="str">
        <f>IFERROR(INDEX(Movimientos!$L$2:$L$1998,MATCH(A88&amp;"ENTRADA",Movimientos!$R$2:$R$1998,0)),"-")</f>
        <v>-</v>
      </c>
      <c r="H88" s="19" t="str">
        <f>IFERROR(IF(INDEX(Movimientos!$M$2:$M$1998,MATCH(A88&amp;"ENTRADA",Movimientos!$R$2:$R$1998,0))=0,"S/D",INDEX(Movimientos!$M$2:$M$1998,MATCH(A88&amp;"ENTRADA",Movimientos!$R$2:$R$1998,0))),"S/D")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3"/>
        <v>SIN STOCK</v>
      </c>
    </row>
    <row r="89" spans="1:11" ht="14.25">
      <c r="A89" s="18" t="s">
        <v>2232</v>
      </c>
      <c r="B89" s="3" t="str">
        <f>IFERROR(INDEX(Movimientos!$C$2:$C$1998,MATCH(A89&amp;"ENTRADA",Movimientos!$R$2:$R$1998,0)),"-")</f>
        <v>-</v>
      </c>
      <c r="C89" s="3" t="str">
        <f>IFERROR(INDEX(Movimientos!$D$2:$D$1998,MATCH(A89&amp;"ENTRADA",Movimientos!$R$2:$R$1998,0)),"-")</f>
        <v>-</v>
      </c>
      <c r="D89" s="3" t="str">
        <f>IFERROR(INDEX(Movimientos!$E$2:$E$1998,MATCH(A89&amp;"ENTRADA",Movimientos!$R$2:$R$1998,0)),"-")</f>
        <v>-</v>
      </c>
      <c r="E89" s="3" t="str">
        <f>IFERROR(INDEX(Movimientos!$F$2:$F$1998,MATCH(A89&amp;"ENTRADA",Movimientos!$R$2:$R$1998,0)),"-")</f>
        <v>-</v>
      </c>
      <c r="F89" s="3" t="str">
        <f>IFERROR(INDEX(Movimientos!$G$2:$G$1998,MATCH(A89&amp;"ENTRADA",Movimientos!$R$2:$R$1998,0)),"-")</f>
        <v>-</v>
      </c>
      <c r="G89" s="3" t="str">
        <f>IFERROR(INDEX(Movimientos!$L$2:$L$1998,MATCH(A89&amp;"ENTRADA",Movimientos!$R$2:$R$1998,0)),"-")</f>
        <v>-</v>
      </c>
      <c r="H89" s="19" t="str">
        <f>IFERROR(IF(INDEX(Movimientos!$M$2:$M$1998,MATCH(A89&amp;"ENTRADA",Movimientos!$R$2:$R$1998,0))=0,"S/D",INDEX(Movimientos!$M$2:$M$1998,MATCH(A89&amp;"ENTRADA",Movimientos!$R$2:$R$1998,0))),"S/D")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3"/>
        <v>SIN STOCK</v>
      </c>
    </row>
    <row r="90" spans="1:11" ht="14.25">
      <c r="A90" s="18" t="s">
        <v>2233</v>
      </c>
      <c r="B90" s="3" t="str">
        <f>IFERROR(INDEX(Movimientos!$C$2:$C$1998,MATCH(A90&amp;"ENTRADA",Movimientos!$R$2:$R$1998,0)),"-")</f>
        <v>-</v>
      </c>
      <c r="C90" s="3" t="str">
        <f>IFERROR(INDEX(Movimientos!$D$2:$D$1998,MATCH(A90&amp;"ENTRADA",Movimientos!$R$2:$R$1998,0)),"-")</f>
        <v>-</v>
      </c>
      <c r="D90" s="3" t="str">
        <f>IFERROR(INDEX(Movimientos!$E$2:$E$1998,MATCH(A90&amp;"ENTRADA",Movimientos!$R$2:$R$1998,0)),"-")</f>
        <v>-</v>
      </c>
      <c r="E90" s="3" t="str">
        <f>IFERROR(INDEX(Movimientos!$F$2:$F$1998,MATCH(A90&amp;"ENTRADA",Movimientos!$R$2:$R$1998,0)),"-")</f>
        <v>-</v>
      </c>
      <c r="F90" s="3" t="str">
        <f>IFERROR(INDEX(Movimientos!$G$2:$G$1998,MATCH(A90&amp;"ENTRADA",Movimientos!$R$2:$R$1998,0)),"-")</f>
        <v>-</v>
      </c>
      <c r="G90" s="3" t="str">
        <f>IFERROR(INDEX(Movimientos!$L$2:$L$1998,MATCH(A90&amp;"ENTRADA",Movimientos!$R$2:$R$1998,0)),"-")</f>
        <v>-</v>
      </c>
      <c r="H90" s="19" t="str">
        <f>IFERROR(IF(INDEX(Movimientos!$M$2:$M$1998,MATCH(A90&amp;"ENTRADA",Movimientos!$R$2:$R$1998,0))=0,"S/D",INDEX(Movimientos!$M$2:$M$1998,MATCH(A90&amp;"ENTRADA",Movimientos!$R$2:$R$1998,0))),"S/D")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3"/>
        <v>SIN STOCK</v>
      </c>
    </row>
    <row r="91" spans="1:11" ht="14.25">
      <c r="A91" s="18" t="s">
        <v>2234</v>
      </c>
      <c r="B91" s="3" t="str">
        <f>IFERROR(INDEX(Movimientos!$C$2:$C$1998,MATCH(A91&amp;"ENTRADA",Movimientos!$R$2:$R$1998,0)),"-")</f>
        <v>-</v>
      </c>
      <c r="C91" s="3" t="str">
        <f>IFERROR(INDEX(Movimientos!$D$2:$D$1998,MATCH(A91&amp;"ENTRADA",Movimientos!$R$2:$R$1998,0)),"-")</f>
        <v>-</v>
      </c>
      <c r="D91" s="3" t="str">
        <f>IFERROR(INDEX(Movimientos!$E$2:$E$1998,MATCH(A91&amp;"ENTRADA",Movimientos!$R$2:$R$1998,0)),"-")</f>
        <v>-</v>
      </c>
      <c r="E91" s="3" t="str">
        <f>IFERROR(INDEX(Movimientos!$F$2:$F$1998,MATCH(A91&amp;"ENTRADA",Movimientos!$R$2:$R$1998,0)),"-")</f>
        <v>-</v>
      </c>
      <c r="F91" s="3" t="str">
        <f>IFERROR(INDEX(Movimientos!$G$2:$G$1998,MATCH(A91&amp;"ENTRADA",Movimientos!$R$2:$R$1998,0)),"-")</f>
        <v>-</v>
      </c>
      <c r="G91" s="3" t="str">
        <f>IFERROR(INDEX(Movimientos!$L$2:$L$1998,MATCH(A91&amp;"ENTRADA",Movimientos!$R$2:$R$1998,0)),"-")</f>
        <v>-</v>
      </c>
      <c r="H91" s="19" t="str">
        <f>IFERROR(IF(INDEX(Movimientos!$M$2:$M$1998,MATCH(A91&amp;"ENTRADA",Movimientos!$R$2:$R$1998,0))=0,"S/D",INDEX(Movimientos!$M$2:$M$1998,MATCH(A91&amp;"ENTRADA",Movimientos!$R$2:$R$1998,0))),"S/D")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3"/>
        <v>SIN STOCK</v>
      </c>
    </row>
    <row r="92" spans="1:11" ht="14.25">
      <c r="A92" s="18" t="s">
        <v>2235</v>
      </c>
      <c r="B92" s="3" t="str">
        <f>IFERROR(INDEX(Movimientos!$C$2:$C$1998,MATCH(A92&amp;"ENTRADA",Movimientos!$R$2:$R$1998,0)),"-")</f>
        <v>-</v>
      </c>
      <c r="C92" s="3" t="str">
        <f>IFERROR(INDEX(Movimientos!$D$2:$D$1998,MATCH(A92&amp;"ENTRADA",Movimientos!$R$2:$R$1998,0)),"-")</f>
        <v>-</v>
      </c>
      <c r="D92" s="3" t="str">
        <f>IFERROR(INDEX(Movimientos!$E$2:$E$1998,MATCH(A92&amp;"ENTRADA",Movimientos!$R$2:$R$1998,0)),"-")</f>
        <v>-</v>
      </c>
      <c r="E92" s="3" t="str">
        <f>IFERROR(INDEX(Movimientos!$F$2:$F$1998,MATCH(A92&amp;"ENTRADA",Movimientos!$R$2:$R$1998,0)),"-")</f>
        <v>-</v>
      </c>
      <c r="F92" s="3" t="str">
        <f>IFERROR(INDEX(Movimientos!$G$2:$G$1998,MATCH(A92&amp;"ENTRADA",Movimientos!$R$2:$R$1998,0)),"-")</f>
        <v>-</v>
      </c>
      <c r="G92" s="3" t="str">
        <f>IFERROR(INDEX(Movimientos!$L$2:$L$1998,MATCH(A92&amp;"ENTRADA",Movimientos!$R$2:$R$1998,0)),"-")</f>
        <v>-</v>
      </c>
      <c r="H92" s="19" t="str">
        <f>IFERROR(IF(INDEX(Movimientos!$M$2:$M$1998,MATCH(A92&amp;"ENTRADA",Movimientos!$R$2:$R$1998,0))=0,"S/D",INDEX(Movimientos!$M$2:$M$1998,MATCH(A92&amp;"ENTRADA",Movimientos!$R$2:$R$1998,0))),"S/D")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3"/>
        <v>SIN STOCK</v>
      </c>
    </row>
    <row r="93" spans="1:11" ht="14.25">
      <c r="A93" s="18" t="s">
        <v>2236</v>
      </c>
      <c r="B93" s="3" t="str">
        <f>IFERROR(INDEX(Movimientos!$C$2:$C$1998,MATCH(A93&amp;"ENTRADA",Movimientos!$R$2:$R$1998,0)),"-")</f>
        <v>-</v>
      </c>
      <c r="C93" s="3" t="str">
        <f>IFERROR(INDEX(Movimientos!$D$2:$D$1998,MATCH(A93&amp;"ENTRADA",Movimientos!$R$2:$R$1998,0)),"-")</f>
        <v>-</v>
      </c>
      <c r="D93" s="3" t="str">
        <f>IFERROR(INDEX(Movimientos!$E$2:$E$1998,MATCH(A93&amp;"ENTRADA",Movimientos!$R$2:$R$1998,0)),"-")</f>
        <v>-</v>
      </c>
      <c r="E93" s="3" t="str">
        <f>IFERROR(INDEX(Movimientos!$F$2:$F$1998,MATCH(A93&amp;"ENTRADA",Movimientos!$R$2:$R$1998,0)),"-")</f>
        <v>-</v>
      </c>
      <c r="F93" s="3" t="str">
        <f>IFERROR(INDEX(Movimientos!$G$2:$G$1998,MATCH(A93&amp;"ENTRADA",Movimientos!$R$2:$R$1998,0)),"-")</f>
        <v>-</v>
      </c>
      <c r="G93" s="3" t="str">
        <f>IFERROR(INDEX(Movimientos!$L$2:$L$1998,MATCH(A93&amp;"ENTRADA",Movimientos!$R$2:$R$1998,0)),"-")</f>
        <v>-</v>
      </c>
      <c r="H93" s="19" t="str">
        <f>IFERROR(IF(INDEX(Movimientos!$M$2:$M$1998,MATCH(A93&amp;"ENTRADA",Movimientos!$R$2:$R$1998,0))=0,"S/D",INDEX(Movimientos!$M$2:$M$1998,MATCH(A93&amp;"ENTRADA",Movimientos!$R$2:$R$1998,0))),"S/D")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3"/>
        <v>SIN STOCK</v>
      </c>
    </row>
    <row r="94" spans="1:11" ht="14.25">
      <c r="A94" s="18" t="s">
        <v>2237</v>
      </c>
      <c r="B94" s="3" t="str">
        <f>IFERROR(INDEX(Movimientos!$C$2:$C$1998,MATCH(A94&amp;"ENTRADA",Movimientos!$R$2:$R$1998,0)),"-")</f>
        <v>-</v>
      </c>
      <c r="C94" s="3" t="str">
        <f>IFERROR(INDEX(Movimientos!$D$2:$D$1998,MATCH(A94&amp;"ENTRADA",Movimientos!$R$2:$R$1998,0)),"-")</f>
        <v>-</v>
      </c>
      <c r="D94" s="3" t="str">
        <f>IFERROR(INDEX(Movimientos!$E$2:$E$1998,MATCH(A94&amp;"ENTRADA",Movimientos!$R$2:$R$1998,0)),"-")</f>
        <v>-</v>
      </c>
      <c r="E94" s="3" t="str">
        <f>IFERROR(INDEX(Movimientos!$F$2:$F$1998,MATCH(A94&amp;"ENTRADA",Movimientos!$R$2:$R$1998,0)),"-")</f>
        <v>-</v>
      </c>
      <c r="F94" s="3" t="str">
        <f>IFERROR(INDEX(Movimientos!$G$2:$G$1998,MATCH(A94&amp;"ENTRADA",Movimientos!$R$2:$R$1998,0)),"-")</f>
        <v>-</v>
      </c>
      <c r="G94" s="3" t="str">
        <f>IFERROR(INDEX(Movimientos!$L$2:$L$1998,MATCH(A94&amp;"ENTRADA",Movimientos!$R$2:$R$1998,0)),"-")</f>
        <v>-</v>
      </c>
      <c r="H94" s="19" t="str">
        <f>IFERROR(IF(INDEX(Movimientos!$M$2:$M$1998,MATCH(A94&amp;"ENTRADA",Movimientos!$R$2:$R$1998,0))=0,"S/D",INDEX(Movimientos!$M$2:$M$1998,MATCH(A94&amp;"ENTRADA",Movimientos!$R$2:$R$1998,0))),"S/D")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3"/>
        <v>SIN STOCK</v>
      </c>
    </row>
    <row r="95" spans="1:11" ht="14.25">
      <c r="A95" s="18" t="s">
        <v>2238</v>
      </c>
      <c r="B95" s="3" t="str">
        <f>IFERROR(INDEX(Movimientos!$C$2:$C$1998,MATCH(A95&amp;"ENTRADA",Movimientos!$R$2:$R$1998,0)),"-")</f>
        <v>-</v>
      </c>
      <c r="C95" s="3" t="str">
        <f>IFERROR(INDEX(Movimientos!$D$2:$D$1998,MATCH(A95&amp;"ENTRADA",Movimientos!$R$2:$R$1998,0)),"-")</f>
        <v>-</v>
      </c>
      <c r="D95" s="3" t="str">
        <f>IFERROR(INDEX(Movimientos!$E$2:$E$1998,MATCH(A95&amp;"ENTRADA",Movimientos!$R$2:$R$1998,0)),"-")</f>
        <v>-</v>
      </c>
      <c r="E95" s="3" t="str">
        <f>IFERROR(INDEX(Movimientos!$F$2:$F$1998,MATCH(A95&amp;"ENTRADA",Movimientos!$R$2:$R$1998,0)),"-")</f>
        <v>-</v>
      </c>
      <c r="F95" s="3" t="str">
        <f>IFERROR(INDEX(Movimientos!$G$2:$G$1998,MATCH(A95&amp;"ENTRADA",Movimientos!$R$2:$R$1998,0)),"-")</f>
        <v>-</v>
      </c>
      <c r="G95" s="3" t="str">
        <f>IFERROR(INDEX(Movimientos!$L$2:$L$1998,MATCH(A95&amp;"ENTRADA",Movimientos!$R$2:$R$1998,0)),"-")</f>
        <v>-</v>
      </c>
      <c r="H95" s="19" t="str">
        <f>IFERROR(IF(INDEX(Movimientos!$M$2:$M$1998,MATCH(A95&amp;"ENTRADA",Movimientos!$R$2:$R$1998,0))=0,"S/D",INDEX(Movimientos!$M$2:$M$1998,MATCH(A95&amp;"ENTRADA",Movimientos!$R$2:$R$1998,0))),"S/D")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3"/>
        <v>SIN STOCK</v>
      </c>
    </row>
    <row r="96" spans="1:11" ht="14.25">
      <c r="A96" s="18" t="s">
        <v>2239</v>
      </c>
      <c r="B96" s="3" t="str">
        <f>IFERROR(INDEX(Movimientos!$C$2:$C$1998,MATCH(A96&amp;"ENTRADA",Movimientos!$R$2:$R$1998,0)),"-")</f>
        <v>-</v>
      </c>
      <c r="C96" s="3" t="str">
        <f>IFERROR(INDEX(Movimientos!$D$2:$D$1998,MATCH(A96&amp;"ENTRADA",Movimientos!$R$2:$R$1998,0)),"-")</f>
        <v>-</v>
      </c>
      <c r="D96" s="3" t="str">
        <f>IFERROR(INDEX(Movimientos!$E$2:$E$1998,MATCH(A96&amp;"ENTRADA",Movimientos!$R$2:$R$1998,0)),"-")</f>
        <v>-</v>
      </c>
      <c r="E96" s="3" t="str">
        <f>IFERROR(INDEX(Movimientos!$F$2:$F$1998,MATCH(A96&amp;"ENTRADA",Movimientos!$R$2:$R$1998,0)),"-")</f>
        <v>-</v>
      </c>
      <c r="F96" s="3" t="str">
        <f>IFERROR(INDEX(Movimientos!$G$2:$G$1998,MATCH(A96&amp;"ENTRADA",Movimientos!$R$2:$R$1998,0)),"-")</f>
        <v>-</v>
      </c>
      <c r="G96" s="3" t="str">
        <f>IFERROR(INDEX(Movimientos!$L$2:$L$1998,MATCH(A96&amp;"ENTRADA",Movimientos!$R$2:$R$1998,0)),"-")</f>
        <v>-</v>
      </c>
      <c r="H96" s="19" t="str">
        <f>IFERROR(IF(INDEX(Movimientos!$M$2:$M$1998,MATCH(A96&amp;"ENTRADA",Movimientos!$R$2:$R$1998,0))=0,"S/D",INDEX(Movimientos!$M$2:$M$1998,MATCH(A96&amp;"ENTRADA",Movimientos!$R$2:$R$1998,0))),"S/D")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3"/>
        <v>SIN STOCK</v>
      </c>
    </row>
    <row r="97" spans="1:11" ht="14.25">
      <c r="A97" s="18" t="s">
        <v>2240</v>
      </c>
      <c r="B97" s="3" t="str">
        <f>IFERROR(INDEX(Movimientos!$C$2:$C$1998,MATCH(A97&amp;"ENTRADA",Movimientos!$R$2:$R$1998,0)),"-")</f>
        <v>-</v>
      </c>
      <c r="C97" s="3" t="str">
        <f>IFERROR(INDEX(Movimientos!$D$2:$D$1998,MATCH(A97&amp;"ENTRADA",Movimientos!$R$2:$R$1998,0)),"-")</f>
        <v>-</v>
      </c>
      <c r="D97" s="3" t="str">
        <f>IFERROR(INDEX(Movimientos!$E$2:$E$1998,MATCH(A97&amp;"ENTRADA",Movimientos!$R$2:$R$1998,0)),"-")</f>
        <v>-</v>
      </c>
      <c r="E97" s="3" t="str">
        <f>IFERROR(INDEX(Movimientos!$F$2:$F$1998,MATCH(A97&amp;"ENTRADA",Movimientos!$R$2:$R$1998,0)),"-")</f>
        <v>-</v>
      </c>
      <c r="F97" s="3" t="str">
        <f>IFERROR(INDEX(Movimientos!$G$2:$G$1998,MATCH(A97&amp;"ENTRADA",Movimientos!$R$2:$R$1998,0)),"-")</f>
        <v>-</v>
      </c>
      <c r="G97" s="3" t="str">
        <f>IFERROR(INDEX(Movimientos!$L$2:$L$1998,MATCH(A97&amp;"ENTRADA",Movimientos!$R$2:$R$1998,0)),"-")</f>
        <v>-</v>
      </c>
      <c r="H97" s="19" t="str">
        <f>IFERROR(IF(INDEX(Movimientos!$M$2:$M$1998,MATCH(A97&amp;"ENTRADA",Movimientos!$R$2:$R$1998,0))=0,"S/D",INDEX(Movimientos!$M$2:$M$1998,MATCH(A97&amp;"ENTRADA",Movimientos!$R$2:$R$1998,0))),"S/D")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3"/>
        <v>SIN STOCK</v>
      </c>
    </row>
    <row r="98" spans="1:11" ht="14.25">
      <c r="A98" s="18" t="s">
        <v>2241</v>
      </c>
      <c r="B98" s="3" t="str">
        <f>IFERROR(INDEX(Movimientos!$C$2:$C$1998,MATCH(A98&amp;"ENTRADA",Movimientos!$R$2:$R$1998,0)),"-")</f>
        <v>-</v>
      </c>
      <c r="C98" s="3" t="str">
        <f>IFERROR(INDEX(Movimientos!$D$2:$D$1998,MATCH(A98&amp;"ENTRADA",Movimientos!$R$2:$R$1998,0)),"-")</f>
        <v>-</v>
      </c>
      <c r="D98" s="3" t="str">
        <f>IFERROR(INDEX(Movimientos!$E$2:$E$1998,MATCH(A98&amp;"ENTRADA",Movimientos!$R$2:$R$1998,0)),"-")</f>
        <v>-</v>
      </c>
      <c r="E98" s="3" t="str">
        <f>IFERROR(INDEX(Movimientos!$F$2:$F$1998,MATCH(A98&amp;"ENTRADA",Movimientos!$R$2:$R$1998,0)),"-")</f>
        <v>-</v>
      </c>
      <c r="F98" s="3" t="str">
        <f>IFERROR(INDEX(Movimientos!$G$2:$G$1998,MATCH(A98&amp;"ENTRADA",Movimientos!$R$2:$R$1998,0)),"-")</f>
        <v>-</v>
      </c>
      <c r="G98" s="3" t="str">
        <f>IFERROR(INDEX(Movimientos!$L$2:$L$1998,MATCH(A98&amp;"ENTRADA",Movimientos!$R$2:$R$1998,0)),"-")</f>
        <v>-</v>
      </c>
      <c r="H98" s="19" t="str">
        <f>IFERROR(IF(INDEX(Movimientos!$M$2:$M$1998,MATCH(A98&amp;"ENTRADA",Movimientos!$R$2:$R$1998,0))=0,"S/D",INDEX(Movimientos!$M$2:$M$1998,MATCH(A98&amp;"ENTRADA",Movimientos!$R$2:$R$1998,0))),"S/D")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3"/>
        <v>SIN STOCK</v>
      </c>
    </row>
    <row r="99" spans="1:11" ht="14.25">
      <c r="A99" s="18" t="s">
        <v>2242</v>
      </c>
      <c r="B99" s="3" t="str">
        <f>IFERROR(INDEX(Movimientos!$C$2:$C$1998,MATCH(A99&amp;"ENTRADA",Movimientos!$R$2:$R$1998,0)),"-")</f>
        <v>-</v>
      </c>
      <c r="C99" s="3" t="str">
        <f>IFERROR(INDEX(Movimientos!$D$2:$D$1998,MATCH(A99&amp;"ENTRADA",Movimientos!$R$2:$R$1998,0)),"-")</f>
        <v>-</v>
      </c>
      <c r="D99" s="3" t="str">
        <f>IFERROR(INDEX(Movimientos!$E$2:$E$1998,MATCH(A99&amp;"ENTRADA",Movimientos!$R$2:$R$1998,0)),"-")</f>
        <v>-</v>
      </c>
      <c r="E99" s="3" t="str">
        <f>IFERROR(INDEX(Movimientos!$F$2:$F$1998,MATCH(A99&amp;"ENTRADA",Movimientos!$R$2:$R$1998,0)),"-")</f>
        <v>-</v>
      </c>
      <c r="F99" s="3" t="str">
        <f>IFERROR(INDEX(Movimientos!$G$2:$G$1998,MATCH(A99&amp;"ENTRADA",Movimientos!$R$2:$R$1998,0)),"-")</f>
        <v>-</v>
      </c>
      <c r="G99" s="3" t="str">
        <f>IFERROR(INDEX(Movimientos!$L$2:$L$1998,MATCH(A99&amp;"ENTRADA",Movimientos!$R$2:$R$1998,0)),"-")</f>
        <v>-</v>
      </c>
      <c r="H99" s="19" t="str">
        <f>IFERROR(IF(INDEX(Movimientos!$M$2:$M$1998,MATCH(A99&amp;"ENTRADA",Movimientos!$R$2:$R$1998,0))=0,"S/D",INDEX(Movimientos!$M$2:$M$1998,MATCH(A99&amp;"ENTRADA",Movimientos!$R$2:$R$1998,0))),"S/D")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3"/>
        <v>SIN STOCK</v>
      </c>
    </row>
    <row r="100" spans="1:11" ht="14.25">
      <c r="A100" s="18" t="s">
        <v>2243</v>
      </c>
      <c r="B100" s="3" t="str">
        <f>IFERROR(INDEX(Movimientos!$C$2:$C$1998,MATCH(A100&amp;"ENTRADA",Movimientos!$R$2:$R$1998,0)),"-")</f>
        <v>-</v>
      </c>
      <c r="C100" s="3" t="str">
        <f>IFERROR(INDEX(Movimientos!$D$2:$D$1998,MATCH(A100&amp;"ENTRADA",Movimientos!$R$2:$R$1998,0)),"-")</f>
        <v>-</v>
      </c>
      <c r="D100" s="3" t="str">
        <f>IFERROR(INDEX(Movimientos!$E$2:$E$1998,MATCH(A100&amp;"ENTRADA",Movimientos!$R$2:$R$1998,0)),"-")</f>
        <v>-</v>
      </c>
      <c r="E100" s="3" t="str">
        <f>IFERROR(INDEX(Movimientos!$F$2:$F$1998,MATCH(A100&amp;"ENTRADA",Movimientos!$R$2:$R$1998,0)),"-")</f>
        <v>-</v>
      </c>
      <c r="F100" s="3" t="str">
        <f>IFERROR(INDEX(Movimientos!$G$2:$G$1998,MATCH(A100&amp;"ENTRADA",Movimientos!$R$2:$R$1998,0)),"-")</f>
        <v>-</v>
      </c>
      <c r="G100" s="3" t="str">
        <f>IFERROR(INDEX(Movimientos!$L$2:$L$1998,MATCH(A100&amp;"ENTRADA",Movimientos!$R$2:$R$1998,0)),"-")</f>
        <v>-</v>
      </c>
      <c r="H100" s="19" t="str">
        <f>IFERROR(IF(INDEX(Movimientos!$M$2:$M$1998,MATCH(A100&amp;"ENTRADA",Movimientos!$R$2:$R$1998,0))=0,"S/D",INDEX(Movimientos!$M$2:$M$1998,MATCH(A100&amp;"ENTRADA",Movimientos!$R$2:$R$1998,0))),"S/D")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3"/>
        <v>SIN STOCK</v>
      </c>
    </row>
    <row r="101" spans="1:11" ht="14.25">
      <c r="A101" s="18" t="s">
        <v>2244</v>
      </c>
      <c r="B101" s="3" t="str">
        <f>IFERROR(INDEX(Movimientos!$C$2:$C$1998,MATCH(A101&amp;"ENTRADA",Movimientos!$R$2:$R$1998,0)),"-")</f>
        <v>-</v>
      </c>
      <c r="C101" s="3" t="str">
        <f>IFERROR(INDEX(Movimientos!$D$2:$D$1998,MATCH(A101&amp;"ENTRADA",Movimientos!$R$2:$R$1998,0)),"-")</f>
        <v>-</v>
      </c>
      <c r="D101" s="3" t="str">
        <f>IFERROR(INDEX(Movimientos!$E$2:$E$1998,MATCH(A101&amp;"ENTRADA",Movimientos!$R$2:$R$1998,0)),"-")</f>
        <v>-</v>
      </c>
      <c r="E101" s="3" t="str">
        <f>IFERROR(INDEX(Movimientos!$F$2:$F$1998,MATCH(A101&amp;"ENTRADA",Movimientos!$R$2:$R$1998,0)),"-")</f>
        <v>-</v>
      </c>
      <c r="F101" s="3" t="str">
        <f>IFERROR(INDEX(Movimientos!$G$2:$G$1998,MATCH(A101&amp;"ENTRADA",Movimientos!$R$2:$R$1998,0)),"-")</f>
        <v>-</v>
      </c>
      <c r="G101" s="3" t="str">
        <f>IFERROR(INDEX(Movimientos!$L$2:$L$1998,MATCH(A101&amp;"ENTRADA",Movimientos!$R$2:$R$1998,0)),"-")</f>
        <v>-</v>
      </c>
      <c r="H101" s="19" t="str">
        <f>IFERROR(IF(INDEX(Movimientos!$M$2:$M$1998,MATCH(A101&amp;"ENTRADA",Movimientos!$R$2:$R$1998,0))=0,"S/D",INDEX(Movimientos!$M$2:$M$1998,MATCH(A101&amp;"ENTRADA",Movimientos!$R$2:$R$1998,0))),"S/D")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3"/>
        <v>SIN STOCK</v>
      </c>
    </row>
    <row r="102" spans="1:11" ht="14.25">
      <c r="A102" s="18" t="s">
        <v>2245</v>
      </c>
      <c r="B102" s="3" t="str">
        <f>IFERROR(INDEX(Movimientos!$C$2:$C$1998,MATCH(A102&amp;"ENTRADA",Movimientos!$R$2:$R$1998,0)),"-")</f>
        <v>-</v>
      </c>
      <c r="C102" s="3" t="str">
        <f>IFERROR(INDEX(Movimientos!$D$2:$D$1998,MATCH(A102&amp;"ENTRADA",Movimientos!$R$2:$R$1998,0)),"-")</f>
        <v>-</v>
      </c>
      <c r="D102" s="3" t="str">
        <f>IFERROR(INDEX(Movimientos!$E$2:$E$1998,MATCH(A102&amp;"ENTRADA",Movimientos!$R$2:$R$1998,0)),"-")</f>
        <v>-</v>
      </c>
      <c r="E102" s="3" t="str">
        <f>IFERROR(INDEX(Movimientos!$F$2:$F$1998,MATCH(A102&amp;"ENTRADA",Movimientos!$R$2:$R$1998,0)),"-")</f>
        <v>-</v>
      </c>
      <c r="F102" s="3" t="str">
        <f>IFERROR(INDEX(Movimientos!$G$2:$G$1998,MATCH(A102&amp;"ENTRADA",Movimientos!$R$2:$R$1998,0)),"-")</f>
        <v>-</v>
      </c>
      <c r="G102" s="3" t="str">
        <f>IFERROR(INDEX(Movimientos!$L$2:$L$1998,MATCH(A102&amp;"ENTRADA",Movimientos!$R$2:$R$1998,0)),"-")</f>
        <v>-</v>
      </c>
      <c r="H102" s="19" t="str">
        <f>IFERROR(IF(INDEX(Movimientos!$M$2:$M$1998,MATCH(A102&amp;"ENTRADA",Movimientos!$R$2:$R$1998,0))=0,"S/D",INDEX(Movimientos!$M$2:$M$1998,MATCH(A102&amp;"ENTRADA",Movimientos!$R$2:$R$1998,0))),"S/D")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3"/>
        <v>SIN STOCK</v>
      </c>
    </row>
    <row r="103" spans="1:11" ht="14.25">
      <c r="A103" s="18" t="s">
        <v>2246</v>
      </c>
      <c r="B103" s="3" t="str">
        <f>IFERROR(INDEX(Movimientos!$C$2:$C$1998,MATCH(A103&amp;"ENTRADA",Movimientos!$R$2:$R$1998,0)),"-")</f>
        <v>-</v>
      </c>
      <c r="C103" s="3" t="str">
        <f>IFERROR(INDEX(Movimientos!$D$2:$D$1998,MATCH(A103&amp;"ENTRADA",Movimientos!$R$2:$R$1998,0)),"-")</f>
        <v>-</v>
      </c>
      <c r="D103" s="3" t="str">
        <f>IFERROR(INDEX(Movimientos!$E$2:$E$1998,MATCH(A103&amp;"ENTRADA",Movimientos!$R$2:$R$1998,0)),"-")</f>
        <v>-</v>
      </c>
      <c r="E103" s="3" t="str">
        <f>IFERROR(INDEX(Movimientos!$F$2:$F$1998,MATCH(A103&amp;"ENTRADA",Movimientos!$R$2:$R$1998,0)),"-")</f>
        <v>-</v>
      </c>
      <c r="F103" s="3" t="str">
        <f>IFERROR(INDEX(Movimientos!$G$2:$G$1998,MATCH(A103&amp;"ENTRADA",Movimientos!$R$2:$R$1998,0)),"-")</f>
        <v>-</v>
      </c>
      <c r="G103" s="3" t="str">
        <f>IFERROR(INDEX(Movimientos!$L$2:$L$1998,MATCH(A103&amp;"ENTRADA",Movimientos!$R$2:$R$1998,0)),"-")</f>
        <v>-</v>
      </c>
      <c r="H103" s="19" t="str">
        <f>IFERROR(IF(INDEX(Movimientos!$M$2:$M$1998,MATCH(A103&amp;"ENTRADA",Movimientos!$R$2:$R$1998,0))=0,"S/D",INDEX(Movimientos!$M$2:$M$1998,MATCH(A103&amp;"ENTRADA",Movimientos!$R$2:$R$1998,0))),"S/D")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3"/>
        <v>SIN STOCK</v>
      </c>
    </row>
    <row r="104" spans="1:11" ht="14.25">
      <c r="A104" s="18" t="s">
        <v>2247</v>
      </c>
      <c r="B104" s="3" t="str">
        <f>IFERROR(INDEX(Movimientos!$C$2:$C$1998,MATCH(A104&amp;"ENTRADA",Movimientos!$R$2:$R$1998,0)),"-")</f>
        <v>-</v>
      </c>
      <c r="C104" s="3" t="str">
        <f>IFERROR(INDEX(Movimientos!$D$2:$D$1998,MATCH(A104&amp;"ENTRADA",Movimientos!$R$2:$R$1998,0)),"-")</f>
        <v>-</v>
      </c>
      <c r="D104" s="3" t="str">
        <f>IFERROR(INDEX(Movimientos!$E$2:$E$1998,MATCH(A104&amp;"ENTRADA",Movimientos!$R$2:$R$1998,0)),"-")</f>
        <v>-</v>
      </c>
      <c r="E104" s="3" t="str">
        <f>IFERROR(INDEX(Movimientos!$F$2:$F$1998,MATCH(A104&amp;"ENTRADA",Movimientos!$R$2:$R$1998,0)),"-")</f>
        <v>-</v>
      </c>
      <c r="F104" s="3" t="str">
        <f>IFERROR(INDEX(Movimientos!$G$2:$G$1998,MATCH(A104&amp;"ENTRADA",Movimientos!$R$2:$R$1998,0)),"-")</f>
        <v>-</v>
      </c>
      <c r="G104" s="3" t="str">
        <f>IFERROR(INDEX(Movimientos!$L$2:$L$1998,MATCH(A104&amp;"ENTRADA",Movimientos!$R$2:$R$1998,0)),"-")</f>
        <v>-</v>
      </c>
      <c r="H104" s="19" t="str">
        <f>IFERROR(IF(INDEX(Movimientos!$M$2:$M$1998,MATCH(A104&amp;"ENTRADA",Movimientos!$R$2:$R$1998,0))=0,"S/D",INDEX(Movimientos!$M$2:$M$1998,MATCH(A104&amp;"ENTRADA",Movimientos!$R$2:$R$1998,0))),"S/D")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3"/>
        <v>SIN STOCK</v>
      </c>
    </row>
    <row r="105" spans="1:11" ht="14.25">
      <c r="A105" s="18" t="s">
        <v>2248</v>
      </c>
      <c r="B105" s="3" t="str">
        <f>IFERROR(INDEX(Movimientos!$C$2:$C$1998,MATCH(A105&amp;"ENTRADA",Movimientos!$R$2:$R$1998,0)),"-")</f>
        <v>-</v>
      </c>
      <c r="C105" s="3" t="str">
        <f>IFERROR(INDEX(Movimientos!$D$2:$D$1998,MATCH(A105&amp;"ENTRADA",Movimientos!$R$2:$R$1998,0)),"-")</f>
        <v>-</v>
      </c>
      <c r="D105" s="3" t="str">
        <f>IFERROR(INDEX(Movimientos!$E$2:$E$1998,MATCH(A105&amp;"ENTRADA",Movimientos!$R$2:$R$1998,0)),"-")</f>
        <v>-</v>
      </c>
      <c r="E105" s="3" t="str">
        <f>IFERROR(INDEX(Movimientos!$F$2:$F$1998,MATCH(A105&amp;"ENTRADA",Movimientos!$R$2:$R$1998,0)),"-")</f>
        <v>-</v>
      </c>
      <c r="F105" s="3" t="str">
        <f>IFERROR(INDEX(Movimientos!$G$2:$G$1998,MATCH(A105&amp;"ENTRADA",Movimientos!$R$2:$R$1998,0)),"-")</f>
        <v>-</v>
      </c>
      <c r="G105" s="3" t="str">
        <f>IFERROR(INDEX(Movimientos!$L$2:$L$1998,MATCH(A105&amp;"ENTRADA",Movimientos!$R$2:$R$1998,0)),"-")</f>
        <v>-</v>
      </c>
      <c r="H105" s="19" t="str">
        <f>IFERROR(IF(INDEX(Movimientos!$M$2:$M$1998,MATCH(A105&amp;"ENTRADA",Movimientos!$R$2:$R$1998,0))=0,"S/D",INDEX(Movimientos!$M$2:$M$1998,MATCH(A105&amp;"ENTRADA",Movimientos!$R$2:$R$1998,0))),"S/D")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3"/>
        <v>SIN STOCK</v>
      </c>
    </row>
    <row r="106" spans="1:11" ht="14.25">
      <c r="A106" s="18" t="s">
        <v>2249</v>
      </c>
      <c r="B106" s="3" t="str">
        <f>IFERROR(INDEX(Movimientos!$C$2:$C$1998,MATCH(A106&amp;"ENTRADA",Movimientos!$R$2:$R$1998,0)),"-")</f>
        <v>-</v>
      </c>
      <c r="C106" s="3" t="str">
        <f>IFERROR(INDEX(Movimientos!$D$2:$D$1998,MATCH(A106&amp;"ENTRADA",Movimientos!$R$2:$R$1998,0)),"-")</f>
        <v>-</v>
      </c>
      <c r="D106" s="3" t="str">
        <f>IFERROR(INDEX(Movimientos!$E$2:$E$1998,MATCH(A106&amp;"ENTRADA",Movimientos!$R$2:$R$1998,0)),"-")</f>
        <v>-</v>
      </c>
      <c r="E106" s="3" t="str">
        <f>IFERROR(INDEX(Movimientos!$F$2:$F$1998,MATCH(A106&amp;"ENTRADA",Movimientos!$R$2:$R$1998,0)),"-")</f>
        <v>-</v>
      </c>
      <c r="F106" s="3" t="str">
        <f>IFERROR(INDEX(Movimientos!$G$2:$G$1998,MATCH(A106&amp;"ENTRADA",Movimientos!$R$2:$R$1998,0)),"-")</f>
        <v>-</v>
      </c>
      <c r="G106" s="3" t="str">
        <f>IFERROR(INDEX(Movimientos!$L$2:$L$1998,MATCH(A106&amp;"ENTRADA",Movimientos!$R$2:$R$1998,0)),"-")</f>
        <v>-</v>
      </c>
      <c r="H106" s="19" t="str">
        <f>IFERROR(IF(INDEX(Movimientos!$M$2:$M$1998,MATCH(A106&amp;"ENTRADA",Movimientos!$R$2:$R$1998,0))=0,"S/D",INDEX(Movimientos!$M$2:$M$1998,MATCH(A106&amp;"ENTRADA",Movimientos!$R$2:$R$1998,0))),"S/D")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3"/>
        <v>SIN STOCK</v>
      </c>
    </row>
    <row r="107" spans="1:11" ht="14.25">
      <c r="A107" s="18" t="s">
        <v>2250</v>
      </c>
      <c r="B107" s="3" t="str">
        <f>IFERROR(INDEX(Movimientos!$C$2:$C$1998,MATCH(A107&amp;"ENTRADA",Movimientos!$R$2:$R$1998,0)),"-")</f>
        <v>-</v>
      </c>
      <c r="C107" s="3" t="str">
        <f>IFERROR(INDEX(Movimientos!$D$2:$D$1998,MATCH(A107&amp;"ENTRADA",Movimientos!$R$2:$R$1998,0)),"-")</f>
        <v>-</v>
      </c>
      <c r="D107" s="3" t="str">
        <f>IFERROR(INDEX(Movimientos!$E$2:$E$1998,MATCH(A107&amp;"ENTRADA",Movimientos!$R$2:$R$1998,0)),"-")</f>
        <v>-</v>
      </c>
      <c r="E107" s="3" t="str">
        <f>IFERROR(INDEX(Movimientos!$F$2:$F$1998,MATCH(A107&amp;"ENTRADA",Movimientos!$R$2:$R$1998,0)),"-")</f>
        <v>-</v>
      </c>
      <c r="F107" s="3" t="str">
        <f>IFERROR(INDEX(Movimientos!$G$2:$G$1998,MATCH(A107&amp;"ENTRADA",Movimientos!$R$2:$R$1998,0)),"-")</f>
        <v>-</v>
      </c>
      <c r="G107" s="3" t="str">
        <f>IFERROR(INDEX(Movimientos!$L$2:$L$1998,MATCH(A107&amp;"ENTRADA",Movimientos!$R$2:$R$1998,0)),"-")</f>
        <v>-</v>
      </c>
      <c r="H107" s="19" t="str">
        <f>IFERROR(IF(INDEX(Movimientos!$M$2:$M$1998,MATCH(A107&amp;"ENTRADA",Movimientos!$R$2:$R$1998,0))=0,"S/D",INDEX(Movimientos!$M$2:$M$1998,MATCH(A107&amp;"ENTRADA",Movimientos!$R$2:$R$1998,0))),"S/D")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3"/>
        <v>SIN STOCK</v>
      </c>
    </row>
    <row r="108" spans="1:11" ht="14.25">
      <c r="A108" s="18" t="s">
        <v>2251</v>
      </c>
      <c r="B108" s="3" t="str">
        <f>IFERROR(INDEX(Movimientos!$C$2:$C$1998,MATCH(A108&amp;"ENTRADA",Movimientos!$R$2:$R$1998,0)),"-")</f>
        <v>-</v>
      </c>
      <c r="C108" s="3" t="str">
        <f>IFERROR(INDEX(Movimientos!$D$2:$D$1998,MATCH(A108&amp;"ENTRADA",Movimientos!$R$2:$R$1998,0)),"-")</f>
        <v>-</v>
      </c>
      <c r="D108" s="3" t="str">
        <f>IFERROR(INDEX(Movimientos!$E$2:$E$1998,MATCH(A108&amp;"ENTRADA",Movimientos!$R$2:$R$1998,0)),"-")</f>
        <v>-</v>
      </c>
      <c r="E108" s="3" t="str">
        <f>IFERROR(INDEX(Movimientos!$F$2:$F$1998,MATCH(A108&amp;"ENTRADA",Movimientos!$R$2:$R$1998,0)),"-")</f>
        <v>-</v>
      </c>
      <c r="F108" s="3" t="str">
        <f>IFERROR(INDEX(Movimientos!$G$2:$G$1998,MATCH(A108&amp;"ENTRADA",Movimientos!$R$2:$R$1998,0)),"-")</f>
        <v>-</v>
      </c>
      <c r="G108" s="3" t="str">
        <f>IFERROR(INDEX(Movimientos!$L$2:$L$1998,MATCH(A108&amp;"ENTRADA",Movimientos!$R$2:$R$1998,0)),"-")</f>
        <v>-</v>
      </c>
      <c r="H108" s="19" t="str">
        <f>IFERROR(IF(INDEX(Movimientos!$M$2:$M$1998,MATCH(A108&amp;"ENTRADA",Movimientos!$R$2:$R$1998,0))=0,"S/D",INDEX(Movimientos!$M$2:$M$1998,MATCH(A108&amp;"ENTRADA",Movimientos!$R$2:$R$1998,0))),"S/D")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3"/>
        <v>SIN STOCK</v>
      </c>
    </row>
    <row r="109" spans="1:11" ht="14.25">
      <c r="A109" s="18" t="s">
        <v>2252</v>
      </c>
      <c r="B109" s="3" t="str">
        <f>IFERROR(INDEX(Movimientos!$C$2:$C$1998,MATCH(A109&amp;"ENTRADA",Movimientos!$R$2:$R$1998,0)),"-")</f>
        <v>-</v>
      </c>
      <c r="C109" s="3" t="str">
        <f>IFERROR(INDEX(Movimientos!$D$2:$D$1998,MATCH(A109&amp;"ENTRADA",Movimientos!$R$2:$R$1998,0)),"-")</f>
        <v>-</v>
      </c>
      <c r="D109" s="3" t="str">
        <f>IFERROR(INDEX(Movimientos!$E$2:$E$1998,MATCH(A109&amp;"ENTRADA",Movimientos!$R$2:$R$1998,0)),"-")</f>
        <v>-</v>
      </c>
      <c r="E109" s="3" t="str">
        <f>IFERROR(INDEX(Movimientos!$F$2:$F$1998,MATCH(A109&amp;"ENTRADA",Movimientos!$R$2:$R$1998,0)),"-")</f>
        <v>-</v>
      </c>
      <c r="F109" s="3" t="str">
        <f>IFERROR(INDEX(Movimientos!$G$2:$G$1998,MATCH(A109&amp;"ENTRADA",Movimientos!$R$2:$R$1998,0)),"-")</f>
        <v>-</v>
      </c>
      <c r="G109" s="3" t="str">
        <f>IFERROR(INDEX(Movimientos!$L$2:$L$1998,MATCH(A109&amp;"ENTRADA",Movimientos!$R$2:$R$1998,0)),"-")</f>
        <v>-</v>
      </c>
      <c r="H109" s="19" t="str">
        <f>IFERROR(IF(INDEX(Movimientos!$M$2:$M$1998,MATCH(A109&amp;"ENTRADA",Movimientos!$R$2:$R$1998,0))=0,"S/D",INDEX(Movimientos!$M$2:$M$1998,MATCH(A109&amp;"ENTRADA",Movimientos!$R$2:$R$1998,0))),"S/D")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3"/>
        <v>SIN STOCK</v>
      </c>
    </row>
    <row r="110" spans="1:11" ht="14.25">
      <c r="A110" s="18" t="s">
        <v>2253</v>
      </c>
      <c r="B110" s="3" t="str">
        <f>IFERROR(INDEX(Movimientos!$C$2:$C$1998,MATCH(A110&amp;"ENTRADA",Movimientos!$R$2:$R$1998,0)),"-")</f>
        <v>-</v>
      </c>
      <c r="C110" s="3" t="str">
        <f>IFERROR(INDEX(Movimientos!$D$2:$D$1998,MATCH(A110&amp;"ENTRADA",Movimientos!$R$2:$R$1998,0)),"-")</f>
        <v>-</v>
      </c>
      <c r="D110" s="3" t="str">
        <f>IFERROR(INDEX(Movimientos!$E$2:$E$1998,MATCH(A110&amp;"ENTRADA",Movimientos!$R$2:$R$1998,0)),"-")</f>
        <v>-</v>
      </c>
      <c r="E110" s="3" t="str">
        <f>IFERROR(INDEX(Movimientos!$F$2:$F$1998,MATCH(A110&amp;"ENTRADA",Movimientos!$R$2:$R$1998,0)),"-")</f>
        <v>-</v>
      </c>
      <c r="F110" s="3" t="str">
        <f>IFERROR(INDEX(Movimientos!$G$2:$G$1998,MATCH(A110&amp;"ENTRADA",Movimientos!$R$2:$R$1998,0)),"-")</f>
        <v>-</v>
      </c>
      <c r="G110" s="3" t="str">
        <f>IFERROR(INDEX(Movimientos!$L$2:$L$1998,MATCH(A110&amp;"ENTRADA",Movimientos!$R$2:$R$1998,0)),"-")</f>
        <v>-</v>
      </c>
      <c r="H110" s="19" t="str">
        <f>IFERROR(IF(INDEX(Movimientos!$M$2:$M$1998,MATCH(A110&amp;"ENTRADA",Movimientos!$R$2:$R$1998,0))=0,"S/D",INDEX(Movimientos!$M$2:$M$1998,MATCH(A110&amp;"ENTRADA",Movimientos!$R$2:$R$1998,0))),"S/D")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3"/>
        <v>SIN STOCK</v>
      </c>
    </row>
    <row r="111" spans="1:11" ht="14.25">
      <c r="A111" s="18" t="s">
        <v>2254</v>
      </c>
      <c r="B111" s="3" t="str">
        <f>IFERROR(INDEX(Movimientos!$C$2:$C$1998,MATCH(A111&amp;"ENTRADA",Movimientos!$R$2:$R$1998,0)),"-")</f>
        <v>-</v>
      </c>
      <c r="C111" s="3" t="str">
        <f>IFERROR(INDEX(Movimientos!$D$2:$D$1998,MATCH(A111&amp;"ENTRADA",Movimientos!$R$2:$R$1998,0)),"-")</f>
        <v>-</v>
      </c>
      <c r="D111" s="3" t="str">
        <f>IFERROR(INDEX(Movimientos!$E$2:$E$1998,MATCH(A111&amp;"ENTRADA",Movimientos!$R$2:$R$1998,0)),"-")</f>
        <v>-</v>
      </c>
      <c r="E111" s="3" t="str">
        <f>IFERROR(INDEX(Movimientos!$F$2:$F$1998,MATCH(A111&amp;"ENTRADA",Movimientos!$R$2:$R$1998,0)),"-")</f>
        <v>-</v>
      </c>
      <c r="F111" s="3" t="str">
        <f>IFERROR(INDEX(Movimientos!$G$2:$G$1998,MATCH(A111&amp;"ENTRADA",Movimientos!$R$2:$R$1998,0)),"-")</f>
        <v>-</v>
      </c>
      <c r="G111" s="3" t="str">
        <f>IFERROR(INDEX(Movimientos!$L$2:$L$1998,MATCH(A111&amp;"ENTRADA",Movimientos!$R$2:$R$1998,0)),"-")</f>
        <v>-</v>
      </c>
      <c r="H111" s="19" t="str">
        <f>IFERROR(IF(INDEX(Movimientos!$M$2:$M$1998,MATCH(A111&amp;"ENTRADA",Movimientos!$R$2:$R$1998,0))=0,"S/D",INDEX(Movimientos!$M$2:$M$1998,MATCH(A111&amp;"ENTRADA",Movimientos!$R$2:$R$1998,0))),"S/D")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3"/>
        <v>SIN STOCK</v>
      </c>
    </row>
    <row r="112" spans="1:11" ht="14.25">
      <c r="A112" s="18" t="s">
        <v>2255</v>
      </c>
      <c r="B112" s="3" t="str">
        <f>IFERROR(INDEX(Movimientos!$C$2:$C$1998,MATCH(A112&amp;"ENTRADA",Movimientos!$R$2:$R$1998,0)),"-")</f>
        <v>-</v>
      </c>
      <c r="C112" s="3" t="str">
        <f>IFERROR(INDEX(Movimientos!$D$2:$D$1998,MATCH(A112&amp;"ENTRADA",Movimientos!$R$2:$R$1998,0)),"-")</f>
        <v>-</v>
      </c>
      <c r="D112" s="3" t="str">
        <f>IFERROR(INDEX(Movimientos!$E$2:$E$1998,MATCH(A112&amp;"ENTRADA",Movimientos!$R$2:$R$1998,0)),"-")</f>
        <v>-</v>
      </c>
      <c r="E112" s="3" t="str">
        <f>IFERROR(INDEX(Movimientos!$F$2:$F$1998,MATCH(A112&amp;"ENTRADA",Movimientos!$R$2:$R$1998,0)),"-")</f>
        <v>-</v>
      </c>
      <c r="F112" s="3" t="str">
        <f>IFERROR(INDEX(Movimientos!$G$2:$G$1998,MATCH(A112&amp;"ENTRADA",Movimientos!$R$2:$R$1998,0)),"-")</f>
        <v>-</v>
      </c>
      <c r="G112" s="3" t="str">
        <f>IFERROR(INDEX(Movimientos!$L$2:$L$1998,MATCH(A112&amp;"ENTRADA",Movimientos!$R$2:$R$1998,0)),"-")</f>
        <v>-</v>
      </c>
      <c r="H112" s="19" t="str">
        <f>IFERROR(IF(INDEX(Movimientos!$M$2:$M$1998,MATCH(A112&amp;"ENTRADA",Movimientos!$R$2:$R$1998,0))=0,"S/D",INDEX(Movimientos!$M$2:$M$1998,MATCH(A112&amp;"ENTRADA",Movimientos!$R$2:$R$1998,0))),"S/D")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3"/>
        <v>SIN STOCK</v>
      </c>
    </row>
    <row r="113" spans="1:11" ht="14.25">
      <c r="A113" s="18" t="s">
        <v>2256</v>
      </c>
      <c r="B113" s="3" t="str">
        <f>IFERROR(INDEX(Movimientos!$C$2:$C$1998,MATCH(A113&amp;"ENTRADA",Movimientos!$R$2:$R$1998,0)),"-")</f>
        <v>-</v>
      </c>
      <c r="C113" s="3" t="str">
        <f>IFERROR(INDEX(Movimientos!$D$2:$D$1998,MATCH(A113&amp;"ENTRADA",Movimientos!$R$2:$R$1998,0)),"-")</f>
        <v>-</v>
      </c>
      <c r="D113" s="3" t="str">
        <f>IFERROR(INDEX(Movimientos!$E$2:$E$1998,MATCH(A113&amp;"ENTRADA",Movimientos!$R$2:$R$1998,0)),"-")</f>
        <v>-</v>
      </c>
      <c r="E113" s="3" t="str">
        <f>IFERROR(INDEX(Movimientos!$F$2:$F$1998,MATCH(A113&amp;"ENTRADA",Movimientos!$R$2:$R$1998,0)),"-")</f>
        <v>-</v>
      </c>
      <c r="F113" s="3" t="str">
        <f>IFERROR(INDEX(Movimientos!$G$2:$G$1998,MATCH(A113&amp;"ENTRADA",Movimientos!$R$2:$R$1998,0)),"-")</f>
        <v>-</v>
      </c>
      <c r="G113" s="3" t="str">
        <f>IFERROR(INDEX(Movimientos!$L$2:$L$1998,MATCH(A113&amp;"ENTRADA",Movimientos!$R$2:$R$1998,0)),"-")</f>
        <v>-</v>
      </c>
      <c r="H113" s="19" t="str">
        <f>IFERROR(IF(INDEX(Movimientos!$M$2:$M$1998,MATCH(A113&amp;"ENTRADA",Movimientos!$R$2:$R$1998,0))=0,"S/D",INDEX(Movimientos!$M$2:$M$1998,MATCH(A113&amp;"ENTRADA",Movimientos!$R$2:$R$1998,0))),"S/D")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3"/>
        <v>SIN STOCK</v>
      </c>
    </row>
    <row r="114" spans="1:11" ht="14.25">
      <c r="A114" s="18" t="s">
        <v>2257</v>
      </c>
      <c r="B114" s="3" t="str">
        <f>IFERROR(INDEX(Movimientos!$C$2:$C$1998,MATCH(A114&amp;"ENTRADA",Movimientos!$R$2:$R$1998,0)),"-")</f>
        <v>-</v>
      </c>
      <c r="C114" s="3" t="str">
        <f>IFERROR(INDEX(Movimientos!$D$2:$D$1998,MATCH(A114&amp;"ENTRADA",Movimientos!$R$2:$R$1998,0)),"-")</f>
        <v>-</v>
      </c>
      <c r="D114" s="3" t="str">
        <f>IFERROR(INDEX(Movimientos!$E$2:$E$1998,MATCH(A114&amp;"ENTRADA",Movimientos!$R$2:$R$1998,0)),"-")</f>
        <v>-</v>
      </c>
      <c r="E114" s="3" t="str">
        <f>IFERROR(INDEX(Movimientos!$F$2:$F$1998,MATCH(A114&amp;"ENTRADA",Movimientos!$R$2:$R$1998,0)),"-")</f>
        <v>-</v>
      </c>
      <c r="F114" s="3" t="str">
        <f>IFERROR(INDEX(Movimientos!$G$2:$G$1998,MATCH(A114&amp;"ENTRADA",Movimientos!$R$2:$R$1998,0)),"-")</f>
        <v>-</v>
      </c>
      <c r="G114" s="3" t="str">
        <f>IFERROR(INDEX(Movimientos!$L$2:$L$1998,MATCH(A114&amp;"ENTRADA",Movimientos!$R$2:$R$1998,0)),"-")</f>
        <v>-</v>
      </c>
      <c r="H114" s="19" t="str">
        <f>IFERROR(IF(INDEX(Movimientos!$M$2:$M$1998,MATCH(A114&amp;"ENTRADA",Movimientos!$R$2:$R$1998,0))=0,"S/D",INDEX(Movimientos!$M$2:$M$1998,MATCH(A114&amp;"ENTRADA",Movimientos!$R$2:$R$1998,0))),"S/D")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3"/>
        <v>SIN STOCK</v>
      </c>
    </row>
    <row r="115" spans="1:11" ht="14.25">
      <c r="A115" s="18" t="s">
        <v>2258</v>
      </c>
      <c r="B115" s="3" t="str">
        <f>IFERROR(INDEX(Movimientos!$C$2:$C$1998,MATCH(A115&amp;"ENTRADA",Movimientos!$R$2:$R$1998,0)),"-")</f>
        <v>-</v>
      </c>
      <c r="C115" s="3" t="str">
        <f>IFERROR(INDEX(Movimientos!$D$2:$D$1998,MATCH(A115&amp;"ENTRADA",Movimientos!$R$2:$R$1998,0)),"-")</f>
        <v>-</v>
      </c>
      <c r="D115" s="3" t="str">
        <f>IFERROR(INDEX(Movimientos!$E$2:$E$1998,MATCH(A115&amp;"ENTRADA",Movimientos!$R$2:$R$1998,0)),"-")</f>
        <v>-</v>
      </c>
      <c r="E115" s="3" t="str">
        <f>IFERROR(INDEX(Movimientos!$F$2:$F$1998,MATCH(A115&amp;"ENTRADA",Movimientos!$R$2:$R$1998,0)),"-")</f>
        <v>-</v>
      </c>
      <c r="F115" s="3" t="str">
        <f>IFERROR(INDEX(Movimientos!$G$2:$G$1998,MATCH(A115&amp;"ENTRADA",Movimientos!$R$2:$R$1998,0)),"-")</f>
        <v>-</v>
      </c>
      <c r="G115" s="3" t="str">
        <f>IFERROR(INDEX(Movimientos!$L$2:$L$1998,MATCH(A115&amp;"ENTRADA",Movimientos!$R$2:$R$1998,0)),"-")</f>
        <v>-</v>
      </c>
      <c r="H115" s="19" t="str">
        <f>IFERROR(IF(INDEX(Movimientos!$M$2:$M$1998,MATCH(A115&amp;"ENTRADA",Movimientos!$R$2:$R$1998,0))=0,"S/D",INDEX(Movimientos!$M$2:$M$1998,MATCH(A115&amp;"ENTRADA",Movimientos!$R$2:$R$1998,0))),"S/D")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3"/>
        <v>SIN STOCK</v>
      </c>
    </row>
    <row r="116" spans="1:11" ht="14.25">
      <c r="A116" s="18" t="s">
        <v>2259</v>
      </c>
      <c r="B116" s="3" t="str">
        <f>IFERROR(INDEX(Movimientos!$C$2:$C$1998,MATCH(A116&amp;"ENTRADA",Movimientos!$R$2:$R$1998,0)),"-")</f>
        <v>-</v>
      </c>
      <c r="C116" s="3" t="str">
        <f>IFERROR(INDEX(Movimientos!$D$2:$D$1998,MATCH(A116&amp;"ENTRADA",Movimientos!$R$2:$R$1998,0)),"-")</f>
        <v>-</v>
      </c>
      <c r="D116" s="3" t="str">
        <f>IFERROR(INDEX(Movimientos!$E$2:$E$1998,MATCH(A116&amp;"ENTRADA",Movimientos!$R$2:$R$1998,0)),"-")</f>
        <v>-</v>
      </c>
      <c r="E116" s="3" t="str">
        <f>IFERROR(INDEX(Movimientos!$F$2:$F$1998,MATCH(A116&amp;"ENTRADA",Movimientos!$R$2:$R$1998,0)),"-")</f>
        <v>-</v>
      </c>
      <c r="F116" s="3" t="str">
        <f>IFERROR(INDEX(Movimientos!$G$2:$G$1998,MATCH(A116&amp;"ENTRADA",Movimientos!$R$2:$R$1998,0)),"-")</f>
        <v>-</v>
      </c>
      <c r="G116" s="3" t="str">
        <f>IFERROR(INDEX(Movimientos!$L$2:$L$1998,MATCH(A116&amp;"ENTRADA",Movimientos!$R$2:$R$1998,0)),"-")</f>
        <v>-</v>
      </c>
      <c r="H116" s="19" t="str">
        <f>IFERROR(IF(INDEX(Movimientos!$M$2:$M$1998,MATCH(A116&amp;"ENTRADA",Movimientos!$R$2:$R$1998,0))=0,"S/D",INDEX(Movimientos!$M$2:$M$1998,MATCH(A116&amp;"ENTRADA",Movimientos!$R$2:$R$1998,0))),"S/D")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3"/>
        <v>SIN STOCK</v>
      </c>
    </row>
    <row r="117" spans="1:11" ht="14.25">
      <c r="A117" s="18" t="s">
        <v>2260</v>
      </c>
      <c r="B117" s="3" t="str">
        <f>IFERROR(INDEX(Movimientos!$C$2:$C$1998,MATCH(A117&amp;"ENTRADA",Movimientos!$R$2:$R$1998,0)),"-")</f>
        <v>-</v>
      </c>
      <c r="C117" s="3" t="str">
        <f>IFERROR(INDEX(Movimientos!$D$2:$D$1998,MATCH(A117&amp;"ENTRADA",Movimientos!$R$2:$R$1998,0)),"-")</f>
        <v>-</v>
      </c>
      <c r="D117" s="3" t="str">
        <f>IFERROR(INDEX(Movimientos!$E$2:$E$1998,MATCH(A117&amp;"ENTRADA",Movimientos!$R$2:$R$1998,0)),"-")</f>
        <v>-</v>
      </c>
      <c r="E117" s="3" t="str">
        <f>IFERROR(INDEX(Movimientos!$F$2:$F$1998,MATCH(A117&amp;"ENTRADA",Movimientos!$R$2:$R$1998,0)),"-")</f>
        <v>-</v>
      </c>
      <c r="F117" s="3" t="str">
        <f>IFERROR(INDEX(Movimientos!$G$2:$G$1998,MATCH(A117&amp;"ENTRADA",Movimientos!$R$2:$R$1998,0)),"-")</f>
        <v>-</v>
      </c>
      <c r="G117" s="3" t="str">
        <f>IFERROR(INDEX(Movimientos!$L$2:$L$1998,MATCH(A117&amp;"ENTRADA",Movimientos!$R$2:$R$1998,0)),"-")</f>
        <v>-</v>
      </c>
      <c r="H117" s="19" t="str">
        <f>IFERROR(IF(INDEX(Movimientos!$M$2:$M$1998,MATCH(A117&amp;"ENTRADA",Movimientos!$R$2:$R$1998,0))=0,"S/D",INDEX(Movimientos!$M$2:$M$1998,MATCH(A117&amp;"ENTRADA",Movimientos!$R$2:$R$1998,0))),"S/D")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3"/>
        <v>SIN STOCK</v>
      </c>
    </row>
    <row r="118" spans="1:11" ht="14.25">
      <c r="A118" s="18" t="s">
        <v>2261</v>
      </c>
      <c r="B118" s="3" t="str">
        <f>IFERROR(INDEX(Movimientos!$C$2:$C$1998,MATCH(A118&amp;"ENTRADA",Movimientos!$R$2:$R$1998,0)),"-")</f>
        <v>-</v>
      </c>
      <c r="C118" s="3" t="str">
        <f>IFERROR(INDEX(Movimientos!$D$2:$D$1998,MATCH(A118&amp;"ENTRADA",Movimientos!$R$2:$R$1998,0)),"-")</f>
        <v>-</v>
      </c>
      <c r="D118" s="3" t="str">
        <f>IFERROR(INDEX(Movimientos!$E$2:$E$1998,MATCH(A118&amp;"ENTRADA",Movimientos!$R$2:$R$1998,0)),"-")</f>
        <v>-</v>
      </c>
      <c r="E118" s="3" t="str">
        <f>IFERROR(INDEX(Movimientos!$F$2:$F$1998,MATCH(A118&amp;"ENTRADA",Movimientos!$R$2:$R$1998,0)),"-")</f>
        <v>-</v>
      </c>
      <c r="F118" s="3" t="str">
        <f>IFERROR(INDEX(Movimientos!$G$2:$G$1998,MATCH(A118&amp;"ENTRADA",Movimientos!$R$2:$R$1998,0)),"-")</f>
        <v>-</v>
      </c>
      <c r="G118" s="3" t="str">
        <f>IFERROR(INDEX(Movimientos!$L$2:$L$1998,MATCH(A118&amp;"ENTRADA",Movimientos!$R$2:$R$1998,0)),"-")</f>
        <v>-</v>
      </c>
      <c r="H118" s="19" t="str">
        <f>IFERROR(IF(INDEX(Movimientos!$M$2:$M$1998,MATCH(A118&amp;"ENTRADA",Movimientos!$R$2:$R$1998,0))=0,"S/D",INDEX(Movimientos!$M$2:$M$1998,MATCH(A118&amp;"ENTRADA",Movimientos!$R$2:$R$1998,0))),"S/D")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3"/>
        <v>SIN STOCK</v>
      </c>
    </row>
    <row r="119" spans="1:11" ht="14.25">
      <c r="A119" s="18" t="s">
        <v>2262</v>
      </c>
      <c r="B119" s="3" t="str">
        <f>IFERROR(INDEX(Movimientos!$C$2:$C$1998,MATCH(A119&amp;"ENTRADA",Movimientos!$R$2:$R$1998,0)),"-")</f>
        <v>-</v>
      </c>
      <c r="C119" s="3" t="str">
        <f>IFERROR(INDEX(Movimientos!$D$2:$D$1998,MATCH(A119&amp;"ENTRADA",Movimientos!$R$2:$R$1998,0)),"-")</f>
        <v>-</v>
      </c>
      <c r="D119" s="3" t="str">
        <f>IFERROR(INDEX(Movimientos!$E$2:$E$1998,MATCH(A119&amp;"ENTRADA",Movimientos!$R$2:$R$1998,0)),"-")</f>
        <v>-</v>
      </c>
      <c r="E119" s="3" t="str">
        <f>IFERROR(INDEX(Movimientos!$F$2:$F$1998,MATCH(A119&amp;"ENTRADA",Movimientos!$R$2:$R$1998,0)),"-")</f>
        <v>-</v>
      </c>
      <c r="F119" s="3" t="str">
        <f>IFERROR(INDEX(Movimientos!$G$2:$G$1998,MATCH(A119&amp;"ENTRADA",Movimientos!$R$2:$R$1998,0)),"-")</f>
        <v>-</v>
      </c>
      <c r="G119" s="3" t="str">
        <f>IFERROR(INDEX(Movimientos!$L$2:$L$1998,MATCH(A119&amp;"ENTRADA",Movimientos!$R$2:$R$1998,0)),"-")</f>
        <v>-</v>
      </c>
      <c r="H119" s="19" t="str">
        <f>IFERROR(IF(INDEX(Movimientos!$M$2:$M$1998,MATCH(A119&amp;"ENTRADA",Movimientos!$R$2:$R$1998,0))=0,"S/D",INDEX(Movimientos!$M$2:$M$1998,MATCH(A119&amp;"ENTRADA",Movimientos!$R$2:$R$1998,0))),"S/D")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3"/>
        <v>SIN STOCK</v>
      </c>
    </row>
    <row r="120" spans="1:11" ht="14.25">
      <c r="A120" s="18" t="s">
        <v>2263</v>
      </c>
      <c r="B120" s="3" t="str">
        <f>IFERROR(INDEX(Movimientos!$C$2:$C$1998,MATCH(A120&amp;"ENTRADA",Movimientos!$R$2:$R$1998,0)),"-")</f>
        <v>-</v>
      </c>
      <c r="C120" s="3" t="str">
        <f>IFERROR(INDEX(Movimientos!$D$2:$D$1998,MATCH(A120&amp;"ENTRADA",Movimientos!$R$2:$R$1998,0)),"-")</f>
        <v>-</v>
      </c>
      <c r="D120" s="3" t="str">
        <f>IFERROR(INDEX(Movimientos!$E$2:$E$1998,MATCH(A120&amp;"ENTRADA",Movimientos!$R$2:$R$1998,0)),"-")</f>
        <v>-</v>
      </c>
      <c r="E120" s="3" t="str">
        <f>IFERROR(INDEX(Movimientos!$F$2:$F$1998,MATCH(A120&amp;"ENTRADA",Movimientos!$R$2:$R$1998,0)),"-")</f>
        <v>-</v>
      </c>
      <c r="F120" s="3" t="str">
        <f>IFERROR(INDEX(Movimientos!$G$2:$G$1998,MATCH(A120&amp;"ENTRADA",Movimientos!$R$2:$R$1998,0)),"-")</f>
        <v>-</v>
      </c>
      <c r="G120" s="3" t="str">
        <f>IFERROR(INDEX(Movimientos!$L$2:$L$1998,MATCH(A120&amp;"ENTRADA",Movimientos!$R$2:$R$1998,0)),"-")</f>
        <v>-</v>
      </c>
      <c r="H120" s="19" t="str">
        <f>IFERROR(IF(INDEX(Movimientos!$M$2:$M$1998,MATCH(A120&amp;"ENTRADA",Movimientos!$R$2:$R$1998,0))=0,"S/D",INDEX(Movimientos!$M$2:$M$1998,MATCH(A120&amp;"ENTRADA",Movimientos!$R$2:$R$1998,0))),"S/D")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3"/>
        <v>SIN STOCK</v>
      </c>
    </row>
    <row r="121" spans="1:11" ht="14.25">
      <c r="A121" s="18" t="s">
        <v>2264</v>
      </c>
      <c r="B121" s="3" t="str">
        <f>IFERROR(INDEX(Movimientos!$C$2:$C$1998,MATCH(A121&amp;"ENTRADA",Movimientos!$R$2:$R$1998,0)),"-")</f>
        <v>-</v>
      </c>
      <c r="C121" s="3" t="str">
        <f>IFERROR(INDEX(Movimientos!$D$2:$D$1998,MATCH(A121&amp;"ENTRADA",Movimientos!$R$2:$R$1998,0)),"-")</f>
        <v>-</v>
      </c>
      <c r="D121" s="3" t="str">
        <f>IFERROR(INDEX(Movimientos!$E$2:$E$1998,MATCH(A121&amp;"ENTRADA",Movimientos!$R$2:$R$1998,0)),"-")</f>
        <v>-</v>
      </c>
      <c r="E121" s="3" t="str">
        <f>IFERROR(INDEX(Movimientos!$F$2:$F$1998,MATCH(A121&amp;"ENTRADA",Movimientos!$R$2:$R$1998,0)),"-")</f>
        <v>-</v>
      </c>
      <c r="F121" s="3" t="str">
        <f>IFERROR(INDEX(Movimientos!$G$2:$G$1998,MATCH(A121&amp;"ENTRADA",Movimientos!$R$2:$R$1998,0)),"-")</f>
        <v>-</v>
      </c>
      <c r="G121" s="3" t="str">
        <f>IFERROR(INDEX(Movimientos!$L$2:$L$1998,MATCH(A121&amp;"ENTRADA",Movimientos!$R$2:$R$1998,0)),"-")</f>
        <v>-</v>
      </c>
      <c r="H121" s="19" t="str">
        <f>IFERROR(IF(INDEX(Movimientos!$M$2:$M$1998,MATCH(A121&amp;"ENTRADA",Movimientos!$R$2:$R$1998,0))=0,"S/D",INDEX(Movimientos!$M$2:$M$1998,MATCH(A121&amp;"ENTRADA",Movimientos!$R$2:$R$1998,0))),"S/D")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3"/>
        <v>SIN STOCK</v>
      </c>
    </row>
    <row r="122" spans="1:11" ht="14.25">
      <c r="A122" s="18" t="s">
        <v>2265</v>
      </c>
      <c r="B122" s="3" t="str">
        <f>IFERROR(INDEX(Movimientos!$C$2:$C$1998,MATCH(A122&amp;"ENTRADA",Movimientos!$R$2:$R$1998,0)),"-")</f>
        <v>-</v>
      </c>
      <c r="C122" s="3" t="str">
        <f>IFERROR(INDEX(Movimientos!$D$2:$D$1998,MATCH(A122&amp;"ENTRADA",Movimientos!$R$2:$R$1998,0)),"-")</f>
        <v>-</v>
      </c>
      <c r="D122" s="3" t="str">
        <f>IFERROR(INDEX(Movimientos!$E$2:$E$1998,MATCH(A122&amp;"ENTRADA",Movimientos!$R$2:$R$1998,0)),"-")</f>
        <v>-</v>
      </c>
      <c r="E122" s="3" t="str">
        <f>IFERROR(INDEX(Movimientos!$F$2:$F$1998,MATCH(A122&amp;"ENTRADA",Movimientos!$R$2:$R$1998,0)),"-")</f>
        <v>-</v>
      </c>
      <c r="F122" s="3" t="str">
        <f>IFERROR(INDEX(Movimientos!$G$2:$G$1998,MATCH(A122&amp;"ENTRADA",Movimientos!$R$2:$R$1998,0)),"-")</f>
        <v>-</v>
      </c>
      <c r="G122" s="3" t="str">
        <f>IFERROR(INDEX(Movimientos!$L$2:$L$1998,MATCH(A122&amp;"ENTRADA",Movimientos!$R$2:$R$1998,0)),"-")</f>
        <v>-</v>
      </c>
      <c r="H122" s="19" t="str">
        <f>IFERROR(IF(INDEX(Movimientos!$M$2:$M$1998,MATCH(A122&amp;"ENTRADA",Movimientos!$R$2:$R$1998,0))=0,"S/D",INDEX(Movimientos!$M$2:$M$1998,MATCH(A122&amp;"ENTRADA",Movimientos!$R$2:$R$1998,0))),"S/D")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3"/>
        <v>SIN STOCK</v>
      </c>
    </row>
    <row r="123" spans="1:11" ht="14.25">
      <c r="A123" s="18" t="s">
        <v>2266</v>
      </c>
      <c r="B123" s="3" t="str">
        <f>IFERROR(INDEX(Movimientos!$C$2:$C$1998,MATCH(A123&amp;"ENTRADA",Movimientos!$R$2:$R$1998,0)),"-")</f>
        <v>-</v>
      </c>
      <c r="C123" s="3" t="str">
        <f>IFERROR(INDEX(Movimientos!$D$2:$D$1998,MATCH(A123&amp;"ENTRADA",Movimientos!$R$2:$R$1998,0)),"-")</f>
        <v>-</v>
      </c>
      <c r="D123" s="3" t="str">
        <f>IFERROR(INDEX(Movimientos!$E$2:$E$1998,MATCH(A123&amp;"ENTRADA",Movimientos!$R$2:$R$1998,0)),"-")</f>
        <v>-</v>
      </c>
      <c r="E123" s="3" t="str">
        <f>IFERROR(INDEX(Movimientos!$F$2:$F$1998,MATCH(A123&amp;"ENTRADA",Movimientos!$R$2:$R$1998,0)),"-")</f>
        <v>-</v>
      </c>
      <c r="F123" s="3" t="str">
        <f>IFERROR(INDEX(Movimientos!$G$2:$G$1998,MATCH(A123&amp;"ENTRADA",Movimientos!$R$2:$R$1998,0)),"-")</f>
        <v>-</v>
      </c>
      <c r="G123" s="3" t="str">
        <f>IFERROR(INDEX(Movimientos!$L$2:$L$1998,MATCH(A123&amp;"ENTRADA",Movimientos!$R$2:$R$1998,0)),"-")</f>
        <v>-</v>
      </c>
      <c r="H123" s="19" t="str">
        <f>IFERROR(IF(INDEX(Movimientos!$M$2:$M$1998,MATCH(A123&amp;"ENTRADA",Movimientos!$R$2:$R$1998,0))=0,"S/D",INDEX(Movimientos!$M$2:$M$1998,MATCH(A123&amp;"ENTRADA",Movimientos!$R$2:$R$1998,0))),"S/D")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3"/>
        <v>SIN STOCK</v>
      </c>
    </row>
    <row r="124" spans="1:11" ht="14.25">
      <c r="A124" s="18" t="s">
        <v>2267</v>
      </c>
      <c r="B124" s="3" t="str">
        <f>IFERROR(INDEX(Movimientos!$C$2:$C$1998,MATCH(A124&amp;"ENTRADA",Movimientos!$R$2:$R$1998,0)),"-")</f>
        <v>-</v>
      </c>
      <c r="C124" s="3" t="str">
        <f>IFERROR(INDEX(Movimientos!$D$2:$D$1998,MATCH(A124&amp;"ENTRADA",Movimientos!$R$2:$R$1998,0)),"-")</f>
        <v>-</v>
      </c>
      <c r="D124" s="3" t="str">
        <f>IFERROR(INDEX(Movimientos!$E$2:$E$1998,MATCH(A124&amp;"ENTRADA",Movimientos!$R$2:$R$1998,0)),"-")</f>
        <v>-</v>
      </c>
      <c r="E124" s="3" t="str">
        <f>IFERROR(INDEX(Movimientos!$F$2:$F$1998,MATCH(A124&amp;"ENTRADA",Movimientos!$R$2:$R$1998,0)),"-")</f>
        <v>-</v>
      </c>
      <c r="F124" s="3" t="str">
        <f>IFERROR(INDEX(Movimientos!$G$2:$G$1998,MATCH(A124&amp;"ENTRADA",Movimientos!$R$2:$R$1998,0)),"-")</f>
        <v>-</v>
      </c>
      <c r="G124" s="3" t="str">
        <f>IFERROR(INDEX(Movimientos!$L$2:$L$1998,MATCH(A124&amp;"ENTRADA",Movimientos!$R$2:$R$1998,0)),"-")</f>
        <v>-</v>
      </c>
      <c r="H124" s="19" t="str">
        <f>IFERROR(IF(INDEX(Movimientos!$M$2:$M$1998,MATCH(A124&amp;"ENTRADA",Movimientos!$R$2:$R$1998,0))=0,"S/D",INDEX(Movimientos!$M$2:$M$1998,MATCH(A124&amp;"ENTRADA",Movimientos!$R$2:$R$1998,0))),"S/D")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3"/>
        <v>SIN STOCK</v>
      </c>
    </row>
    <row r="125" spans="1:11" ht="14.25">
      <c r="A125" s="18" t="s">
        <v>2268</v>
      </c>
      <c r="B125" s="3" t="str">
        <f>IFERROR(INDEX(Movimientos!$C$2:$C$1998,MATCH(A125&amp;"ENTRADA",Movimientos!$R$2:$R$1998,0)),"-")</f>
        <v>-</v>
      </c>
      <c r="C125" s="3" t="str">
        <f>IFERROR(INDEX(Movimientos!$D$2:$D$1998,MATCH(A125&amp;"ENTRADA",Movimientos!$R$2:$R$1998,0)),"-")</f>
        <v>-</v>
      </c>
      <c r="D125" s="3" t="str">
        <f>IFERROR(INDEX(Movimientos!$E$2:$E$1998,MATCH(A125&amp;"ENTRADA",Movimientos!$R$2:$R$1998,0)),"-")</f>
        <v>-</v>
      </c>
      <c r="E125" s="3" t="str">
        <f>IFERROR(INDEX(Movimientos!$F$2:$F$1998,MATCH(A125&amp;"ENTRADA",Movimientos!$R$2:$R$1998,0)),"-")</f>
        <v>-</v>
      </c>
      <c r="F125" s="3" t="str">
        <f>IFERROR(INDEX(Movimientos!$G$2:$G$1998,MATCH(A125&amp;"ENTRADA",Movimientos!$R$2:$R$1998,0)),"-")</f>
        <v>-</v>
      </c>
      <c r="G125" s="3" t="str">
        <f>IFERROR(INDEX(Movimientos!$L$2:$L$1998,MATCH(A125&amp;"ENTRADA",Movimientos!$R$2:$R$1998,0)),"-")</f>
        <v>-</v>
      </c>
      <c r="H125" s="19" t="str">
        <f>IFERROR(IF(INDEX(Movimientos!$M$2:$M$1998,MATCH(A125&amp;"ENTRADA",Movimientos!$R$2:$R$1998,0))=0,"S/D",INDEX(Movimientos!$M$2:$M$1998,MATCH(A125&amp;"ENTRADA",Movimientos!$R$2:$R$1998,0))),"S/D")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3"/>
        <v>SIN STOCK</v>
      </c>
    </row>
    <row r="126" spans="1:11" ht="14.25">
      <c r="A126" s="18" t="s">
        <v>2269</v>
      </c>
      <c r="B126" s="3" t="str">
        <f>IFERROR(INDEX(Movimientos!$C$2:$C$1998,MATCH(A126&amp;"ENTRADA",Movimientos!$R$2:$R$1998,0)),"-")</f>
        <v>-</v>
      </c>
      <c r="C126" s="3" t="str">
        <f>IFERROR(INDEX(Movimientos!$D$2:$D$1998,MATCH(A126&amp;"ENTRADA",Movimientos!$R$2:$R$1998,0)),"-")</f>
        <v>-</v>
      </c>
      <c r="D126" s="3" t="str">
        <f>IFERROR(INDEX(Movimientos!$E$2:$E$1998,MATCH(A126&amp;"ENTRADA",Movimientos!$R$2:$R$1998,0)),"-")</f>
        <v>-</v>
      </c>
      <c r="E126" s="3" t="str">
        <f>IFERROR(INDEX(Movimientos!$F$2:$F$1998,MATCH(A126&amp;"ENTRADA",Movimientos!$R$2:$R$1998,0)),"-")</f>
        <v>-</v>
      </c>
      <c r="F126" s="3" t="str">
        <f>IFERROR(INDEX(Movimientos!$G$2:$G$1998,MATCH(A126&amp;"ENTRADA",Movimientos!$R$2:$R$1998,0)),"-")</f>
        <v>-</v>
      </c>
      <c r="G126" s="3" t="str">
        <f>IFERROR(INDEX(Movimientos!$L$2:$L$1998,MATCH(A126&amp;"ENTRADA",Movimientos!$R$2:$R$1998,0)),"-")</f>
        <v>-</v>
      </c>
      <c r="H126" s="19" t="str">
        <f>IFERROR(IF(INDEX(Movimientos!$M$2:$M$1998,MATCH(A126&amp;"ENTRADA",Movimientos!$R$2:$R$1998,0))=0,"S/D",INDEX(Movimientos!$M$2:$M$1998,MATCH(A126&amp;"ENTRADA",Movimientos!$R$2:$R$1998,0))),"S/D")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3"/>
        <v>SIN STOCK</v>
      </c>
    </row>
    <row r="127" spans="1:11" ht="14.25">
      <c r="A127" s="18" t="s">
        <v>2270</v>
      </c>
      <c r="B127" s="3" t="str">
        <f>IFERROR(INDEX(Movimientos!$C$2:$C$1998,MATCH(A127&amp;"ENTRADA",Movimientos!$R$2:$R$1998,0)),"-")</f>
        <v>-</v>
      </c>
      <c r="C127" s="3" t="str">
        <f>IFERROR(INDEX(Movimientos!$D$2:$D$1998,MATCH(A127&amp;"ENTRADA",Movimientos!$R$2:$R$1998,0)),"-")</f>
        <v>-</v>
      </c>
      <c r="D127" s="3" t="str">
        <f>IFERROR(INDEX(Movimientos!$E$2:$E$1998,MATCH(A127&amp;"ENTRADA",Movimientos!$R$2:$R$1998,0)),"-")</f>
        <v>-</v>
      </c>
      <c r="E127" s="3" t="str">
        <f>IFERROR(INDEX(Movimientos!$F$2:$F$1998,MATCH(A127&amp;"ENTRADA",Movimientos!$R$2:$R$1998,0)),"-")</f>
        <v>-</v>
      </c>
      <c r="F127" s="3" t="str">
        <f>IFERROR(INDEX(Movimientos!$G$2:$G$1998,MATCH(A127&amp;"ENTRADA",Movimientos!$R$2:$R$1998,0)),"-")</f>
        <v>-</v>
      </c>
      <c r="G127" s="3" t="str">
        <f>IFERROR(INDEX(Movimientos!$L$2:$L$1998,MATCH(A127&amp;"ENTRADA",Movimientos!$R$2:$R$1998,0)),"-")</f>
        <v>-</v>
      </c>
      <c r="H127" s="19" t="str">
        <f>IFERROR(IF(INDEX(Movimientos!$M$2:$M$1998,MATCH(A127&amp;"ENTRADA",Movimientos!$R$2:$R$1998,0))=0,"S/D",INDEX(Movimientos!$M$2:$M$1998,MATCH(A127&amp;"ENTRADA",Movimientos!$R$2:$R$1998,0))),"S/D")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3"/>
        <v>SIN STOCK</v>
      </c>
    </row>
    <row r="128" spans="1:11" ht="14.25">
      <c r="A128" s="18" t="s">
        <v>2271</v>
      </c>
      <c r="B128" s="3" t="str">
        <f>IFERROR(INDEX(Movimientos!$C$2:$C$1998,MATCH(A128&amp;"ENTRADA",Movimientos!$R$2:$R$1998,0)),"-")</f>
        <v>-</v>
      </c>
      <c r="C128" s="3" t="str">
        <f>IFERROR(INDEX(Movimientos!$D$2:$D$1998,MATCH(A128&amp;"ENTRADA",Movimientos!$R$2:$R$1998,0)),"-")</f>
        <v>-</v>
      </c>
      <c r="D128" s="3" t="str">
        <f>IFERROR(INDEX(Movimientos!$E$2:$E$1998,MATCH(A128&amp;"ENTRADA",Movimientos!$R$2:$R$1998,0)),"-")</f>
        <v>-</v>
      </c>
      <c r="E128" s="3" t="str">
        <f>IFERROR(INDEX(Movimientos!$F$2:$F$1998,MATCH(A128&amp;"ENTRADA",Movimientos!$R$2:$R$1998,0)),"-")</f>
        <v>-</v>
      </c>
      <c r="F128" s="3" t="str">
        <f>IFERROR(INDEX(Movimientos!$G$2:$G$1998,MATCH(A128&amp;"ENTRADA",Movimientos!$R$2:$R$1998,0)),"-")</f>
        <v>-</v>
      </c>
      <c r="G128" s="3" t="str">
        <f>IFERROR(INDEX(Movimientos!$L$2:$L$1998,MATCH(A128&amp;"ENTRADA",Movimientos!$R$2:$R$1998,0)),"-")</f>
        <v>-</v>
      </c>
      <c r="H128" s="19" t="str">
        <f>IFERROR(IF(INDEX(Movimientos!$M$2:$M$1998,MATCH(A128&amp;"ENTRADA",Movimientos!$R$2:$R$1998,0))=0,"S/D",INDEX(Movimientos!$M$2:$M$1998,MATCH(A128&amp;"ENTRADA",Movimientos!$R$2:$R$1998,0))),"S/D")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ref="K128:K191" ca="1" si="5">IF(A128="","",IF(J128&lt;0.01,"SIN STOCK",IF(H128="S/D","OK",IF(H128&lt;TODAY(),"VENCIDO",IF(I128&gt;=180,"OK","PRÓXIMO A VENCER")))))</f>
        <v>SIN STOCK</v>
      </c>
    </row>
    <row r="129" spans="1:11" ht="14.25">
      <c r="A129" s="18" t="s">
        <v>2272</v>
      </c>
      <c r="B129" s="3" t="str">
        <f>IFERROR(INDEX(Movimientos!$C$2:$C$1998,MATCH(A129&amp;"ENTRADA",Movimientos!$R$2:$R$1998,0)),"-")</f>
        <v>-</v>
      </c>
      <c r="C129" s="3" t="str">
        <f>IFERROR(INDEX(Movimientos!$D$2:$D$1998,MATCH(A129&amp;"ENTRADA",Movimientos!$R$2:$R$1998,0)),"-")</f>
        <v>-</v>
      </c>
      <c r="D129" s="3" t="str">
        <f>IFERROR(INDEX(Movimientos!$E$2:$E$1998,MATCH(A129&amp;"ENTRADA",Movimientos!$R$2:$R$1998,0)),"-")</f>
        <v>-</v>
      </c>
      <c r="E129" s="3" t="str">
        <f>IFERROR(INDEX(Movimientos!$F$2:$F$1998,MATCH(A129&amp;"ENTRADA",Movimientos!$R$2:$R$1998,0)),"-")</f>
        <v>-</v>
      </c>
      <c r="F129" s="3" t="str">
        <f>IFERROR(INDEX(Movimientos!$G$2:$G$1998,MATCH(A129&amp;"ENTRADA",Movimientos!$R$2:$R$1998,0)),"-")</f>
        <v>-</v>
      </c>
      <c r="G129" s="3" t="str">
        <f>IFERROR(INDEX(Movimientos!$L$2:$L$1998,MATCH(A129&amp;"ENTRADA",Movimientos!$R$2:$R$1998,0)),"-")</f>
        <v>-</v>
      </c>
      <c r="H129" s="19" t="str">
        <f>IFERROR(IF(INDEX(Movimientos!$M$2:$M$1998,MATCH(A129&amp;"ENTRADA",Movimientos!$R$2:$R$1998,0))=0,"S/D",INDEX(Movimientos!$M$2:$M$1998,MATCH(A129&amp;"ENTRADA",Movimientos!$R$2:$R$1998,0))),"S/D")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SIN STOCK</v>
      </c>
    </row>
    <row r="130" spans="1:11" ht="14.25">
      <c r="A130" s="18" t="s">
        <v>2273</v>
      </c>
      <c r="B130" s="3" t="str">
        <f>IFERROR(INDEX(Movimientos!$C$2:$C$1998,MATCH(A130&amp;"ENTRADA",Movimientos!$R$2:$R$1998,0)),"-")</f>
        <v>-</v>
      </c>
      <c r="C130" s="3" t="str">
        <f>IFERROR(INDEX(Movimientos!$D$2:$D$1998,MATCH(A130&amp;"ENTRADA",Movimientos!$R$2:$R$1998,0)),"-")</f>
        <v>-</v>
      </c>
      <c r="D130" s="3" t="str">
        <f>IFERROR(INDEX(Movimientos!$E$2:$E$1998,MATCH(A130&amp;"ENTRADA",Movimientos!$R$2:$R$1998,0)),"-")</f>
        <v>-</v>
      </c>
      <c r="E130" s="3" t="str">
        <f>IFERROR(INDEX(Movimientos!$F$2:$F$1998,MATCH(A130&amp;"ENTRADA",Movimientos!$R$2:$R$1998,0)),"-")</f>
        <v>-</v>
      </c>
      <c r="F130" s="3" t="str">
        <f>IFERROR(INDEX(Movimientos!$G$2:$G$1998,MATCH(A130&amp;"ENTRADA",Movimientos!$R$2:$R$1998,0)),"-")</f>
        <v>-</v>
      </c>
      <c r="G130" s="3" t="str">
        <f>IFERROR(INDEX(Movimientos!$L$2:$L$1998,MATCH(A130&amp;"ENTRADA",Movimientos!$R$2:$R$1998,0)),"-")</f>
        <v>-</v>
      </c>
      <c r="H130" s="19" t="str">
        <f>IFERROR(IF(INDEX(Movimientos!$M$2:$M$1998,MATCH(A130&amp;"ENTRADA",Movimientos!$R$2:$R$1998,0))=0,"S/D",INDEX(Movimientos!$M$2:$M$1998,MATCH(A130&amp;"ENTRADA",Movimientos!$R$2:$R$1998,0))),"S/D")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SIN STOCK</v>
      </c>
    </row>
    <row r="131" spans="1:11" ht="14.25">
      <c r="A131" s="18" t="s">
        <v>2274</v>
      </c>
      <c r="B131" s="3" t="str">
        <f>IFERROR(INDEX(Movimientos!$C$2:$C$1998,MATCH(A131&amp;"ENTRADA",Movimientos!$R$2:$R$1998,0)),"-")</f>
        <v>-</v>
      </c>
      <c r="C131" s="3" t="str">
        <f>IFERROR(INDEX(Movimientos!$D$2:$D$1998,MATCH(A131&amp;"ENTRADA",Movimientos!$R$2:$R$1998,0)),"-")</f>
        <v>-</v>
      </c>
      <c r="D131" s="3" t="str">
        <f>IFERROR(INDEX(Movimientos!$E$2:$E$1998,MATCH(A131&amp;"ENTRADA",Movimientos!$R$2:$R$1998,0)),"-")</f>
        <v>-</v>
      </c>
      <c r="E131" s="3" t="str">
        <f>IFERROR(INDEX(Movimientos!$F$2:$F$1998,MATCH(A131&amp;"ENTRADA",Movimientos!$R$2:$R$1998,0)),"-")</f>
        <v>-</v>
      </c>
      <c r="F131" s="3" t="str">
        <f>IFERROR(INDEX(Movimientos!$G$2:$G$1998,MATCH(A131&amp;"ENTRADA",Movimientos!$R$2:$R$1998,0)),"-")</f>
        <v>-</v>
      </c>
      <c r="G131" s="3" t="str">
        <f>IFERROR(INDEX(Movimientos!$L$2:$L$1998,MATCH(A131&amp;"ENTRADA",Movimientos!$R$2:$R$1998,0)),"-")</f>
        <v>-</v>
      </c>
      <c r="H131" s="19" t="str">
        <f>IFERROR(IF(INDEX(Movimientos!$M$2:$M$1998,MATCH(A131&amp;"ENTRADA",Movimientos!$R$2:$R$1998,0))=0,"S/D",INDEX(Movimientos!$M$2:$M$1998,MATCH(A131&amp;"ENTRADA",Movimientos!$R$2:$R$1998,0))),"S/D")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SIN STOCK</v>
      </c>
    </row>
    <row r="132" spans="1:11" ht="14.25">
      <c r="A132" s="18" t="s">
        <v>2275</v>
      </c>
      <c r="B132" s="3" t="str">
        <f>IFERROR(INDEX(Movimientos!$C$2:$C$1998,MATCH(A132&amp;"ENTRADA",Movimientos!$R$2:$R$1998,0)),"-")</f>
        <v>-</v>
      </c>
      <c r="C132" s="3" t="str">
        <f>IFERROR(INDEX(Movimientos!$D$2:$D$1998,MATCH(A132&amp;"ENTRADA",Movimientos!$R$2:$R$1998,0)),"-")</f>
        <v>-</v>
      </c>
      <c r="D132" s="3" t="str">
        <f>IFERROR(INDEX(Movimientos!$E$2:$E$1998,MATCH(A132&amp;"ENTRADA",Movimientos!$R$2:$R$1998,0)),"-")</f>
        <v>-</v>
      </c>
      <c r="E132" s="3" t="str">
        <f>IFERROR(INDEX(Movimientos!$F$2:$F$1998,MATCH(A132&amp;"ENTRADA",Movimientos!$R$2:$R$1998,0)),"-")</f>
        <v>-</v>
      </c>
      <c r="F132" s="3" t="str">
        <f>IFERROR(INDEX(Movimientos!$G$2:$G$1998,MATCH(A132&amp;"ENTRADA",Movimientos!$R$2:$R$1998,0)),"-")</f>
        <v>-</v>
      </c>
      <c r="G132" s="3" t="str">
        <f>IFERROR(INDEX(Movimientos!$L$2:$L$1998,MATCH(A132&amp;"ENTRADA",Movimientos!$R$2:$R$1998,0)),"-")</f>
        <v>-</v>
      </c>
      <c r="H132" s="19" t="str">
        <f>IFERROR(IF(INDEX(Movimientos!$M$2:$M$1998,MATCH(A132&amp;"ENTRADA",Movimientos!$R$2:$R$1998,0))=0,"S/D",INDEX(Movimientos!$M$2:$M$1998,MATCH(A132&amp;"ENTRADA",Movimientos!$R$2:$R$1998,0))),"S/D")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SIN STOCK</v>
      </c>
    </row>
    <row r="133" spans="1:11" ht="14.25">
      <c r="A133" s="18" t="s">
        <v>2276</v>
      </c>
      <c r="B133" s="3" t="str">
        <f>IFERROR(INDEX(Movimientos!$C$2:$C$1998,MATCH(A133&amp;"ENTRADA",Movimientos!$R$2:$R$1998,0)),"-")</f>
        <v>-</v>
      </c>
      <c r="C133" s="3" t="str">
        <f>IFERROR(INDEX(Movimientos!$D$2:$D$1998,MATCH(A133&amp;"ENTRADA",Movimientos!$R$2:$R$1998,0)),"-")</f>
        <v>-</v>
      </c>
      <c r="D133" s="3" t="str">
        <f>IFERROR(INDEX(Movimientos!$E$2:$E$1998,MATCH(A133&amp;"ENTRADA",Movimientos!$R$2:$R$1998,0)),"-")</f>
        <v>-</v>
      </c>
      <c r="E133" s="3" t="str">
        <f>IFERROR(INDEX(Movimientos!$F$2:$F$1998,MATCH(A133&amp;"ENTRADA",Movimientos!$R$2:$R$1998,0)),"-")</f>
        <v>-</v>
      </c>
      <c r="F133" s="3" t="str">
        <f>IFERROR(INDEX(Movimientos!$G$2:$G$1998,MATCH(A133&amp;"ENTRADA",Movimientos!$R$2:$R$1998,0)),"-")</f>
        <v>-</v>
      </c>
      <c r="G133" s="3" t="str">
        <f>IFERROR(INDEX(Movimientos!$L$2:$L$1998,MATCH(A133&amp;"ENTRADA",Movimientos!$R$2:$R$1998,0)),"-")</f>
        <v>-</v>
      </c>
      <c r="H133" s="19" t="str">
        <f>IFERROR(IF(INDEX(Movimientos!$M$2:$M$1998,MATCH(A133&amp;"ENTRADA",Movimientos!$R$2:$R$1998,0))=0,"S/D",INDEX(Movimientos!$M$2:$M$1998,MATCH(A133&amp;"ENTRADA",Movimientos!$R$2:$R$1998,0))),"S/D")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SIN STOCK</v>
      </c>
    </row>
    <row r="134" spans="1:11" ht="14.25">
      <c r="A134" s="18" t="s">
        <v>2277</v>
      </c>
      <c r="B134" s="3" t="str">
        <f>IFERROR(INDEX(Movimientos!$C$2:$C$1998,MATCH(A134&amp;"ENTRADA",Movimientos!$R$2:$R$1998,0)),"-")</f>
        <v>-</v>
      </c>
      <c r="C134" s="3" t="str">
        <f>IFERROR(INDEX(Movimientos!$D$2:$D$1998,MATCH(A134&amp;"ENTRADA",Movimientos!$R$2:$R$1998,0)),"-")</f>
        <v>-</v>
      </c>
      <c r="D134" s="3" t="str">
        <f>IFERROR(INDEX(Movimientos!$E$2:$E$1998,MATCH(A134&amp;"ENTRADA",Movimientos!$R$2:$R$1998,0)),"-")</f>
        <v>-</v>
      </c>
      <c r="E134" s="3" t="str">
        <f>IFERROR(INDEX(Movimientos!$F$2:$F$1998,MATCH(A134&amp;"ENTRADA",Movimientos!$R$2:$R$1998,0)),"-")</f>
        <v>-</v>
      </c>
      <c r="F134" s="3" t="str">
        <f>IFERROR(INDEX(Movimientos!$G$2:$G$1998,MATCH(A134&amp;"ENTRADA",Movimientos!$R$2:$R$1998,0)),"-")</f>
        <v>-</v>
      </c>
      <c r="G134" s="3" t="str">
        <f>IFERROR(INDEX(Movimientos!$L$2:$L$1998,MATCH(A134&amp;"ENTRADA",Movimientos!$R$2:$R$1998,0)),"-")</f>
        <v>-</v>
      </c>
      <c r="H134" s="19" t="str">
        <f>IFERROR(IF(INDEX(Movimientos!$M$2:$M$1998,MATCH(A134&amp;"ENTRADA",Movimientos!$R$2:$R$1998,0))=0,"S/D",INDEX(Movimientos!$M$2:$M$1998,MATCH(A134&amp;"ENTRADA",Movimientos!$R$2:$R$1998,0))),"S/D")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SIN STOCK</v>
      </c>
    </row>
    <row r="135" spans="1:11" ht="14.25">
      <c r="A135" s="18" t="s">
        <v>2278</v>
      </c>
      <c r="B135" s="3" t="str">
        <f>IFERROR(INDEX(Movimientos!$C$2:$C$1998,MATCH(A135&amp;"ENTRADA",Movimientos!$R$2:$R$1998,0)),"-")</f>
        <v>-</v>
      </c>
      <c r="C135" s="3" t="str">
        <f>IFERROR(INDEX(Movimientos!$D$2:$D$1998,MATCH(A135&amp;"ENTRADA",Movimientos!$R$2:$R$1998,0)),"-")</f>
        <v>-</v>
      </c>
      <c r="D135" s="3" t="str">
        <f>IFERROR(INDEX(Movimientos!$E$2:$E$1998,MATCH(A135&amp;"ENTRADA",Movimientos!$R$2:$R$1998,0)),"-")</f>
        <v>-</v>
      </c>
      <c r="E135" s="3" t="str">
        <f>IFERROR(INDEX(Movimientos!$F$2:$F$1998,MATCH(A135&amp;"ENTRADA",Movimientos!$R$2:$R$1998,0)),"-")</f>
        <v>-</v>
      </c>
      <c r="F135" s="3" t="str">
        <f>IFERROR(INDEX(Movimientos!$G$2:$G$1998,MATCH(A135&amp;"ENTRADA",Movimientos!$R$2:$R$1998,0)),"-")</f>
        <v>-</v>
      </c>
      <c r="G135" s="3" t="str">
        <f>IFERROR(INDEX(Movimientos!$L$2:$L$1998,MATCH(A135&amp;"ENTRADA",Movimientos!$R$2:$R$1998,0)),"-")</f>
        <v>-</v>
      </c>
      <c r="H135" s="19" t="str">
        <f>IFERROR(IF(INDEX(Movimientos!$M$2:$M$1998,MATCH(A135&amp;"ENTRADA",Movimientos!$R$2:$R$1998,0))=0,"S/D",INDEX(Movimientos!$M$2:$M$1998,MATCH(A135&amp;"ENTRADA",Movimientos!$R$2:$R$1998,0))),"S/D")</f>
        <v>S/D</v>
      </c>
      <c r="I135" s="16" t="str">
        <f t="shared" ref="I135:I198" ca="1" si="6">IF(OR(A135="",H135="S/D"),"S/D",H135-TODAY())</f>
        <v>S/D</v>
      </c>
      <c r="J135" s="6">
        <f>IF(A135="","",SUMIFS(Movimientos!$K:$K,Movimientos!$H:$H,A135))</f>
        <v>0</v>
      </c>
      <c r="K135" s="14" t="str">
        <f t="shared" ca="1" si="5"/>
        <v>SIN STOCK</v>
      </c>
    </row>
    <row r="136" spans="1:11" ht="14.25">
      <c r="A136" s="18" t="s">
        <v>2279</v>
      </c>
      <c r="B136" s="3" t="str">
        <f>IFERROR(INDEX(Movimientos!$C$2:$C$1998,MATCH(A136&amp;"ENTRADA",Movimientos!$R$2:$R$1998,0)),"-")</f>
        <v>-</v>
      </c>
      <c r="C136" s="3" t="str">
        <f>IFERROR(INDEX(Movimientos!$D$2:$D$1998,MATCH(A136&amp;"ENTRADA",Movimientos!$R$2:$R$1998,0)),"-")</f>
        <v>-</v>
      </c>
      <c r="D136" s="3" t="str">
        <f>IFERROR(INDEX(Movimientos!$E$2:$E$1998,MATCH(A136&amp;"ENTRADA",Movimientos!$R$2:$R$1998,0)),"-")</f>
        <v>-</v>
      </c>
      <c r="E136" s="3" t="str">
        <f>IFERROR(INDEX(Movimientos!$F$2:$F$1998,MATCH(A136&amp;"ENTRADA",Movimientos!$R$2:$R$1998,0)),"-")</f>
        <v>-</v>
      </c>
      <c r="F136" s="3" t="str">
        <f>IFERROR(INDEX(Movimientos!$G$2:$G$1998,MATCH(A136&amp;"ENTRADA",Movimientos!$R$2:$R$1998,0)),"-")</f>
        <v>-</v>
      </c>
      <c r="G136" s="3" t="str">
        <f>IFERROR(INDEX(Movimientos!$L$2:$L$1998,MATCH(A136&amp;"ENTRADA",Movimientos!$R$2:$R$1998,0)),"-")</f>
        <v>-</v>
      </c>
      <c r="H136" s="19" t="str">
        <f>IFERROR(IF(INDEX(Movimientos!$M$2:$M$1998,MATCH(A136&amp;"ENTRADA",Movimientos!$R$2:$R$1998,0))=0,"S/D",INDEX(Movimientos!$M$2:$M$1998,MATCH(A136&amp;"ENTRADA",Movimientos!$R$2:$R$1998,0))),"S/D")</f>
        <v>S/D</v>
      </c>
      <c r="I136" s="16" t="str">
        <f t="shared" ca="1" si="6"/>
        <v>S/D</v>
      </c>
      <c r="J136" s="6">
        <f>IF(A136="","",SUMIFS(Movimientos!$K:$K,Movimientos!$H:$H,A136))</f>
        <v>0</v>
      </c>
      <c r="K136" s="14" t="str">
        <f t="shared" ca="1" si="5"/>
        <v>SIN STOCK</v>
      </c>
    </row>
    <row r="137" spans="1:11" ht="14.25">
      <c r="A137" s="18" t="s">
        <v>2280</v>
      </c>
      <c r="B137" s="3" t="str">
        <f>IFERROR(INDEX(Movimientos!$C$2:$C$1998,MATCH(A137&amp;"ENTRADA",Movimientos!$R$2:$R$1998,0)),"-")</f>
        <v>-</v>
      </c>
      <c r="C137" s="3" t="str">
        <f>IFERROR(INDEX(Movimientos!$D$2:$D$1998,MATCH(A137&amp;"ENTRADA",Movimientos!$R$2:$R$1998,0)),"-")</f>
        <v>-</v>
      </c>
      <c r="D137" s="3" t="str">
        <f>IFERROR(INDEX(Movimientos!$E$2:$E$1998,MATCH(A137&amp;"ENTRADA",Movimientos!$R$2:$R$1998,0)),"-")</f>
        <v>-</v>
      </c>
      <c r="E137" s="3" t="str">
        <f>IFERROR(INDEX(Movimientos!$F$2:$F$1998,MATCH(A137&amp;"ENTRADA",Movimientos!$R$2:$R$1998,0)),"-")</f>
        <v>-</v>
      </c>
      <c r="F137" s="3" t="str">
        <f>IFERROR(INDEX(Movimientos!$G$2:$G$1998,MATCH(A137&amp;"ENTRADA",Movimientos!$R$2:$R$1998,0)),"-")</f>
        <v>-</v>
      </c>
      <c r="G137" s="3" t="str">
        <f>IFERROR(INDEX(Movimientos!$L$2:$L$1998,MATCH(A137&amp;"ENTRADA",Movimientos!$R$2:$R$1998,0)),"-")</f>
        <v>-</v>
      </c>
      <c r="H137" s="19" t="str">
        <f>IFERROR(IF(INDEX(Movimientos!$M$2:$M$1998,MATCH(A137&amp;"ENTRADA",Movimientos!$R$2:$R$1998,0))=0,"S/D",INDEX(Movimientos!$M$2:$M$1998,MATCH(A137&amp;"ENTRADA",Movimientos!$R$2:$R$1998,0))),"S/D")</f>
        <v>S/D</v>
      </c>
      <c r="I137" s="16" t="str">
        <f t="shared" ca="1" si="6"/>
        <v>S/D</v>
      </c>
      <c r="J137" s="6">
        <f>IF(A137="","",SUMIFS(Movimientos!$K:$K,Movimientos!$H:$H,A137))</f>
        <v>0</v>
      </c>
      <c r="K137" s="14" t="str">
        <f t="shared" ca="1" si="5"/>
        <v>SIN STOCK</v>
      </c>
    </row>
    <row r="138" spans="1:11" ht="14.25">
      <c r="A138" s="18" t="s">
        <v>2281</v>
      </c>
      <c r="B138" s="3" t="str">
        <f>IFERROR(INDEX(Movimientos!$C$2:$C$1998,MATCH(A138&amp;"ENTRADA",Movimientos!$R$2:$R$1998,0)),"-")</f>
        <v>-</v>
      </c>
      <c r="C138" s="3" t="str">
        <f>IFERROR(INDEX(Movimientos!$D$2:$D$1998,MATCH(A138&amp;"ENTRADA",Movimientos!$R$2:$R$1998,0)),"-")</f>
        <v>-</v>
      </c>
      <c r="D138" s="3" t="str">
        <f>IFERROR(INDEX(Movimientos!$E$2:$E$1998,MATCH(A138&amp;"ENTRADA",Movimientos!$R$2:$R$1998,0)),"-")</f>
        <v>-</v>
      </c>
      <c r="E138" s="3" t="str">
        <f>IFERROR(INDEX(Movimientos!$F$2:$F$1998,MATCH(A138&amp;"ENTRADA",Movimientos!$R$2:$R$1998,0)),"-")</f>
        <v>-</v>
      </c>
      <c r="F138" s="3" t="str">
        <f>IFERROR(INDEX(Movimientos!$G$2:$G$1998,MATCH(A138&amp;"ENTRADA",Movimientos!$R$2:$R$1998,0)),"-")</f>
        <v>-</v>
      </c>
      <c r="G138" s="3" t="str">
        <f>IFERROR(INDEX(Movimientos!$L$2:$L$1998,MATCH(A138&amp;"ENTRADA",Movimientos!$R$2:$R$1998,0)),"-")</f>
        <v>-</v>
      </c>
      <c r="H138" s="19" t="str">
        <f>IFERROR(IF(INDEX(Movimientos!$M$2:$M$1998,MATCH(A138&amp;"ENTRADA",Movimientos!$R$2:$R$1998,0))=0,"S/D",INDEX(Movimientos!$M$2:$M$1998,MATCH(A138&amp;"ENTRADA",Movimientos!$R$2:$R$1998,0))),"S/D")</f>
        <v>S/D</v>
      </c>
      <c r="I138" s="16" t="str">
        <f t="shared" ca="1" si="6"/>
        <v>S/D</v>
      </c>
      <c r="J138" s="6">
        <f>IF(A138="","",SUMIFS(Movimientos!$K:$K,Movimientos!$H:$H,A138))</f>
        <v>0</v>
      </c>
      <c r="K138" s="14" t="str">
        <f t="shared" ca="1" si="5"/>
        <v>SIN STOCK</v>
      </c>
    </row>
    <row r="139" spans="1:11" ht="14.25">
      <c r="A139" s="18" t="s">
        <v>2282</v>
      </c>
      <c r="B139" s="3" t="str">
        <f>IFERROR(INDEX(Movimientos!$C$2:$C$1998,MATCH(A139&amp;"ENTRADA",Movimientos!$R$2:$R$1998,0)),"-")</f>
        <v>-</v>
      </c>
      <c r="C139" s="3" t="str">
        <f>IFERROR(INDEX(Movimientos!$D$2:$D$1998,MATCH(A139&amp;"ENTRADA",Movimientos!$R$2:$R$1998,0)),"-")</f>
        <v>-</v>
      </c>
      <c r="D139" s="3" t="str">
        <f>IFERROR(INDEX(Movimientos!$E$2:$E$1998,MATCH(A139&amp;"ENTRADA",Movimientos!$R$2:$R$1998,0)),"-")</f>
        <v>-</v>
      </c>
      <c r="E139" s="3" t="str">
        <f>IFERROR(INDEX(Movimientos!$F$2:$F$1998,MATCH(A139&amp;"ENTRADA",Movimientos!$R$2:$R$1998,0)),"-")</f>
        <v>-</v>
      </c>
      <c r="F139" s="3" t="str">
        <f>IFERROR(INDEX(Movimientos!$G$2:$G$1998,MATCH(A139&amp;"ENTRADA",Movimientos!$R$2:$R$1998,0)),"-")</f>
        <v>-</v>
      </c>
      <c r="G139" s="3" t="str">
        <f>IFERROR(INDEX(Movimientos!$L$2:$L$1998,MATCH(A139&amp;"ENTRADA",Movimientos!$R$2:$R$1998,0)),"-")</f>
        <v>-</v>
      </c>
      <c r="H139" s="19" t="str">
        <f>IFERROR(IF(INDEX(Movimientos!$M$2:$M$1998,MATCH(A139&amp;"ENTRADA",Movimientos!$R$2:$R$1998,0))=0,"S/D",INDEX(Movimientos!$M$2:$M$1998,MATCH(A139&amp;"ENTRADA",Movimientos!$R$2:$R$1998,0))),"S/D")</f>
        <v>S/D</v>
      </c>
      <c r="I139" s="16" t="str">
        <f t="shared" ca="1" si="6"/>
        <v>S/D</v>
      </c>
      <c r="J139" s="6">
        <f>IF(A139="","",SUMIFS(Movimientos!$K:$K,Movimientos!$H:$H,A139))</f>
        <v>0</v>
      </c>
      <c r="K139" s="14" t="str">
        <f t="shared" ca="1" si="5"/>
        <v>SIN STOCK</v>
      </c>
    </row>
    <row r="140" spans="1:11" ht="14.25">
      <c r="A140" s="18" t="s">
        <v>2283</v>
      </c>
      <c r="B140" s="3" t="str">
        <f>IFERROR(INDEX(Movimientos!$C$2:$C$1998,MATCH(A140&amp;"ENTRADA",Movimientos!$R$2:$R$1998,0)),"-")</f>
        <v>-</v>
      </c>
      <c r="C140" s="3" t="str">
        <f>IFERROR(INDEX(Movimientos!$D$2:$D$1998,MATCH(A140&amp;"ENTRADA",Movimientos!$R$2:$R$1998,0)),"-")</f>
        <v>-</v>
      </c>
      <c r="D140" s="3" t="str">
        <f>IFERROR(INDEX(Movimientos!$E$2:$E$1998,MATCH(A140&amp;"ENTRADA",Movimientos!$R$2:$R$1998,0)),"-")</f>
        <v>-</v>
      </c>
      <c r="E140" s="3" t="str">
        <f>IFERROR(INDEX(Movimientos!$F$2:$F$1998,MATCH(A140&amp;"ENTRADA",Movimientos!$R$2:$R$1998,0)),"-")</f>
        <v>-</v>
      </c>
      <c r="F140" s="3" t="str">
        <f>IFERROR(INDEX(Movimientos!$G$2:$G$1998,MATCH(A140&amp;"ENTRADA",Movimientos!$R$2:$R$1998,0)),"-")</f>
        <v>-</v>
      </c>
      <c r="G140" s="3" t="str">
        <f>IFERROR(INDEX(Movimientos!$L$2:$L$1998,MATCH(A140&amp;"ENTRADA",Movimientos!$R$2:$R$1998,0)),"-")</f>
        <v>-</v>
      </c>
      <c r="H140" s="19" t="str">
        <f>IFERROR(IF(INDEX(Movimientos!$M$2:$M$1998,MATCH(A140&amp;"ENTRADA",Movimientos!$R$2:$R$1998,0))=0,"S/D",INDEX(Movimientos!$M$2:$M$1998,MATCH(A140&amp;"ENTRADA",Movimientos!$R$2:$R$1998,0))),"S/D")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5"/>
        <v>SIN STOCK</v>
      </c>
    </row>
    <row r="141" spans="1:11" ht="14.25">
      <c r="A141" s="18" t="s">
        <v>2284</v>
      </c>
      <c r="B141" s="3" t="str">
        <f>IFERROR(INDEX(Movimientos!$C$2:$C$1998,MATCH(A141&amp;"ENTRADA",Movimientos!$R$2:$R$1998,0)),"-")</f>
        <v>-</v>
      </c>
      <c r="C141" s="3" t="str">
        <f>IFERROR(INDEX(Movimientos!$D$2:$D$1998,MATCH(A141&amp;"ENTRADA",Movimientos!$R$2:$R$1998,0)),"-")</f>
        <v>-</v>
      </c>
      <c r="D141" s="3" t="str">
        <f>IFERROR(INDEX(Movimientos!$E$2:$E$1998,MATCH(A141&amp;"ENTRADA",Movimientos!$R$2:$R$1998,0)),"-")</f>
        <v>-</v>
      </c>
      <c r="E141" s="3" t="str">
        <f>IFERROR(INDEX(Movimientos!$F$2:$F$1998,MATCH(A141&amp;"ENTRADA",Movimientos!$R$2:$R$1998,0)),"-")</f>
        <v>-</v>
      </c>
      <c r="F141" s="3" t="str">
        <f>IFERROR(INDEX(Movimientos!$G$2:$G$1998,MATCH(A141&amp;"ENTRADA",Movimientos!$R$2:$R$1998,0)),"-")</f>
        <v>-</v>
      </c>
      <c r="G141" s="3" t="str">
        <f>IFERROR(INDEX(Movimientos!$L$2:$L$1998,MATCH(A141&amp;"ENTRADA",Movimientos!$R$2:$R$1998,0)),"-")</f>
        <v>-</v>
      </c>
      <c r="H141" s="19" t="str">
        <f>IFERROR(IF(INDEX(Movimientos!$M$2:$M$1998,MATCH(A141&amp;"ENTRADA",Movimientos!$R$2:$R$1998,0))=0,"S/D",INDEX(Movimientos!$M$2:$M$1998,MATCH(A141&amp;"ENTRADA",Movimientos!$R$2:$R$1998,0))),"S/D")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5"/>
        <v>SIN STOCK</v>
      </c>
    </row>
    <row r="142" spans="1:11" ht="14.25">
      <c r="A142" s="18" t="s">
        <v>2285</v>
      </c>
      <c r="B142" s="3" t="str">
        <f>IFERROR(INDEX(Movimientos!$C$2:$C$1998,MATCH(A142&amp;"ENTRADA",Movimientos!$R$2:$R$1998,0)),"-")</f>
        <v>-</v>
      </c>
      <c r="C142" s="3" t="str">
        <f>IFERROR(INDEX(Movimientos!$D$2:$D$1998,MATCH(A142&amp;"ENTRADA",Movimientos!$R$2:$R$1998,0)),"-")</f>
        <v>-</v>
      </c>
      <c r="D142" s="3" t="str">
        <f>IFERROR(INDEX(Movimientos!$E$2:$E$1998,MATCH(A142&amp;"ENTRADA",Movimientos!$R$2:$R$1998,0)),"-")</f>
        <v>-</v>
      </c>
      <c r="E142" s="3" t="str">
        <f>IFERROR(INDEX(Movimientos!$F$2:$F$1998,MATCH(A142&amp;"ENTRADA",Movimientos!$R$2:$R$1998,0)),"-")</f>
        <v>-</v>
      </c>
      <c r="F142" s="3" t="str">
        <f>IFERROR(INDEX(Movimientos!$G$2:$G$1998,MATCH(A142&amp;"ENTRADA",Movimientos!$R$2:$R$1998,0)),"-")</f>
        <v>-</v>
      </c>
      <c r="G142" s="3" t="str">
        <f>IFERROR(INDEX(Movimientos!$L$2:$L$1998,MATCH(A142&amp;"ENTRADA",Movimientos!$R$2:$R$1998,0)),"-")</f>
        <v>-</v>
      </c>
      <c r="H142" s="19" t="str">
        <f>IFERROR(IF(INDEX(Movimientos!$M$2:$M$1998,MATCH(A142&amp;"ENTRADA",Movimientos!$R$2:$R$1998,0))=0,"S/D",INDEX(Movimientos!$M$2:$M$1998,MATCH(A142&amp;"ENTRADA",Movimientos!$R$2:$R$1998,0))),"S/D")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5"/>
        <v>SIN STOCK</v>
      </c>
    </row>
    <row r="143" spans="1:11" ht="14.25">
      <c r="A143" s="18" t="s">
        <v>2286</v>
      </c>
      <c r="B143" s="3" t="str">
        <f>IFERROR(INDEX(Movimientos!$C$2:$C$1998,MATCH(A143&amp;"ENTRADA",Movimientos!$R$2:$R$1998,0)),"-")</f>
        <v>-</v>
      </c>
      <c r="C143" s="3" t="str">
        <f>IFERROR(INDEX(Movimientos!$D$2:$D$1998,MATCH(A143&amp;"ENTRADA",Movimientos!$R$2:$R$1998,0)),"-")</f>
        <v>-</v>
      </c>
      <c r="D143" s="3" t="str">
        <f>IFERROR(INDEX(Movimientos!$E$2:$E$1998,MATCH(A143&amp;"ENTRADA",Movimientos!$R$2:$R$1998,0)),"-")</f>
        <v>-</v>
      </c>
      <c r="E143" s="3" t="str">
        <f>IFERROR(INDEX(Movimientos!$F$2:$F$1998,MATCH(A143&amp;"ENTRADA",Movimientos!$R$2:$R$1998,0)),"-")</f>
        <v>-</v>
      </c>
      <c r="F143" s="3" t="str">
        <f>IFERROR(INDEX(Movimientos!$G$2:$G$1998,MATCH(A143&amp;"ENTRADA",Movimientos!$R$2:$R$1998,0)),"-")</f>
        <v>-</v>
      </c>
      <c r="G143" s="3" t="str">
        <f>IFERROR(INDEX(Movimientos!$L$2:$L$1998,MATCH(A143&amp;"ENTRADA",Movimientos!$R$2:$R$1998,0)),"-")</f>
        <v>-</v>
      </c>
      <c r="H143" s="19" t="str">
        <f>IFERROR(IF(INDEX(Movimientos!$M$2:$M$1998,MATCH(A143&amp;"ENTRADA",Movimientos!$R$2:$R$1998,0))=0,"S/D",INDEX(Movimientos!$M$2:$M$1998,MATCH(A143&amp;"ENTRADA",Movimientos!$R$2:$R$1998,0))),"S/D")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5"/>
        <v>SIN STOCK</v>
      </c>
    </row>
    <row r="144" spans="1:11" ht="14.25">
      <c r="A144" s="18" t="s">
        <v>2287</v>
      </c>
      <c r="B144" s="3" t="str">
        <f>IFERROR(INDEX(Movimientos!$C$2:$C$1998,MATCH(A144&amp;"ENTRADA",Movimientos!$R$2:$R$1998,0)),"-")</f>
        <v>-</v>
      </c>
      <c r="C144" s="3" t="str">
        <f>IFERROR(INDEX(Movimientos!$D$2:$D$1998,MATCH(A144&amp;"ENTRADA",Movimientos!$R$2:$R$1998,0)),"-")</f>
        <v>-</v>
      </c>
      <c r="D144" s="3" t="str">
        <f>IFERROR(INDEX(Movimientos!$E$2:$E$1998,MATCH(A144&amp;"ENTRADA",Movimientos!$R$2:$R$1998,0)),"-")</f>
        <v>-</v>
      </c>
      <c r="E144" s="3" t="str">
        <f>IFERROR(INDEX(Movimientos!$F$2:$F$1998,MATCH(A144&amp;"ENTRADA",Movimientos!$R$2:$R$1998,0)),"-")</f>
        <v>-</v>
      </c>
      <c r="F144" s="3" t="str">
        <f>IFERROR(INDEX(Movimientos!$G$2:$G$1998,MATCH(A144&amp;"ENTRADA",Movimientos!$R$2:$R$1998,0)),"-")</f>
        <v>-</v>
      </c>
      <c r="G144" s="3" t="str">
        <f>IFERROR(INDEX(Movimientos!$L$2:$L$1998,MATCH(A144&amp;"ENTRADA",Movimientos!$R$2:$R$1998,0)),"-")</f>
        <v>-</v>
      </c>
      <c r="H144" s="19" t="str">
        <f>IFERROR(IF(INDEX(Movimientos!$M$2:$M$1998,MATCH(A144&amp;"ENTRADA",Movimientos!$R$2:$R$1998,0))=0,"S/D",INDEX(Movimientos!$M$2:$M$1998,MATCH(A144&amp;"ENTRADA",Movimientos!$R$2:$R$1998,0))),"S/D")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5"/>
        <v>SIN STOCK</v>
      </c>
    </row>
    <row r="145" spans="1:11" ht="14.25">
      <c r="A145" s="18" t="s">
        <v>2288</v>
      </c>
      <c r="B145" s="3" t="str">
        <f>IFERROR(INDEX(Movimientos!$C$2:$C$1998,MATCH(A145&amp;"ENTRADA",Movimientos!$R$2:$R$1998,0)),"-")</f>
        <v>-</v>
      </c>
      <c r="C145" s="3" t="str">
        <f>IFERROR(INDEX(Movimientos!$D$2:$D$1998,MATCH(A145&amp;"ENTRADA",Movimientos!$R$2:$R$1998,0)),"-")</f>
        <v>-</v>
      </c>
      <c r="D145" s="3" t="str">
        <f>IFERROR(INDEX(Movimientos!$E$2:$E$1998,MATCH(A145&amp;"ENTRADA",Movimientos!$R$2:$R$1998,0)),"-")</f>
        <v>-</v>
      </c>
      <c r="E145" s="3" t="str">
        <f>IFERROR(INDEX(Movimientos!$F$2:$F$1998,MATCH(A145&amp;"ENTRADA",Movimientos!$R$2:$R$1998,0)),"-")</f>
        <v>-</v>
      </c>
      <c r="F145" s="3" t="str">
        <f>IFERROR(INDEX(Movimientos!$G$2:$G$1998,MATCH(A145&amp;"ENTRADA",Movimientos!$R$2:$R$1998,0)),"-")</f>
        <v>-</v>
      </c>
      <c r="G145" s="3" t="str">
        <f>IFERROR(INDEX(Movimientos!$L$2:$L$1998,MATCH(A145&amp;"ENTRADA",Movimientos!$R$2:$R$1998,0)),"-")</f>
        <v>-</v>
      </c>
      <c r="H145" s="19" t="str">
        <f>IFERROR(IF(INDEX(Movimientos!$M$2:$M$1998,MATCH(A145&amp;"ENTRADA",Movimientos!$R$2:$R$1998,0))=0,"S/D",INDEX(Movimientos!$M$2:$M$1998,MATCH(A145&amp;"ENTRADA",Movimientos!$R$2:$R$1998,0))),"S/D")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5"/>
        <v>SIN STOCK</v>
      </c>
    </row>
    <row r="146" spans="1:11" ht="14.25">
      <c r="A146" s="18" t="s">
        <v>2289</v>
      </c>
      <c r="B146" s="3" t="str">
        <f>IFERROR(INDEX(Movimientos!$C$2:$C$1998,MATCH(A146&amp;"ENTRADA",Movimientos!$R$2:$R$1998,0)),"-")</f>
        <v>-</v>
      </c>
      <c r="C146" s="3" t="str">
        <f>IFERROR(INDEX(Movimientos!$D$2:$D$1998,MATCH(A146&amp;"ENTRADA",Movimientos!$R$2:$R$1998,0)),"-")</f>
        <v>-</v>
      </c>
      <c r="D146" s="3" t="str">
        <f>IFERROR(INDEX(Movimientos!$E$2:$E$1998,MATCH(A146&amp;"ENTRADA",Movimientos!$R$2:$R$1998,0)),"-")</f>
        <v>-</v>
      </c>
      <c r="E146" s="3" t="str">
        <f>IFERROR(INDEX(Movimientos!$F$2:$F$1998,MATCH(A146&amp;"ENTRADA",Movimientos!$R$2:$R$1998,0)),"-")</f>
        <v>-</v>
      </c>
      <c r="F146" s="3" t="str">
        <f>IFERROR(INDEX(Movimientos!$G$2:$G$1998,MATCH(A146&amp;"ENTRADA",Movimientos!$R$2:$R$1998,0)),"-")</f>
        <v>-</v>
      </c>
      <c r="G146" s="3" t="str">
        <f>IFERROR(INDEX(Movimientos!$L$2:$L$1998,MATCH(A146&amp;"ENTRADA",Movimientos!$R$2:$R$1998,0)),"-")</f>
        <v>-</v>
      </c>
      <c r="H146" s="19" t="str">
        <f>IFERROR(IF(INDEX(Movimientos!$M$2:$M$1998,MATCH(A146&amp;"ENTRADA",Movimientos!$R$2:$R$1998,0))=0,"S/D",INDEX(Movimientos!$M$2:$M$1998,MATCH(A146&amp;"ENTRADA",Movimientos!$R$2:$R$1998,0))),"S/D")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5"/>
        <v>SIN STOCK</v>
      </c>
    </row>
    <row r="147" spans="1:11" ht="14.25">
      <c r="A147" s="18" t="s">
        <v>2290</v>
      </c>
      <c r="B147" s="3" t="str">
        <f>IFERROR(INDEX(Movimientos!$C$2:$C$1998,MATCH(A147&amp;"ENTRADA",Movimientos!$R$2:$R$1998,0)),"-")</f>
        <v>-</v>
      </c>
      <c r="C147" s="3" t="str">
        <f>IFERROR(INDEX(Movimientos!$D$2:$D$1998,MATCH(A147&amp;"ENTRADA",Movimientos!$R$2:$R$1998,0)),"-")</f>
        <v>-</v>
      </c>
      <c r="D147" s="3" t="str">
        <f>IFERROR(INDEX(Movimientos!$E$2:$E$1998,MATCH(A147&amp;"ENTRADA",Movimientos!$R$2:$R$1998,0)),"-")</f>
        <v>-</v>
      </c>
      <c r="E147" s="3" t="str">
        <f>IFERROR(INDEX(Movimientos!$F$2:$F$1998,MATCH(A147&amp;"ENTRADA",Movimientos!$R$2:$R$1998,0)),"-")</f>
        <v>-</v>
      </c>
      <c r="F147" s="3" t="str">
        <f>IFERROR(INDEX(Movimientos!$G$2:$G$1998,MATCH(A147&amp;"ENTRADA",Movimientos!$R$2:$R$1998,0)),"-")</f>
        <v>-</v>
      </c>
      <c r="G147" s="3" t="str">
        <f>IFERROR(INDEX(Movimientos!$L$2:$L$1998,MATCH(A147&amp;"ENTRADA",Movimientos!$R$2:$R$1998,0)),"-")</f>
        <v>-</v>
      </c>
      <c r="H147" s="19" t="str">
        <f>IFERROR(IF(INDEX(Movimientos!$M$2:$M$1998,MATCH(A147&amp;"ENTRADA",Movimientos!$R$2:$R$1998,0))=0,"S/D",INDEX(Movimientos!$M$2:$M$1998,MATCH(A147&amp;"ENTRADA",Movimientos!$R$2:$R$1998,0))),"S/D")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5"/>
        <v>SIN STOCK</v>
      </c>
    </row>
    <row r="148" spans="1:11" ht="14.25">
      <c r="A148" s="18" t="s">
        <v>2291</v>
      </c>
      <c r="B148" s="3" t="str">
        <f>IFERROR(INDEX(Movimientos!$C$2:$C$1998,MATCH(A148&amp;"ENTRADA",Movimientos!$R$2:$R$1998,0)),"-")</f>
        <v>-</v>
      </c>
      <c r="C148" s="3" t="str">
        <f>IFERROR(INDEX(Movimientos!$D$2:$D$1998,MATCH(A148&amp;"ENTRADA",Movimientos!$R$2:$R$1998,0)),"-")</f>
        <v>-</v>
      </c>
      <c r="D148" s="3" t="str">
        <f>IFERROR(INDEX(Movimientos!$E$2:$E$1998,MATCH(A148&amp;"ENTRADA",Movimientos!$R$2:$R$1998,0)),"-")</f>
        <v>-</v>
      </c>
      <c r="E148" s="3" t="str">
        <f>IFERROR(INDEX(Movimientos!$F$2:$F$1998,MATCH(A148&amp;"ENTRADA",Movimientos!$R$2:$R$1998,0)),"-")</f>
        <v>-</v>
      </c>
      <c r="F148" s="3" t="str">
        <f>IFERROR(INDEX(Movimientos!$G$2:$G$1998,MATCH(A148&amp;"ENTRADA",Movimientos!$R$2:$R$1998,0)),"-")</f>
        <v>-</v>
      </c>
      <c r="G148" s="3" t="str">
        <f>IFERROR(INDEX(Movimientos!$L$2:$L$1998,MATCH(A148&amp;"ENTRADA",Movimientos!$R$2:$R$1998,0)),"-")</f>
        <v>-</v>
      </c>
      <c r="H148" s="19" t="str">
        <f>IFERROR(IF(INDEX(Movimientos!$M$2:$M$1998,MATCH(A148&amp;"ENTRADA",Movimientos!$R$2:$R$1998,0))=0,"S/D",INDEX(Movimientos!$M$2:$M$1998,MATCH(A148&amp;"ENTRADA",Movimientos!$R$2:$R$1998,0))),"S/D")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5"/>
        <v>SIN STOCK</v>
      </c>
    </row>
    <row r="149" spans="1:11" ht="14.25">
      <c r="A149" s="18" t="s">
        <v>2292</v>
      </c>
      <c r="B149" s="3" t="str">
        <f>IFERROR(INDEX(Movimientos!$C$2:$C$1998,MATCH(A149&amp;"ENTRADA",Movimientos!$R$2:$R$1998,0)),"-")</f>
        <v>-</v>
      </c>
      <c r="C149" s="3" t="str">
        <f>IFERROR(INDEX(Movimientos!$D$2:$D$1998,MATCH(A149&amp;"ENTRADA",Movimientos!$R$2:$R$1998,0)),"-")</f>
        <v>-</v>
      </c>
      <c r="D149" s="3" t="str">
        <f>IFERROR(INDEX(Movimientos!$E$2:$E$1998,MATCH(A149&amp;"ENTRADA",Movimientos!$R$2:$R$1998,0)),"-")</f>
        <v>-</v>
      </c>
      <c r="E149" s="3" t="str">
        <f>IFERROR(INDEX(Movimientos!$F$2:$F$1998,MATCH(A149&amp;"ENTRADA",Movimientos!$R$2:$R$1998,0)),"-")</f>
        <v>-</v>
      </c>
      <c r="F149" s="3" t="str">
        <f>IFERROR(INDEX(Movimientos!$G$2:$G$1998,MATCH(A149&amp;"ENTRADA",Movimientos!$R$2:$R$1998,0)),"-")</f>
        <v>-</v>
      </c>
      <c r="G149" s="3" t="str">
        <f>IFERROR(INDEX(Movimientos!$L$2:$L$1998,MATCH(A149&amp;"ENTRADA",Movimientos!$R$2:$R$1998,0)),"-")</f>
        <v>-</v>
      </c>
      <c r="H149" s="19" t="str">
        <f>IFERROR(IF(INDEX(Movimientos!$M$2:$M$1998,MATCH(A149&amp;"ENTRADA",Movimientos!$R$2:$R$1998,0))=0,"S/D",INDEX(Movimientos!$M$2:$M$1998,MATCH(A149&amp;"ENTRADA",Movimientos!$R$2:$R$1998,0))),"S/D")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5"/>
        <v>SIN STOCK</v>
      </c>
    </row>
    <row r="150" spans="1:11" ht="14.25">
      <c r="A150" s="18" t="s">
        <v>2293</v>
      </c>
      <c r="B150" s="3" t="str">
        <f>IFERROR(INDEX(Movimientos!$C$2:$C$1998,MATCH(A150&amp;"ENTRADA",Movimientos!$R$2:$R$1998,0)),"-")</f>
        <v>-</v>
      </c>
      <c r="C150" s="3" t="str">
        <f>IFERROR(INDEX(Movimientos!$D$2:$D$1998,MATCH(A150&amp;"ENTRADA",Movimientos!$R$2:$R$1998,0)),"-")</f>
        <v>-</v>
      </c>
      <c r="D150" s="3" t="str">
        <f>IFERROR(INDEX(Movimientos!$E$2:$E$1998,MATCH(A150&amp;"ENTRADA",Movimientos!$R$2:$R$1998,0)),"-")</f>
        <v>-</v>
      </c>
      <c r="E150" s="3" t="str">
        <f>IFERROR(INDEX(Movimientos!$F$2:$F$1998,MATCH(A150&amp;"ENTRADA",Movimientos!$R$2:$R$1998,0)),"-")</f>
        <v>-</v>
      </c>
      <c r="F150" s="3" t="str">
        <f>IFERROR(INDEX(Movimientos!$G$2:$G$1998,MATCH(A150&amp;"ENTRADA",Movimientos!$R$2:$R$1998,0)),"-")</f>
        <v>-</v>
      </c>
      <c r="G150" s="3" t="str">
        <f>IFERROR(INDEX(Movimientos!$L$2:$L$1998,MATCH(A150&amp;"ENTRADA",Movimientos!$R$2:$R$1998,0)),"-")</f>
        <v>-</v>
      </c>
      <c r="H150" s="19" t="str">
        <f>IFERROR(IF(INDEX(Movimientos!$M$2:$M$1998,MATCH(A150&amp;"ENTRADA",Movimientos!$R$2:$R$1998,0))=0,"S/D",INDEX(Movimientos!$M$2:$M$1998,MATCH(A150&amp;"ENTRADA",Movimientos!$R$2:$R$1998,0))),"S/D")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5"/>
        <v>SIN STOCK</v>
      </c>
    </row>
    <row r="151" spans="1:11" ht="14.25">
      <c r="A151" s="18" t="s">
        <v>2294</v>
      </c>
      <c r="B151" s="3" t="str">
        <f>IFERROR(INDEX(Movimientos!$C$2:$C$1998,MATCH(A151&amp;"ENTRADA",Movimientos!$R$2:$R$1998,0)),"-")</f>
        <v>-</v>
      </c>
      <c r="C151" s="3" t="str">
        <f>IFERROR(INDEX(Movimientos!$D$2:$D$1998,MATCH(A151&amp;"ENTRADA",Movimientos!$R$2:$R$1998,0)),"-")</f>
        <v>-</v>
      </c>
      <c r="D151" s="3" t="str">
        <f>IFERROR(INDEX(Movimientos!$E$2:$E$1998,MATCH(A151&amp;"ENTRADA",Movimientos!$R$2:$R$1998,0)),"-")</f>
        <v>-</v>
      </c>
      <c r="E151" s="3" t="str">
        <f>IFERROR(INDEX(Movimientos!$F$2:$F$1998,MATCH(A151&amp;"ENTRADA",Movimientos!$R$2:$R$1998,0)),"-")</f>
        <v>-</v>
      </c>
      <c r="F151" s="3" t="str">
        <f>IFERROR(INDEX(Movimientos!$G$2:$G$1998,MATCH(A151&amp;"ENTRADA",Movimientos!$R$2:$R$1998,0)),"-")</f>
        <v>-</v>
      </c>
      <c r="G151" s="3" t="str">
        <f>IFERROR(INDEX(Movimientos!$L$2:$L$1998,MATCH(A151&amp;"ENTRADA",Movimientos!$R$2:$R$1998,0)),"-")</f>
        <v>-</v>
      </c>
      <c r="H151" s="19" t="str">
        <f>IFERROR(IF(INDEX(Movimientos!$M$2:$M$1998,MATCH(A151&amp;"ENTRADA",Movimientos!$R$2:$R$1998,0))=0,"S/D",INDEX(Movimientos!$M$2:$M$1998,MATCH(A151&amp;"ENTRADA",Movimientos!$R$2:$R$1998,0))),"S/D")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5"/>
        <v>SIN STOCK</v>
      </c>
    </row>
    <row r="152" spans="1:11" ht="14.25">
      <c r="A152" s="18" t="s">
        <v>2295</v>
      </c>
      <c r="B152" s="3" t="str">
        <f>IFERROR(INDEX(Movimientos!$C$2:$C$1998,MATCH(A152&amp;"ENTRADA",Movimientos!$R$2:$R$1998,0)),"-")</f>
        <v>-</v>
      </c>
      <c r="C152" s="3" t="str">
        <f>IFERROR(INDEX(Movimientos!$D$2:$D$1998,MATCH(A152&amp;"ENTRADA",Movimientos!$R$2:$R$1998,0)),"-")</f>
        <v>-</v>
      </c>
      <c r="D152" s="3" t="str">
        <f>IFERROR(INDEX(Movimientos!$E$2:$E$1998,MATCH(A152&amp;"ENTRADA",Movimientos!$R$2:$R$1998,0)),"-")</f>
        <v>-</v>
      </c>
      <c r="E152" s="3" t="str">
        <f>IFERROR(INDEX(Movimientos!$F$2:$F$1998,MATCH(A152&amp;"ENTRADA",Movimientos!$R$2:$R$1998,0)),"-")</f>
        <v>-</v>
      </c>
      <c r="F152" s="3" t="str">
        <f>IFERROR(INDEX(Movimientos!$G$2:$G$1998,MATCH(A152&amp;"ENTRADA",Movimientos!$R$2:$R$1998,0)),"-")</f>
        <v>-</v>
      </c>
      <c r="G152" s="3" t="str">
        <f>IFERROR(INDEX(Movimientos!$L$2:$L$1998,MATCH(A152&amp;"ENTRADA",Movimientos!$R$2:$R$1998,0)),"-")</f>
        <v>-</v>
      </c>
      <c r="H152" s="19" t="str">
        <f>IFERROR(IF(INDEX(Movimientos!$M$2:$M$1998,MATCH(A152&amp;"ENTRADA",Movimientos!$R$2:$R$1998,0))=0,"S/D",INDEX(Movimientos!$M$2:$M$1998,MATCH(A152&amp;"ENTRADA",Movimientos!$R$2:$R$1998,0))),"S/D")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5"/>
        <v>SIN STOCK</v>
      </c>
    </row>
    <row r="153" spans="1:11" ht="14.25">
      <c r="A153" s="18" t="s">
        <v>2296</v>
      </c>
      <c r="B153" s="3" t="str">
        <f>IFERROR(INDEX(Movimientos!$C$2:$C$1998,MATCH(A153&amp;"ENTRADA",Movimientos!$R$2:$R$1998,0)),"-")</f>
        <v>-</v>
      </c>
      <c r="C153" s="3" t="str">
        <f>IFERROR(INDEX(Movimientos!$D$2:$D$1998,MATCH(A153&amp;"ENTRADA",Movimientos!$R$2:$R$1998,0)),"-")</f>
        <v>-</v>
      </c>
      <c r="D153" s="3" t="str">
        <f>IFERROR(INDEX(Movimientos!$E$2:$E$1998,MATCH(A153&amp;"ENTRADA",Movimientos!$R$2:$R$1998,0)),"-")</f>
        <v>-</v>
      </c>
      <c r="E153" s="3" t="str">
        <f>IFERROR(INDEX(Movimientos!$F$2:$F$1998,MATCH(A153&amp;"ENTRADA",Movimientos!$R$2:$R$1998,0)),"-")</f>
        <v>-</v>
      </c>
      <c r="F153" s="3" t="str">
        <f>IFERROR(INDEX(Movimientos!$G$2:$G$1998,MATCH(A153&amp;"ENTRADA",Movimientos!$R$2:$R$1998,0)),"-")</f>
        <v>-</v>
      </c>
      <c r="G153" s="3" t="str">
        <f>IFERROR(INDEX(Movimientos!$L$2:$L$1998,MATCH(A153&amp;"ENTRADA",Movimientos!$R$2:$R$1998,0)),"-")</f>
        <v>-</v>
      </c>
      <c r="H153" s="19" t="str">
        <f>IFERROR(IF(INDEX(Movimientos!$M$2:$M$1998,MATCH(A153&amp;"ENTRADA",Movimientos!$R$2:$R$1998,0))=0,"S/D",INDEX(Movimientos!$M$2:$M$1998,MATCH(A153&amp;"ENTRADA",Movimientos!$R$2:$R$1998,0))),"S/D")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5"/>
        <v>SIN STOCK</v>
      </c>
    </row>
    <row r="154" spans="1:11" ht="14.25">
      <c r="A154" s="18" t="s">
        <v>2297</v>
      </c>
      <c r="B154" s="3" t="str">
        <f>IFERROR(INDEX(Movimientos!$C$2:$C$1998,MATCH(A154&amp;"ENTRADA",Movimientos!$R$2:$R$1998,0)),"-")</f>
        <v>-</v>
      </c>
      <c r="C154" s="3" t="str">
        <f>IFERROR(INDEX(Movimientos!$D$2:$D$1998,MATCH(A154&amp;"ENTRADA",Movimientos!$R$2:$R$1998,0)),"-")</f>
        <v>-</v>
      </c>
      <c r="D154" s="3" t="str">
        <f>IFERROR(INDEX(Movimientos!$E$2:$E$1998,MATCH(A154&amp;"ENTRADA",Movimientos!$R$2:$R$1998,0)),"-")</f>
        <v>-</v>
      </c>
      <c r="E154" s="3" t="str">
        <f>IFERROR(INDEX(Movimientos!$F$2:$F$1998,MATCH(A154&amp;"ENTRADA",Movimientos!$R$2:$R$1998,0)),"-")</f>
        <v>-</v>
      </c>
      <c r="F154" s="3" t="str">
        <f>IFERROR(INDEX(Movimientos!$G$2:$G$1998,MATCH(A154&amp;"ENTRADA",Movimientos!$R$2:$R$1998,0)),"-")</f>
        <v>-</v>
      </c>
      <c r="G154" s="3" t="str">
        <f>IFERROR(INDEX(Movimientos!$L$2:$L$1998,MATCH(A154&amp;"ENTRADA",Movimientos!$R$2:$R$1998,0)),"-")</f>
        <v>-</v>
      </c>
      <c r="H154" s="19" t="str">
        <f>IFERROR(IF(INDEX(Movimientos!$M$2:$M$1998,MATCH(A154&amp;"ENTRADA",Movimientos!$R$2:$R$1998,0))=0,"S/D",INDEX(Movimientos!$M$2:$M$1998,MATCH(A154&amp;"ENTRADA",Movimientos!$R$2:$R$1998,0))),"S/D")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5"/>
        <v>SIN STOCK</v>
      </c>
    </row>
    <row r="155" spans="1:11" ht="14.25">
      <c r="A155" s="18" t="s">
        <v>2298</v>
      </c>
      <c r="B155" s="3" t="str">
        <f>IFERROR(INDEX(Movimientos!$C$2:$C$1998,MATCH(A155&amp;"ENTRADA",Movimientos!$R$2:$R$1998,0)),"-")</f>
        <v>-</v>
      </c>
      <c r="C155" s="3" t="str">
        <f>IFERROR(INDEX(Movimientos!$D$2:$D$1998,MATCH(A155&amp;"ENTRADA",Movimientos!$R$2:$R$1998,0)),"-")</f>
        <v>-</v>
      </c>
      <c r="D155" s="3" t="str">
        <f>IFERROR(INDEX(Movimientos!$E$2:$E$1998,MATCH(A155&amp;"ENTRADA",Movimientos!$R$2:$R$1998,0)),"-")</f>
        <v>-</v>
      </c>
      <c r="E155" s="3" t="str">
        <f>IFERROR(INDEX(Movimientos!$F$2:$F$1998,MATCH(A155&amp;"ENTRADA",Movimientos!$R$2:$R$1998,0)),"-")</f>
        <v>-</v>
      </c>
      <c r="F155" s="3" t="str">
        <f>IFERROR(INDEX(Movimientos!$G$2:$G$1998,MATCH(A155&amp;"ENTRADA",Movimientos!$R$2:$R$1998,0)),"-")</f>
        <v>-</v>
      </c>
      <c r="G155" s="3" t="str">
        <f>IFERROR(INDEX(Movimientos!$L$2:$L$1998,MATCH(A155&amp;"ENTRADA",Movimientos!$R$2:$R$1998,0)),"-")</f>
        <v>-</v>
      </c>
      <c r="H155" s="19" t="str">
        <f>IFERROR(IF(INDEX(Movimientos!$M$2:$M$1998,MATCH(A155&amp;"ENTRADA",Movimientos!$R$2:$R$1998,0))=0,"S/D",INDEX(Movimientos!$M$2:$M$1998,MATCH(A155&amp;"ENTRADA",Movimientos!$R$2:$R$1998,0))),"S/D")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5"/>
        <v>SIN STOCK</v>
      </c>
    </row>
    <row r="156" spans="1:11" ht="14.25">
      <c r="A156" s="18" t="s">
        <v>2299</v>
      </c>
      <c r="B156" s="3" t="str">
        <f>IFERROR(INDEX(Movimientos!$C$2:$C$1998,MATCH(A156&amp;"ENTRADA",Movimientos!$R$2:$R$1998,0)),"-")</f>
        <v>-</v>
      </c>
      <c r="C156" s="3" t="str">
        <f>IFERROR(INDEX(Movimientos!$D$2:$D$1998,MATCH(A156&amp;"ENTRADA",Movimientos!$R$2:$R$1998,0)),"-")</f>
        <v>-</v>
      </c>
      <c r="D156" s="3" t="str">
        <f>IFERROR(INDEX(Movimientos!$E$2:$E$1998,MATCH(A156&amp;"ENTRADA",Movimientos!$R$2:$R$1998,0)),"-")</f>
        <v>-</v>
      </c>
      <c r="E156" s="3" t="str">
        <f>IFERROR(INDEX(Movimientos!$F$2:$F$1998,MATCH(A156&amp;"ENTRADA",Movimientos!$R$2:$R$1998,0)),"-")</f>
        <v>-</v>
      </c>
      <c r="F156" s="3" t="str">
        <f>IFERROR(INDEX(Movimientos!$G$2:$G$1998,MATCH(A156&amp;"ENTRADA",Movimientos!$R$2:$R$1998,0)),"-")</f>
        <v>-</v>
      </c>
      <c r="G156" s="3" t="str">
        <f>IFERROR(INDEX(Movimientos!$L$2:$L$1998,MATCH(A156&amp;"ENTRADA",Movimientos!$R$2:$R$1998,0)),"-")</f>
        <v>-</v>
      </c>
      <c r="H156" s="19" t="str">
        <f>IFERROR(IF(INDEX(Movimientos!$M$2:$M$1998,MATCH(A156&amp;"ENTRADA",Movimientos!$R$2:$R$1998,0))=0,"S/D",INDEX(Movimientos!$M$2:$M$1998,MATCH(A156&amp;"ENTRADA",Movimientos!$R$2:$R$1998,0))),"S/D")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5"/>
        <v>SIN STOCK</v>
      </c>
    </row>
    <row r="157" spans="1:11" ht="14.25">
      <c r="A157" s="18" t="s">
        <v>2300</v>
      </c>
      <c r="B157" s="3" t="str">
        <f>IFERROR(INDEX(Movimientos!$C$2:$C$1998,MATCH(A157&amp;"ENTRADA",Movimientos!$R$2:$R$1998,0)),"-")</f>
        <v>-</v>
      </c>
      <c r="C157" s="3" t="str">
        <f>IFERROR(INDEX(Movimientos!$D$2:$D$1998,MATCH(A157&amp;"ENTRADA",Movimientos!$R$2:$R$1998,0)),"-")</f>
        <v>-</v>
      </c>
      <c r="D157" s="3" t="str">
        <f>IFERROR(INDEX(Movimientos!$E$2:$E$1998,MATCH(A157&amp;"ENTRADA",Movimientos!$R$2:$R$1998,0)),"-")</f>
        <v>-</v>
      </c>
      <c r="E157" s="3" t="str">
        <f>IFERROR(INDEX(Movimientos!$F$2:$F$1998,MATCH(A157&amp;"ENTRADA",Movimientos!$R$2:$R$1998,0)),"-")</f>
        <v>-</v>
      </c>
      <c r="F157" s="3" t="str">
        <f>IFERROR(INDEX(Movimientos!$G$2:$G$1998,MATCH(A157&amp;"ENTRADA",Movimientos!$R$2:$R$1998,0)),"-")</f>
        <v>-</v>
      </c>
      <c r="G157" s="3" t="str">
        <f>IFERROR(INDEX(Movimientos!$L$2:$L$1998,MATCH(A157&amp;"ENTRADA",Movimientos!$R$2:$R$1998,0)),"-")</f>
        <v>-</v>
      </c>
      <c r="H157" s="19" t="str">
        <f>IFERROR(IF(INDEX(Movimientos!$M$2:$M$1998,MATCH(A157&amp;"ENTRADA",Movimientos!$R$2:$R$1998,0))=0,"S/D",INDEX(Movimientos!$M$2:$M$1998,MATCH(A157&amp;"ENTRADA",Movimientos!$R$2:$R$1998,0))),"S/D")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5"/>
        <v>SIN STOCK</v>
      </c>
    </row>
    <row r="158" spans="1:11" ht="14.25">
      <c r="A158" s="18" t="s">
        <v>2301</v>
      </c>
      <c r="B158" s="3" t="str">
        <f>IFERROR(INDEX(Movimientos!$C$2:$C$1998,MATCH(A158&amp;"ENTRADA",Movimientos!$R$2:$R$1998,0)),"-")</f>
        <v>-</v>
      </c>
      <c r="C158" s="3" t="str">
        <f>IFERROR(INDEX(Movimientos!$D$2:$D$1998,MATCH(A158&amp;"ENTRADA",Movimientos!$R$2:$R$1998,0)),"-")</f>
        <v>-</v>
      </c>
      <c r="D158" s="3" t="str">
        <f>IFERROR(INDEX(Movimientos!$E$2:$E$1998,MATCH(A158&amp;"ENTRADA",Movimientos!$R$2:$R$1998,0)),"-")</f>
        <v>-</v>
      </c>
      <c r="E158" s="3" t="str">
        <f>IFERROR(INDEX(Movimientos!$F$2:$F$1998,MATCH(A158&amp;"ENTRADA",Movimientos!$R$2:$R$1998,0)),"-")</f>
        <v>-</v>
      </c>
      <c r="F158" s="3" t="str">
        <f>IFERROR(INDEX(Movimientos!$G$2:$G$1998,MATCH(A158&amp;"ENTRADA",Movimientos!$R$2:$R$1998,0)),"-")</f>
        <v>-</v>
      </c>
      <c r="G158" s="3" t="str">
        <f>IFERROR(INDEX(Movimientos!$L$2:$L$1998,MATCH(A158&amp;"ENTRADA",Movimientos!$R$2:$R$1998,0)),"-")</f>
        <v>-</v>
      </c>
      <c r="H158" s="19" t="str">
        <f>IFERROR(IF(INDEX(Movimientos!$M$2:$M$1998,MATCH(A158&amp;"ENTRADA",Movimientos!$R$2:$R$1998,0))=0,"S/D",INDEX(Movimientos!$M$2:$M$1998,MATCH(A158&amp;"ENTRADA",Movimientos!$R$2:$R$1998,0))),"S/D")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5"/>
        <v>SIN STOCK</v>
      </c>
    </row>
    <row r="159" spans="1:11" ht="14.25">
      <c r="A159" s="18" t="s">
        <v>2302</v>
      </c>
      <c r="B159" s="3" t="str">
        <f>IFERROR(INDEX(Movimientos!$C$2:$C$1998,MATCH(A159&amp;"ENTRADA",Movimientos!$R$2:$R$1998,0)),"-")</f>
        <v>-</v>
      </c>
      <c r="C159" s="3" t="str">
        <f>IFERROR(INDEX(Movimientos!$D$2:$D$1998,MATCH(A159&amp;"ENTRADA",Movimientos!$R$2:$R$1998,0)),"-")</f>
        <v>-</v>
      </c>
      <c r="D159" s="3" t="str">
        <f>IFERROR(INDEX(Movimientos!$E$2:$E$1998,MATCH(A159&amp;"ENTRADA",Movimientos!$R$2:$R$1998,0)),"-")</f>
        <v>-</v>
      </c>
      <c r="E159" s="3" t="str">
        <f>IFERROR(INDEX(Movimientos!$F$2:$F$1998,MATCH(A159&amp;"ENTRADA",Movimientos!$R$2:$R$1998,0)),"-")</f>
        <v>-</v>
      </c>
      <c r="F159" s="3" t="str">
        <f>IFERROR(INDEX(Movimientos!$G$2:$G$1998,MATCH(A159&amp;"ENTRADA",Movimientos!$R$2:$R$1998,0)),"-")</f>
        <v>-</v>
      </c>
      <c r="G159" s="3" t="str">
        <f>IFERROR(INDEX(Movimientos!$L$2:$L$1998,MATCH(A159&amp;"ENTRADA",Movimientos!$R$2:$R$1998,0)),"-")</f>
        <v>-</v>
      </c>
      <c r="H159" s="19" t="str">
        <f>IFERROR(IF(INDEX(Movimientos!$M$2:$M$1998,MATCH(A159&amp;"ENTRADA",Movimientos!$R$2:$R$1998,0))=0,"S/D",INDEX(Movimientos!$M$2:$M$1998,MATCH(A159&amp;"ENTRADA",Movimientos!$R$2:$R$1998,0))),"S/D")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5"/>
        <v>SIN STOCK</v>
      </c>
    </row>
    <row r="160" spans="1:11" ht="14.25">
      <c r="A160" s="18" t="s">
        <v>2303</v>
      </c>
      <c r="B160" s="3" t="str">
        <f>IFERROR(INDEX(Movimientos!$C$2:$C$1998,MATCH(A160&amp;"ENTRADA",Movimientos!$R$2:$R$1998,0)),"-")</f>
        <v>-</v>
      </c>
      <c r="C160" s="3" t="str">
        <f>IFERROR(INDEX(Movimientos!$D$2:$D$1998,MATCH(A160&amp;"ENTRADA",Movimientos!$R$2:$R$1998,0)),"-")</f>
        <v>-</v>
      </c>
      <c r="D160" s="3" t="str">
        <f>IFERROR(INDEX(Movimientos!$E$2:$E$1998,MATCH(A160&amp;"ENTRADA",Movimientos!$R$2:$R$1998,0)),"-")</f>
        <v>-</v>
      </c>
      <c r="E160" s="3" t="str">
        <f>IFERROR(INDEX(Movimientos!$F$2:$F$1998,MATCH(A160&amp;"ENTRADA",Movimientos!$R$2:$R$1998,0)),"-")</f>
        <v>-</v>
      </c>
      <c r="F160" s="3" t="str">
        <f>IFERROR(INDEX(Movimientos!$G$2:$G$1998,MATCH(A160&amp;"ENTRADA",Movimientos!$R$2:$R$1998,0)),"-")</f>
        <v>-</v>
      </c>
      <c r="G160" s="3" t="str">
        <f>IFERROR(INDEX(Movimientos!$L$2:$L$1998,MATCH(A160&amp;"ENTRADA",Movimientos!$R$2:$R$1998,0)),"-")</f>
        <v>-</v>
      </c>
      <c r="H160" s="19" t="str">
        <f>IFERROR(IF(INDEX(Movimientos!$M$2:$M$1998,MATCH(A160&amp;"ENTRADA",Movimientos!$R$2:$R$1998,0))=0,"S/D",INDEX(Movimientos!$M$2:$M$1998,MATCH(A160&amp;"ENTRADA",Movimientos!$R$2:$R$1998,0))),"S/D")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5"/>
        <v>SIN STOCK</v>
      </c>
    </row>
    <row r="161" spans="1:11" ht="14.25">
      <c r="A161" s="18" t="s">
        <v>2304</v>
      </c>
      <c r="B161" s="3" t="str">
        <f>IFERROR(INDEX(Movimientos!$C$2:$C$1998,MATCH(A161&amp;"ENTRADA",Movimientos!$R$2:$R$1998,0)),"-")</f>
        <v>-</v>
      </c>
      <c r="C161" s="3" t="str">
        <f>IFERROR(INDEX(Movimientos!$D$2:$D$1998,MATCH(A161&amp;"ENTRADA",Movimientos!$R$2:$R$1998,0)),"-")</f>
        <v>-</v>
      </c>
      <c r="D161" s="3" t="str">
        <f>IFERROR(INDEX(Movimientos!$E$2:$E$1998,MATCH(A161&amp;"ENTRADA",Movimientos!$R$2:$R$1998,0)),"-")</f>
        <v>-</v>
      </c>
      <c r="E161" s="3" t="str">
        <f>IFERROR(INDEX(Movimientos!$F$2:$F$1998,MATCH(A161&amp;"ENTRADA",Movimientos!$R$2:$R$1998,0)),"-")</f>
        <v>-</v>
      </c>
      <c r="F161" s="3" t="str">
        <f>IFERROR(INDEX(Movimientos!$G$2:$G$1998,MATCH(A161&amp;"ENTRADA",Movimientos!$R$2:$R$1998,0)),"-")</f>
        <v>-</v>
      </c>
      <c r="G161" s="3" t="str">
        <f>IFERROR(INDEX(Movimientos!$L$2:$L$1998,MATCH(A161&amp;"ENTRADA",Movimientos!$R$2:$R$1998,0)),"-")</f>
        <v>-</v>
      </c>
      <c r="H161" s="19" t="str">
        <f>IFERROR(IF(INDEX(Movimientos!$M$2:$M$1998,MATCH(A161&amp;"ENTRADA",Movimientos!$R$2:$R$1998,0))=0,"S/D",INDEX(Movimientos!$M$2:$M$1998,MATCH(A161&amp;"ENTRADA",Movimientos!$R$2:$R$1998,0))),"S/D")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5"/>
        <v>SIN STOCK</v>
      </c>
    </row>
    <row r="162" spans="1:11" ht="14.25">
      <c r="A162" s="18" t="s">
        <v>2305</v>
      </c>
      <c r="B162" s="3" t="str">
        <f>IFERROR(INDEX(Movimientos!$C$2:$C$1998,MATCH(A162&amp;"ENTRADA",Movimientos!$R$2:$R$1998,0)),"-")</f>
        <v>-</v>
      </c>
      <c r="C162" s="3" t="str">
        <f>IFERROR(INDEX(Movimientos!$D$2:$D$1998,MATCH(A162&amp;"ENTRADA",Movimientos!$R$2:$R$1998,0)),"-")</f>
        <v>-</v>
      </c>
      <c r="D162" s="3" t="str">
        <f>IFERROR(INDEX(Movimientos!$E$2:$E$1998,MATCH(A162&amp;"ENTRADA",Movimientos!$R$2:$R$1998,0)),"-")</f>
        <v>-</v>
      </c>
      <c r="E162" s="3" t="str">
        <f>IFERROR(INDEX(Movimientos!$F$2:$F$1998,MATCH(A162&amp;"ENTRADA",Movimientos!$R$2:$R$1998,0)),"-")</f>
        <v>-</v>
      </c>
      <c r="F162" s="3" t="str">
        <f>IFERROR(INDEX(Movimientos!$G$2:$G$1998,MATCH(A162&amp;"ENTRADA",Movimientos!$R$2:$R$1998,0)),"-")</f>
        <v>-</v>
      </c>
      <c r="G162" s="3" t="str">
        <f>IFERROR(INDEX(Movimientos!$L$2:$L$1998,MATCH(A162&amp;"ENTRADA",Movimientos!$R$2:$R$1998,0)),"-")</f>
        <v>-</v>
      </c>
      <c r="H162" s="19" t="str">
        <f>IFERROR(IF(INDEX(Movimientos!$M$2:$M$1998,MATCH(A162&amp;"ENTRADA",Movimientos!$R$2:$R$1998,0))=0,"S/D",INDEX(Movimientos!$M$2:$M$1998,MATCH(A162&amp;"ENTRADA",Movimientos!$R$2:$R$1998,0))),"S/D")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5"/>
        <v>SIN STOCK</v>
      </c>
    </row>
    <row r="163" spans="1:11" ht="14.25">
      <c r="A163" s="18" t="s">
        <v>2306</v>
      </c>
      <c r="B163" s="3" t="str">
        <f>IFERROR(INDEX(Movimientos!$C$2:$C$1998,MATCH(A163&amp;"ENTRADA",Movimientos!$R$2:$R$1998,0)),"-")</f>
        <v>-</v>
      </c>
      <c r="C163" s="3" t="str">
        <f>IFERROR(INDEX(Movimientos!$D$2:$D$1998,MATCH(A163&amp;"ENTRADA",Movimientos!$R$2:$R$1998,0)),"-")</f>
        <v>-</v>
      </c>
      <c r="D163" s="3" t="str">
        <f>IFERROR(INDEX(Movimientos!$E$2:$E$1998,MATCH(A163&amp;"ENTRADA",Movimientos!$R$2:$R$1998,0)),"-")</f>
        <v>-</v>
      </c>
      <c r="E163" s="3" t="str">
        <f>IFERROR(INDEX(Movimientos!$F$2:$F$1998,MATCH(A163&amp;"ENTRADA",Movimientos!$R$2:$R$1998,0)),"-")</f>
        <v>-</v>
      </c>
      <c r="F163" s="3" t="str">
        <f>IFERROR(INDEX(Movimientos!$G$2:$G$1998,MATCH(A163&amp;"ENTRADA",Movimientos!$R$2:$R$1998,0)),"-")</f>
        <v>-</v>
      </c>
      <c r="G163" s="3" t="str">
        <f>IFERROR(INDEX(Movimientos!$L$2:$L$1998,MATCH(A163&amp;"ENTRADA",Movimientos!$R$2:$R$1998,0)),"-")</f>
        <v>-</v>
      </c>
      <c r="H163" s="19" t="str">
        <f>IFERROR(IF(INDEX(Movimientos!$M$2:$M$1998,MATCH(A163&amp;"ENTRADA",Movimientos!$R$2:$R$1998,0))=0,"S/D",INDEX(Movimientos!$M$2:$M$1998,MATCH(A163&amp;"ENTRADA",Movimientos!$R$2:$R$1998,0))),"S/D")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5"/>
        <v>SIN STOCK</v>
      </c>
    </row>
    <row r="164" spans="1:11" ht="14.25">
      <c r="A164" s="18" t="s">
        <v>2307</v>
      </c>
      <c r="B164" s="3" t="str">
        <f>IFERROR(INDEX(Movimientos!$C$2:$C$1998,MATCH(A164&amp;"ENTRADA",Movimientos!$R$2:$R$1998,0)),"-")</f>
        <v>-</v>
      </c>
      <c r="C164" s="3" t="str">
        <f>IFERROR(INDEX(Movimientos!$D$2:$D$1998,MATCH(A164&amp;"ENTRADA",Movimientos!$R$2:$R$1998,0)),"-")</f>
        <v>-</v>
      </c>
      <c r="D164" s="3" t="str">
        <f>IFERROR(INDEX(Movimientos!$E$2:$E$1998,MATCH(A164&amp;"ENTRADA",Movimientos!$R$2:$R$1998,0)),"-")</f>
        <v>-</v>
      </c>
      <c r="E164" s="3" t="str">
        <f>IFERROR(INDEX(Movimientos!$F$2:$F$1998,MATCH(A164&amp;"ENTRADA",Movimientos!$R$2:$R$1998,0)),"-")</f>
        <v>-</v>
      </c>
      <c r="F164" s="3" t="str">
        <f>IFERROR(INDEX(Movimientos!$G$2:$G$1998,MATCH(A164&amp;"ENTRADA",Movimientos!$R$2:$R$1998,0)),"-")</f>
        <v>-</v>
      </c>
      <c r="G164" s="3" t="str">
        <f>IFERROR(INDEX(Movimientos!$L$2:$L$1998,MATCH(A164&amp;"ENTRADA",Movimientos!$R$2:$R$1998,0)),"-")</f>
        <v>-</v>
      </c>
      <c r="H164" s="19" t="str">
        <f>IFERROR(IF(INDEX(Movimientos!$M$2:$M$1998,MATCH(A164&amp;"ENTRADA",Movimientos!$R$2:$R$1998,0))=0,"S/D",INDEX(Movimientos!$M$2:$M$1998,MATCH(A164&amp;"ENTRADA",Movimientos!$R$2:$R$1998,0))),"S/D")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5"/>
        <v>SIN STOCK</v>
      </c>
    </row>
    <row r="165" spans="1:11" ht="14.25">
      <c r="A165" s="18" t="s">
        <v>2308</v>
      </c>
      <c r="B165" s="3" t="str">
        <f>IFERROR(INDEX(Movimientos!$C$2:$C$1998,MATCH(A165&amp;"ENTRADA",Movimientos!$R$2:$R$1998,0)),"-")</f>
        <v>-</v>
      </c>
      <c r="C165" s="3" t="str">
        <f>IFERROR(INDEX(Movimientos!$D$2:$D$1998,MATCH(A165&amp;"ENTRADA",Movimientos!$R$2:$R$1998,0)),"-")</f>
        <v>-</v>
      </c>
      <c r="D165" s="3" t="str">
        <f>IFERROR(INDEX(Movimientos!$E$2:$E$1998,MATCH(A165&amp;"ENTRADA",Movimientos!$R$2:$R$1998,0)),"-")</f>
        <v>-</v>
      </c>
      <c r="E165" s="3" t="str">
        <f>IFERROR(INDEX(Movimientos!$F$2:$F$1998,MATCH(A165&amp;"ENTRADA",Movimientos!$R$2:$R$1998,0)),"-")</f>
        <v>-</v>
      </c>
      <c r="F165" s="3" t="str">
        <f>IFERROR(INDEX(Movimientos!$G$2:$G$1998,MATCH(A165&amp;"ENTRADA",Movimientos!$R$2:$R$1998,0)),"-")</f>
        <v>-</v>
      </c>
      <c r="G165" s="3" t="str">
        <f>IFERROR(INDEX(Movimientos!$L$2:$L$1998,MATCH(A165&amp;"ENTRADA",Movimientos!$R$2:$R$1998,0)),"-")</f>
        <v>-</v>
      </c>
      <c r="H165" s="19" t="str">
        <f>IFERROR(IF(INDEX(Movimientos!$M$2:$M$1998,MATCH(A165&amp;"ENTRADA",Movimientos!$R$2:$R$1998,0))=0,"S/D",INDEX(Movimientos!$M$2:$M$1998,MATCH(A165&amp;"ENTRADA",Movimientos!$R$2:$R$1998,0))),"S/D")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5"/>
        <v>SIN STOCK</v>
      </c>
    </row>
    <row r="166" spans="1:11" ht="14.25">
      <c r="A166" s="18" t="s">
        <v>2309</v>
      </c>
      <c r="B166" s="3" t="str">
        <f>IFERROR(INDEX(Movimientos!$C$2:$C$1998,MATCH(A166&amp;"ENTRADA",Movimientos!$R$2:$R$1998,0)),"-")</f>
        <v>-</v>
      </c>
      <c r="C166" s="3" t="str">
        <f>IFERROR(INDEX(Movimientos!$D$2:$D$1998,MATCH(A166&amp;"ENTRADA",Movimientos!$R$2:$R$1998,0)),"-")</f>
        <v>-</v>
      </c>
      <c r="D166" s="3" t="str">
        <f>IFERROR(INDEX(Movimientos!$E$2:$E$1998,MATCH(A166&amp;"ENTRADA",Movimientos!$R$2:$R$1998,0)),"-")</f>
        <v>-</v>
      </c>
      <c r="E166" s="3" t="str">
        <f>IFERROR(INDEX(Movimientos!$F$2:$F$1998,MATCH(A166&amp;"ENTRADA",Movimientos!$R$2:$R$1998,0)),"-")</f>
        <v>-</v>
      </c>
      <c r="F166" s="3" t="str">
        <f>IFERROR(INDEX(Movimientos!$G$2:$G$1998,MATCH(A166&amp;"ENTRADA",Movimientos!$R$2:$R$1998,0)),"-")</f>
        <v>-</v>
      </c>
      <c r="G166" s="3" t="str">
        <f>IFERROR(INDEX(Movimientos!$L$2:$L$1998,MATCH(A166&amp;"ENTRADA",Movimientos!$R$2:$R$1998,0)),"-")</f>
        <v>-</v>
      </c>
      <c r="H166" s="19" t="str">
        <f>IFERROR(IF(INDEX(Movimientos!$M$2:$M$1998,MATCH(A166&amp;"ENTRADA",Movimientos!$R$2:$R$1998,0))=0,"S/D",INDEX(Movimientos!$M$2:$M$1998,MATCH(A166&amp;"ENTRADA",Movimientos!$R$2:$R$1998,0))),"S/D")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5"/>
        <v>SIN STOCK</v>
      </c>
    </row>
    <row r="167" spans="1:11" ht="14.25">
      <c r="A167" s="18" t="s">
        <v>2310</v>
      </c>
      <c r="B167" s="3" t="str">
        <f>IFERROR(INDEX(Movimientos!$C$2:$C$1998,MATCH(A167&amp;"ENTRADA",Movimientos!$R$2:$R$1998,0)),"-")</f>
        <v>-</v>
      </c>
      <c r="C167" s="3" t="str">
        <f>IFERROR(INDEX(Movimientos!$D$2:$D$1998,MATCH(A167&amp;"ENTRADA",Movimientos!$R$2:$R$1998,0)),"-")</f>
        <v>-</v>
      </c>
      <c r="D167" s="3" t="str">
        <f>IFERROR(INDEX(Movimientos!$E$2:$E$1998,MATCH(A167&amp;"ENTRADA",Movimientos!$R$2:$R$1998,0)),"-")</f>
        <v>-</v>
      </c>
      <c r="E167" s="3" t="str">
        <f>IFERROR(INDEX(Movimientos!$F$2:$F$1998,MATCH(A167&amp;"ENTRADA",Movimientos!$R$2:$R$1998,0)),"-")</f>
        <v>-</v>
      </c>
      <c r="F167" s="3" t="str">
        <f>IFERROR(INDEX(Movimientos!$G$2:$G$1998,MATCH(A167&amp;"ENTRADA",Movimientos!$R$2:$R$1998,0)),"-")</f>
        <v>-</v>
      </c>
      <c r="G167" s="3" t="str">
        <f>IFERROR(INDEX(Movimientos!$L$2:$L$1998,MATCH(A167&amp;"ENTRADA",Movimientos!$R$2:$R$1998,0)),"-")</f>
        <v>-</v>
      </c>
      <c r="H167" s="19" t="str">
        <f>IFERROR(IF(INDEX(Movimientos!$M$2:$M$1998,MATCH(A167&amp;"ENTRADA",Movimientos!$R$2:$R$1998,0))=0,"S/D",INDEX(Movimientos!$M$2:$M$1998,MATCH(A167&amp;"ENTRADA",Movimientos!$R$2:$R$1998,0))),"S/D")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5"/>
        <v>SIN STOCK</v>
      </c>
    </row>
    <row r="168" spans="1:11" ht="14.25">
      <c r="A168" s="18" t="s">
        <v>2311</v>
      </c>
      <c r="B168" s="3" t="str">
        <f>IFERROR(INDEX(Movimientos!$C$2:$C$1998,MATCH(A168&amp;"ENTRADA",Movimientos!$R$2:$R$1998,0)),"-")</f>
        <v>-</v>
      </c>
      <c r="C168" s="3" t="str">
        <f>IFERROR(INDEX(Movimientos!$D$2:$D$1998,MATCH(A168&amp;"ENTRADA",Movimientos!$R$2:$R$1998,0)),"-")</f>
        <v>-</v>
      </c>
      <c r="D168" s="3" t="str">
        <f>IFERROR(INDEX(Movimientos!$E$2:$E$1998,MATCH(A168&amp;"ENTRADA",Movimientos!$R$2:$R$1998,0)),"-")</f>
        <v>-</v>
      </c>
      <c r="E168" s="3" t="str">
        <f>IFERROR(INDEX(Movimientos!$F$2:$F$1998,MATCH(A168&amp;"ENTRADA",Movimientos!$R$2:$R$1998,0)),"-")</f>
        <v>-</v>
      </c>
      <c r="F168" s="3" t="str">
        <f>IFERROR(INDEX(Movimientos!$G$2:$G$1998,MATCH(A168&amp;"ENTRADA",Movimientos!$R$2:$R$1998,0)),"-")</f>
        <v>-</v>
      </c>
      <c r="G168" s="3" t="str">
        <f>IFERROR(INDEX(Movimientos!$L$2:$L$1998,MATCH(A168&amp;"ENTRADA",Movimientos!$R$2:$R$1998,0)),"-")</f>
        <v>-</v>
      </c>
      <c r="H168" s="19" t="str">
        <f>IFERROR(IF(INDEX(Movimientos!$M$2:$M$1998,MATCH(A168&amp;"ENTRADA",Movimientos!$R$2:$R$1998,0))=0,"S/D",INDEX(Movimientos!$M$2:$M$1998,MATCH(A168&amp;"ENTRADA",Movimientos!$R$2:$R$1998,0))),"S/D")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5"/>
        <v>SIN STOCK</v>
      </c>
    </row>
    <row r="169" spans="1:11" ht="14.25">
      <c r="A169" s="18" t="s">
        <v>2312</v>
      </c>
      <c r="B169" s="3" t="str">
        <f>IFERROR(INDEX(Movimientos!$C$2:$C$1998,MATCH(A169&amp;"ENTRADA",Movimientos!$R$2:$R$1998,0)),"-")</f>
        <v>-</v>
      </c>
      <c r="C169" s="3" t="str">
        <f>IFERROR(INDEX(Movimientos!$D$2:$D$1998,MATCH(A169&amp;"ENTRADA",Movimientos!$R$2:$R$1998,0)),"-")</f>
        <v>-</v>
      </c>
      <c r="D169" s="3" t="str">
        <f>IFERROR(INDEX(Movimientos!$E$2:$E$1998,MATCH(A169&amp;"ENTRADA",Movimientos!$R$2:$R$1998,0)),"-")</f>
        <v>-</v>
      </c>
      <c r="E169" s="3" t="str">
        <f>IFERROR(INDEX(Movimientos!$F$2:$F$1998,MATCH(A169&amp;"ENTRADA",Movimientos!$R$2:$R$1998,0)),"-")</f>
        <v>-</v>
      </c>
      <c r="F169" s="3" t="str">
        <f>IFERROR(INDEX(Movimientos!$G$2:$G$1998,MATCH(A169&amp;"ENTRADA",Movimientos!$R$2:$R$1998,0)),"-")</f>
        <v>-</v>
      </c>
      <c r="G169" s="3" t="str">
        <f>IFERROR(INDEX(Movimientos!$L$2:$L$1998,MATCH(A169&amp;"ENTRADA",Movimientos!$R$2:$R$1998,0)),"-")</f>
        <v>-</v>
      </c>
      <c r="H169" s="19" t="str">
        <f>IFERROR(IF(INDEX(Movimientos!$M$2:$M$1998,MATCH(A169&amp;"ENTRADA",Movimientos!$R$2:$R$1998,0))=0,"S/D",INDEX(Movimientos!$M$2:$M$1998,MATCH(A169&amp;"ENTRADA",Movimientos!$R$2:$R$1998,0))),"S/D")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5"/>
        <v>SIN STOCK</v>
      </c>
    </row>
    <row r="170" spans="1:11" ht="14.25">
      <c r="A170" s="18" t="s">
        <v>2313</v>
      </c>
      <c r="B170" s="3" t="str">
        <f>IFERROR(INDEX(Movimientos!$C$2:$C$1998,MATCH(A170&amp;"ENTRADA",Movimientos!$R$2:$R$1998,0)),"-")</f>
        <v>-</v>
      </c>
      <c r="C170" s="3" t="str">
        <f>IFERROR(INDEX(Movimientos!$D$2:$D$1998,MATCH(A170&amp;"ENTRADA",Movimientos!$R$2:$R$1998,0)),"-")</f>
        <v>-</v>
      </c>
      <c r="D170" s="3" t="str">
        <f>IFERROR(INDEX(Movimientos!$E$2:$E$1998,MATCH(A170&amp;"ENTRADA",Movimientos!$R$2:$R$1998,0)),"-")</f>
        <v>-</v>
      </c>
      <c r="E170" s="3" t="str">
        <f>IFERROR(INDEX(Movimientos!$F$2:$F$1998,MATCH(A170&amp;"ENTRADA",Movimientos!$R$2:$R$1998,0)),"-")</f>
        <v>-</v>
      </c>
      <c r="F170" s="3" t="str">
        <f>IFERROR(INDEX(Movimientos!$G$2:$G$1998,MATCH(A170&amp;"ENTRADA",Movimientos!$R$2:$R$1998,0)),"-")</f>
        <v>-</v>
      </c>
      <c r="G170" s="3" t="str">
        <f>IFERROR(INDEX(Movimientos!$L$2:$L$1998,MATCH(A170&amp;"ENTRADA",Movimientos!$R$2:$R$1998,0)),"-")</f>
        <v>-</v>
      </c>
      <c r="H170" s="19" t="str">
        <f>IFERROR(IF(INDEX(Movimientos!$M$2:$M$1998,MATCH(A170&amp;"ENTRADA",Movimientos!$R$2:$R$1998,0))=0,"S/D",INDEX(Movimientos!$M$2:$M$1998,MATCH(A170&amp;"ENTRADA",Movimientos!$R$2:$R$1998,0))),"S/D")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5"/>
        <v>SIN STOCK</v>
      </c>
    </row>
    <row r="171" spans="1:11" ht="14.25">
      <c r="A171" s="18" t="s">
        <v>2314</v>
      </c>
      <c r="B171" s="3" t="str">
        <f>IFERROR(INDEX(Movimientos!$C$2:$C$1998,MATCH(A171&amp;"ENTRADA",Movimientos!$R$2:$R$1998,0)),"-")</f>
        <v>-</v>
      </c>
      <c r="C171" s="3" t="str">
        <f>IFERROR(INDEX(Movimientos!$D$2:$D$1998,MATCH(A171&amp;"ENTRADA",Movimientos!$R$2:$R$1998,0)),"-")</f>
        <v>-</v>
      </c>
      <c r="D171" s="3" t="str">
        <f>IFERROR(INDEX(Movimientos!$E$2:$E$1998,MATCH(A171&amp;"ENTRADA",Movimientos!$R$2:$R$1998,0)),"-")</f>
        <v>-</v>
      </c>
      <c r="E171" s="3" t="str">
        <f>IFERROR(INDEX(Movimientos!$F$2:$F$1998,MATCH(A171&amp;"ENTRADA",Movimientos!$R$2:$R$1998,0)),"-")</f>
        <v>-</v>
      </c>
      <c r="F171" s="3" t="str">
        <f>IFERROR(INDEX(Movimientos!$G$2:$G$1998,MATCH(A171&amp;"ENTRADA",Movimientos!$R$2:$R$1998,0)),"-")</f>
        <v>-</v>
      </c>
      <c r="G171" s="3" t="str">
        <f>IFERROR(INDEX(Movimientos!$L$2:$L$1998,MATCH(A171&amp;"ENTRADA",Movimientos!$R$2:$R$1998,0)),"-")</f>
        <v>-</v>
      </c>
      <c r="H171" s="19" t="str">
        <f>IFERROR(IF(INDEX(Movimientos!$M$2:$M$1998,MATCH(A171&amp;"ENTRADA",Movimientos!$R$2:$R$1998,0))=0,"S/D",INDEX(Movimientos!$M$2:$M$1998,MATCH(A171&amp;"ENTRADA",Movimientos!$R$2:$R$1998,0))),"S/D")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5"/>
        <v>SIN STOCK</v>
      </c>
    </row>
    <row r="172" spans="1:11" ht="14.25">
      <c r="A172" s="18" t="s">
        <v>2315</v>
      </c>
      <c r="B172" s="3" t="str">
        <f>IFERROR(INDEX(Movimientos!$C$2:$C$1998,MATCH(A172&amp;"ENTRADA",Movimientos!$R$2:$R$1998,0)),"-")</f>
        <v>-</v>
      </c>
      <c r="C172" s="3" t="str">
        <f>IFERROR(INDEX(Movimientos!$D$2:$D$1998,MATCH(A172&amp;"ENTRADA",Movimientos!$R$2:$R$1998,0)),"-")</f>
        <v>-</v>
      </c>
      <c r="D172" s="3" t="str">
        <f>IFERROR(INDEX(Movimientos!$E$2:$E$1998,MATCH(A172&amp;"ENTRADA",Movimientos!$R$2:$R$1998,0)),"-")</f>
        <v>-</v>
      </c>
      <c r="E172" s="3" t="str">
        <f>IFERROR(INDEX(Movimientos!$F$2:$F$1998,MATCH(A172&amp;"ENTRADA",Movimientos!$R$2:$R$1998,0)),"-")</f>
        <v>-</v>
      </c>
      <c r="F172" s="3" t="str">
        <f>IFERROR(INDEX(Movimientos!$G$2:$G$1998,MATCH(A172&amp;"ENTRADA",Movimientos!$R$2:$R$1998,0)),"-")</f>
        <v>-</v>
      </c>
      <c r="G172" s="3" t="str">
        <f>IFERROR(INDEX(Movimientos!$L$2:$L$1998,MATCH(A172&amp;"ENTRADA",Movimientos!$R$2:$R$1998,0)),"-")</f>
        <v>-</v>
      </c>
      <c r="H172" s="19" t="str">
        <f>IFERROR(IF(INDEX(Movimientos!$M$2:$M$1998,MATCH(A172&amp;"ENTRADA",Movimientos!$R$2:$R$1998,0))=0,"S/D",INDEX(Movimientos!$M$2:$M$1998,MATCH(A172&amp;"ENTRADA",Movimientos!$R$2:$R$1998,0))),"S/D")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5"/>
        <v>SIN STOCK</v>
      </c>
    </row>
    <row r="173" spans="1:11" ht="14.25">
      <c r="A173" s="18" t="s">
        <v>2316</v>
      </c>
      <c r="B173" s="3" t="str">
        <f>IFERROR(INDEX(Movimientos!$C$2:$C$1998,MATCH(A173&amp;"ENTRADA",Movimientos!$R$2:$R$1998,0)),"-")</f>
        <v>-</v>
      </c>
      <c r="C173" s="3" t="str">
        <f>IFERROR(INDEX(Movimientos!$D$2:$D$1998,MATCH(A173&amp;"ENTRADA",Movimientos!$R$2:$R$1998,0)),"-")</f>
        <v>-</v>
      </c>
      <c r="D173" s="3" t="str">
        <f>IFERROR(INDEX(Movimientos!$E$2:$E$1998,MATCH(A173&amp;"ENTRADA",Movimientos!$R$2:$R$1998,0)),"-")</f>
        <v>-</v>
      </c>
      <c r="E173" s="3" t="str">
        <f>IFERROR(INDEX(Movimientos!$F$2:$F$1998,MATCH(A173&amp;"ENTRADA",Movimientos!$R$2:$R$1998,0)),"-")</f>
        <v>-</v>
      </c>
      <c r="F173" s="3" t="str">
        <f>IFERROR(INDEX(Movimientos!$G$2:$G$1998,MATCH(A173&amp;"ENTRADA",Movimientos!$R$2:$R$1998,0)),"-")</f>
        <v>-</v>
      </c>
      <c r="G173" s="3" t="str">
        <f>IFERROR(INDEX(Movimientos!$L$2:$L$1998,MATCH(A173&amp;"ENTRADA",Movimientos!$R$2:$R$1998,0)),"-")</f>
        <v>-</v>
      </c>
      <c r="H173" s="19" t="str">
        <f>IFERROR(IF(INDEX(Movimientos!$M$2:$M$1998,MATCH(A173&amp;"ENTRADA",Movimientos!$R$2:$R$1998,0))=0,"S/D",INDEX(Movimientos!$M$2:$M$1998,MATCH(A173&amp;"ENTRADA",Movimientos!$R$2:$R$1998,0))),"S/D")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5"/>
        <v>SIN STOCK</v>
      </c>
    </row>
    <row r="174" spans="1:11" ht="14.25">
      <c r="A174" s="18" t="s">
        <v>2317</v>
      </c>
      <c r="B174" s="3" t="str">
        <f>IFERROR(INDEX(Movimientos!$C$2:$C$1998,MATCH(A174&amp;"ENTRADA",Movimientos!$R$2:$R$1998,0)),"-")</f>
        <v>-</v>
      </c>
      <c r="C174" s="3" t="str">
        <f>IFERROR(INDEX(Movimientos!$D$2:$D$1998,MATCH(A174&amp;"ENTRADA",Movimientos!$R$2:$R$1998,0)),"-")</f>
        <v>-</v>
      </c>
      <c r="D174" s="3" t="str">
        <f>IFERROR(INDEX(Movimientos!$E$2:$E$1998,MATCH(A174&amp;"ENTRADA",Movimientos!$R$2:$R$1998,0)),"-")</f>
        <v>-</v>
      </c>
      <c r="E174" s="3" t="str">
        <f>IFERROR(INDEX(Movimientos!$F$2:$F$1998,MATCH(A174&amp;"ENTRADA",Movimientos!$R$2:$R$1998,0)),"-")</f>
        <v>-</v>
      </c>
      <c r="F174" s="3" t="str">
        <f>IFERROR(INDEX(Movimientos!$G$2:$G$1998,MATCH(A174&amp;"ENTRADA",Movimientos!$R$2:$R$1998,0)),"-")</f>
        <v>-</v>
      </c>
      <c r="G174" s="3" t="str">
        <f>IFERROR(INDEX(Movimientos!$L$2:$L$1998,MATCH(A174&amp;"ENTRADA",Movimientos!$R$2:$R$1998,0)),"-")</f>
        <v>-</v>
      </c>
      <c r="H174" s="19" t="str">
        <f>IFERROR(IF(INDEX(Movimientos!$M$2:$M$1998,MATCH(A174&amp;"ENTRADA",Movimientos!$R$2:$R$1998,0))=0,"S/D",INDEX(Movimientos!$M$2:$M$1998,MATCH(A174&amp;"ENTRADA",Movimientos!$R$2:$R$1998,0))),"S/D")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5"/>
        <v>SIN STOCK</v>
      </c>
    </row>
    <row r="175" spans="1:11" ht="14.25">
      <c r="A175" s="18" t="s">
        <v>2318</v>
      </c>
      <c r="B175" s="3" t="str">
        <f>IFERROR(INDEX(Movimientos!$C$2:$C$1998,MATCH(A175&amp;"ENTRADA",Movimientos!$R$2:$R$1998,0)),"-")</f>
        <v>-</v>
      </c>
      <c r="C175" s="3" t="str">
        <f>IFERROR(INDEX(Movimientos!$D$2:$D$1998,MATCH(A175&amp;"ENTRADA",Movimientos!$R$2:$R$1998,0)),"-")</f>
        <v>-</v>
      </c>
      <c r="D175" s="3" t="str">
        <f>IFERROR(INDEX(Movimientos!$E$2:$E$1998,MATCH(A175&amp;"ENTRADA",Movimientos!$R$2:$R$1998,0)),"-")</f>
        <v>-</v>
      </c>
      <c r="E175" s="3" t="str">
        <f>IFERROR(INDEX(Movimientos!$F$2:$F$1998,MATCH(A175&amp;"ENTRADA",Movimientos!$R$2:$R$1998,0)),"-")</f>
        <v>-</v>
      </c>
      <c r="F175" s="3" t="str">
        <f>IFERROR(INDEX(Movimientos!$G$2:$G$1998,MATCH(A175&amp;"ENTRADA",Movimientos!$R$2:$R$1998,0)),"-")</f>
        <v>-</v>
      </c>
      <c r="G175" s="3" t="str">
        <f>IFERROR(INDEX(Movimientos!$L$2:$L$1998,MATCH(A175&amp;"ENTRADA",Movimientos!$R$2:$R$1998,0)),"-")</f>
        <v>-</v>
      </c>
      <c r="H175" s="19" t="str">
        <f>IFERROR(IF(INDEX(Movimientos!$M$2:$M$1998,MATCH(A175&amp;"ENTRADA",Movimientos!$R$2:$R$1998,0))=0,"S/D",INDEX(Movimientos!$M$2:$M$1998,MATCH(A175&amp;"ENTRADA",Movimientos!$R$2:$R$1998,0))),"S/D")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5"/>
        <v>SIN STOCK</v>
      </c>
    </row>
    <row r="176" spans="1:11" ht="14.25">
      <c r="A176" s="18" t="s">
        <v>2319</v>
      </c>
      <c r="B176" s="3" t="str">
        <f>IFERROR(INDEX(Movimientos!$C$2:$C$1998,MATCH(A176&amp;"ENTRADA",Movimientos!$R$2:$R$1998,0)),"-")</f>
        <v>-</v>
      </c>
      <c r="C176" s="3" t="str">
        <f>IFERROR(INDEX(Movimientos!$D$2:$D$1998,MATCH(A176&amp;"ENTRADA",Movimientos!$R$2:$R$1998,0)),"-")</f>
        <v>-</v>
      </c>
      <c r="D176" s="3" t="str">
        <f>IFERROR(INDEX(Movimientos!$E$2:$E$1998,MATCH(A176&amp;"ENTRADA",Movimientos!$R$2:$R$1998,0)),"-")</f>
        <v>-</v>
      </c>
      <c r="E176" s="3" t="str">
        <f>IFERROR(INDEX(Movimientos!$F$2:$F$1998,MATCH(A176&amp;"ENTRADA",Movimientos!$R$2:$R$1998,0)),"-")</f>
        <v>-</v>
      </c>
      <c r="F176" s="3" t="str">
        <f>IFERROR(INDEX(Movimientos!$G$2:$G$1998,MATCH(A176&amp;"ENTRADA",Movimientos!$R$2:$R$1998,0)),"-")</f>
        <v>-</v>
      </c>
      <c r="G176" s="3" t="str">
        <f>IFERROR(INDEX(Movimientos!$L$2:$L$1998,MATCH(A176&amp;"ENTRADA",Movimientos!$R$2:$R$1998,0)),"-")</f>
        <v>-</v>
      </c>
      <c r="H176" s="19" t="str">
        <f>IFERROR(IF(INDEX(Movimientos!$M$2:$M$1998,MATCH(A176&amp;"ENTRADA",Movimientos!$R$2:$R$1998,0))=0,"S/D",INDEX(Movimientos!$M$2:$M$1998,MATCH(A176&amp;"ENTRADA",Movimientos!$R$2:$R$1998,0))),"S/D")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5"/>
        <v>SIN STOCK</v>
      </c>
    </row>
    <row r="177" spans="1:11" ht="14.25">
      <c r="A177" s="18" t="s">
        <v>2320</v>
      </c>
      <c r="B177" s="3" t="str">
        <f>IFERROR(INDEX(Movimientos!$C$2:$C$1998,MATCH(A177&amp;"ENTRADA",Movimientos!$R$2:$R$1998,0)),"-")</f>
        <v>-</v>
      </c>
      <c r="C177" s="3" t="str">
        <f>IFERROR(INDEX(Movimientos!$D$2:$D$1998,MATCH(A177&amp;"ENTRADA",Movimientos!$R$2:$R$1998,0)),"-")</f>
        <v>-</v>
      </c>
      <c r="D177" s="3" t="str">
        <f>IFERROR(INDEX(Movimientos!$E$2:$E$1998,MATCH(A177&amp;"ENTRADA",Movimientos!$R$2:$R$1998,0)),"-")</f>
        <v>-</v>
      </c>
      <c r="E177" s="3" t="str">
        <f>IFERROR(INDEX(Movimientos!$F$2:$F$1998,MATCH(A177&amp;"ENTRADA",Movimientos!$R$2:$R$1998,0)),"-")</f>
        <v>-</v>
      </c>
      <c r="F177" s="3" t="str">
        <f>IFERROR(INDEX(Movimientos!$G$2:$G$1998,MATCH(A177&amp;"ENTRADA",Movimientos!$R$2:$R$1998,0)),"-")</f>
        <v>-</v>
      </c>
      <c r="G177" s="3" t="str">
        <f>IFERROR(INDEX(Movimientos!$L$2:$L$1998,MATCH(A177&amp;"ENTRADA",Movimientos!$R$2:$R$1998,0)),"-")</f>
        <v>-</v>
      </c>
      <c r="H177" s="19" t="str">
        <f>IFERROR(IF(INDEX(Movimientos!$M$2:$M$1998,MATCH(A177&amp;"ENTRADA",Movimientos!$R$2:$R$1998,0))=0,"S/D",INDEX(Movimientos!$M$2:$M$1998,MATCH(A177&amp;"ENTRADA",Movimientos!$R$2:$R$1998,0))),"S/D")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5"/>
        <v>SIN STOCK</v>
      </c>
    </row>
    <row r="178" spans="1:11" ht="14.25">
      <c r="A178" s="18" t="s">
        <v>2321</v>
      </c>
      <c r="B178" s="3" t="str">
        <f>IFERROR(INDEX(Movimientos!$C$2:$C$1998,MATCH(A178&amp;"ENTRADA",Movimientos!$R$2:$R$1998,0)),"-")</f>
        <v>-</v>
      </c>
      <c r="C178" s="3" t="str">
        <f>IFERROR(INDEX(Movimientos!$D$2:$D$1998,MATCH(A178&amp;"ENTRADA",Movimientos!$R$2:$R$1998,0)),"-")</f>
        <v>-</v>
      </c>
      <c r="D178" s="3" t="str">
        <f>IFERROR(INDEX(Movimientos!$E$2:$E$1998,MATCH(A178&amp;"ENTRADA",Movimientos!$R$2:$R$1998,0)),"-")</f>
        <v>-</v>
      </c>
      <c r="E178" s="3" t="str">
        <f>IFERROR(INDEX(Movimientos!$F$2:$F$1998,MATCH(A178&amp;"ENTRADA",Movimientos!$R$2:$R$1998,0)),"-")</f>
        <v>-</v>
      </c>
      <c r="F178" s="3" t="str">
        <f>IFERROR(INDEX(Movimientos!$G$2:$G$1998,MATCH(A178&amp;"ENTRADA",Movimientos!$R$2:$R$1998,0)),"-")</f>
        <v>-</v>
      </c>
      <c r="G178" s="3" t="str">
        <f>IFERROR(INDEX(Movimientos!$L$2:$L$1998,MATCH(A178&amp;"ENTRADA",Movimientos!$R$2:$R$1998,0)),"-")</f>
        <v>-</v>
      </c>
      <c r="H178" s="19" t="str">
        <f>IFERROR(IF(INDEX(Movimientos!$M$2:$M$1998,MATCH(A178&amp;"ENTRADA",Movimientos!$R$2:$R$1998,0))=0,"S/D",INDEX(Movimientos!$M$2:$M$1998,MATCH(A178&amp;"ENTRADA",Movimientos!$R$2:$R$1998,0))),"S/D")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5"/>
        <v>SIN STOCK</v>
      </c>
    </row>
    <row r="179" spans="1:11" ht="14.25">
      <c r="A179" s="18" t="s">
        <v>2322</v>
      </c>
      <c r="B179" s="3" t="str">
        <f>IFERROR(INDEX(Movimientos!$C$2:$C$1998,MATCH(A179&amp;"ENTRADA",Movimientos!$R$2:$R$1998,0)),"-")</f>
        <v>-</v>
      </c>
      <c r="C179" s="3" t="str">
        <f>IFERROR(INDEX(Movimientos!$D$2:$D$1998,MATCH(A179&amp;"ENTRADA",Movimientos!$R$2:$R$1998,0)),"-")</f>
        <v>-</v>
      </c>
      <c r="D179" s="3" t="str">
        <f>IFERROR(INDEX(Movimientos!$E$2:$E$1998,MATCH(A179&amp;"ENTRADA",Movimientos!$R$2:$R$1998,0)),"-")</f>
        <v>-</v>
      </c>
      <c r="E179" s="3" t="str">
        <f>IFERROR(INDEX(Movimientos!$F$2:$F$1998,MATCH(A179&amp;"ENTRADA",Movimientos!$R$2:$R$1998,0)),"-")</f>
        <v>-</v>
      </c>
      <c r="F179" s="3" t="str">
        <f>IFERROR(INDEX(Movimientos!$G$2:$G$1998,MATCH(A179&amp;"ENTRADA",Movimientos!$R$2:$R$1998,0)),"-")</f>
        <v>-</v>
      </c>
      <c r="G179" s="3" t="str">
        <f>IFERROR(INDEX(Movimientos!$L$2:$L$1998,MATCH(A179&amp;"ENTRADA",Movimientos!$R$2:$R$1998,0)),"-")</f>
        <v>-</v>
      </c>
      <c r="H179" s="19" t="str">
        <f>IFERROR(IF(INDEX(Movimientos!$M$2:$M$1998,MATCH(A179&amp;"ENTRADA",Movimientos!$R$2:$R$1998,0))=0,"S/D",INDEX(Movimientos!$M$2:$M$1998,MATCH(A179&amp;"ENTRADA",Movimientos!$R$2:$R$1998,0))),"S/D")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5"/>
        <v>SIN STOCK</v>
      </c>
    </row>
    <row r="180" spans="1:11" ht="14.25">
      <c r="A180" s="18" t="s">
        <v>2323</v>
      </c>
      <c r="B180" s="3" t="str">
        <f>IFERROR(INDEX(Movimientos!$C$2:$C$1998,MATCH(A180&amp;"ENTRADA",Movimientos!$R$2:$R$1998,0)),"-")</f>
        <v>-</v>
      </c>
      <c r="C180" s="3" t="str">
        <f>IFERROR(INDEX(Movimientos!$D$2:$D$1998,MATCH(A180&amp;"ENTRADA",Movimientos!$R$2:$R$1998,0)),"-")</f>
        <v>-</v>
      </c>
      <c r="D180" s="3" t="str">
        <f>IFERROR(INDEX(Movimientos!$E$2:$E$1998,MATCH(A180&amp;"ENTRADA",Movimientos!$R$2:$R$1998,0)),"-")</f>
        <v>-</v>
      </c>
      <c r="E180" s="3" t="str">
        <f>IFERROR(INDEX(Movimientos!$F$2:$F$1998,MATCH(A180&amp;"ENTRADA",Movimientos!$R$2:$R$1998,0)),"-")</f>
        <v>-</v>
      </c>
      <c r="F180" s="3" t="str">
        <f>IFERROR(INDEX(Movimientos!$G$2:$G$1998,MATCH(A180&amp;"ENTRADA",Movimientos!$R$2:$R$1998,0)),"-")</f>
        <v>-</v>
      </c>
      <c r="G180" s="3" t="str">
        <f>IFERROR(INDEX(Movimientos!$L$2:$L$1998,MATCH(A180&amp;"ENTRADA",Movimientos!$R$2:$R$1998,0)),"-")</f>
        <v>-</v>
      </c>
      <c r="H180" s="19" t="str">
        <f>IFERROR(IF(INDEX(Movimientos!$M$2:$M$1998,MATCH(A180&amp;"ENTRADA",Movimientos!$R$2:$R$1998,0))=0,"S/D",INDEX(Movimientos!$M$2:$M$1998,MATCH(A180&amp;"ENTRADA",Movimientos!$R$2:$R$1998,0))),"S/D")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5"/>
        <v>SIN STOCK</v>
      </c>
    </row>
    <row r="181" spans="1:11" ht="14.25">
      <c r="A181" s="18" t="s">
        <v>2324</v>
      </c>
      <c r="B181" s="3" t="str">
        <f>IFERROR(INDEX(Movimientos!$C$2:$C$1998,MATCH(A181&amp;"ENTRADA",Movimientos!$R$2:$R$1998,0)),"-")</f>
        <v>-</v>
      </c>
      <c r="C181" s="3" t="str">
        <f>IFERROR(INDEX(Movimientos!$D$2:$D$1998,MATCH(A181&amp;"ENTRADA",Movimientos!$R$2:$R$1998,0)),"-")</f>
        <v>-</v>
      </c>
      <c r="D181" s="3" t="str">
        <f>IFERROR(INDEX(Movimientos!$E$2:$E$1998,MATCH(A181&amp;"ENTRADA",Movimientos!$R$2:$R$1998,0)),"-")</f>
        <v>-</v>
      </c>
      <c r="E181" s="3" t="str">
        <f>IFERROR(INDEX(Movimientos!$F$2:$F$1998,MATCH(A181&amp;"ENTRADA",Movimientos!$R$2:$R$1998,0)),"-")</f>
        <v>-</v>
      </c>
      <c r="F181" s="3" t="str">
        <f>IFERROR(INDEX(Movimientos!$G$2:$G$1998,MATCH(A181&amp;"ENTRADA",Movimientos!$R$2:$R$1998,0)),"-")</f>
        <v>-</v>
      </c>
      <c r="G181" s="3" t="str">
        <f>IFERROR(INDEX(Movimientos!$L$2:$L$1998,MATCH(A181&amp;"ENTRADA",Movimientos!$R$2:$R$1998,0)),"-")</f>
        <v>-</v>
      </c>
      <c r="H181" s="19" t="str">
        <f>IFERROR(IF(INDEX(Movimientos!$M$2:$M$1998,MATCH(A181&amp;"ENTRADA",Movimientos!$R$2:$R$1998,0))=0,"S/D",INDEX(Movimientos!$M$2:$M$1998,MATCH(A181&amp;"ENTRADA",Movimientos!$R$2:$R$1998,0))),"S/D")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5"/>
        <v>SIN STOCK</v>
      </c>
    </row>
    <row r="182" spans="1:11" ht="14.25">
      <c r="A182" s="18" t="s">
        <v>2325</v>
      </c>
      <c r="B182" s="3" t="str">
        <f>IFERROR(INDEX(Movimientos!$C$2:$C$1998,MATCH(A182&amp;"ENTRADA",Movimientos!$R$2:$R$1998,0)),"-")</f>
        <v>-</v>
      </c>
      <c r="C182" s="3" t="str">
        <f>IFERROR(INDEX(Movimientos!$D$2:$D$1998,MATCH(A182&amp;"ENTRADA",Movimientos!$R$2:$R$1998,0)),"-")</f>
        <v>-</v>
      </c>
      <c r="D182" s="3" t="str">
        <f>IFERROR(INDEX(Movimientos!$E$2:$E$1998,MATCH(A182&amp;"ENTRADA",Movimientos!$R$2:$R$1998,0)),"-")</f>
        <v>-</v>
      </c>
      <c r="E182" s="3" t="str">
        <f>IFERROR(INDEX(Movimientos!$F$2:$F$1998,MATCH(A182&amp;"ENTRADA",Movimientos!$R$2:$R$1998,0)),"-")</f>
        <v>-</v>
      </c>
      <c r="F182" s="3" t="str">
        <f>IFERROR(INDEX(Movimientos!$G$2:$G$1998,MATCH(A182&amp;"ENTRADA",Movimientos!$R$2:$R$1998,0)),"-")</f>
        <v>-</v>
      </c>
      <c r="G182" s="3" t="str">
        <f>IFERROR(INDEX(Movimientos!$L$2:$L$1998,MATCH(A182&amp;"ENTRADA",Movimientos!$R$2:$R$1998,0)),"-")</f>
        <v>-</v>
      </c>
      <c r="H182" s="19" t="str">
        <f>IFERROR(IF(INDEX(Movimientos!$M$2:$M$1998,MATCH(A182&amp;"ENTRADA",Movimientos!$R$2:$R$1998,0))=0,"S/D",INDEX(Movimientos!$M$2:$M$1998,MATCH(A182&amp;"ENTRADA",Movimientos!$R$2:$R$1998,0))),"S/D")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5"/>
        <v>SIN STOCK</v>
      </c>
    </row>
    <row r="183" spans="1:11" ht="14.25">
      <c r="A183" s="18" t="s">
        <v>2326</v>
      </c>
      <c r="B183" s="3" t="str">
        <f>IFERROR(INDEX(Movimientos!$C$2:$C$1998,MATCH(A183&amp;"ENTRADA",Movimientos!$R$2:$R$1998,0)),"-")</f>
        <v>-</v>
      </c>
      <c r="C183" s="3" t="str">
        <f>IFERROR(INDEX(Movimientos!$D$2:$D$1998,MATCH(A183&amp;"ENTRADA",Movimientos!$R$2:$R$1998,0)),"-")</f>
        <v>-</v>
      </c>
      <c r="D183" s="3" t="str">
        <f>IFERROR(INDEX(Movimientos!$E$2:$E$1998,MATCH(A183&amp;"ENTRADA",Movimientos!$R$2:$R$1998,0)),"-")</f>
        <v>-</v>
      </c>
      <c r="E183" s="3" t="str">
        <f>IFERROR(INDEX(Movimientos!$F$2:$F$1998,MATCH(A183&amp;"ENTRADA",Movimientos!$R$2:$R$1998,0)),"-")</f>
        <v>-</v>
      </c>
      <c r="F183" s="3" t="str">
        <f>IFERROR(INDEX(Movimientos!$G$2:$G$1998,MATCH(A183&amp;"ENTRADA",Movimientos!$R$2:$R$1998,0)),"-")</f>
        <v>-</v>
      </c>
      <c r="G183" s="3" t="str">
        <f>IFERROR(INDEX(Movimientos!$L$2:$L$1998,MATCH(A183&amp;"ENTRADA",Movimientos!$R$2:$R$1998,0)),"-")</f>
        <v>-</v>
      </c>
      <c r="H183" s="19" t="str">
        <f>IFERROR(IF(INDEX(Movimientos!$M$2:$M$1998,MATCH(A183&amp;"ENTRADA",Movimientos!$R$2:$R$1998,0))=0,"S/D",INDEX(Movimientos!$M$2:$M$1998,MATCH(A183&amp;"ENTRADA",Movimientos!$R$2:$R$1998,0))),"S/D")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5"/>
        <v>SIN STOCK</v>
      </c>
    </row>
    <row r="184" spans="1:11" ht="14.25">
      <c r="A184" s="18" t="s">
        <v>2327</v>
      </c>
      <c r="B184" s="3" t="str">
        <f>IFERROR(INDEX(Movimientos!$C$2:$C$1998,MATCH(A184&amp;"ENTRADA",Movimientos!$R$2:$R$1998,0)),"-")</f>
        <v>-</v>
      </c>
      <c r="C184" s="3" t="str">
        <f>IFERROR(INDEX(Movimientos!$D$2:$D$1998,MATCH(A184&amp;"ENTRADA",Movimientos!$R$2:$R$1998,0)),"-")</f>
        <v>-</v>
      </c>
      <c r="D184" s="3" t="str">
        <f>IFERROR(INDEX(Movimientos!$E$2:$E$1998,MATCH(A184&amp;"ENTRADA",Movimientos!$R$2:$R$1998,0)),"-")</f>
        <v>-</v>
      </c>
      <c r="E184" s="3" t="str">
        <f>IFERROR(INDEX(Movimientos!$F$2:$F$1998,MATCH(A184&amp;"ENTRADA",Movimientos!$R$2:$R$1998,0)),"-")</f>
        <v>-</v>
      </c>
      <c r="F184" s="3" t="str">
        <f>IFERROR(INDEX(Movimientos!$G$2:$G$1998,MATCH(A184&amp;"ENTRADA",Movimientos!$R$2:$R$1998,0)),"-")</f>
        <v>-</v>
      </c>
      <c r="G184" s="3" t="str">
        <f>IFERROR(INDEX(Movimientos!$L$2:$L$1998,MATCH(A184&amp;"ENTRADA",Movimientos!$R$2:$R$1998,0)),"-")</f>
        <v>-</v>
      </c>
      <c r="H184" s="19" t="str">
        <f>IFERROR(IF(INDEX(Movimientos!$M$2:$M$1998,MATCH(A184&amp;"ENTRADA",Movimientos!$R$2:$R$1998,0))=0,"S/D",INDEX(Movimientos!$M$2:$M$1998,MATCH(A184&amp;"ENTRADA",Movimientos!$R$2:$R$1998,0))),"S/D")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5"/>
        <v>SIN STOCK</v>
      </c>
    </row>
    <row r="185" spans="1:11" ht="14.25">
      <c r="A185" s="18" t="s">
        <v>2328</v>
      </c>
      <c r="B185" s="3" t="str">
        <f>IFERROR(INDEX(Movimientos!$C$2:$C$1998,MATCH(A185&amp;"ENTRADA",Movimientos!$R$2:$R$1998,0)),"-")</f>
        <v>-</v>
      </c>
      <c r="C185" s="3" t="str">
        <f>IFERROR(INDEX(Movimientos!$D$2:$D$1998,MATCH(A185&amp;"ENTRADA",Movimientos!$R$2:$R$1998,0)),"-")</f>
        <v>-</v>
      </c>
      <c r="D185" s="3" t="str">
        <f>IFERROR(INDEX(Movimientos!$E$2:$E$1998,MATCH(A185&amp;"ENTRADA",Movimientos!$R$2:$R$1998,0)),"-")</f>
        <v>-</v>
      </c>
      <c r="E185" s="3" t="str">
        <f>IFERROR(INDEX(Movimientos!$F$2:$F$1998,MATCH(A185&amp;"ENTRADA",Movimientos!$R$2:$R$1998,0)),"-")</f>
        <v>-</v>
      </c>
      <c r="F185" s="3" t="str">
        <f>IFERROR(INDEX(Movimientos!$G$2:$G$1998,MATCH(A185&amp;"ENTRADA",Movimientos!$R$2:$R$1998,0)),"-")</f>
        <v>-</v>
      </c>
      <c r="G185" s="3" t="str">
        <f>IFERROR(INDEX(Movimientos!$L$2:$L$1998,MATCH(A185&amp;"ENTRADA",Movimientos!$R$2:$R$1998,0)),"-")</f>
        <v>-</v>
      </c>
      <c r="H185" s="19" t="str">
        <f>IFERROR(IF(INDEX(Movimientos!$M$2:$M$1998,MATCH(A185&amp;"ENTRADA",Movimientos!$R$2:$R$1998,0))=0,"S/D",INDEX(Movimientos!$M$2:$M$1998,MATCH(A185&amp;"ENTRADA",Movimientos!$R$2:$R$1998,0))),"S/D")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5"/>
        <v>SIN STOCK</v>
      </c>
    </row>
    <row r="186" spans="1:11" ht="14.25">
      <c r="A186" s="18" t="s">
        <v>2329</v>
      </c>
      <c r="B186" s="3" t="str">
        <f>IFERROR(INDEX(Movimientos!$C$2:$C$1998,MATCH(A186&amp;"ENTRADA",Movimientos!$R$2:$R$1998,0)),"-")</f>
        <v>-</v>
      </c>
      <c r="C186" s="3" t="str">
        <f>IFERROR(INDEX(Movimientos!$D$2:$D$1998,MATCH(A186&amp;"ENTRADA",Movimientos!$R$2:$R$1998,0)),"-")</f>
        <v>-</v>
      </c>
      <c r="D186" s="3" t="str">
        <f>IFERROR(INDEX(Movimientos!$E$2:$E$1998,MATCH(A186&amp;"ENTRADA",Movimientos!$R$2:$R$1998,0)),"-")</f>
        <v>-</v>
      </c>
      <c r="E186" s="3" t="str">
        <f>IFERROR(INDEX(Movimientos!$F$2:$F$1998,MATCH(A186&amp;"ENTRADA",Movimientos!$R$2:$R$1998,0)),"-")</f>
        <v>-</v>
      </c>
      <c r="F186" s="3" t="str">
        <f>IFERROR(INDEX(Movimientos!$G$2:$G$1998,MATCH(A186&amp;"ENTRADA",Movimientos!$R$2:$R$1998,0)),"-")</f>
        <v>-</v>
      </c>
      <c r="G186" s="3" t="str">
        <f>IFERROR(INDEX(Movimientos!$L$2:$L$1998,MATCH(A186&amp;"ENTRADA",Movimientos!$R$2:$R$1998,0)),"-")</f>
        <v>-</v>
      </c>
      <c r="H186" s="19" t="str">
        <f>IFERROR(IF(INDEX(Movimientos!$M$2:$M$1998,MATCH(A186&amp;"ENTRADA",Movimientos!$R$2:$R$1998,0))=0,"S/D",INDEX(Movimientos!$M$2:$M$1998,MATCH(A186&amp;"ENTRADA",Movimientos!$R$2:$R$1998,0))),"S/D")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5"/>
        <v>SIN STOCK</v>
      </c>
    </row>
    <row r="187" spans="1:11" ht="14.25">
      <c r="A187" s="18" t="s">
        <v>2330</v>
      </c>
      <c r="B187" s="3" t="str">
        <f>IFERROR(INDEX(Movimientos!$C$2:$C$1998,MATCH(A187&amp;"ENTRADA",Movimientos!$R$2:$R$1998,0)),"-")</f>
        <v>-</v>
      </c>
      <c r="C187" s="3" t="str">
        <f>IFERROR(INDEX(Movimientos!$D$2:$D$1998,MATCH(A187&amp;"ENTRADA",Movimientos!$R$2:$R$1998,0)),"-")</f>
        <v>-</v>
      </c>
      <c r="D187" s="3" t="str">
        <f>IFERROR(INDEX(Movimientos!$E$2:$E$1998,MATCH(A187&amp;"ENTRADA",Movimientos!$R$2:$R$1998,0)),"-")</f>
        <v>-</v>
      </c>
      <c r="E187" s="3" t="str">
        <f>IFERROR(INDEX(Movimientos!$F$2:$F$1998,MATCH(A187&amp;"ENTRADA",Movimientos!$R$2:$R$1998,0)),"-")</f>
        <v>-</v>
      </c>
      <c r="F187" s="3" t="str">
        <f>IFERROR(INDEX(Movimientos!$G$2:$G$1998,MATCH(A187&amp;"ENTRADA",Movimientos!$R$2:$R$1998,0)),"-")</f>
        <v>-</v>
      </c>
      <c r="G187" s="3" t="str">
        <f>IFERROR(INDEX(Movimientos!$L$2:$L$1998,MATCH(A187&amp;"ENTRADA",Movimientos!$R$2:$R$1998,0)),"-")</f>
        <v>-</v>
      </c>
      <c r="H187" s="19" t="str">
        <f>IFERROR(IF(INDEX(Movimientos!$M$2:$M$1998,MATCH(A187&amp;"ENTRADA",Movimientos!$R$2:$R$1998,0))=0,"S/D",INDEX(Movimientos!$M$2:$M$1998,MATCH(A187&amp;"ENTRADA",Movimientos!$R$2:$R$1998,0))),"S/D")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5"/>
        <v>SIN STOCK</v>
      </c>
    </row>
    <row r="188" spans="1:11" ht="14.25">
      <c r="A188" s="18" t="s">
        <v>2331</v>
      </c>
      <c r="B188" s="3" t="str">
        <f>IFERROR(INDEX(Movimientos!$C$2:$C$1998,MATCH(A188&amp;"ENTRADA",Movimientos!$R$2:$R$1998,0)),"-")</f>
        <v>-</v>
      </c>
      <c r="C188" s="3" t="str">
        <f>IFERROR(INDEX(Movimientos!$D$2:$D$1998,MATCH(A188&amp;"ENTRADA",Movimientos!$R$2:$R$1998,0)),"-")</f>
        <v>-</v>
      </c>
      <c r="D188" s="3" t="str">
        <f>IFERROR(INDEX(Movimientos!$E$2:$E$1998,MATCH(A188&amp;"ENTRADA",Movimientos!$R$2:$R$1998,0)),"-")</f>
        <v>-</v>
      </c>
      <c r="E188" s="3" t="str">
        <f>IFERROR(INDEX(Movimientos!$F$2:$F$1998,MATCH(A188&amp;"ENTRADA",Movimientos!$R$2:$R$1998,0)),"-")</f>
        <v>-</v>
      </c>
      <c r="F188" s="3" t="str">
        <f>IFERROR(INDEX(Movimientos!$G$2:$G$1998,MATCH(A188&amp;"ENTRADA",Movimientos!$R$2:$R$1998,0)),"-")</f>
        <v>-</v>
      </c>
      <c r="G188" s="3" t="str">
        <f>IFERROR(INDEX(Movimientos!$L$2:$L$1998,MATCH(A188&amp;"ENTRADA",Movimientos!$R$2:$R$1998,0)),"-")</f>
        <v>-</v>
      </c>
      <c r="H188" s="19" t="str">
        <f>IFERROR(IF(INDEX(Movimientos!$M$2:$M$1998,MATCH(A188&amp;"ENTRADA",Movimientos!$R$2:$R$1998,0))=0,"S/D",INDEX(Movimientos!$M$2:$M$1998,MATCH(A188&amp;"ENTRADA",Movimientos!$R$2:$R$1998,0))),"S/D")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5"/>
        <v>SIN STOCK</v>
      </c>
    </row>
    <row r="189" spans="1:11" ht="14.25">
      <c r="A189" s="18" t="s">
        <v>2332</v>
      </c>
      <c r="B189" s="3" t="str">
        <f>IFERROR(INDEX(Movimientos!$C$2:$C$1998,MATCH(A189&amp;"ENTRADA",Movimientos!$R$2:$R$1998,0)),"-")</f>
        <v>-</v>
      </c>
      <c r="C189" s="3" t="str">
        <f>IFERROR(INDEX(Movimientos!$D$2:$D$1998,MATCH(A189&amp;"ENTRADA",Movimientos!$R$2:$R$1998,0)),"-")</f>
        <v>-</v>
      </c>
      <c r="D189" s="3" t="str">
        <f>IFERROR(INDEX(Movimientos!$E$2:$E$1998,MATCH(A189&amp;"ENTRADA",Movimientos!$R$2:$R$1998,0)),"-")</f>
        <v>-</v>
      </c>
      <c r="E189" s="3" t="str">
        <f>IFERROR(INDEX(Movimientos!$F$2:$F$1998,MATCH(A189&amp;"ENTRADA",Movimientos!$R$2:$R$1998,0)),"-")</f>
        <v>-</v>
      </c>
      <c r="F189" s="3" t="str">
        <f>IFERROR(INDEX(Movimientos!$G$2:$G$1998,MATCH(A189&amp;"ENTRADA",Movimientos!$R$2:$R$1998,0)),"-")</f>
        <v>-</v>
      </c>
      <c r="G189" s="3" t="str">
        <f>IFERROR(INDEX(Movimientos!$L$2:$L$1998,MATCH(A189&amp;"ENTRADA",Movimientos!$R$2:$R$1998,0)),"-")</f>
        <v>-</v>
      </c>
      <c r="H189" s="19" t="str">
        <f>IFERROR(IF(INDEX(Movimientos!$M$2:$M$1998,MATCH(A189&amp;"ENTRADA",Movimientos!$R$2:$R$1998,0))=0,"S/D",INDEX(Movimientos!$M$2:$M$1998,MATCH(A189&amp;"ENTRADA",Movimientos!$R$2:$R$1998,0))),"S/D")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5"/>
        <v>SIN STOCK</v>
      </c>
    </row>
    <row r="190" spans="1:11" ht="14.25">
      <c r="A190" s="18" t="s">
        <v>2333</v>
      </c>
      <c r="B190" s="3" t="str">
        <f>IFERROR(INDEX(Movimientos!$C$2:$C$1998,MATCH(A190&amp;"ENTRADA",Movimientos!$R$2:$R$1998,0)),"-")</f>
        <v>-</v>
      </c>
      <c r="C190" s="3" t="str">
        <f>IFERROR(INDEX(Movimientos!$D$2:$D$1998,MATCH(A190&amp;"ENTRADA",Movimientos!$R$2:$R$1998,0)),"-")</f>
        <v>-</v>
      </c>
      <c r="D190" s="3" t="str">
        <f>IFERROR(INDEX(Movimientos!$E$2:$E$1998,MATCH(A190&amp;"ENTRADA",Movimientos!$R$2:$R$1998,0)),"-")</f>
        <v>-</v>
      </c>
      <c r="E190" s="3" t="str">
        <f>IFERROR(INDEX(Movimientos!$F$2:$F$1998,MATCH(A190&amp;"ENTRADA",Movimientos!$R$2:$R$1998,0)),"-")</f>
        <v>-</v>
      </c>
      <c r="F190" s="3" t="str">
        <f>IFERROR(INDEX(Movimientos!$G$2:$G$1998,MATCH(A190&amp;"ENTRADA",Movimientos!$R$2:$R$1998,0)),"-")</f>
        <v>-</v>
      </c>
      <c r="G190" s="3" t="str">
        <f>IFERROR(INDEX(Movimientos!$L$2:$L$1998,MATCH(A190&amp;"ENTRADA",Movimientos!$R$2:$R$1998,0)),"-")</f>
        <v>-</v>
      </c>
      <c r="H190" s="19" t="str">
        <f>IFERROR(IF(INDEX(Movimientos!$M$2:$M$1998,MATCH(A190&amp;"ENTRADA",Movimientos!$R$2:$R$1998,0))=0,"S/D",INDEX(Movimientos!$M$2:$M$1998,MATCH(A190&amp;"ENTRADA",Movimientos!$R$2:$R$1998,0))),"S/D")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5"/>
        <v>SIN STOCK</v>
      </c>
    </row>
    <row r="191" spans="1:11" ht="14.25">
      <c r="A191" s="18" t="s">
        <v>2334</v>
      </c>
      <c r="B191" s="3" t="str">
        <f>IFERROR(INDEX(Movimientos!$C$2:$C$1998,MATCH(A191&amp;"ENTRADA",Movimientos!$R$2:$R$1998,0)),"-")</f>
        <v>-</v>
      </c>
      <c r="C191" s="3" t="str">
        <f>IFERROR(INDEX(Movimientos!$D$2:$D$1998,MATCH(A191&amp;"ENTRADA",Movimientos!$R$2:$R$1998,0)),"-")</f>
        <v>-</v>
      </c>
      <c r="D191" s="3" t="str">
        <f>IFERROR(INDEX(Movimientos!$E$2:$E$1998,MATCH(A191&amp;"ENTRADA",Movimientos!$R$2:$R$1998,0)),"-")</f>
        <v>-</v>
      </c>
      <c r="E191" s="3" t="str">
        <f>IFERROR(INDEX(Movimientos!$F$2:$F$1998,MATCH(A191&amp;"ENTRADA",Movimientos!$R$2:$R$1998,0)),"-")</f>
        <v>-</v>
      </c>
      <c r="F191" s="3" t="str">
        <f>IFERROR(INDEX(Movimientos!$G$2:$G$1998,MATCH(A191&amp;"ENTRADA",Movimientos!$R$2:$R$1998,0)),"-")</f>
        <v>-</v>
      </c>
      <c r="G191" s="3" t="str">
        <f>IFERROR(INDEX(Movimientos!$L$2:$L$1998,MATCH(A191&amp;"ENTRADA",Movimientos!$R$2:$R$1998,0)),"-")</f>
        <v>-</v>
      </c>
      <c r="H191" s="19" t="str">
        <f>IFERROR(IF(INDEX(Movimientos!$M$2:$M$1998,MATCH(A191&amp;"ENTRADA",Movimientos!$R$2:$R$1998,0))=0,"S/D",INDEX(Movimientos!$M$2:$M$1998,MATCH(A191&amp;"ENTRADA",Movimientos!$R$2:$R$1998,0))),"S/D")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5"/>
        <v>SIN STOCK</v>
      </c>
    </row>
    <row r="192" spans="1:11" ht="14.25">
      <c r="A192" s="18" t="s">
        <v>2335</v>
      </c>
      <c r="B192" s="3" t="str">
        <f>IFERROR(INDEX(Movimientos!$C$2:$C$1998,MATCH(A192&amp;"ENTRADA",Movimientos!$R$2:$R$1998,0)),"-")</f>
        <v>-</v>
      </c>
      <c r="C192" s="3" t="str">
        <f>IFERROR(INDEX(Movimientos!$D$2:$D$1998,MATCH(A192&amp;"ENTRADA",Movimientos!$R$2:$R$1998,0)),"-")</f>
        <v>-</v>
      </c>
      <c r="D192" s="3" t="str">
        <f>IFERROR(INDEX(Movimientos!$E$2:$E$1998,MATCH(A192&amp;"ENTRADA",Movimientos!$R$2:$R$1998,0)),"-")</f>
        <v>-</v>
      </c>
      <c r="E192" s="3" t="str">
        <f>IFERROR(INDEX(Movimientos!$F$2:$F$1998,MATCH(A192&amp;"ENTRADA",Movimientos!$R$2:$R$1998,0)),"-")</f>
        <v>-</v>
      </c>
      <c r="F192" s="3" t="str">
        <f>IFERROR(INDEX(Movimientos!$G$2:$G$1998,MATCH(A192&amp;"ENTRADA",Movimientos!$R$2:$R$1998,0)),"-")</f>
        <v>-</v>
      </c>
      <c r="G192" s="3" t="str">
        <f>IFERROR(INDEX(Movimientos!$L$2:$L$1998,MATCH(A192&amp;"ENTRADA",Movimientos!$R$2:$R$1998,0)),"-")</f>
        <v>-</v>
      </c>
      <c r="H192" s="19" t="str">
        <f>IFERROR(IF(INDEX(Movimientos!$M$2:$M$1998,MATCH(A192&amp;"ENTRADA",Movimientos!$R$2:$R$1998,0))=0,"S/D",INDEX(Movimientos!$M$2:$M$1998,MATCH(A192&amp;"ENTRADA",Movimientos!$R$2:$R$1998,0))),"S/D")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ref="K192:K255" ca="1" si="7">IF(A192="","",IF(J192&lt;0.01,"SIN STOCK",IF(H192="S/D","OK",IF(H192&lt;TODAY(),"VENCIDO",IF(I192&gt;=180,"OK","PRÓXIMO A VENCER")))))</f>
        <v>SIN STOCK</v>
      </c>
    </row>
    <row r="193" spans="1:11" ht="14.25">
      <c r="A193" s="18" t="s">
        <v>2336</v>
      </c>
      <c r="B193" s="3" t="str">
        <f>IFERROR(INDEX(Movimientos!$C$2:$C$1998,MATCH(A193&amp;"ENTRADA",Movimientos!$R$2:$R$1998,0)),"-")</f>
        <v>-</v>
      </c>
      <c r="C193" s="3" t="str">
        <f>IFERROR(INDEX(Movimientos!$D$2:$D$1998,MATCH(A193&amp;"ENTRADA",Movimientos!$R$2:$R$1998,0)),"-")</f>
        <v>-</v>
      </c>
      <c r="D193" s="3" t="str">
        <f>IFERROR(INDEX(Movimientos!$E$2:$E$1998,MATCH(A193&amp;"ENTRADA",Movimientos!$R$2:$R$1998,0)),"-")</f>
        <v>-</v>
      </c>
      <c r="E193" s="3" t="str">
        <f>IFERROR(INDEX(Movimientos!$F$2:$F$1998,MATCH(A193&amp;"ENTRADA",Movimientos!$R$2:$R$1998,0)),"-")</f>
        <v>-</v>
      </c>
      <c r="F193" s="3" t="str">
        <f>IFERROR(INDEX(Movimientos!$G$2:$G$1998,MATCH(A193&amp;"ENTRADA",Movimientos!$R$2:$R$1998,0)),"-")</f>
        <v>-</v>
      </c>
      <c r="G193" s="3" t="str">
        <f>IFERROR(INDEX(Movimientos!$L$2:$L$1998,MATCH(A193&amp;"ENTRADA",Movimientos!$R$2:$R$1998,0)),"-")</f>
        <v>-</v>
      </c>
      <c r="H193" s="19" t="str">
        <f>IFERROR(IF(INDEX(Movimientos!$M$2:$M$1998,MATCH(A193&amp;"ENTRADA",Movimientos!$R$2:$R$1998,0))=0,"S/D",INDEX(Movimientos!$M$2:$M$1998,MATCH(A193&amp;"ENTRADA",Movimientos!$R$2:$R$1998,0))),"S/D")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SIN STOCK</v>
      </c>
    </row>
    <row r="194" spans="1:11" ht="14.25">
      <c r="A194" s="18" t="s">
        <v>2337</v>
      </c>
      <c r="B194" s="3" t="str">
        <f>IFERROR(INDEX(Movimientos!$C$2:$C$1998,MATCH(A194&amp;"ENTRADA",Movimientos!$R$2:$R$1998,0)),"-")</f>
        <v>-</v>
      </c>
      <c r="C194" s="3" t="str">
        <f>IFERROR(INDEX(Movimientos!$D$2:$D$1998,MATCH(A194&amp;"ENTRADA",Movimientos!$R$2:$R$1998,0)),"-")</f>
        <v>-</v>
      </c>
      <c r="D194" s="3" t="str">
        <f>IFERROR(INDEX(Movimientos!$E$2:$E$1998,MATCH(A194&amp;"ENTRADA",Movimientos!$R$2:$R$1998,0)),"-")</f>
        <v>-</v>
      </c>
      <c r="E194" s="3" t="str">
        <f>IFERROR(INDEX(Movimientos!$F$2:$F$1998,MATCH(A194&amp;"ENTRADA",Movimientos!$R$2:$R$1998,0)),"-")</f>
        <v>-</v>
      </c>
      <c r="F194" s="3" t="str">
        <f>IFERROR(INDEX(Movimientos!$G$2:$G$1998,MATCH(A194&amp;"ENTRADA",Movimientos!$R$2:$R$1998,0)),"-")</f>
        <v>-</v>
      </c>
      <c r="G194" s="3" t="str">
        <f>IFERROR(INDEX(Movimientos!$L$2:$L$1998,MATCH(A194&amp;"ENTRADA",Movimientos!$R$2:$R$1998,0)),"-")</f>
        <v>-</v>
      </c>
      <c r="H194" s="19" t="str">
        <f>IFERROR(IF(INDEX(Movimientos!$M$2:$M$1998,MATCH(A194&amp;"ENTRADA",Movimientos!$R$2:$R$1998,0))=0,"S/D",INDEX(Movimientos!$M$2:$M$1998,MATCH(A194&amp;"ENTRADA",Movimientos!$R$2:$R$1998,0))),"S/D")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SIN STOCK</v>
      </c>
    </row>
    <row r="195" spans="1:11" ht="14.25">
      <c r="A195" s="18" t="s">
        <v>2338</v>
      </c>
      <c r="B195" s="3" t="str">
        <f>IFERROR(INDEX(Movimientos!$C$2:$C$1998,MATCH(A195&amp;"ENTRADA",Movimientos!$R$2:$R$1998,0)),"-")</f>
        <v>-</v>
      </c>
      <c r="C195" s="3" t="str">
        <f>IFERROR(INDEX(Movimientos!$D$2:$D$1998,MATCH(A195&amp;"ENTRADA",Movimientos!$R$2:$R$1998,0)),"-")</f>
        <v>-</v>
      </c>
      <c r="D195" s="3" t="str">
        <f>IFERROR(INDEX(Movimientos!$E$2:$E$1998,MATCH(A195&amp;"ENTRADA",Movimientos!$R$2:$R$1998,0)),"-")</f>
        <v>-</v>
      </c>
      <c r="E195" s="3" t="str">
        <f>IFERROR(INDEX(Movimientos!$F$2:$F$1998,MATCH(A195&amp;"ENTRADA",Movimientos!$R$2:$R$1998,0)),"-")</f>
        <v>-</v>
      </c>
      <c r="F195" s="3" t="str">
        <f>IFERROR(INDEX(Movimientos!$G$2:$G$1998,MATCH(A195&amp;"ENTRADA",Movimientos!$R$2:$R$1998,0)),"-")</f>
        <v>-</v>
      </c>
      <c r="G195" s="3" t="str">
        <f>IFERROR(INDEX(Movimientos!$L$2:$L$1998,MATCH(A195&amp;"ENTRADA",Movimientos!$R$2:$R$1998,0)),"-")</f>
        <v>-</v>
      </c>
      <c r="H195" s="19" t="str">
        <f>IFERROR(IF(INDEX(Movimientos!$M$2:$M$1998,MATCH(A195&amp;"ENTRADA",Movimientos!$R$2:$R$1998,0))=0,"S/D",INDEX(Movimientos!$M$2:$M$1998,MATCH(A195&amp;"ENTRADA",Movimientos!$R$2:$R$1998,0))),"S/D")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SIN STOCK</v>
      </c>
    </row>
    <row r="196" spans="1:11" ht="14.25">
      <c r="A196" s="18" t="s">
        <v>2339</v>
      </c>
      <c r="B196" s="3" t="str">
        <f>IFERROR(INDEX(Movimientos!$C$2:$C$1998,MATCH(A196&amp;"ENTRADA",Movimientos!$R$2:$R$1998,0)),"-")</f>
        <v>-</v>
      </c>
      <c r="C196" s="3" t="str">
        <f>IFERROR(INDEX(Movimientos!$D$2:$D$1998,MATCH(A196&amp;"ENTRADA",Movimientos!$R$2:$R$1998,0)),"-")</f>
        <v>-</v>
      </c>
      <c r="D196" s="3" t="str">
        <f>IFERROR(INDEX(Movimientos!$E$2:$E$1998,MATCH(A196&amp;"ENTRADA",Movimientos!$R$2:$R$1998,0)),"-")</f>
        <v>-</v>
      </c>
      <c r="E196" s="3" t="str">
        <f>IFERROR(INDEX(Movimientos!$F$2:$F$1998,MATCH(A196&amp;"ENTRADA",Movimientos!$R$2:$R$1998,0)),"-")</f>
        <v>-</v>
      </c>
      <c r="F196" s="3" t="str">
        <f>IFERROR(INDEX(Movimientos!$G$2:$G$1998,MATCH(A196&amp;"ENTRADA",Movimientos!$R$2:$R$1998,0)),"-")</f>
        <v>-</v>
      </c>
      <c r="G196" s="3" t="str">
        <f>IFERROR(INDEX(Movimientos!$L$2:$L$1998,MATCH(A196&amp;"ENTRADA",Movimientos!$R$2:$R$1998,0)),"-")</f>
        <v>-</v>
      </c>
      <c r="H196" s="19" t="str">
        <f>IFERROR(IF(INDEX(Movimientos!$M$2:$M$1998,MATCH(A196&amp;"ENTRADA",Movimientos!$R$2:$R$1998,0))=0,"S/D",INDEX(Movimientos!$M$2:$M$1998,MATCH(A196&amp;"ENTRADA",Movimientos!$R$2:$R$1998,0))),"S/D")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SIN STOCK</v>
      </c>
    </row>
    <row r="197" spans="1:11" ht="14.25">
      <c r="A197" s="18" t="s">
        <v>2340</v>
      </c>
      <c r="B197" s="3" t="str">
        <f>IFERROR(INDEX(Movimientos!$C$2:$C$1998,MATCH(A197&amp;"ENTRADA",Movimientos!$R$2:$R$1998,0)),"-")</f>
        <v>-</v>
      </c>
      <c r="C197" s="3" t="str">
        <f>IFERROR(INDEX(Movimientos!$D$2:$D$1998,MATCH(A197&amp;"ENTRADA",Movimientos!$R$2:$R$1998,0)),"-")</f>
        <v>-</v>
      </c>
      <c r="D197" s="3" t="str">
        <f>IFERROR(INDEX(Movimientos!$E$2:$E$1998,MATCH(A197&amp;"ENTRADA",Movimientos!$R$2:$R$1998,0)),"-")</f>
        <v>-</v>
      </c>
      <c r="E197" s="3" t="str">
        <f>IFERROR(INDEX(Movimientos!$F$2:$F$1998,MATCH(A197&amp;"ENTRADA",Movimientos!$R$2:$R$1998,0)),"-")</f>
        <v>-</v>
      </c>
      <c r="F197" s="3" t="str">
        <f>IFERROR(INDEX(Movimientos!$G$2:$G$1998,MATCH(A197&amp;"ENTRADA",Movimientos!$R$2:$R$1998,0)),"-")</f>
        <v>-</v>
      </c>
      <c r="G197" s="3" t="str">
        <f>IFERROR(INDEX(Movimientos!$L$2:$L$1998,MATCH(A197&amp;"ENTRADA",Movimientos!$R$2:$R$1998,0)),"-")</f>
        <v>-</v>
      </c>
      <c r="H197" s="19" t="str">
        <f>IFERROR(IF(INDEX(Movimientos!$M$2:$M$1998,MATCH(A197&amp;"ENTRADA",Movimientos!$R$2:$R$1998,0))=0,"S/D",INDEX(Movimientos!$M$2:$M$1998,MATCH(A197&amp;"ENTRADA",Movimientos!$R$2:$R$1998,0))),"S/D")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SIN STOCK</v>
      </c>
    </row>
    <row r="198" spans="1:11" ht="14.25">
      <c r="A198" s="18" t="s">
        <v>2341</v>
      </c>
      <c r="B198" s="3" t="str">
        <f>IFERROR(INDEX(Movimientos!$C$2:$C$1998,MATCH(A198&amp;"ENTRADA",Movimientos!$R$2:$R$1998,0)),"-")</f>
        <v>-</v>
      </c>
      <c r="C198" s="3" t="str">
        <f>IFERROR(INDEX(Movimientos!$D$2:$D$1998,MATCH(A198&amp;"ENTRADA",Movimientos!$R$2:$R$1998,0)),"-")</f>
        <v>-</v>
      </c>
      <c r="D198" s="3" t="str">
        <f>IFERROR(INDEX(Movimientos!$E$2:$E$1998,MATCH(A198&amp;"ENTRADA",Movimientos!$R$2:$R$1998,0)),"-")</f>
        <v>-</v>
      </c>
      <c r="E198" s="3" t="str">
        <f>IFERROR(INDEX(Movimientos!$F$2:$F$1998,MATCH(A198&amp;"ENTRADA",Movimientos!$R$2:$R$1998,0)),"-")</f>
        <v>-</v>
      </c>
      <c r="F198" s="3" t="str">
        <f>IFERROR(INDEX(Movimientos!$G$2:$G$1998,MATCH(A198&amp;"ENTRADA",Movimientos!$R$2:$R$1998,0)),"-")</f>
        <v>-</v>
      </c>
      <c r="G198" s="3" t="str">
        <f>IFERROR(INDEX(Movimientos!$L$2:$L$1998,MATCH(A198&amp;"ENTRADA",Movimientos!$R$2:$R$1998,0)),"-")</f>
        <v>-</v>
      </c>
      <c r="H198" s="19" t="str">
        <f>IFERROR(IF(INDEX(Movimientos!$M$2:$M$1998,MATCH(A198&amp;"ENTRADA",Movimientos!$R$2:$R$1998,0))=0,"S/D",INDEX(Movimientos!$M$2:$M$1998,MATCH(A198&amp;"ENTRADA",Movimientos!$R$2:$R$1998,0))),"S/D")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SIN STOCK</v>
      </c>
    </row>
    <row r="199" spans="1:11" ht="14.25">
      <c r="A199" s="18" t="s">
        <v>2342</v>
      </c>
      <c r="B199" s="3" t="str">
        <f>IFERROR(INDEX(Movimientos!$C$2:$C$1998,MATCH(A199&amp;"ENTRADA",Movimientos!$R$2:$R$1998,0)),"-")</f>
        <v>-</v>
      </c>
      <c r="C199" s="3" t="str">
        <f>IFERROR(INDEX(Movimientos!$D$2:$D$1998,MATCH(A199&amp;"ENTRADA",Movimientos!$R$2:$R$1998,0)),"-")</f>
        <v>-</v>
      </c>
      <c r="D199" s="3" t="str">
        <f>IFERROR(INDEX(Movimientos!$E$2:$E$1998,MATCH(A199&amp;"ENTRADA",Movimientos!$R$2:$R$1998,0)),"-")</f>
        <v>-</v>
      </c>
      <c r="E199" s="3" t="str">
        <f>IFERROR(INDEX(Movimientos!$F$2:$F$1998,MATCH(A199&amp;"ENTRADA",Movimientos!$R$2:$R$1998,0)),"-")</f>
        <v>-</v>
      </c>
      <c r="F199" s="3" t="str">
        <f>IFERROR(INDEX(Movimientos!$G$2:$G$1998,MATCH(A199&amp;"ENTRADA",Movimientos!$R$2:$R$1998,0)),"-")</f>
        <v>-</v>
      </c>
      <c r="G199" s="3" t="str">
        <f>IFERROR(INDEX(Movimientos!$L$2:$L$1998,MATCH(A199&amp;"ENTRADA",Movimientos!$R$2:$R$1998,0)),"-")</f>
        <v>-</v>
      </c>
      <c r="H199" s="19" t="str">
        <f>IFERROR(IF(INDEX(Movimientos!$M$2:$M$1998,MATCH(A199&amp;"ENTRADA",Movimientos!$R$2:$R$1998,0))=0,"S/D",INDEX(Movimientos!$M$2:$M$1998,MATCH(A199&amp;"ENTRADA",Movimientos!$R$2:$R$1998,0))),"S/D")</f>
        <v>S/D</v>
      </c>
      <c r="I199" s="16" t="str">
        <f t="shared" ref="I199:I262" ca="1" si="8">IF(OR(A199="",H199="S/D"),"S/D",H199-TODAY())</f>
        <v>S/D</v>
      </c>
      <c r="J199" s="6">
        <f>IF(A199="","",SUMIFS(Movimientos!$K:$K,Movimientos!$H:$H,A199))</f>
        <v>0</v>
      </c>
      <c r="K199" s="14" t="str">
        <f t="shared" ca="1" si="7"/>
        <v>SIN STOCK</v>
      </c>
    </row>
    <row r="200" spans="1:11" ht="14.25">
      <c r="A200" s="18" t="s">
        <v>2343</v>
      </c>
      <c r="B200" s="3" t="str">
        <f>IFERROR(INDEX(Movimientos!$C$2:$C$1998,MATCH(A200&amp;"ENTRADA",Movimientos!$R$2:$R$1998,0)),"-")</f>
        <v>-</v>
      </c>
      <c r="C200" s="3" t="str">
        <f>IFERROR(INDEX(Movimientos!$D$2:$D$1998,MATCH(A200&amp;"ENTRADA",Movimientos!$R$2:$R$1998,0)),"-")</f>
        <v>-</v>
      </c>
      <c r="D200" s="3" t="str">
        <f>IFERROR(INDEX(Movimientos!$E$2:$E$1998,MATCH(A200&amp;"ENTRADA",Movimientos!$R$2:$R$1998,0)),"-")</f>
        <v>-</v>
      </c>
      <c r="E200" s="3" t="str">
        <f>IFERROR(INDEX(Movimientos!$F$2:$F$1998,MATCH(A200&amp;"ENTRADA",Movimientos!$R$2:$R$1998,0)),"-")</f>
        <v>-</v>
      </c>
      <c r="F200" s="3" t="str">
        <f>IFERROR(INDEX(Movimientos!$G$2:$G$1998,MATCH(A200&amp;"ENTRADA",Movimientos!$R$2:$R$1998,0)),"-")</f>
        <v>-</v>
      </c>
      <c r="G200" s="3" t="str">
        <f>IFERROR(INDEX(Movimientos!$L$2:$L$1998,MATCH(A200&amp;"ENTRADA",Movimientos!$R$2:$R$1998,0)),"-")</f>
        <v>-</v>
      </c>
      <c r="H200" s="19" t="str">
        <f>IFERROR(IF(INDEX(Movimientos!$M$2:$M$1998,MATCH(A200&amp;"ENTRADA",Movimientos!$R$2:$R$1998,0))=0,"S/D",INDEX(Movimientos!$M$2:$M$1998,MATCH(A200&amp;"ENTRADA",Movimientos!$R$2:$R$1998,0))),"S/D")</f>
        <v>S/D</v>
      </c>
      <c r="I200" s="16" t="str">
        <f t="shared" ca="1" si="8"/>
        <v>S/D</v>
      </c>
      <c r="J200" s="6">
        <f>IF(A200="","",SUMIFS(Movimientos!$K:$K,Movimientos!$H:$H,A200))</f>
        <v>0</v>
      </c>
      <c r="K200" s="14" t="str">
        <f t="shared" ca="1" si="7"/>
        <v>SIN STOCK</v>
      </c>
    </row>
    <row r="201" spans="1:11" ht="14.25">
      <c r="A201" s="18" t="s">
        <v>2344</v>
      </c>
      <c r="B201" s="3" t="str">
        <f>IFERROR(INDEX(Movimientos!$C$2:$C$1998,MATCH(A201&amp;"ENTRADA",Movimientos!$R$2:$R$1998,0)),"-")</f>
        <v>-</v>
      </c>
      <c r="C201" s="3" t="str">
        <f>IFERROR(INDEX(Movimientos!$D$2:$D$1998,MATCH(A201&amp;"ENTRADA",Movimientos!$R$2:$R$1998,0)),"-")</f>
        <v>-</v>
      </c>
      <c r="D201" s="3" t="str">
        <f>IFERROR(INDEX(Movimientos!$E$2:$E$1998,MATCH(A201&amp;"ENTRADA",Movimientos!$R$2:$R$1998,0)),"-")</f>
        <v>-</v>
      </c>
      <c r="E201" s="3" t="str">
        <f>IFERROR(INDEX(Movimientos!$F$2:$F$1998,MATCH(A201&amp;"ENTRADA",Movimientos!$R$2:$R$1998,0)),"-")</f>
        <v>-</v>
      </c>
      <c r="F201" s="3" t="str">
        <f>IFERROR(INDEX(Movimientos!$G$2:$G$1998,MATCH(A201&amp;"ENTRADA",Movimientos!$R$2:$R$1998,0)),"-")</f>
        <v>-</v>
      </c>
      <c r="G201" s="3" t="str">
        <f>IFERROR(INDEX(Movimientos!$L$2:$L$1998,MATCH(A201&amp;"ENTRADA",Movimientos!$R$2:$R$1998,0)),"-")</f>
        <v>-</v>
      </c>
      <c r="H201" s="19" t="str">
        <f>IFERROR(IF(INDEX(Movimientos!$M$2:$M$1998,MATCH(A201&amp;"ENTRADA",Movimientos!$R$2:$R$1998,0))=0,"S/D",INDEX(Movimientos!$M$2:$M$1998,MATCH(A201&amp;"ENTRADA",Movimientos!$R$2:$R$1998,0))),"S/D")</f>
        <v>S/D</v>
      </c>
      <c r="I201" s="16" t="str">
        <f t="shared" ca="1" si="8"/>
        <v>S/D</v>
      </c>
      <c r="J201" s="6">
        <f>IF(A201="","",SUMIFS(Movimientos!$K:$K,Movimientos!$H:$H,A201))</f>
        <v>0</v>
      </c>
      <c r="K201" s="14" t="str">
        <f t="shared" ca="1" si="7"/>
        <v>SIN STOCK</v>
      </c>
    </row>
    <row r="202" spans="1:11" ht="14.25">
      <c r="A202" s="18" t="s">
        <v>2345</v>
      </c>
      <c r="B202" s="3" t="str">
        <f>IFERROR(INDEX(Movimientos!$C$2:$C$1998,MATCH(A202&amp;"ENTRADA",Movimientos!$R$2:$R$1998,0)),"-")</f>
        <v>-</v>
      </c>
      <c r="C202" s="3" t="str">
        <f>IFERROR(INDEX(Movimientos!$D$2:$D$1998,MATCH(A202&amp;"ENTRADA",Movimientos!$R$2:$R$1998,0)),"-")</f>
        <v>-</v>
      </c>
      <c r="D202" s="3" t="str">
        <f>IFERROR(INDEX(Movimientos!$E$2:$E$1998,MATCH(A202&amp;"ENTRADA",Movimientos!$R$2:$R$1998,0)),"-")</f>
        <v>-</v>
      </c>
      <c r="E202" s="3" t="str">
        <f>IFERROR(INDEX(Movimientos!$F$2:$F$1998,MATCH(A202&amp;"ENTRADA",Movimientos!$R$2:$R$1998,0)),"-")</f>
        <v>-</v>
      </c>
      <c r="F202" s="3" t="str">
        <f>IFERROR(INDEX(Movimientos!$G$2:$G$1998,MATCH(A202&amp;"ENTRADA",Movimientos!$R$2:$R$1998,0)),"-")</f>
        <v>-</v>
      </c>
      <c r="G202" s="3" t="str">
        <f>IFERROR(INDEX(Movimientos!$L$2:$L$1998,MATCH(A202&amp;"ENTRADA",Movimientos!$R$2:$R$1998,0)),"-")</f>
        <v>-</v>
      </c>
      <c r="H202" s="19" t="str">
        <f>IFERROR(IF(INDEX(Movimientos!$M$2:$M$1998,MATCH(A202&amp;"ENTRADA",Movimientos!$R$2:$R$1998,0))=0,"S/D",INDEX(Movimientos!$M$2:$M$1998,MATCH(A202&amp;"ENTRADA",Movimientos!$R$2:$R$1998,0))),"S/D")</f>
        <v>S/D</v>
      </c>
      <c r="I202" s="16" t="str">
        <f t="shared" ca="1" si="8"/>
        <v>S/D</v>
      </c>
      <c r="J202" s="6">
        <f>IF(A202="","",SUMIFS(Movimientos!$K:$K,Movimientos!$H:$H,A202))</f>
        <v>0</v>
      </c>
      <c r="K202" s="14" t="str">
        <f t="shared" ca="1" si="7"/>
        <v>SIN STOCK</v>
      </c>
    </row>
    <row r="203" spans="1:11" ht="14.25">
      <c r="A203" s="18" t="s">
        <v>2346</v>
      </c>
      <c r="B203" s="3" t="str">
        <f>IFERROR(INDEX(Movimientos!$C$2:$C$1998,MATCH(A203&amp;"ENTRADA",Movimientos!$R$2:$R$1998,0)),"-")</f>
        <v>-</v>
      </c>
      <c r="C203" s="3" t="str">
        <f>IFERROR(INDEX(Movimientos!$D$2:$D$1998,MATCH(A203&amp;"ENTRADA",Movimientos!$R$2:$R$1998,0)),"-")</f>
        <v>-</v>
      </c>
      <c r="D203" s="3" t="str">
        <f>IFERROR(INDEX(Movimientos!$E$2:$E$1998,MATCH(A203&amp;"ENTRADA",Movimientos!$R$2:$R$1998,0)),"-")</f>
        <v>-</v>
      </c>
      <c r="E203" s="3" t="str">
        <f>IFERROR(INDEX(Movimientos!$F$2:$F$1998,MATCH(A203&amp;"ENTRADA",Movimientos!$R$2:$R$1998,0)),"-")</f>
        <v>-</v>
      </c>
      <c r="F203" s="3" t="str">
        <f>IFERROR(INDEX(Movimientos!$G$2:$G$1998,MATCH(A203&amp;"ENTRADA",Movimientos!$R$2:$R$1998,0)),"-")</f>
        <v>-</v>
      </c>
      <c r="G203" s="3" t="str">
        <f>IFERROR(INDEX(Movimientos!$L$2:$L$1998,MATCH(A203&amp;"ENTRADA",Movimientos!$R$2:$R$1998,0)),"-")</f>
        <v>-</v>
      </c>
      <c r="H203" s="19" t="str">
        <f>IFERROR(IF(INDEX(Movimientos!$M$2:$M$1998,MATCH(A203&amp;"ENTRADA",Movimientos!$R$2:$R$1998,0))=0,"S/D",INDEX(Movimientos!$M$2:$M$1998,MATCH(A203&amp;"ENTRADA",Movimientos!$R$2:$R$1998,0))),"S/D")</f>
        <v>S/D</v>
      </c>
      <c r="I203" s="16" t="str">
        <f t="shared" ca="1" si="8"/>
        <v>S/D</v>
      </c>
      <c r="J203" s="6">
        <f>IF(A203="","",SUMIFS(Movimientos!$K:$K,Movimientos!$H:$H,A203))</f>
        <v>0</v>
      </c>
      <c r="K203" s="14" t="str">
        <f t="shared" ca="1" si="7"/>
        <v>SIN STOCK</v>
      </c>
    </row>
    <row r="204" spans="1:11" ht="14.25">
      <c r="A204" s="18" t="s">
        <v>2347</v>
      </c>
      <c r="B204" s="3" t="str">
        <f>IFERROR(INDEX(Movimientos!$C$2:$C$1998,MATCH(A204&amp;"ENTRADA",Movimientos!$R$2:$R$1998,0)),"-")</f>
        <v>-</v>
      </c>
      <c r="C204" s="3" t="str">
        <f>IFERROR(INDEX(Movimientos!$D$2:$D$1998,MATCH(A204&amp;"ENTRADA",Movimientos!$R$2:$R$1998,0)),"-")</f>
        <v>-</v>
      </c>
      <c r="D204" s="3" t="str">
        <f>IFERROR(INDEX(Movimientos!$E$2:$E$1998,MATCH(A204&amp;"ENTRADA",Movimientos!$R$2:$R$1998,0)),"-")</f>
        <v>-</v>
      </c>
      <c r="E204" s="3" t="str">
        <f>IFERROR(INDEX(Movimientos!$F$2:$F$1998,MATCH(A204&amp;"ENTRADA",Movimientos!$R$2:$R$1998,0)),"-")</f>
        <v>-</v>
      </c>
      <c r="F204" s="3" t="str">
        <f>IFERROR(INDEX(Movimientos!$G$2:$G$1998,MATCH(A204&amp;"ENTRADA",Movimientos!$R$2:$R$1998,0)),"-")</f>
        <v>-</v>
      </c>
      <c r="G204" s="3" t="str">
        <f>IFERROR(INDEX(Movimientos!$L$2:$L$1998,MATCH(A204&amp;"ENTRADA",Movimientos!$R$2:$R$1998,0)),"-")</f>
        <v>-</v>
      </c>
      <c r="H204" s="19" t="str">
        <f>IFERROR(IF(INDEX(Movimientos!$M$2:$M$1998,MATCH(A204&amp;"ENTRADA",Movimientos!$R$2:$R$1998,0))=0,"S/D",INDEX(Movimientos!$M$2:$M$1998,MATCH(A204&amp;"ENTRADA",Movimientos!$R$2:$R$1998,0))),"S/D")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7"/>
        <v>SIN STOCK</v>
      </c>
    </row>
    <row r="205" spans="1:11" ht="14.25">
      <c r="A205" s="18" t="s">
        <v>2348</v>
      </c>
      <c r="B205" s="3" t="str">
        <f>IFERROR(INDEX(Movimientos!$C$2:$C$1998,MATCH(A205&amp;"ENTRADA",Movimientos!$R$2:$R$1998,0)),"-")</f>
        <v>-</v>
      </c>
      <c r="C205" s="3" t="str">
        <f>IFERROR(INDEX(Movimientos!$D$2:$D$1998,MATCH(A205&amp;"ENTRADA",Movimientos!$R$2:$R$1998,0)),"-")</f>
        <v>-</v>
      </c>
      <c r="D205" s="3" t="str">
        <f>IFERROR(INDEX(Movimientos!$E$2:$E$1998,MATCH(A205&amp;"ENTRADA",Movimientos!$R$2:$R$1998,0)),"-")</f>
        <v>-</v>
      </c>
      <c r="E205" s="3" t="str">
        <f>IFERROR(INDEX(Movimientos!$F$2:$F$1998,MATCH(A205&amp;"ENTRADA",Movimientos!$R$2:$R$1998,0)),"-")</f>
        <v>-</v>
      </c>
      <c r="F205" s="3" t="str">
        <f>IFERROR(INDEX(Movimientos!$G$2:$G$1998,MATCH(A205&amp;"ENTRADA",Movimientos!$R$2:$R$1998,0)),"-")</f>
        <v>-</v>
      </c>
      <c r="G205" s="3" t="str">
        <f>IFERROR(INDEX(Movimientos!$L$2:$L$1998,MATCH(A205&amp;"ENTRADA",Movimientos!$R$2:$R$1998,0)),"-")</f>
        <v>-</v>
      </c>
      <c r="H205" s="19" t="str">
        <f>IFERROR(IF(INDEX(Movimientos!$M$2:$M$1998,MATCH(A205&amp;"ENTRADA",Movimientos!$R$2:$R$1998,0))=0,"S/D",INDEX(Movimientos!$M$2:$M$1998,MATCH(A205&amp;"ENTRADA",Movimientos!$R$2:$R$1998,0))),"S/D")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7"/>
        <v>SIN STOCK</v>
      </c>
    </row>
    <row r="206" spans="1:11" ht="14.25">
      <c r="A206" s="18" t="s">
        <v>2349</v>
      </c>
      <c r="B206" s="3" t="str">
        <f>IFERROR(INDEX(Movimientos!$C$2:$C$1998,MATCH(A206&amp;"ENTRADA",Movimientos!$R$2:$R$1998,0)),"-")</f>
        <v>-</v>
      </c>
      <c r="C206" s="3" t="str">
        <f>IFERROR(INDEX(Movimientos!$D$2:$D$1998,MATCH(A206&amp;"ENTRADA",Movimientos!$R$2:$R$1998,0)),"-")</f>
        <v>-</v>
      </c>
      <c r="D206" s="3" t="str">
        <f>IFERROR(INDEX(Movimientos!$E$2:$E$1998,MATCH(A206&amp;"ENTRADA",Movimientos!$R$2:$R$1998,0)),"-")</f>
        <v>-</v>
      </c>
      <c r="E206" s="3" t="str">
        <f>IFERROR(INDEX(Movimientos!$F$2:$F$1998,MATCH(A206&amp;"ENTRADA",Movimientos!$R$2:$R$1998,0)),"-")</f>
        <v>-</v>
      </c>
      <c r="F206" s="3" t="str">
        <f>IFERROR(INDEX(Movimientos!$G$2:$G$1998,MATCH(A206&amp;"ENTRADA",Movimientos!$R$2:$R$1998,0)),"-")</f>
        <v>-</v>
      </c>
      <c r="G206" s="3" t="str">
        <f>IFERROR(INDEX(Movimientos!$L$2:$L$1998,MATCH(A206&amp;"ENTRADA",Movimientos!$R$2:$R$1998,0)),"-")</f>
        <v>-</v>
      </c>
      <c r="H206" s="19" t="str">
        <f>IFERROR(IF(INDEX(Movimientos!$M$2:$M$1998,MATCH(A206&amp;"ENTRADA",Movimientos!$R$2:$R$1998,0))=0,"S/D",INDEX(Movimientos!$M$2:$M$1998,MATCH(A206&amp;"ENTRADA",Movimientos!$R$2:$R$1998,0))),"S/D")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7"/>
        <v>SIN STOCK</v>
      </c>
    </row>
    <row r="207" spans="1:11" ht="14.25">
      <c r="A207" s="18" t="s">
        <v>2350</v>
      </c>
      <c r="B207" s="3" t="str">
        <f>IFERROR(INDEX(Movimientos!$C$2:$C$1998,MATCH(A207&amp;"ENTRADA",Movimientos!$R$2:$R$1998,0)),"-")</f>
        <v>-</v>
      </c>
      <c r="C207" s="3" t="str">
        <f>IFERROR(INDEX(Movimientos!$D$2:$D$1998,MATCH(A207&amp;"ENTRADA",Movimientos!$R$2:$R$1998,0)),"-")</f>
        <v>-</v>
      </c>
      <c r="D207" s="3" t="str">
        <f>IFERROR(INDEX(Movimientos!$E$2:$E$1998,MATCH(A207&amp;"ENTRADA",Movimientos!$R$2:$R$1998,0)),"-")</f>
        <v>-</v>
      </c>
      <c r="E207" s="3" t="str">
        <f>IFERROR(INDEX(Movimientos!$F$2:$F$1998,MATCH(A207&amp;"ENTRADA",Movimientos!$R$2:$R$1998,0)),"-")</f>
        <v>-</v>
      </c>
      <c r="F207" s="3" t="str">
        <f>IFERROR(INDEX(Movimientos!$G$2:$G$1998,MATCH(A207&amp;"ENTRADA",Movimientos!$R$2:$R$1998,0)),"-")</f>
        <v>-</v>
      </c>
      <c r="G207" s="3" t="str">
        <f>IFERROR(INDEX(Movimientos!$L$2:$L$1998,MATCH(A207&amp;"ENTRADA",Movimientos!$R$2:$R$1998,0)),"-")</f>
        <v>-</v>
      </c>
      <c r="H207" s="19" t="str">
        <f>IFERROR(IF(INDEX(Movimientos!$M$2:$M$1998,MATCH(A207&amp;"ENTRADA",Movimientos!$R$2:$R$1998,0))=0,"S/D",INDEX(Movimientos!$M$2:$M$1998,MATCH(A207&amp;"ENTRADA",Movimientos!$R$2:$R$1998,0))),"S/D")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7"/>
        <v>SIN STOCK</v>
      </c>
    </row>
    <row r="208" spans="1:11" ht="14.25">
      <c r="A208" s="18" t="s">
        <v>2351</v>
      </c>
      <c r="B208" s="3" t="str">
        <f>IFERROR(INDEX(Movimientos!$C$2:$C$1998,MATCH(A208&amp;"ENTRADA",Movimientos!$R$2:$R$1998,0)),"-")</f>
        <v>-</v>
      </c>
      <c r="C208" s="3" t="str">
        <f>IFERROR(INDEX(Movimientos!$D$2:$D$1998,MATCH(A208&amp;"ENTRADA",Movimientos!$R$2:$R$1998,0)),"-")</f>
        <v>-</v>
      </c>
      <c r="D208" s="3" t="str">
        <f>IFERROR(INDEX(Movimientos!$E$2:$E$1998,MATCH(A208&amp;"ENTRADA",Movimientos!$R$2:$R$1998,0)),"-")</f>
        <v>-</v>
      </c>
      <c r="E208" s="3" t="str">
        <f>IFERROR(INDEX(Movimientos!$F$2:$F$1998,MATCH(A208&amp;"ENTRADA",Movimientos!$R$2:$R$1998,0)),"-")</f>
        <v>-</v>
      </c>
      <c r="F208" s="3" t="str">
        <f>IFERROR(INDEX(Movimientos!$G$2:$G$1998,MATCH(A208&amp;"ENTRADA",Movimientos!$R$2:$R$1998,0)),"-")</f>
        <v>-</v>
      </c>
      <c r="G208" s="3" t="str">
        <f>IFERROR(INDEX(Movimientos!$L$2:$L$1998,MATCH(A208&amp;"ENTRADA",Movimientos!$R$2:$R$1998,0)),"-")</f>
        <v>-</v>
      </c>
      <c r="H208" s="19" t="str">
        <f>IFERROR(IF(INDEX(Movimientos!$M$2:$M$1998,MATCH(A208&amp;"ENTRADA",Movimientos!$R$2:$R$1998,0))=0,"S/D",INDEX(Movimientos!$M$2:$M$1998,MATCH(A208&amp;"ENTRADA",Movimientos!$R$2:$R$1998,0))),"S/D")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7"/>
        <v>SIN STOCK</v>
      </c>
    </row>
    <row r="209" spans="1:11" ht="14.25">
      <c r="A209" s="18" t="s">
        <v>2352</v>
      </c>
      <c r="B209" s="3" t="str">
        <f>IFERROR(INDEX(Movimientos!$C$2:$C$1998,MATCH(A209&amp;"ENTRADA",Movimientos!$R$2:$R$1998,0)),"-")</f>
        <v>-</v>
      </c>
      <c r="C209" s="3" t="str">
        <f>IFERROR(INDEX(Movimientos!$D$2:$D$1998,MATCH(A209&amp;"ENTRADA",Movimientos!$R$2:$R$1998,0)),"-")</f>
        <v>-</v>
      </c>
      <c r="D209" s="3" t="str">
        <f>IFERROR(INDEX(Movimientos!$E$2:$E$1998,MATCH(A209&amp;"ENTRADA",Movimientos!$R$2:$R$1998,0)),"-")</f>
        <v>-</v>
      </c>
      <c r="E209" s="3" t="str">
        <f>IFERROR(INDEX(Movimientos!$F$2:$F$1998,MATCH(A209&amp;"ENTRADA",Movimientos!$R$2:$R$1998,0)),"-")</f>
        <v>-</v>
      </c>
      <c r="F209" s="3" t="str">
        <f>IFERROR(INDEX(Movimientos!$G$2:$G$1998,MATCH(A209&amp;"ENTRADA",Movimientos!$R$2:$R$1998,0)),"-")</f>
        <v>-</v>
      </c>
      <c r="G209" s="3" t="str">
        <f>IFERROR(INDEX(Movimientos!$L$2:$L$1998,MATCH(A209&amp;"ENTRADA",Movimientos!$R$2:$R$1998,0)),"-")</f>
        <v>-</v>
      </c>
      <c r="H209" s="19" t="str">
        <f>IFERROR(IF(INDEX(Movimientos!$M$2:$M$1998,MATCH(A209&amp;"ENTRADA",Movimientos!$R$2:$R$1998,0))=0,"S/D",INDEX(Movimientos!$M$2:$M$1998,MATCH(A209&amp;"ENTRADA",Movimientos!$R$2:$R$1998,0))),"S/D")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7"/>
        <v>SIN STOCK</v>
      </c>
    </row>
    <row r="210" spans="1:11" ht="14.25">
      <c r="A210" s="18" t="s">
        <v>2353</v>
      </c>
      <c r="B210" s="3" t="str">
        <f>IFERROR(INDEX(Movimientos!$C$2:$C$1998,MATCH(A210&amp;"ENTRADA",Movimientos!$R$2:$R$1998,0)),"-")</f>
        <v>-</v>
      </c>
      <c r="C210" s="3" t="str">
        <f>IFERROR(INDEX(Movimientos!$D$2:$D$1998,MATCH(A210&amp;"ENTRADA",Movimientos!$R$2:$R$1998,0)),"-")</f>
        <v>-</v>
      </c>
      <c r="D210" s="3" t="str">
        <f>IFERROR(INDEX(Movimientos!$E$2:$E$1998,MATCH(A210&amp;"ENTRADA",Movimientos!$R$2:$R$1998,0)),"-")</f>
        <v>-</v>
      </c>
      <c r="E210" s="3" t="str">
        <f>IFERROR(INDEX(Movimientos!$F$2:$F$1998,MATCH(A210&amp;"ENTRADA",Movimientos!$R$2:$R$1998,0)),"-")</f>
        <v>-</v>
      </c>
      <c r="F210" s="3" t="str">
        <f>IFERROR(INDEX(Movimientos!$G$2:$G$1998,MATCH(A210&amp;"ENTRADA",Movimientos!$R$2:$R$1998,0)),"-")</f>
        <v>-</v>
      </c>
      <c r="G210" s="3" t="str">
        <f>IFERROR(INDEX(Movimientos!$L$2:$L$1998,MATCH(A210&amp;"ENTRADA",Movimientos!$R$2:$R$1998,0)),"-")</f>
        <v>-</v>
      </c>
      <c r="H210" s="19" t="str">
        <f>IFERROR(IF(INDEX(Movimientos!$M$2:$M$1998,MATCH(A210&amp;"ENTRADA",Movimientos!$R$2:$R$1998,0))=0,"S/D",INDEX(Movimientos!$M$2:$M$1998,MATCH(A210&amp;"ENTRADA",Movimientos!$R$2:$R$1998,0))),"S/D")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7"/>
        <v>SIN STOCK</v>
      </c>
    </row>
    <row r="211" spans="1:11" ht="14.25">
      <c r="A211" s="18" t="s">
        <v>2354</v>
      </c>
      <c r="B211" s="3" t="str">
        <f>IFERROR(INDEX(Movimientos!$C$2:$C$1998,MATCH(A211&amp;"ENTRADA",Movimientos!$R$2:$R$1998,0)),"-")</f>
        <v>-</v>
      </c>
      <c r="C211" s="3" t="str">
        <f>IFERROR(INDEX(Movimientos!$D$2:$D$1998,MATCH(A211&amp;"ENTRADA",Movimientos!$R$2:$R$1998,0)),"-")</f>
        <v>-</v>
      </c>
      <c r="D211" s="3" t="str">
        <f>IFERROR(INDEX(Movimientos!$E$2:$E$1998,MATCH(A211&amp;"ENTRADA",Movimientos!$R$2:$R$1998,0)),"-")</f>
        <v>-</v>
      </c>
      <c r="E211" s="3" t="str">
        <f>IFERROR(INDEX(Movimientos!$F$2:$F$1998,MATCH(A211&amp;"ENTRADA",Movimientos!$R$2:$R$1998,0)),"-")</f>
        <v>-</v>
      </c>
      <c r="F211" s="3" t="str">
        <f>IFERROR(INDEX(Movimientos!$G$2:$G$1998,MATCH(A211&amp;"ENTRADA",Movimientos!$R$2:$R$1998,0)),"-")</f>
        <v>-</v>
      </c>
      <c r="G211" s="3" t="str">
        <f>IFERROR(INDEX(Movimientos!$L$2:$L$1998,MATCH(A211&amp;"ENTRADA",Movimientos!$R$2:$R$1998,0)),"-")</f>
        <v>-</v>
      </c>
      <c r="H211" s="19" t="str">
        <f>IFERROR(IF(INDEX(Movimientos!$M$2:$M$1998,MATCH(A211&amp;"ENTRADA",Movimientos!$R$2:$R$1998,0))=0,"S/D",INDEX(Movimientos!$M$2:$M$1998,MATCH(A211&amp;"ENTRADA",Movimientos!$R$2:$R$1998,0))),"S/D")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7"/>
        <v>SIN STOCK</v>
      </c>
    </row>
    <row r="212" spans="1:11" ht="14.25">
      <c r="A212" s="18" t="s">
        <v>2355</v>
      </c>
      <c r="B212" s="3" t="str">
        <f>IFERROR(INDEX(Movimientos!$C$2:$C$1998,MATCH(A212&amp;"ENTRADA",Movimientos!$R$2:$R$1998,0)),"-")</f>
        <v>-</v>
      </c>
      <c r="C212" s="3" t="str">
        <f>IFERROR(INDEX(Movimientos!$D$2:$D$1998,MATCH(A212&amp;"ENTRADA",Movimientos!$R$2:$R$1998,0)),"-")</f>
        <v>-</v>
      </c>
      <c r="D212" s="3" t="str">
        <f>IFERROR(INDEX(Movimientos!$E$2:$E$1998,MATCH(A212&amp;"ENTRADA",Movimientos!$R$2:$R$1998,0)),"-")</f>
        <v>-</v>
      </c>
      <c r="E212" s="3" t="str">
        <f>IFERROR(INDEX(Movimientos!$F$2:$F$1998,MATCH(A212&amp;"ENTRADA",Movimientos!$R$2:$R$1998,0)),"-")</f>
        <v>-</v>
      </c>
      <c r="F212" s="3" t="str">
        <f>IFERROR(INDEX(Movimientos!$G$2:$G$1998,MATCH(A212&amp;"ENTRADA",Movimientos!$R$2:$R$1998,0)),"-")</f>
        <v>-</v>
      </c>
      <c r="G212" s="3" t="str">
        <f>IFERROR(INDEX(Movimientos!$L$2:$L$1998,MATCH(A212&amp;"ENTRADA",Movimientos!$R$2:$R$1998,0)),"-")</f>
        <v>-</v>
      </c>
      <c r="H212" s="19" t="str">
        <f>IFERROR(IF(INDEX(Movimientos!$M$2:$M$1998,MATCH(A212&amp;"ENTRADA",Movimientos!$R$2:$R$1998,0))=0,"S/D",INDEX(Movimientos!$M$2:$M$1998,MATCH(A212&amp;"ENTRADA",Movimientos!$R$2:$R$1998,0))),"S/D")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7"/>
        <v>SIN STOCK</v>
      </c>
    </row>
    <row r="213" spans="1:11" ht="14.25">
      <c r="A213" s="18" t="s">
        <v>2356</v>
      </c>
      <c r="B213" s="3" t="str">
        <f>IFERROR(INDEX(Movimientos!$C$2:$C$1998,MATCH(A213&amp;"ENTRADA",Movimientos!$R$2:$R$1998,0)),"-")</f>
        <v>-</v>
      </c>
      <c r="C213" s="3" t="str">
        <f>IFERROR(INDEX(Movimientos!$D$2:$D$1998,MATCH(A213&amp;"ENTRADA",Movimientos!$R$2:$R$1998,0)),"-")</f>
        <v>-</v>
      </c>
      <c r="D213" s="3" t="str">
        <f>IFERROR(INDEX(Movimientos!$E$2:$E$1998,MATCH(A213&amp;"ENTRADA",Movimientos!$R$2:$R$1998,0)),"-")</f>
        <v>-</v>
      </c>
      <c r="E213" s="3" t="str">
        <f>IFERROR(INDEX(Movimientos!$F$2:$F$1998,MATCH(A213&amp;"ENTRADA",Movimientos!$R$2:$R$1998,0)),"-")</f>
        <v>-</v>
      </c>
      <c r="F213" s="3" t="str">
        <f>IFERROR(INDEX(Movimientos!$G$2:$G$1998,MATCH(A213&amp;"ENTRADA",Movimientos!$R$2:$R$1998,0)),"-")</f>
        <v>-</v>
      </c>
      <c r="G213" s="3" t="str">
        <f>IFERROR(INDEX(Movimientos!$L$2:$L$1998,MATCH(A213&amp;"ENTRADA",Movimientos!$R$2:$R$1998,0)),"-")</f>
        <v>-</v>
      </c>
      <c r="H213" s="19" t="str">
        <f>IFERROR(IF(INDEX(Movimientos!$M$2:$M$1998,MATCH(A213&amp;"ENTRADA",Movimientos!$R$2:$R$1998,0))=0,"S/D",INDEX(Movimientos!$M$2:$M$1998,MATCH(A213&amp;"ENTRADA",Movimientos!$R$2:$R$1998,0))),"S/D")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7"/>
        <v>SIN STOCK</v>
      </c>
    </row>
    <row r="214" spans="1:11" ht="14.25">
      <c r="A214" s="18" t="s">
        <v>2357</v>
      </c>
      <c r="B214" s="3" t="str">
        <f>IFERROR(INDEX(Movimientos!$C$2:$C$1998,MATCH(A214&amp;"ENTRADA",Movimientos!$R$2:$R$1998,0)),"-")</f>
        <v>-</v>
      </c>
      <c r="C214" s="3" t="str">
        <f>IFERROR(INDEX(Movimientos!$D$2:$D$1998,MATCH(A214&amp;"ENTRADA",Movimientos!$R$2:$R$1998,0)),"-")</f>
        <v>-</v>
      </c>
      <c r="D214" s="3" t="str">
        <f>IFERROR(INDEX(Movimientos!$E$2:$E$1998,MATCH(A214&amp;"ENTRADA",Movimientos!$R$2:$R$1998,0)),"-")</f>
        <v>-</v>
      </c>
      <c r="E214" s="3" t="str">
        <f>IFERROR(INDEX(Movimientos!$F$2:$F$1998,MATCH(A214&amp;"ENTRADA",Movimientos!$R$2:$R$1998,0)),"-")</f>
        <v>-</v>
      </c>
      <c r="F214" s="3" t="str">
        <f>IFERROR(INDEX(Movimientos!$G$2:$G$1998,MATCH(A214&amp;"ENTRADA",Movimientos!$R$2:$R$1998,0)),"-")</f>
        <v>-</v>
      </c>
      <c r="G214" s="3" t="str">
        <f>IFERROR(INDEX(Movimientos!$L$2:$L$1998,MATCH(A214&amp;"ENTRADA",Movimientos!$R$2:$R$1998,0)),"-")</f>
        <v>-</v>
      </c>
      <c r="H214" s="19" t="str">
        <f>IFERROR(IF(INDEX(Movimientos!$M$2:$M$1998,MATCH(A214&amp;"ENTRADA",Movimientos!$R$2:$R$1998,0))=0,"S/D",INDEX(Movimientos!$M$2:$M$1998,MATCH(A214&amp;"ENTRADA",Movimientos!$R$2:$R$1998,0))),"S/D")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7"/>
        <v>SIN STOCK</v>
      </c>
    </row>
    <row r="215" spans="1:11" ht="14.25">
      <c r="A215" s="18" t="s">
        <v>2358</v>
      </c>
      <c r="B215" s="3" t="str">
        <f>IFERROR(INDEX(Movimientos!$C$2:$C$1998,MATCH(A215&amp;"ENTRADA",Movimientos!$R$2:$R$1998,0)),"-")</f>
        <v>-</v>
      </c>
      <c r="C215" s="3" t="str">
        <f>IFERROR(INDEX(Movimientos!$D$2:$D$1998,MATCH(A215&amp;"ENTRADA",Movimientos!$R$2:$R$1998,0)),"-")</f>
        <v>-</v>
      </c>
      <c r="D215" s="3" t="str">
        <f>IFERROR(INDEX(Movimientos!$E$2:$E$1998,MATCH(A215&amp;"ENTRADA",Movimientos!$R$2:$R$1998,0)),"-")</f>
        <v>-</v>
      </c>
      <c r="E215" s="3" t="str">
        <f>IFERROR(INDEX(Movimientos!$F$2:$F$1998,MATCH(A215&amp;"ENTRADA",Movimientos!$R$2:$R$1998,0)),"-")</f>
        <v>-</v>
      </c>
      <c r="F215" s="3" t="str">
        <f>IFERROR(INDEX(Movimientos!$G$2:$G$1998,MATCH(A215&amp;"ENTRADA",Movimientos!$R$2:$R$1998,0)),"-")</f>
        <v>-</v>
      </c>
      <c r="G215" s="3" t="str">
        <f>IFERROR(INDEX(Movimientos!$L$2:$L$1998,MATCH(A215&amp;"ENTRADA",Movimientos!$R$2:$R$1998,0)),"-")</f>
        <v>-</v>
      </c>
      <c r="H215" s="19" t="str">
        <f>IFERROR(IF(INDEX(Movimientos!$M$2:$M$1998,MATCH(A215&amp;"ENTRADA",Movimientos!$R$2:$R$1998,0))=0,"S/D",INDEX(Movimientos!$M$2:$M$1998,MATCH(A215&amp;"ENTRADA",Movimientos!$R$2:$R$1998,0))),"S/D")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7"/>
        <v>SIN STOCK</v>
      </c>
    </row>
    <row r="216" spans="1:11" ht="14.25">
      <c r="A216" s="18" t="s">
        <v>2359</v>
      </c>
      <c r="B216" s="3" t="str">
        <f>IFERROR(INDEX(Movimientos!$C$2:$C$1998,MATCH(A216&amp;"ENTRADA",Movimientos!$R$2:$R$1998,0)),"-")</f>
        <v>-</v>
      </c>
      <c r="C216" s="3" t="str">
        <f>IFERROR(INDEX(Movimientos!$D$2:$D$1998,MATCH(A216&amp;"ENTRADA",Movimientos!$R$2:$R$1998,0)),"-")</f>
        <v>-</v>
      </c>
      <c r="D216" s="3" t="str">
        <f>IFERROR(INDEX(Movimientos!$E$2:$E$1998,MATCH(A216&amp;"ENTRADA",Movimientos!$R$2:$R$1998,0)),"-")</f>
        <v>-</v>
      </c>
      <c r="E216" s="3" t="str">
        <f>IFERROR(INDEX(Movimientos!$F$2:$F$1998,MATCH(A216&amp;"ENTRADA",Movimientos!$R$2:$R$1998,0)),"-")</f>
        <v>-</v>
      </c>
      <c r="F216" s="3" t="str">
        <f>IFERROR(INDEX(Movimientos!$G$2:$G$1998,MATCH(A216&amp;"ENTRADA",Movimientos!$R$2:$R$1998,0)),"-")</f>
        <v>-</v>
      </c>
      <c r="G216" s="3" t="str">
        <f>IFERROR(INDEX(Movimientos!$L$2:$L$1998,MATCH(A216&amp;"ENTRADA",Movimientos!$R$2:$R$1998,0)),"-")</f>
        <v>-</v>
      </c>
      <c r="H216" s="19" t="str">
        <f>IFERROR(IF(INDEX(Movimientos!$M$2:$M$1998,MATCH(A216&amp;"ENTRADA",Movimientos!$R$2:$R$1998,0))=0,"S/D",INDEX(Movimientos!$M$2:$M$1998,MATCH(A216&amp;"ENTRADA",Movimientos!$R$2:$R$1998,0))),"S/D")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7"/>
        <v>SIN STOCK</v>
      </c>
    </row>
    <row r="217" spans="1:11" ht="14.25">
      <c r="A217" s="18" t="s">
        <v>2360</v>
      </c>
      <c r="B217" s="3" t="str">
        <f>IFERROR(INDEX(Movimientos!$C$2:$C$1998,MATCH(A217&amp;"ENTRADA",Movimientos!$R$2:$R$1998,0)),"-")</f>
        <v>-</v>
      </c>
      <c r="C217" s="3" t="str">
        <f>IFERROR(INDEX(Movimientos!$D$2:$D$1998,MATCH(A217&amp;"ENTRADA",Movimientos!$R$2:$R$1998,0)),"-")</f>
        <v>-</v>
      </c>
      <c r="D217" s="3" t="str">
        <f>IFERROR(INDEX(Movimientos!$E$2:$E$1998,MATCH(A217&amp;"ENTRADA",Movimientos!$R$2:$R$1998,0)),"-")</f>
        <v>-</v>
      </c>
      <c r="E217" s="3" t="str">
        <f>IFERROR(INDEX(Movimientos!$F$2:$F$1998,MATCH(A217&amp;"ENTRADA",Movimientos!$R$2:$R$1998,0)),"-")</f>
        <v>-</v>
      </c>
      <c r="F217" s="3" t="str">
        <f>IFERROR(INDEX(Movimientos!$G$2:$G$1998,MATCH(A217&amp;"ENTRADA",Movimientos!$R$2:$R$1998,0)),"-")</f>
        <v>-</v>
      </c>
      <c r="G217" s="3" t="str">
        <f>IFERROR(INDEX(Movimientos!$L$2:$L$1998,MATCH(A217&amp;"ENTRADA",Movimientos!$R$2:$R$1998,0)),"-")</f>
        <v>-</v>
      </c>
      <c r="H217" s="19" t="str">
        <f>IFERROR(IF(INDEX(Movimientos!$M$2:$M$1998,MATCH(A217&amp;"ENTRADA",Movimientos!$R$2:$R$1998,0))=0,"S/D",INDEX(Movimientos!$M$2:$M$1998,MATCH(A217&amp;"ENTRADA",Movimientos!$R$2:$R$1998,0))),"S/D")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7"/>
        <v>SIN STOCK</v>
      </c>
    </row>
    <row r="218" spans="1:11" ht="14.25">
      <c r="A218" s="18" t="s">
        <v>2361</v>
      </c>
      <c r="B218" s="3" t="str">
        <f>IFERROR(INDEX(Movimientos!$C$2:$C$1998,MATCH(A218&amp;"ENTRADA",Movimientos!$R$2:$R$1998,0)),"-")</f>
        <v>-</v>
      </c>
      <c r="C218" s="3" t="str">
        <f>IFERROR(INDEX(Movimientos!$D$2:$D$1998,MATCH(A218&amp;"ENTRADA",Movimientos!$R$2:$R$1998,0)),"-")</f>
        <v>-</v>
      </c>
      <c r="D218" s="3" t="str">
        <f>IFERROR(INDEX(Movimientos!$E$2:$E$1998,MATCH(A218&amp;"ENTRADA",Movimientos!$R$2:$R$1998,0)),"-")</f>
        <v>-</v>
      </c>
      <c r="E218" s="3" t="str">
        <f>IFERROR(INDEX(Movimientos!$F$2:$F$1998,MATCH(A218&amp;"ENTRADA",Movimientos!$R$2:$R$1998,0)),"-")</f>
        <v>-</v>
      </c>
      <c r="F218" s="3" t="str">
        <f>IFERROR(INDEX(Movimientos!$G$2:$G$1998,MATCH(A218&amp;"ENTRADA",Movimientos!$R$2:$R$1998,0)),"-")</f>
        <v>-</v>
      </c>
      <c r="G218" s="3" t="str">
        <f>IFERROR(INDEX(Movimientos!$L$2:$L$1998,MATCH(A218&amp;"ENTRADA",Movimientos!$R$2:$R$1998,0)),"-")</f>
        <v>-</v>
      </c>
      <c r="H218" s="19" t="str">
        <f>IFERROR(IF(INDEX(Movimientos!$M$2:$M$1998,MATCH(A218&amp;"ENTRADA",Movimientos!$R$2:$R$1998,0))=0,"S/D",INDEX(Movimientos!$M$2:$M$1998,MATCH(A218&amp;"ENTRADA",Movimientos!$R$2:$R$1998,0))),"S/D")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7"/>
        <v>SIN STOCK</v>
      </c>
    </row>
    <row r="219" spans="1:11" ht="14.25">
      <c r="A219" s="18" t="s">
        <v>2362</v>
      </c>
      <c r="B219" s="3" t="str">
        <f>IFERROR(INDEX(Movimientos!$C$2:$C$1998,MATCH(A219&amp;"ENTRADA",Movimientos!$R$2:$R$1998,0)),"-")</f>
        <v>-</v>
      </c>
      <c r="C219" s="3" t="str">
        <f>IFERROR(INDEX(Movimientos!$D$2:$D$1998,MATCH(A219&amp;"ENTRADA",Movimientos!$R$2:$R$1998,0)),"-")</f>
        <v>-</v>
      </c>
      <c r="D219" s="3" t="str">
        <f>IFERROR(INDEX(Movimientos!$E$2:$E$1998,MATCH(A219&amp;"ENTRADA",Movimientos!$R$2:$R$1998,0)),"-")</f>
        <v>-</v>
      </c>
      <c r="E219" s="3" t="str">
        <f>IFERROR(INDEX(Movimientos!$F$2:$F$1998,MATCH(A219&amp;"ENTRADA",Movimientos!$R$2:$R$1998,0)),"-")</f>
        <v>-</v>
      </c>
      <c r="F219" s="3" t="str">
        <f>IFERROR(INDEX(Movimientos!$G$2:$G$1998,MATCH(A219&amp;"ENTRADA",Movimientos!$R$2:$R$1998,0)),"-")</f>
        <v>-</v>
      </c>
      <c r="G219" s="3" t="str">
        <f>IFERROR(INDEX(Movimientos!$L$2:$L$1998,MATCH(A219&amp;"ENTRADA",Movimientos!$R$2:$R$1998,0)),"-")</f>
        <v>-</v>
      </c>
      <c r="H219" s="19" t="str">
        <f>IFERROR(IF(INDEX(Movimientos!$M$2:$M$1998,MATCH(A219&amp;"ENTRADA",Movimientos!$R$2:$R$1998,0))=0,"S/D",INDEX(Movimientos!$M$2:$M$1998,MATCH(A219&amp;"ENTRADA",Movimientos!$R$2:$R$1998,0))),"S/D")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7"/>
        <v>SIN STOCK</v>
      </c>
    </row>
    <row r="220" spans="1:11" ht="14.25">
      <c r="A220" s="18" t="s">
        <v>2363</v>
      </c>
      <c r="B220" s="3" t="str">
        <f>IFERROR(INDEX(Movimientos!$C$2:$C$1998,MATCH(A220&amp;"ENTRADA",Movimientos!$R$2:$R$1998,0)),"-")</f>
        <v>-</v>
      </c>
      <c r="C220" s="3" t="str">
        <f>IFERROR(INDEX(Movimientos!$D$2:$D$1998,MATCH(A220&amp;"ENTRADA",Movimientos!$R$2:$R$1998,0)),"-")</f>
        <v>-</v>
      </c>
      <c r="D220" s="3" t="str">
        <f>IFERROR(INDEX(Movimientos!$E$2:$E$1998,MATCH(A220&amp;"ENTRADA",Movimientos!$R$2:$R$1998,0)),"-")</f>
        <v>-</v>
      </c>
      <c r="E220" s="3" t="str">
        <f>IFERROR(INDEX(Movimientos!$F$2:$F$1998,MATCH(A220&amp;"ENTRADA",Movimientos!$R$2:$R$1998,0)),"-")</f>
        <v>-</v>
      </c>
      <c r="F220" s="3" t="str">
        <f>IFERROR(INDEX(Movimientos!$G$2:$G$1998,MATCH(A220&amp;"ENTRADA",Movimientos!$R$2:$R$1998,0)),"-")</f>
        <v>-</v>
      </c>
      <c r="G220" s="3" t="str">
        <f>IFERROR(INDEX(Movimientos!$L$2:$L$1998,MATCH(A220&amp;"ENTRADA",Movimientos!$R$2:$R$1998,0)),"-")</f>
        <v>-</v>
      </c>
      <c r="H220" s="19" t="str">
        <f>IFERROR(IF(INDEX(Movimientos!$M$2:$M$1998,MATCH(A220&amp;"ENTRADA",Movimientos!$R$2:$R$1998,0))=0,"S/D",INDEX(Movimientos!$M$2:$M$1998,MATCH(A220&amp;"ENTRADA",Movimientos!$R$2:$R$1998,0))),"S/D")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7"/>
        <v>SIN STOCK</v>
      </c>
    </row>
    <row r="221" spans="1:11" ht="14.25">
      <c r="A221" s="18" t="s">
        <v>2364</v>
      </c>
      <c r="B221" s="3" t="str">
        <f>IFERROR(INDEX(Movimientos!$C$2:$C$1998,MATCH(A221&amp;"ENTRADA",Movimientos!$R$2:$R$1998,0)),"-")</f>
        <v>-</v>
      </c>
      <c r="C221" s="3" t="str">
        <f>IFERROR(INDEX(Movimientos!$D$2:$D$1998,MATCH(A221&amp;"ENTRADA",Movimientos!$R$2:$R$1998,0)),"-")</f>
        <v>-</v>
      </c>
      <c r="D221" s="3" t="str">
        <f>IFERROR(INDEX(Movimientos!$E$2:$E$1998,MATCH(A221&amp;"ENTRADA",Movimientos!$R$2:$R$1998,0)),"-")</f>
        <v>-</v>
      </c>
      <c r="E221" s="3" t="str">
        <f>IFERROR(INDEX(Movimientos!$F$2:$F$1998,MATCH(A221&amp;"ENTRADA",Movimientos!$R$2:$R$1998,0)),"-")</f>
        <v>-</v>
      </c>
      <c r="F221" s="3" t="str">
        <f>IFERROR(INDEX(Movimientos!$G$2:$G$1998,MATCH(A221&amp;"ENTRADA",Movimientos!$R$2:$R$1998,0)),"-")</f>
        <v>-</v>
      </c>
      <c r="G221" s="3" t="str">
        <f>IFERROR(INDEX(Movimientos!$L$2:$L$1998,MATCH(A221&amp;"ENTRADA",Movimientos!$R$2:$R$1998,0)),"-")</f>
        <v>-</v>
      </c>
      <c r="H221" s="19" t="str">
        <f>IFERROR(IF(INDEX(Movimientos!$M$2:$M$1998,MATCH(A221&amp;"ENTRADA",Movimientos!$R$2:$R$1998,0))=0,"S/D",INDEX(Movimientos!$M$2:$M$1998,MATCH(A221&amp;"ENTRADA",Movimientos!$R$2:$R$1998,0))),"S/D")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7"/>
        <v>SIN STOCK</v>
      </c>
    </row>
    <row r="222" spans="1:11" ht="14.25">
      <c r="A222" s="18" t="s">
        <v>2365</v>
      </c>
      <c r="B222" s="3" t="str">
        <f>IFERROR(INDEX(Movimientos!$C$2:$C$1998,MATCH(A222&amp;"ENTRADA",Movimientos!$R$2:$R$1998,0)),"-")</f>
        <v>-</v>
      </c>
      <c r="C222" s="3" t="str">
        <f>IFERROR(INDEX(Movimientos!$D$2:$D$1998,MATCH(A222&amp;"ENTRADA",Movimientos!$R$2:$R$1998,0)),"-")</f>
        <v>-</v>
      </c>
      <c r="D222" s="3" t="str">
        <f>IFERROR(INDEX(Movimientos!$E$2:$E$1998,MATCH(A222&amp;"ENTRADA",Movimientos!$R$2:$R$1998,0)),"-")</f>
        <v>-</v>
      </c>
      <c r="E222" s="3" t="str">
        <f>IFERROR(INDEX(Movimientos!$F$2:$F$1998,MATCH(A222&amp;"ENTRADA",Movimientos!$R$2:$R$1998,0)),"-")</f>
        <v>-</v>
      </c>
      <c r="F222" s="3" t="str">
        <f>IFERROR(INDEX(Movimientos!$G$2:$G$1998,MATCH(A222&amp;"ENTRADA",Movimientos!$R$2:$R$1998,0)),"-")</f>
        <v>-</v>
      </c>
      <c r="G222" s="3" t="str">
        <f>IFERROR(INDEX(Movimientos!$L$2:$L$1998,MATCH(A222&amp;"ENTRADA",Movimientos!$R$2:$R$1998,0)),"-")</f>
        <v>-</v>
      </c>
      <c r="H222" s="19" t="str">
        <f>IFERROR(IF(INDEX(Movimientos!$M$2:$M$1998,MATCH(A222&amp;"ENTRADA",Movimientos!$R$2:$R$1998,0))=0,"S/D",INDEX(Movimientos!$M$2:$M$1998,MATCH(A222&amp;"ENTRADA",Movimientos!$R$2:$R$1998,0))),"S/D")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7"/>
        <v>SIN STOCK</v>
      </c>
    </row>
    <row r="223" spans="1:11" ht="14.25">
      <c r="A223" s="18" t="s">
        <v>2366</v>
      </c>
      <c r="B223" s="3" t="str">
        <f>IFERROR(INDEX(Movimientos!$C$2:$C$1998,MATCH(A223&amp;"ENTRADA",Movimientos!$R$2:$R$1998,0)),"-")</f>
        <v>-</v>
      </c>
      <c r="C223" s="3" t="str">
        <f>IFERROR(INDEX(Movimientos!$D$2:$D$1998,MATCH(A223&amp;"ENTRADA",Movimientos!$R$2:$R$1998,0)),"-")</f>
        <v>-</v>
      </c>
      <c r="D223" s="3" t="str">
        <f>IFERROR(INDEX(Movimientos!$E$2:$E$1998,MATCH(A223&amp;"ENTRADA",Movimientos!$R$2:$R$1998,0)),"-")</f>
        <v>-</v>
      </c>
      <c r="E223" s="3" t="str">
        <f>IFERROR(INDEX(Movimientos!$F$2:$F$1998,MATCH(A223&amp;"ENTRADA",Movimientos!$R$2:$R$1998,0)),"-")</f>
        <v>-</v>
      </c>
      <c r="F223" s="3" t="str">
        <f>IFERROR(INDEX(Movimientos!$G$2:$G$1998,MATCH(A223&amp;"ENTRADA",Movimientos!$R$2:$R$1998,0)),"-")</f>
        <v>-</v>
      </c>
      <c r="G223" s="3" t="str">
        <f>IFERROR(INDEX(Movimientos!$L$2:$L$1998,MATCH(A223&amp;"ENTRADA",Movimientos!$R$2:$R$1998,0)),"-")</f>
        <v>-</v>
      </c>
      <c r="H223" s="19" t="str">
        <f>IFERROR(IF(INDEX(Movimientos!$M$2:$M$1998,MATCH(A223&amp;"ENTRADA",Movimientos!$R$2:$R$1998,0))=0,"S/D",INDEX(Movimientos!$M$2:$M$1998,MATCH(A223&amp;"ENTRADA",Movimientos!$R$2:$R$1998,0))),"S/D")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7"/>
        <v>SIN STOCK</v>
      </c>
    </row>
    <row r="224" spans="1:11" ht="14.25">
      <c r="A224" s="18" t="s">
        <v>2367</v>
      </c>
      <c r="B224" s="3" t="str">
        <f>IFERROR(INDEX(Movimientos!$C$2:$C$1998,MATCH(A224&amp;"ENTRADA",Movimientos!$R$2:$R$1998,0)),"-")</f>
        <v>-</v>
      </c>
      <c r="C224" s="3" t="str">
        <f>IFERROR(INDEX(Movimientos!$D$2:$D$1998,MATCH(A224&amp;"ENTRADA",Movimientos!$R$2:$R$1998,0)),"-")</f>
        <v>-</v>
      </c>
      <c r="D224" s="3" t="str">
        <f>IFERROR(INDEX(Movimientos!$E$2:$E$1998,MATCH(A224&amp;"ENTRADA",Movimientos!$R$2:$R$1998,0)),"-")</f>
        <v>-</v>
      </c>
      <c r="E224" s="3" t="str">
        <f>IFERROR(INDEX(Movimientos!$F$2:$F$1998,MATCH(A224&amp;"ENTRADA",Movimientos!$R$2:$R$1998,0)),"-")</f>
        <v>-</v>
      </c>
      <c r="F224" s="3" t="str">
        <f>IFERROR(INDEX(Movimientos!$G$2:$G$1998,MATCH(A224&amp;"ENTRADA",Movimientos!$R$2:$R$1998,0)),"-")</f>
        <v>-</v>
      </c>
      <c r="G224" s="3" t="str">
        <f>IFERROR(INDEX(Movimientos!$L$2:$L$1998,MATCH(A224&amp;"ENTRADA",Movimientos!$R$2:$R$1998,0)),"-")</f>
        <v>-</v>
      </c>
      <c r="H224" s="19" t="str">
        <f>IFERROR(IF(INDEX(Movimientos!$M$2:$M$1998,MATCH(A224&amp;"ENTRADA",Movimientos!$R$2:$R$1998,0))=0,"S/D",INDEX(Movimientos!$M$2:$M$1998,MATCH(A224&amp;"ENTRADA",Movimientos!$R$2:$R$1998,0))),"S/D")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7"/>
        <v>SIN STOCK</v>
      </c>
    </row>
    <row r="225" spans="1:11" ht="14.25">
      <c r="A225" s="18" t="s">
        <v>2368</v>
      </c>
      <c r="B225" s="3" t="str">
        <f>IFERROR(INDEX(Movimientos!$C$2:$C$1998,MATCH(A225&amp;"ENTRADA",Movimientos!$R$2:$R$1998,0)),"-")</f>
        <v>-</v>
      </c>
      <c r="C225" s="3" t="str">
        <f>IFERROR(INDEX(Movimientos!$D$2:$D$1998,MATCH(A225&amp;"ENTRADA",Movimientos!$R$2:$R$1998,0)),"-")</f>
        <v>-</v>
      </c>
      <c r="D225" s="3" t="str">
        <f>IFERROR(INDEX(Movimientos!$E$2:$E$1998,MATCH(A225&amp;"ENTRADA",Movimientos!$R$2:$R$1998,0)),"-")</f>
        <v>-</v>
      </c>
      <c r="E225" s="3" t="str">
        <f>IFERROR(INDEX(Movimientos!$F$2:$F$1998,MATCH(A225&amp;"ENTRADA",Movimientos!$R$2:$R$1998,0)),"-")</f>
        <v>-</v>
      </c>
      <c r="F225" s="3" t="str">
        <f>IFERROR(INDEX(Movimientos!$G$2:$G$1998,MATCH(A225&amp;"ENTRADA",Movimientos!$R$2:$R$1998,0)),"-")</f>
        <v>-</v>
      </c>
      <c r="G225" s="3" t="str">
        <f>IFERROR(INDEX(Movimientos!$L$2:$L$1998,MATCH(A225&amp;"ENTRADA",Movimientos!$R$2:$R$1998,0)),"-")</f>
        <v>-</v>
      </c>
      <c r="H225" s="19" t="str">
        <f>IFERROR(IF(INDEX(Movimientos!$M$2:$M$1998,MATCH(A225&amp;"ENTRADA",Movimientos!$R$2:$R$1998,0))=0,"S/D",INDEX(Movimientos!$M$2:$M$1998,MATCH(A225&amp;"ENTRADA",Movimientos!$R$2:$R$1998,0))),"S/D")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7"/>
        <v>SIN STOCK</v>
      </c>
    </row>
    <row r="226" spans="1:11" ht="14.25">
      <c r="A226" s="18" t="s">
        <v>2369</v>
      </c>
      <c r="B226" s="3" t="str">
        <f>IFERROR(INDEX(Movimientos!$C$2:$C$1998,MATCH(A226&amp;"ENTRADA",Movimientos!$R$2:$R$1998,0)),"-")</f>
        <v>-</v>
      </c>
      <c r="C226" s="3" t="str">
        <f>IFERROR(INDEX(Movimientos!$D$2:$D$1998,MATCH(A226&amp;"ENTRADA",Movimientos!$R$2:$R$1998,0)),"-")</f>
        <v>-</v>
      </c>
      <c r="D226" s="3" t="str">
        <f>IFERROR(INDEX(Movimientos!$E$2:$E$1998,MATCH(A226&amp;"ENTRADA",Movimientos!$R$2:$R$1998,0)),"-")</f>
        <v>-</v>
      </c>
      <c r="E226" s="3" t="str">
        <f>IFERROR(INDEX(Movimientos!$F$2:$F$1998,MATCH(A226&amp;"ENTRADA",Movimientos!$R$2:$R$1998,0)),"-")</f>
        <v>-</v>
      </c>
      <c r="F226" s="3" t="str">
        <f>IFERROR(INDEX(Movimientos!$G$2:$G$1998,MATCH(A226&amp;"ENTRADA",Movimientos!$R$2:$R$1998,0)),"-")</f>
        <v>-</v>
      </c>
      <c r="G226" s="3" t="str">
        <f>IFERROR(INDEX(Movimientos!$L$2:$L$1998,MATCH(A226&amp;"ENTRADA",Movimientos!$R$2:$R$1998,0)),"-")</f>
        <v>-</v>
      </c>
      <c r="H226" s="19" t="str">
        <f>IFERROR(IF(INDEX(Movimientos!$M$2:$M$1998,MATCH(A226&amp;"ENTRADA",Movimientos!$R$2:$R$1998,0))=0,"S/D",INDEX(Movimientos!$M$2:$M$1998,MATCH(A226&amp;"ENTRADA",Movimientos!$R$2:$R$1998,0))),"S/D")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7"/>
        <v>SIN STOCK</v>
      </c>
    </row>
    <row r="227" spans="1:11" ht="14.25">
      <c r="A227" s="18" t="s">
        <v>2370</v>
      </c>
      <c r="B227" s="3" t="str">
        <f>IFERROR(INDEX(Movimientos!$C$2:$C$1998,MATCH(A227&amp;"ENTRADA",Movimientos!$R$2:$R$1998,0)),"-")</f>
        <v>-</v>
      </c>
      <c r="C227" s="3" t="str">
        <f>IFERROR(INDEX(Movimientos!$D$2:$D$1998,MATCH(A227&amp;"ENTRADA",Movimientos!$R$2:$R$1998,0)),"-")</f>
        <v>-</v>
      </c>
      <c r="D227" s="3" t="str">
        <f>IFERROR(INDEX(Movimientos!$E$2:$E$1998,MATCH(A227&amp;"ENTRADA",Movimientos!$R$2:$R$1998,0)),"-")</f>
        <v>-</v>
      </c>
      <c r="E227" s="3" t="str">
        <f>IFERROR(INDEX(Movimientos!$F$2:$F$1998,MATCH(A227&amp;"ENTRADA",Movimientos!$R$2:$R$1998,0)),"-")</f>
        <v>-</v>
      </c>
      <c r="F227" s="3" t="str">
        <f>IFERROR(INDEX(Movimientos!$G$2:$G$1998,MATCH(A227&amp;"ENTRADA",Movimientos!$R$2:$R$1998,0)),"-")</f>
        <v>-</v>
      </c>
      <c r="G227" s="3" t="str">
        <f>IFERROR(INDEX(Movimientos!$L$2:$L$1998,MATCH(A227&amp;"ENTRADA",Movimientos!$R$2:$R$1998,0)),"-")</f>
        <v>-</v>
      </c>
      <c r="H227" s="19" t="str">
        <f>IFERROR(IF(INDEX(Movimientos!$M$2:$M$1998,MATCH(A227&amp;"ENTRADA",Movimientos!$R$2:$R$1998,0))=0,"S/D",INDEX(Movimientos!$M$2:$M$1998,MATCH(A227&amp;"ENTRADA",Movimientos!$R$2:$R$1998,0))),"S/D")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7"/>
        <v>SIN STOCK</v>
      </c>
    </row>
    <row r="228" spans="1:11" ht="14.25">
      <c r="A228" s="18" t="s">
        <v>2371</v>
      </c>
      <c r="B228" s="3" t="str">
        <f>IFERROR(INDEX(Movimientos!$C$2:$C$1998,MATCH(A228&amp;"ENTRADA",Movimientos!$R$2:$R$1998,0)),"-")</f>
        <v>-</v>
      </c>
      <c r="C228" s="3" t="str">
        <f>IFERROR(INDEX(Movimientos!$D$2:$D$1998,MATCH(A228&amp;"ENTRADA",Movimientos!$R$2:$R$1998,0)),"-")</f>
        <v>-</v>
      </c>
      <c r="D228" s="3" t="str">
        <f>IFERROR(INDEX(Movimientos!$E$2:$E$1998,MATCH(A228&amp;"ENTRADA",Movimientos!$R$2:$R$1998,0)),"-")</f>
        <v>-</v>
      </c>
      <c r="E228" s="3" t="str">
        <f>IFERROR(INDEX(Movimientos!$F$2:$F$1998,MATCH(A228&amp;"ENTRADA",Movimientos!$R$2:$R$1998,0)),"-")</f>
        <v>-</v>
      </c>
      <c r="F228" s="3" t="str">
        <f>IFERROR(INDEX(Movimientos!$G$2:$G$1998,MATCH(A228&amp;"ENTRADA",Movimientos!$R$2:$R$1998,0)),"-")</f>
        <v>-</v>
      </c>
      <c r="G228" s="3" t="str">
        <f>IFERROR(INDEX(Movimientos!$L$2:$L$1998,MATCH(A228&amp;"ENTRADA",Movimientos!$R$2:$R$1998,0)),"-")</f>
        <v>-</v>
      </c>
      <c r="H228" s="19" t="str">
        <f>IFERROR(IF(INDEX(Movimientos!$M$2:$M$1998,MATCH(A228&amp;"ENTRADA",Movimientos!$R$2:$R$1998,0))=0,"S/D",INDEX(Movimientos!$M$2:$M$1998,MATCH(A228&amp;"ENTRADA",Movimientos!$R$2:$R$1998,0))),"S/D")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7"/>
        <v>SIN STOCK</v>
      </c>
    </row>
    <row r="229" spans="1:11" ht="14.25">
      <c r="A229" s="18" t="s">
        <v>2372</v>
      </c>
      <c r="B229" s="3" t="str">
        <f>IFERROR(INDEX(Movimientos!$C$2:$C$1998,MATCH(A229&amp;"ENTRADA",Movimientos!$R$2:$R$1998,0)),"-")</f>
        <v>-</v>
      </c>
      <c r="C229" s="3" t="str">
        <f>IFERROR(INDEX(Movimientos!$D$2:$D$1998,MATCH(A229&amp;"ENTRADA",Movimientos!$R$2:$R$1998,0)),"-")</f>
        <v>-</v>
      </c>
      <c r="D229" s="3" t="str">
        <f>IFERROR(INDEX(Movimientos!$E$2:$E$1998,MATCH(A229&amp;"ENTRADA",Movimientos!$R$2:$R$1998,0)),"-")</f>
        <v>-</v>
      </c>
      <c r="E229" s="3" t="str">
        <f>IFERROR(INDEX(Movimientos!$F$2:$F$1998,MATCH(A229&amp;"ENTRADA",Movimientos!$R$2:$R$1998,0)),"-")</f>
        <v>-</v>
      </c>
      <c r="F229" s="3" t="str">
        <f>IFERROR(INDEX(Movimientos!$G$2:$G$1998,MATCH(A229&amp;"ENTRADA",Movimientos!$R$2:$R$1998,0)),"-")</f>
        <v>-</v>
      </c>
      <c r="G229" s="3" t="str">
        <f>IFERROR(INDEX(Movimientos!$L$2:$L$1998,MATCH(A229&amp;"ENTRADA",Movimientos!$R$2:$R$1998,0)),"-")</f>
        <v>-</v>
      </c>
      <c r="H229" s="19" t="str">
        <f>IFERROR(IF(INDEX(Movimientos!$M$2:$M$1998,MATCH(A229&amp;"ENTRADA",Movimientos!$R$2:$R$1998,0))=0,"S/D",INDEX(Movimientos!$M$2:$M$1998,MATCH(A229&amp;"ENTRADA",Movimientos!$R$2:$R$1998,0))),"S/D")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7"/>
        <v>SIN STOCK</v>
      </c>
    </row>
    <row r="230" spans="1:11" ht="14.25">
      <c r="A230" s="18" t="s">
        <v>2373</v>
      </c>
      <c r="B230" s="3" t="str">
        <f>IFERROR(INDEX(Movimientos!$C$2:$C$1998,MATCH(A230&amp;"ENTRADA",Movimientos!$R$2:$R$1998,0)),"-")</f>
        <v>-</v>
      </c>
      <c r="C230" s="3" t="str">
        <f>IFERROR(INDEX(Movimientos!$D$2:$D$1998,MATCH(A230&amp;"ENTRADA",Movimientos!$R$2:$R$1998,0)),"-")</f>
        <v>-</v>
      </c>
      <c r="D230" s="3" t="str">
        <f>IFERROR(INDEX(Movimientos!$E$2:$E$1998,MATCH(A230&amp;"ENTRADA",Movimientos!$R$2:$R$1998,0)),"-")</f>
        <v>-</v>
      </c>
      <c r="E230" s="3" t="str">
        <f>IFERROR(INDEX(Movimientos!$F$2:$F$1998,MATCH(A230&amp;"ENTRADA",Movimientos!$R$2:$R$1998,0)),"-")</f>
        <v>-</v>
      </c>
      <c r="F230" s="3" t="str">
        <f>IFERROR(INDEX(Movimientos!$G$2:$G$1998,MATCH(A230&amp;"ENTRADA",Movimientos!$R$2:$R$1998,0)),"-")</f>
        <v>-</v>
      </c>
      <c r="G230" s="3" t="str">
        <f>IFERROR(INDEX(Movimientos!$L$2:$L$1998,MATCH(A230&amp;"ENTRADA",Movimientos!$R$2:$R$1998,0)),"-")</f>
        <v>-</v>
      </c>
      <c r="H230" s="19" t="str">
        <f>IFERROR(IF(INDEX(Movimientos!$M$2:$M$1998,MATCH(A230&amp;"ENTRADA",Movimientos!$R$2:$R$1998,0))=0,"S/D",INDEX(Movimientos!$M$2:$M$1998,MATCH(A230&amp;"ENTRADA",Movimientos!$R$2:$R$1998,0))),"S/D")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7"/>
        <v>SIN STOCK</v>
      </c>
    </row>
    <row r="231" spans="1:11" ht="14.25">
      <c r="A231" s="18" t="s">
        <v>2374</v>
      </c>
      <c r="B231" s="3" t="str">
        <f>IFERROR(INDEX(Movimientos!$C$2:$C$1998,MATCH(A231&amp;"ENTRADA",Movimientos!$R$2:$R$1998,0)),"-")</f>
        <v>-</v>
      </c>
      <c r="C231" s="3" t="str">
        <f>IFERROR(INDEX(Movimientos!$D$2:$D$1998,MATCH(A231&amp;"ENTRADA",Movimientos!$R$2:$R$1998,0)),"-")</f>
        <v>-</v>
      </c>
      <c r="D231" s="3" t="str">
        <f>IFERROR(INDEX(Movimientos!$E$2:$E$1998,MATCH(A231&amp;"ENTRADA",Movimientos!$R$2:$R$1998,0)),"-")</f>
        <v>-</v>
      </c>
      <c r="E231" s="3" t="str">
        <f>IFERROR(INDEX(Movimientos!$F$2:$F$1998,MATCH(A231&amp;"ENTRADA",Movimientos!$R$2:$R$1998,0)),"-")</f>
        <v>-</v>
      </c>
      <c r="F231" s="3" t="str">
        <f>IFERROR(INDEX(Movimientos!$G$2:$G$1998,MATCH(A231&amp;"ENTRADA",Movimientos!$R$2:$R$1998,0)),"-")</f>
        <v>-</v>
      </c>
      <c r="G231" s="3" t="str">
        <f>IFERROR(INDEX(Movimientos!$L$2:$L$1998,MATCH(A231&amp;"ENTRADA",Movimientos!$R$2:$R$1998,0)),"-")</f>
        <v>-</v>
      </c>
      <c r="H231" s="19" t="str">
        <f>IFERROR(IF(INDEX(Movimientos!$M$2:$M$1998,MATCH(A231&amp;"ENTRADA",Movimientos!$R$2:$R$1998,0))=0,"S/D",INDEX(Movimientos!$M$2:$M$1998,MATCH(A231&amp;"ENTRADA",Movimientos!$R$2:$R$1998,0))),"S/D")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7"/>
        <v>SIN STOCK</v>
      </c>
    </row>
    <row r="232" spans="1:11" ht="14.25">
      <c r="A232" s="18" t="s">
        <v>2375</v>
      </c>
      <c r="B232" s="3" t="str">
        <f>IFERROR(INDEX(Movimientos!$C$2:$C$1998,MATCH(A232&amp;"ENTRADA",Movimientos!$R$2:$R$1998,0)),"-")</f>
        <v>-</v>
      </c>
      <c r="C232" s="3" t="str">
        <f>IFERROR(INDEX(Movimientos!$D$2:$D$1998,MATCH(A232&amp;"ENTRADA",Movimientos!$R$2:$R$1998,0)),"-")</f>
        <v>-</v>
      </c>
      <c r="D232" s="3" t="str">
        <f>IFERROR(INDEX(Movimientos!$E$2:$E$1998,MATCH(A232&amp;"ENTRADA",Movimientos!$R$2:$R$1998,0)),"-")</f>
        <v>-</v>
      </c>
      <c r="E232" s="3" t="str">
        <f>IFERROR(INDEX(Movimientos!$F$2:$F$1998,MATCH(A232&amp;"ENTRADA",Movimientos!$R$2:$R$1998,0)),"-")</f>
        <v>-</v>
      </c>
      <c r="F232" s="3" t="str">
        <f>IFERROR(INDEX(Movimientos!$G$2:$G$1998,MATCH(A232&amp;"ENTRADA",Movimientos!$R$2:$R$1998,0)),"-")</f>
        <v>-</v>
      </c>
      <c r="G232" s="3" t="str">
        <f>IFERROR(INDEX(Movimientos!$L$2:$L$1998,MATCH(A232&amp;"ENTRADA",Movimientos!$R$2:$R$1998,0)),"-")</f>
        <v>-</v>
      </c>
      <c r="H232" s="19" t="str">
        <f>IFERROR(IF(INDEX(Movimientos!$M$2:$M$1998,MATCH(A232&amp;"ENTRADA",Movimientos!$R$2:$R$1998,0))=0,"S/D",INDEX(Movimientos!$M$2:$M$1998,MATCH(A232&amp;"ENTRADA",Movimientos!$R$2:$R$1998,0))),"S/D")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7"/>
        <v>SIN STOCK</v>
      </c>
    </row>
    <row r="233" spans="1:11" ht="14.25">
      <c r="A233" s="18" t="s">
        <v>2376</v>
      </c>
      <c r="B233" s="3" t="str">
        <f>IFERROR(INDEX(Movimientos!$C$2:$C$1998,MATCH(A233&amp;"ENTRADA",Movimientos!$R$2:$R$1998,0)),"-")</f>
        <v>-</v>
      </c>
      <c r="C233" s="3" t="str">
        <f>IFERROR(INDEX(Movimientos!$D$2:$D$1998,MATCH(A233&amp;"ENTRADA",Movimientos!$R$2:$R$1998,0)),"-")</f>
        <v>-</v>
      </c>
      <c r="D233" s="3" t="str">
        <f>IFERROR(INDEX(Movimientos!$E$2:$E$1998,MATCH(A233&amp;"ENTRADA",Movimientos!$R$2:$R$1998,0)),"-")</f>
        <v>-</v>
      </c>
      <c r="E233" s="3" t="str">
        <f>IFERROR(INDEX(Movimientos!$F$2:$F$1998,MATCH(A233&amp;"ENTRADA",Movimientos!$R$2:$R$1998,0)),"-")</f>
        <v>-</v>
      </c>
      <c r="F233" s="3" t="str">
        <f>IFERROR(INDEX(Movimientos!$G$2:$G$1998,MATCH(A233&amp;"ENTRADA",Movimientos!$R$2:$R$1998,0)),"-")</f>
        <v>-</v>
      </c>
      <c r="G233" s="3" t="str">
        <f>IFERROR(INDEX(Movimientos!$L$2:$L$1998,MATCH(A233&amp;"ENTRADA",Movimientos!$R$2:$R$1998,0)),"-")</f>
        <v>-</v>
      </c>
      <c r="H233" s="19" t="str">
        <f>IFERROR(IF(INDEX(Movimientos!$M$2:$M$1998,MATCH(A233&amp;"ENTRADA",Movimientos!$R$2:$R$1998,0))=0,"S/D",INDEX(Movimientos!$M$2:$M$1998,MATCH(A233&amp;"ENTRADA",Movimientos!$R$2:$R$1998,0))),"S/D")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7"/>
        <v>SIN STOCK</v>
      </c>
    </row>
    <row r="234" spans="1:11" ht="14.25">
      <c r="A234" s="18" t="s">
        <v>2377</v>
      </c>
      <c r="B234" s="3" t="str">
        <f>IFERROR(INDEX(Movimientos!$C$2:$C$1998,MATCH(A234&amp;"ENTRADA",Movimientos!$R$2:$R$1998,0)),"-")</f>
        <v>-</v>
      </c>
      <c r="C234" s="3" t="str">
        <f>IFERROR(INDEX(Movimientos!$D$2:$D$1998,MATCH(A234&amp;"ENTRADA",Movimientos!$R$2:$R$1998,0)),"-")</f>
        <v>-</v>
      </c>
      <c r="D234" s="3" t="str">
        <f>IFERROR(INDEX(Movimientos!$E$2:$E$1998,MATCH(A234&amp;"ENTRADA",Movimientos!$R$2:$R$1998,0)),"-")</f>
        <v>-</v>
      </c>
      <c r="E234" s="3" t="str">
        <f>IFERROR(INDEX(Movimientos!$F$2:$F$1998,MATCH(A234&amp;"ENTRADA",Movimientos!$R$2:$R$1998,0)),"-")</f>
        <v>-</v>
      </c>
      <c r="F234" s="3" t="str">
        <f>IFERROR(INDEX(Movimientos!$G$2:$G$1998,MATCH(A234&amp;"ENTRADA",Movimientos!$R$2:$R$1998,0)),"-")</f>
        <v>-</v>
      </c>
      <c r="G234" s="3" t="str">
        <f>IFERROR(INDEX(Movimientos!$L$2:$L$1998,MATCH(A234&amp;"ENTRADA",Movimientos!$R$2:$R$1998,0)),"-")</f>
        <v>-</v>
      </c>
      <c r="H234" s="19" t="str">
        <f>IFERROR(IF(INDEX(Movimientos!$M$2:$M$1998,MATCH(A234&amp;"ENTRADA",Movimientos!$R$2:$R$1998,0))=0,"S/D",INDEX(Movimientos!$M$2:$M$1998,MATCH(A234&amp;"ENTRADA",Movimientos!$R$2:$R$1998,0))),"S/D")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7"/>
        <v>SIN STOCK</v>
      </c>
    </row>
    <row r="235" spans="1:11" ht="14.25">
      <c r="A235" s="18" t="s">
        <v>2378</v>
      </c>
      <c r="B235" s="3" t="str">
        <f>IFERROR(INDEX(Movimientos!$C$2:$C$1998,MATCH(A235&amp;"ENTRADA",Movimientos!$R$2:$R$1998,0)),"-")</f>
        <v>-</v>
      </c>
      <c r="C235" s="3" t="str">
        <f>IFERROR(INDEX(Movimientos!$D$2:$D$1998,MATCH(A235&amp;"ENTRADA",Movimientos!$R$2:$R$1998,0)),"-")</f>
        <v>-</v>
      </c>
      <c r="D235" s="3" t="str">
        <f>IFERROR(INDEX(Movimientos!$E$2:$E$1998,MATCH(A235&amp;"ENTRADA",Movimientos!$R$2:$R$1998,0)),"-")</f>
        <v>-</v>
      </c>
      <c r="E235" s="3" t="str">
        <f>IFERROR(INDEX(Movimientos!$F$2:$F$1998,MATCH(A235&amp;"ENTRADA",Movimientos!$R$2:$R$1998,0)),"-")</f>
        <v>-</v>
      </c>
      <c r="F235" s="3" t="str">
        <f>IFERROR(INDEX(Movimientos!$G$2:$G$1998,MATCH(A235&amp;"ENTRADA",Movimientos!$R$2:$R$1998,0)),"-")</f>
        <v>-</v>
      </c>
      <c r="G235" s="3" t="str">
        <f>IFERROR(INDEX(Movimientos!$L$2:$L$1998,MATCH(A235&amp;"ENTRADA",Movimientos!$R$2:$R$1998,0)),"-")</f>
        <v>-</v>
      </c>
      <c r="H235" s="19" t="str">
        <f>IFERROR(IF(INDEX(Movimientos!$M$2:$M$1998,MATCH(A235&amp;"ENTRADA",Movimientos!$R$2:$R$1998,0))=0,"S/D",INDEX(Movimientos!$M$2:$M$1998,MATCH(A235&amp;"ENTRADA",Movimientos!$R$2:$R$1998,0))),"S/D")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7"/>
        <v>SIN STOCK</v>
      </c>
    </row>
    <row r="236" spans="1:11" ht="14.25">
      <c r="A236" s="18" t="s">
        <v>2379</v>
      </c>
      <c r="B236" s="3" t="str">
        <f>IFERROR(INDEX(Movimientos!$C$2:$C$1998,MATCH(A236&amp;"ENTRADA",Movimientos!$R$2:$R$1998,0)),"-")</f>
        <v>-</v>
      </c>
      <c r="C236" s="3" t="str">
        <f>IFERROR(INDEX(Movimientos!$D$2:$D$1998,MATCH(A236&amp;"ENTRADA",Movimientos!$R$2:$R$1998,0)),"-")</f>
        <v>-</v>
      </c>
      <c r="D236" s="3" t="str">
        <f>IFERROR(INDEX(Movimientos!$E$2:$E$1998,MATCH(A236&amp;"ENTRADA",Movimientos!$R$2:$R$1998,0)),"-")</f>
        <v>-</v>
      </c>
      <c r="E236" s="3" t="str">
        <f>IFERROR(INDEX(Movimientos!$F$2:$F$1998,MATCH(A236&amp;"ENTRADA",Movimientos!$R$2:$R$1998,0)),"-")</f>
        <v>-</v>
      </c>
      <c r="F236" s="3" t="str">
        <f>IFERROR(INDEX(Movimientos!$G$2:$G$1998,MATCH(A236&amp;"ENTRADA",Movimientos!$R$2:$R$1998,0)),"-")</f>
        <v>-</v>
      </c>
      <c r="G236" s="3" t="str">
        <f>IFERROR(INDEX(Movimientos!$L$2:$L$1998,MATCH(A236&amp;"ENTRADA",Movimientos!$R$2:$R$1998,0)),"-")</f>
        <v>-</v>
      </c>
      <c r="H236" s="19" t="str">
        <f>IFERROR(IF(INDEX(Movimientos!$M$2:$M$1998,MATCH(A236&amp;"ENTRADA",Movimientos!$R$2:$R$1998,0))=0,"S/D",INDEX(Movimientos!$M$2:$M$1998,MATCH(A236&amp;"ENTRADA",Movimientos!$R$2:$R$1998,0))),"S/D")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7"/>
        <v>SIN STOCK</v>
      </c>
    </row>
    <row r="237" spans="1:11" ht="14.25">
      <c r="A237" s="18" t="s">
        <v>2380</v>
      </c>
      <c r="B237" s="3" t="str">
        <f>IFERROR(INDEX(Movimientos!$C$2:$C$1998,MATCH(A237&amp;"ENTRADA",Movimientos!$R$2:$R$1998,0)),"-")</f>
        <v>-</v>
      </c>
      <c r="C237" s="3" t="str">
        <f>IFERROR(INDEX(Movimientos!$D$2:$D$1998,MATCH(A237&amp;"ENTRADA",Movimientos!$R$2:$R$1998,0)),"-")</f>
        <v>-</v>
      </c>
      <c r="D237" s="3" t="str">
        <f>IFERROR(INDEX(Movimientos!$E$2:$E$1998,MATCH(A237&amp;"ENTRADA",Movimientos!$R$2:$R$1998,0)),"-")</f>
        <v>-</v>
      </c>
      <c r="E237" s="3" t="str">
        <f>IFERROR(INDEX(Movimientos!$F$2:$F$1998,MATCH(A237&amp;"ENTRADA",Movimientos!$R$2:$R$1998,0)),"-")</f>
        <v>-</v>
      </c>
      <c r="F237" s="3" t="str">
        <f>IFERROR(INDEX(Movimientos!$G$2:$G$1998,MATCH(A237&amp;"ENTRADA",Movimientos!$R$2:$R$1998,0)),"-")</f>
        <v>-</v>
      </c>
      <c r="G237" s="3" t="str">
        <f>IFERROR(INDEX(Movimientos!$L$2:$L$1998,MATCH(A237&amp;"ENTRADA",Movimientos!$R$2:$R$1998,0)),"-")</f>
        <v>-</v>
      </c>
      <c r="H237" s="19" t="str">
        <f>IFERROR(IF(INDEX(Movimientos!$M$2:$M$1998,MATCH(A237&amp;"ENTRADA",Movimientos!$R$2:$R$1998,0))=0,"S/D",INDEX(Movimientos!$M$2:$M$1998,MATCH(A237&amp;"ENTRADA",Movimientos!$R$2:$R$1998,0))),"S/D")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7"/>
        <v>SIN STOCK</v>
      </c>
    </row>
    <row r="238" spans="1:11" ht="14.25">
      <c r="A238" s="18" t="s">
        <v>2381</v>
      </c>
      <c r="B238" s="3" t="str">
        <f>IFERROR(INDEX(Movimientos!$C$2:$C$1998,MATCH(A238&amp;"ENTRADA",Movimientos!$R$2:$R$1998,0)),"-")</f>
        <v>-</v>
      </c>
      <c r="C238" s="3" t="str">
        <f>IFERROR(INDEX(Movimientos!$D$2:$D$1998,MATCH(A238&amp;"ENTRADA",Movimientos!$R$2:$R$1998,0)),"-")</f>
        <v>-</v>
      </c>
      <c r="D238" s="3" t="str">
        <f>IFERROR(INDEX(Movimientos!$E$2:$E$1998,MATCH(A238&amp;"ENTRADA",Movimientos!$R$2:$R$1998,0)),"-")</f>
        <v>-</v>
      </c>
      <c r="E238" s="3" t="str">
        <f>IFERROR(INDEX(Movimientos!$F$2:$F$1998,MATCH(A238&amp;"ENTRADA",Movimientos!$R$2:$R$1998,0)),"-")</f>
        <v>-</v>
      </c>
      <c r="F238" s="3" t="str">
        <f>IFERROR(INDEX(Movimientos!$G$2:$G$1998,MATCH(A238&amp;"ENTRADA",Movimientos!$R$2:$R$1998,0)),"-")</f>
        <v>-</v>
      </c>
      <c r="G238" s="3" t="str">
        <f>IFERROR(INDEX(Movimientos!$L$2:$L$1998,MATCH(A238&amp;"ENTRADA",Movimientos!$R$2:$R$1998,0)),"-")</f>
        <v>-</v>
      </c>
      <c r="H238" s="19" t="str">
        <f>IFERROR(IF(INDEX(Movimientos!$M$2:$M$1998,MATCH(A238&amp;"ENTRADA",Movimientos!$R$2:$R$1998,0))=0,"S/D",INDEX(Movimientos!$M$2:$M$1998,MATCH(A238&amp;"ENTRADA",Movimientos!$R$2:$R$1998,0))),"S/D")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7"/>
        <v>SIN STOCK</v>
      </c>
    </row>
    <row r="239" spans="1:11" ht="14.25">
      <c r="A239" s="18" t="s">
        <v>2382</v>
      </c>
      <c r="B239" s="3" t="str">
        <f>IFERROR(INDEX(Movimientos!$C$2:$C$1998,MATCH(A239&amp;"ENTRADA",Movimientos!$R$2:$R$1998,0)),"-")</f>
        <v>-</v>
      </c>
      <c r="C239" s="3" t="str">
        <f>IFERROR(INDEX(Movimientos!$D$2:$D$1998,MATCH(A239&amp;"ENTRADA",Movimientos!$R$2:$R$1998,0)),"-")</f>
        <v>-</v>
      </c>
      <c r="D239" s="3" t="str">
        <f>IFERROR(INDEX(Movimientos!$E$2:$E$1998,MATCH(A239&amp;"ENTRADA",Movimientos!$R$2:$R$1998,0)),"-")</f>
        <v>-</v>
      </c>
      <c r="E239" s="3" t="str">
        <f>IFERROR(INDEX(Movimientos!$F$2:$F$1998,MATCH(A239&amp;"ENTRADA",Movimientos!$R$2:$R$1998,0)),"-")</f>
        <v>-</v>
      </c>
      <c r="F239" s="3" t="str">
        <f>IFERROR(INDEX(Movimientos!$G$2:$G$1998,MATCH(A239&amp;"ENTRADA",Movimientos!$R$2:$R$1998,0)),"-")</f>
        <v>-</v>
      </c>
      <c r="G239" s="3" t="str">
        <f>IFERROR(INDEX(Movimientos!$L$2:$L$1998,MATCH(A239&amp;"ENTRADA",Movimientos!$R$2:$R$1998,0)),"-")</f>
        <v>-</v>
      </c>
      <c r="H239" s="19" t="str">
        <f>IFERROR(IF(INDEX(Movimientos!$M$2:$M$1998,MATCH(A239&amp;"ENTRADA",Movimientos!$R$2:$R$1998,0))=0,"S/D",INDEX(Movimientos!$M$2:$M$1998,MATCH(A239&amp;"ENTRADA",Movimientos!$R$2:$R$1998,0))),"S/D")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7"/>
        <v>SIN STOCK</v>
      </c>
    </row>
    <row r="240" spans="1:11" ht="14.25">
      <c r="A240" s="18" t="s">
        <v>2383</v>
      </c>
      <c r="B240" s="3" t="str">
        <f>IFERROR(INDEX(Movimientos!$C$2:$C$1998,MATCH(A240&amp;"ENTRADA",Movimientos!$R$2:$R$1998,0)),"-")</f>
        <v>-</v>
      </c>
      <c r="C240" s="3" t="str">
        <f>IFERROR(INDEX(Movimientos!$D$2:$D$1998,MATCH(A240&amp;"ENTRADA",Movimientos!$R$2:$R$1998,0)),"-")</f>
        <v>-</v>
      </c>
      <c r="D240" s="3" t="str">
        <f>IFERROR(INDEX(Movimientos!$E$2:$E$1998,MATCH(A240&amp;"ENTRADA",Movimientos!$R$2:$R$1998,0)),"-")</f>
        <v>-</v>
      </c>
      <c r="E240" s="3" t="str">
        <f>IFERROR(INDEX(Movimientos!$F$2:$F$1998,MATCH(A240&amp;"ENTRADA",Movimientos!$R$2:$R$1998,0)),"-")</f>
        <v>-</v>
      </c>
      <c r="F240" s="3" t="str">
        <f>IFERROR(INDEX(Movimientos!$G$2:$G$1998,MATCH(A240&amp;"ENTRADA",Movimientos!$R$2:$R$1998,0)),"-")</f>
        <v>-</v>
      </c>
      <c r="G240" s="3" t="str">
        <f>IFERROR(INDEX(Movimientos!$L$2:$L$1998,MATCH(A240&amp;"ENTRADA",Movimientos!$R$2:$R$1998,0)),"-")</f>
        <v>-</v>
      </c>
      <c r="H240" s="19" t="str">
        <f>IFERROR(IF(INDEX(Movimientos!$M$2:$M$1998,MATCH(A240&amp;"ENTRADA",Movimientos!$R$2:$R$1998,0))=0,"S/D",INDEX(Movimientos!$M$2:$M$1998,MATCH(A240&amp;"ENTRADA",Movimientos!$R$2:$R$1998,0))),"S/D")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7"/>
        <v>SIN STOCK</v>
      </c>
    </row>
    <row r="241" spans="1:11" ht="14.25">
      <c r="A241" s="18" t="s">
        <v>2384</v>
      </c>
      <c r="B241" s="3" t="str">
        <f>IFERROR(INDEX(Movimientos!$C$2:$C$1998,MATCH(A241&amp;"ENTRADA",Movimientos!$R$2:$R$1998,0)),"-")</f>
        <v>-</v>
      </c>
      <c r="C241" s="3" t="str">
        <f>IFERROR(INDEX(Movimientos!$D$2:$D$1998,MATCH(A241&amp;"ENTRADA",Movimientos!$R$2:$R$1998,0)),"-")</f>
        <v>-</v>
      </c>
      <c r="D241" s="3" t="str">
        <f>IFERROR(INDEX(Movimientos!$E$2:$E$1998,MATCH(A241&amp;"ENTRADA",Movimientos!$R$2:$R$1998,0)),"-")</f>
        <v>-</v>
      </c>
      <c r="E241" s="3" t="str">
        <f>IFERROR(INDEX(Movimientos!$F$2:$F$1998,MATCH(A241&amp;"ENTRADA",Movimientos!$R$2:$R$1998,0)),"-")</f>
        <v>-</v>
      </c>
      <c r="F241" s="3" t="str">
        <f>IFERROR(INDEX(Movimientos!$G$2:$G$1998,MATCH(A241&amp;"ENTRADA",Movimientos!$R$2:$R$1998,0)),"-")</f>
        <v>-</v>
      </c>
      <c r="G241" s="3" t="str">
        <f>IFERROR(INDEX(Movimientos!$L$2:$L$1998,MATCH(A241&amp;"ENTRADA",Movimientos!$R$2:$R$1998,0)),"-")</f>
        <v>-</v>
      </c>
      <c r="H241" s="19" t="str">
        <f>IFERROR(IF(INDEX(Movimientos!$M$2:$M$1998,MATCH(A241&amp;"ENTRADA",Movimientos!$R$2:$R$1998,0))=0,"S/D",INDEX(Movimientos!$M$2:$M$1998,MATCH(A241&amp;"ENTRADA",Movimientos!$R$2:$R$1998,0))),"S/D")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7"/>
        <v>SIN STOCK</v>
      </c>
    </row>
    <row r="242" spans="1:11" ht="14.25">
      <c r="A242" s="18" t="s">
        <v>2385</v>
      </c>
      <c r="B242" s="3" t="str">
        <f>IFERROR(INDEX(Movimientos!$C$2:$C$1998,MATCH(A242&amp;"ENTRADA",Movimientos!$R$2:$R$1998,0)),"-")</f>
        <v>-</v>
      </c>
      <c r="C242" s="3" t="str">
        <f>IFERROR(INDEX(Movimientos!$D$2:$D$1998,MATCH(A242&amp;"ENTRADA",Movimientos!$R$2:$R$1998,0)),"-")</f>
        <v>-</v>
      </c>
      <c r="D242" s="3" t="str">
        <f>IFERROR(INDEX(Movimientos!$E$2:$E$1998,MATCH(A242&amp;"ENTRADA",Movimientos!$R$2:$R$1998,0)),"-")</f>
        <v>-</v>
      </c>
      <c r="E242" s="3" t="str">
        <f>IFERROR(INDEX(Movimientos!$F$2:$F$1998,MATCH(A242&amp;"ENTRADA",Movimientos!$R$2:$R$1998,0)),"-")</f>
        <v>-</v>
      </c>
      <c r="F242" s="3" t="str">
        <f>IFERROR(INDEX(Movimientos!$G$2:$G$1998,MATCH(A242&amp;"ENTRADA",Movimientos!$R$2:$R$1998,0)),"-")</f>
        <v>-</v>
      </c>
      <c r="G242" s="3" t="str">
        <f>IFERROR(INDEX(Movimientos!$L$2:$L$1998,MATCH(A242&amp;"ENTRADA",Movimientos!$R$2:$R$1998,0)),"-")</f>
        <v>-</v>
      </c>
      <c r="H242" s="19" t="str">
        <f>IFERROR(IF(INDEX(Movimientos!$M$2:$M$1998,MATCH(A242&amp;"ENTRADA",Movimientos!$R$2:$R$1998,0))=0,"S/D",INDEX(Movimientos!$M$2:$M$1998,MATCH(A242&amp;"ENTRADA",Movimientos!$R$2:$R$1998,0))),"S/D")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7"/>
        <v>SIN STOCK</v>
      </c>
    </row>
    <row r="243" spans="1:11" ht="14.25">
      <c r="A243" s="18" t="s">
        <v>2386</v>
      </c>
      <c r="B243" s="3" t="str">
        <f>IFERROR(INDEX(Movimientos!$C$2:$C$1998,MATCH(A243&amp;"ENTRADA",Movimientos!$R$2:$R$1998,0)),"-")</f>
        <v>-</v>
      </c>
      <c r="C243" s="3" t="str">
        <f>IFERROR(INDEX(Movimientos!$D$2:$D$1998,MATCH(A243&amp;"ENTRADA",Movimientos!$R$2:$R$1998,0)),"-")</f>
        <v>-</v>
      </c>
      <c r="D243" s="3" t="str">
        <f>IFERROR(INDEX(Movimientos!$E$2:$E$1998,MATCH(A243&amp;"ENTRADA",Movimientos!$R$2:$R$1998,0)),"-")</f>
        <v>-</v>
      </c>
      <c r="E243" s="3" t="str">
        <f>IFERROR(INDEX(Movimientos!$F$2:$F$1998,MATCH(A243&amp;"ENTRADA",Movimientos!$R$2:$R$1998,0)),"-")</f>
        <v>-</v>
      </c>
      <c r="F243" s="3" t="str">
        <f>IFERROR(INDEX(Movimientos!$G$2:$G$1998,MATCH(A243&amp;"ENTRADA",Movimientos!$R$2:$R$1998,0)),"-")</f>
        <v>-</v>
      </c>
      <c r="G243" s="3" t="str">
        <f>IFERROR(INDEX(Movimientos!$L$2:$L$1998,MATCH(A243&amp;"ENTRADA",Movimientos!$R$2:$R$1998,0)),"-")</f>
        <v>-</v>
      </c>
      <c r="H243" s="19" t="str">
        <f>IFERROR(IF(INDEX(Movimientos!$M$2:$M$1998,MATCH(A243&amp;"ENTRADA",Movimientos!$R$2:$R$1998,0))=0,"S/D",INDEX(Movimientos!$M$2:$M$1998,MATCH(A243&amp;"ENTRADA",Movimientos!$R$2:$R$1998,0))),"S/D")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7"/>
        <v>SIN STOCK</v>
      </c>
    </row>
    <row r="244" spans="1:11" ht="14.25">
      <c r="A244" s="18" t="s">
        <v>2387</v>
      </c>
      <c r="B244" s="3" t="str">
        <f>IFERROR(INDEX(Movimientos!$C$2:$C$1998,MATCH(A244&amp;"ENTRADA",Movimientos!$R$2:$R$1998,0)),"-")</f>
        <v>-</v>
      </c>
      <c r="C244" s="3" t="str">
        <f>IFERROR(INDEX(Movimientos!$D$2:$D$1998,MATCH(A244&amp;"ENTRADA",Movimientos!$R$2:$R$1998,0)),"-")</f>
        <v>-</v>
      </c>
      <c r="D244" s="3" t="str">
        <f>IFERROR(INDEX(Movimientos!$E$2:$E$1998,MATCH(A244&amp;"ENTRADA",Movimientos!$R$2:$R$1998,0)),"-")</f>
        <v>-</v>
      </c>
      <c r="E244" s="3" t="str">
        <f>IFERROR(INDEX(Movimientos!$F$2:$F$1998,MATCH(A244&amp;"ENTRADA",Movimientos!$R$2:$R$1998,0)),"-")</f>
        <v>-</v>
      </c>
      <c r="F244" s="3" t="str">
        <f>IFERROR(INDEX(Movimientos!$G$2:$G$1998,MATCH(A244&amp;"ENTRADA",Movimientos!$R$2:$R$1998,0)),"-")</f>
        <v>-</v>
      </c>
      <c r="G244" s="3" t="str">
        <f>IFERROR(INDEX(Movimientos!$L$2:$L$1998,MATCH(A244&amp;"ENTRADA",Movimientos!$R$2:$R$1998,0)),"-")</f>
        <v>-</v>
      </c>
      <c r="H244" s="19" t="str">
        <f>IFERROR(IF(INDEX(Movimientos!$M$2:$M$1998,MATCH(A244&amp;"ENTRADA",Movimientos!$R$2:$R$1998,0))=0,"S/D",INDEX(Movimientos!$M$2:$M$1998,MATCH(A244&amp;"ENTRADA",Movimientos!$R$2:$R$1998,0))),"S/D")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7"/>
        <v>SIN STOCK</v>
      </c>
    </row>
    <row r="245" spans="1:11" ht="14.25">
      <c r="A245" s="18" t="s">
        <v>2388</v>
      </c>
      <c r="B245" s="3" t="str">
        <f>IFERROR(INDEX(Movimientos!$C$2:$C$1998,MATCH(A245&amp;"ENTRADA",Movimientos!$R$2:$R$1998,0)),"-")</f>
        <v>-</v>
      </c>
      <c r="C245" s="3" t="str">
        <f>IFERROR(INDEX(Movimientos!$D$2:$D$1998,MATCH(A245&amp;"ENTRADA",Movimientos!$R$2:$R$1998,0)),"-")</f>
        <v>-</v>
      </c>
      <c r="D245" s="3" t="str">
        <f>IFERROR(INDEX(Movimientos!$E$2:$E$1998,MATCH(A245&amp;"ENTRADA",Movimientos!$R$2:$R$1998,0)),"-")</f>
        <v>-</v>
      </c>
      <c r="E245" s="3" t="str">
        <f>IFERROR(INDEX(Movimientos!$F$2:$F$1998,MATCH(A245&amp;"ENTRADA",Movimientos!$R$2:$R$1998,0)),"-")</f>
        <v>-</v>
      </c>
      <c r="F245" s="3" t="str">
        <f>IFERROR(INDEX(Movimientos!$G$2:$G$1998,MATCH(A245&amp;"ENTRADA",Movimientos!$R$2:$R$1998,0)),"-")</f>
        <v>-</v>
      </c>
      <c r="G245" s="3" t="str">
        <f>IFERROR(INDEX(Movimientos!$L$2:$L$1998,MATCH(A245&amp;"ENTRADA",Movimientos!$R$2:$R$1998,0)),"-")</f>
        <v>-</v>
      </c>
      <c r="H245" s="19" t="str">
        <f>IFERROR(IF(INDEX(Movimientos!$M$2:$M$1998,MATCH(A245&amp;"ENTRADA",Movimientos!$R$2:$R$1998,0))=0,"S/D",INDEX(Movimientos!$M$2:$M$1998,MATCH(A245&amp;"ENTRADA",Movimientos!$R$2:$R$1998,0))),"S/D")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7"/>
        <v>SIN STOCK</v>
      </c>
    </row>
    <row r="246" spans="1:11" ht="14.25">
      <c r="A246" s="18" t="s">
        <v>2389</v>
      </c>
      <c r="B246" s="3" t="str">
        <f>IFERROR(INDEX(Movimientos!$C$2:$C$1998,MATCH(A246&amp;"ENTRADA",Movimientos!$R$2:$R$1998,0)),"-")</f>
        <v>-</v>
      </c>
      <c r="C246" s="3" t="str">
        <f>IFERROR(INDEX(Movimientos!$D$2:$D$1998,MATCH(A246&amp;"ENTRADA",Movimientos!$R$2:$R$1998,0)),"-")</f>
        <v>-</v>
      </c>
      <c r="D246" s="3" t="str">
        <f>IFERROR(INDEX(Movimientos!$E$2:$E$1998,MATCH(A246&amp;"ENTRADA",Movimientos!$R$2:$R$1998,0)),"-")</f>
        <v>-</v>
      </c>
      <c r="E246" s="3" t="str">
        <f>IFERROR(INDEX(Movimientos!$F$2:$F$1998,MATCH(A246&amp;"ENTRADA",Movimientos!$R$2:$R$1998,0)),"-")</f>
        <v>-</v>
      </c>
      <c r="F246" s="3" t="str">
        <f>IFERROR(INDEX(Movimientos!$G$2:$G$1998,MATCH(A246&amp;"ENTRADA",Movimientos!$R$2:$R$1998,0)),"-")</f>
        <v>-</v>
      </c>
      <c r="G246" s="3" t="str">
        <f>IFERROR(INDEX(Movimientos!$L$2:$L$1998,MATCH(A246&amp;"ENTRADA",Movimientos!$R$2:$R$1998,0)),"-")</f>
        <v>-</v>
      </c>
      <c r="H246" s="19" t="str">
        <f>IFERROR(IF(INDEX(Movimientos!$M$2:$M$1998,MATCH(A246&amp;"ENTRADA",Movimientos!$R$2:$R$1998,0))=0,"S/D",INDEX(Movimientos!$M$2:$M$1998,MATCH(A246&amp;"ENTRADA",Movimientos!$R$2:$R$1998,0))),"S/D")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7"/>
        <v>SIN STOCK</v>
      </c>
    </row>
    <row r="247" spans="1:11" ht="14.25">
      <c r="A247" s="18" t="s">
        <v>2390</v>
      </c>
      <c r="B247" s="3" t="str">
        <f>IFERROR(INDEX(Movimientos!$C$2:$C$1998,MATCH(A247&amp;"ENTRADA",Movimientos!$R$2:$R$1998,0)),"-")</f>
        <v>-</v>
      </c>
      <c r="C247" s="3" t="str">
        <f>IFERROR(INDEX(Movimientos!$D$2:$D$1998,MATCH(A247&amp;"ENTRADA",Movimientos!$R$2:$R$1998,0)),"-")</f>
        <v>-</v>
      </c>
      <c r="D247" s="3" t="str">
        <f>IFERROR(INDEX(Movimientos!$E$2:$E$1998,MATCH(A247&amp;"ENTRADA",Movimientos!$R$2:$R$1998,0)),"-")</f>
        <v>-</v>
      </c>
      <c r="E247" s="3" t="str">
        <f>IFERROR(INDEX(Movimientos!$F$2:$F$1998,MATCH(A247&amp;"ENTRADA",Movimientos!$R$2:$R$1998,0)),"-")</f>
        <v>-</v>
      </c>
      <c r="F247" s="3" t="str">
        <f>IFERROR(INDEX(Movimientos!$G$2:$G$1998,MATCH(A247&amp;"ENTRADA",Movimientos!$R$2:$R$1998,0)),"-")</f>
        <v>-</v>
      </c>
      <c r="G247" s="3" t="str">
        <f>IFERROR(INDEX(Movimientos!$L$2:$L$1998,MATCH(A247&amp;"ENTRADA",Movimientos!$R$2:$R$1998,0)),"-")</f>
        <v>-</v>
      </c>
      <c r="H247" s="19" t="str">
        <f>IFERROR(IF(INDEX(Movimientos!$M$2:$M$1998,MATCH(A247&amp;"ENTRADA",Movimientos!$R$2:$R$1998,0))=0,"S/D",INDEX(Movimientos!$M$2:$M$1998,MATCH(A247&amp;"ENTRADA",Movimientos!$R$2:$R$1998,0))),"S/D")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7"/>
        <v>SIN STOCK</v>
      </c>
    </row>
    <row r="248" spans="1:11" ht="14.25">
      <c r="A248" s="18" t="s">
        <v>2391</v>
      </c>
      <c r="B248" s="3" t="str">
        <f>IFERROR(INDEX(Movimientos!$C$2:$C$1998,MATCH(A248&amp;"ENTRADA",Movimientos!$R$2:$R$1998,0)),"-")</f>
        <v>-</v>
      </c>
      <c r="C248" s="3" t="str">
        <f>IFERROR(INDEX(Movimientos!$D$2:$D$1998,MATCH(A248&amp;"ENTRADA",Movimientos!$R$2:$R$1998,0)),"-")</f>
        <v>-</v>
      </c>
      <c r="D248" s="3" t="str">
        <f>IFERROR(INDEX(Movimientos!$E$2:$E$1998,MATCH(A248&amp;"ENTRADA",Movimientos!$R$2:$R$1998,0)),"-")</f>
        <v>-</v>
      </c>
      <c r="E248" s="3" t="str">
        <f>IFERROR(INDEX(Movimientos!$F$2:$F$1998,MATCH(A248&amp;"ENTRADA",Movimientos!$R$2:$R$1998,0)),"-")</f>
        <v>-</v>
      </c>
      <c r="F248" s="3" t="str">
        <f>IFERROR(INDEX(Movimientos!$G$2:$G$1998,MATCH(A248&amp;"ENTRADA",Movimientos!$R$2:$R$1998,0)),"-")</f>
        <v>-</v>
      </c>
      <c r="G248" s="3" t="str">
        <f>IFERROR(INDEX(Movimientos!$L$2:$L$1998,MATCH(A248&amp;"ENTRADA",Movimientos!$R$2:$R$1998,0)),"-")</f>
        <v>-</v>
      </c>
      <c r="H248" s="19" t="str">
        <f>IFERROR(IF(INDEX(Movimientos!$M$2:$M$1998,MATCH(A248&amp;"ENTRADA",Movimientos!$R$2:$R$1998,0))=0,"S/D",INDEX(Movimientos!$M$2:$M$1998,MATCH(A248&amp;"ENTRADA",Movimientos!$R$2:$R$1998,0))),"S/D")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7"/>
        <v>SIN STOCK</v>
      </c>
    </row>
    <row r="249" spans="1:11" ht="14.25">
      <c r="A249" s="18" t="s">
        <v>2392</v>
      </c>
      <c r="B249" s="3" t="str">
        <f>IFERROR(INDEX(Movimientos!$C$2:$C$1998,MATCH(A249&amp;"ENTRADA",Movimientos!$R$2:$R$1998,0)),"-")</f>
        <v>-</v>
      </c>
      <c r="C249" s="3" t="str">
        <f>IFERROR(INDEX(Movimientos!$D$2:$D$1998,MATCH(A249&amp;"ENTRADA",Movimientos!$R$2:$R$1998,0)),"-")</f>
        <v>-</v>
      </c>
      <c r="D249" s="3" t="str">
        <f>IFERROR(INDEX(Movimientos!$E$2:$E$1998,MATCH(A249&amp;"ENTRADA",Movimientos!$R$2:$R$1998,0)),"-")</f>
        <v>-</v>
      </c>
      <c r="E249" s="3" t="str">
        <f>IFERROR(INDEX(Movimientos!$F$2:$F$1998,MATCH(A249&amp;"ENTRADA",Movimientos!$R$2:$R$1998,0)),"-")</f>
        <v>-</v>
      </c>
      <c r="F249" s="3" t="str">
        <f>IFERROR(INDEX(Movimientos!$G$2:$G$1998,MATCH(A249&amp;"ENTRADA",Movimientos!$R$2:$R$1998,0)),"-")</f>
        <v>-</v>
      </c>
      <c r="G249" s="3" t="str">
        <f>IFERROR(INDEX(Movimientos!$L$2:$L$1998,MATCH(A249&amp;"ENTRADA",Movimientos!$R$2:$R$1998,0)),"-")</f>
        <v>-</v>
      </c>
      <c r="H249" s="19" t="str">
        <f>IFERROR(IF(INDEX(Movimientos!$M$2:$M$1998,MATCH(A249&amp;"ENTRADA",Movimientos!$R$2:$R$1998,0))=0,"S/D",INDEX(Movimientos!$M$2:$M$1998,MATCH(A249&amp;"ENTRADA",Movimientos!$R$2:$R$1998,0))),"S/D")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7"/>
        <v>SIN STOCK</v>
      </c>
    </row>
    <row r="250" spans="1:11" ht="14.25">
      <c r="A250" s="18" t="s">
        <v>2393</v>
      </c>
      <c r="B250" s="3" t="str">
        <f>IFERROR(INDEX(Movimientos!$C$2:$C$1998,MATCH(A250&amp;"ENTRADA",Movimientos!$R$2:$R$1998,0)),"-")</f>
        <v>-</v>
      </c>
      <c r="C250" s="3" t="str">
        <f>IFERROR(INDEX(Movimientos!$D$2:$D$1998,MATCH(A250&amp;"ENTRADA",Movimientos!$R$2:$R$1998,0)),"-")</f>
        <v>-</v>
      </c>
      <c r="D250" s="3" t="str">
        <f>IFERROR(INDEX(Movimientos!$E$2:$E$1998,MATCH(A250&amp;"ENTRADA",Movimientos!$R$2:$R$1998,0)),"-")</f>
        <v>-</v>
      </c>
      <c r="E250" s="3" t="str">
        <f>IFERROR(INDEX(Movimientos!$F$2:$F$1998,MATCH(A250&amp;"ENTRADA",Movimientos!$R$2:$R$1998,0)),"-")</f>
        <v>-</v>
      </c>
      <c r="F250" s="3" t="str">
        <f>IFERROR(INDEX(Movimientos!$G$2:$G$1998,MATCH(A250&amp;"ENTRADA",Movimientos!$R$2:$R$1998,0)),"-")</f>
        <v>-</v>
      </c>
      <c r="G250" s="3" t="str">
        <f>IFERROR(INDEX(Movimientos!$L$2:$L$1998,MATCH(A250&amp;"ENTRADA",Movimientos!$R$2:$R$1998,0)),"-")</f>
        <v>-</v>
      </c>
      <c r="H250" s="19" t="str">
        <f>IFERROR(IF(INDEX(Movimientos!$M$2:$M$1998,MATCH(A250&amp;"ENTRADA",Movimientos!$R$2:$R$1998,0))=0,"S/D",INDEX(Movimientos!$M$2:$M$1998,MATCH(A250&amp;"ENTRADA",Movimientos!$R$2:$R$1998,0))),"S/D")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7"/>
        <v>SIN STOCK</v>
      </c>
    </row>
    <row r="251" spans="1:11" ht="14.25">
      <c r="A251" s="18" t="s">
        <v>2394</v>
      </c>
      <c r="B251" s="3" t="str">
        <f>IFERROR(INDEX(Movimientos!$C$2:$C$1998,MATCH(A251&amp;"ENTRADA",Movimientos!$R$2:$R$1998,0)),"-")</f>
        <v>-</v>
      </c>
      <c r="C251" s="3" t="str">
        <f>IFERROR(INDEX(Movimientos!$D$2:$D$1998,MATCH(A251&amp;"ENTRADA",Movimientos!$R$2:$R$1998,0)),"-")</f>
        <v>-</v>
      </c>
      <c r="D251" s="3" t="str">
        <f>IFERROR(INDEX(Movimientos!$E$2:$E$1998,MATCH(A251&amp;"ENTRADA",Movimientos!$R$2:$R$1998,0)),"-")</f>
        <v>-</v>
      </c>
      <c r="E251" s="3" t="str">
        <f>IFERROR(INDEX(Movimientos!$F$2:$F$1998,MATCH(A251&amp;"ENTRADA",Movimientos!$R$2:$R$1998,0)),"-")</f>
        <v>-</v>
      </c>
      <c r="F251" s="3" t="str">
        <f>IFERROR(INDEX(Movimientos!$G$2:$G$1998,MATCH(A251&amp;"ENTRADA",Movimientos!$R$2:$R$1998,0)),"-")</f>
        <v>-</v>
      </c>
      <c r="G251" s="3" t="str">
        <f>IFERROR(INDEX(Movimientos!$L$2:$L$1998,MATCH(A251&amp;"ENTRADA",Movimientos!$R$2:$R$1998,0)),"-")</f>
        <v>-</v>
      </c>
      <c r="H251" s="19" t="str">
        <f>IFERROR(IF(INDEX(Movimientos!$M$2:$M$1998,MATCH(A251&amp;"ENTRADA",Movimientos!$R$2:$R$1998,0))=0,"S/D",INDEX(Movimientos!$M$2:$M$1998,MATCH(A251&amp;"ENTRADA",Movimientos!$R$2:$R$1998,0))),"S/D")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7"/>
        <v>SIN STOCK</v>
      </c>
    </row>
    <row r="252" spans="1:11" ht="14.25">
      <c r="A252" s="18" t="s">
        <v>2395</v>
      </c>
      <c r="B252" s="3" t="str">
        <f>IFERROR(INDEX(Movimientos!$C$2:$C$1998,MATCH(A252&amp;"ENTRADA",Movimientos!$R$2:$R$1998,0)),"-")</f>
        <v>-</v>
      </c>
      <c r="C252" s="3" t="str">
        <f>IFERROR(INDEX(Movimientos!$D$2:$D$1998,MATCH(A252&amp;"ENTRADA",Movimientos!$R$2:$R$1998,0)),"-")</f>
        <v>-</v>
      </c>
      <c r="D252" s="3" t="str">
        <f>IFERROR(INDEX(Movimientos!$E$2:$E$1998,MATCH(A252&amp;"ENTRADA",Movimientos!$R$2:$R$1998,0)),"-")</f>
        <v>-</v>
      </c>
      <c r="E252" s="3" t="str">
        <f>IFERROR(INDEX(Movimientos!$F$2:$F$1998,MATCH(A252&amp;"ENTRADA",Movimientos!$R$2:$R$1998,0)),"-")</f>
        <v>-</v>
      </c>
      <c r="F252" s="3" t="str">
        <f>IFERROR(INDEX(Movimientos!$G$2:$G$1998,MATCH(A252&amp;"ENTRADA",Movimientos!$R$2:$R$1998,0)),"-")</f>
        <v>-</v>
      </c>
      <c r="G252" s="3" t="str">
        <f>IFERROR(INDEX(Movimientos!$L$2:$L$1998,MATCH(A252&amp;"ENTRADA",Movimientos!$R$2:$R$1998,0)),"-")</f>
        <v>-</v>
      </c>
      <c r="H252" s="19" t="str">
        <f>IFERROR(IF(INDEX(Movimientos!$M$2:$M$1998,MATCH(A252&amp;"ENTRADA",Movimientos!$R$2:$R$1998,0))=0,"S/D",INDEX(Movimientos!$M$2:$M$1998,MATCH(A252&amp;"ENTRADA",Movimientos!$R$2:$R$1998,0))),"S/D")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7"/>
        <v>SIN STOCK</v>
      </c>
    </row>
    <row r="253" spans="1:11" ht="14.25">
      <c r="A253" s="18" t="s">
        <v>2396</v>
      </c>
      <c r="B253" s="3" t="str">
        <f>IFERROR(INDEX(Movimientos!$C$2:$C$1998,MATCH(A253&amp;"ENTRADA",Movimientos!$R$2:$R$1998,0)),"-")</f>
        <v>-</v>
      </c>
      <c r="C253" s="3" t="str">
        <f>IFERROR(INDEX(Movimientos!$D$2:$D$1998,MATCH(A253&amp;"ENTRADA",Movimientos!$R$2:$R$1998,0)),"-")</f>
        <v>-</v>
      </c>
      <c r="D253" s="3" t="str">
        <f>IFERROR(INDEX(Movimientos!$E$2:$E$1998,MATCH(A253&amp;"ENTRADA",Movimientos!$R$2:$R$1998,0)),"-")</f>
        <v>-</v>
      </c>
      <c r="E253" s="3" t="str">
        <f>IFERROR(INDEX(Movimientos!$F$2:$F$1998,MATCH(A253&amp;"ENTRADA",Movimientos!$R$2:$R$1998,0)),"-")</f>
        <v>-</v>
      </c>
      <c r="F253" s="3" t="str">
        <f>IFERROR(INDEX(Movimientos!$G$2:$G$1998,MATCH(A253&amp;"ENTRADA",Movimientos!$R$2:$R$1998,0)),"-")</f>
        <v>-</v>
      </c>
      <c r="G253" s="3" t="str">
        <f>IFERROR(INDEX(Movimientos!$L$2:$L$1998,MATCH(A253&amp;"ENTRADA",Movimientos!$R$2:$R$1998,0)),"-")</f>
        <v>-</v>
      </c>
      <c r="H253" s="19" t="str">
        <f>IFERROR(IF(INDEX(Movimientos!$M$2:$M$1998,MATCH(A253&amp;"ENTRADA",Movimientos!$R$2:$R$1998,0))=0,"S/D",INDEX(Movimientos!$M$2:$M$1998,MATCH(A253&amp;"ENTRADA",Movimientos!$R$2:$R$1998,0))),"S/D")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7"/>
        <v>SIN STOCK</v>
      </c>
    </row>
    <row r="254" spans="1:11" ht="14.25">
      <c r="A254" s="18" t="s">
        <v>2397</v>
      </c>
      <c r="B254" s="3" t="str">
        <f>IFERROR(INDEX(Movimientos!$C$2:$C$1998,MATCH(A254&amp;"ENTRADA",Movimientos!$R$2:$R$1998,0)),"-")</f>
        <v>-</v>
      </c>
      <c r="C254" s="3" t="str">
        <f>IFERROR(INDEX(Movimientos!$D$2:$D$1998,MATCH(A254&amp;"ENTRADA",Movimientos!$R$2:$R$1998,0)),"-")</f>
        <v>-</v>
      </c>
      <c r="D254" s="3" t="str">
        <f>IFERROR(INDEX(Movimientos!$E$2:$E$1998,MATCH(A254&amp;"ENTRADA",Movimientos!$R$2:$R$1998,0)),"-")</f>
        <v>-</v>
      </c>
      <c r="E254" s="3" t="str">
        <f>IFERROR(INDEX(Movimientos!$F$2:$F$1998,MATCH(A254&amp;"ENTRADA",Movimientos!$R$2:$R$1998,0)),"-")</f>
        <v>-</v>
      </c>
      <c r="F254" s="3" t="str">
        <f>IFERROR(INDEX(Movimientos!$G$2:$G$1998,MATCH(A254&amp;"ENTRADA",Movimientos!$R$2:$R$1998,0)),"-")</f>
        <v>-</v>
      </c>
      <c r="G254" s="3" t="str">
        <f>IFERROR(INDEX(Movimientos!$L$2:$L$1998,MATCH(A254&amp;"ENTRADA",Movimientos!$R$2:$R$1998,0)),"-")</f>
        <v>-</v>
      </c>
      <c r="H254" s="19" t="str">
        <f>IFERROR(IF(INDEX(Movimientos!$M$2:$M$1998,MATCH(A254&amp;"ENTRADA",Movimientos!$R$2:$R$1998,0))=0,"S/D",INDEX(Movimientos!$M$2:$M$1998,MATCH(A254&amp;"ENTRADA",Movimientos!$R$2:$R$1998,0))),"S/D")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7"/>
        <v>SIN STOCK</v>
      </c>
    </row>
    <row r="255" spans="1:11" ht="14.25">
      <c r="A255" s="18" t="s">
        <v>2398</v>
      </c>
      <c r="B255" s="3" t="str">
        <f>IFERROR(INDEX(Movimientos!$C$2:$C$1998,MATCH(A255&amp;"ENTRADA",Movimientos!$R$2:$R$1998,0)),"-")</f>
        <v>-</v>
      </c>
      <c r="C255" s="3" t="str">
        <f>IFERROR(INDEX(Movimientos!$D$2:$D$1998,MATCH(A255&amp;"ENTRADA",Movimientos!$R$2:$R$1998,0)),"-")</f>
        <v>-</v>
      </c>
      <c r="D255" s="3" t="str">
        <f>IFERROR(INDEX(Movimientos!$E$2:$E$1998,MATCH(A255&amp;"ENTRADA",Movimientos!$R$2:$R$1998,0)),"-")</f>
        <v>-</v>
      </c>
      <c r="E255" s="3" t="str">
        <f>IFERROR(INDEX(Movimientos!$F$2:$F$1998,MATCH(A255&amp;"ENTRADA",Movimientos!$R$2:$R$1998,0)),"-")</f>
        <v>-</v>
      </c>
      <c r="F255" s="3" t="str">
        <f>IFERROR(INDEX(Movimientos!$G$2:$G$1998,MATCH(A255&amp;"ENTRADA",Movimientos!$R$2:$R$1998,0)),"-")</f>
        <v>-</v>
      </c>
      <c r="G255" s="3" t="str">
        <f>IFERROR(INDEX(Movimientos!$L$2:$L$1998,MATCH(A255&amp;"ENTRADA",Movimientos!$R$2:$R$1998,0)),"-")</f>
        <v>-</v>
      </c>
      <c r="H255" s="19" t="str">
        <f>IFERROR(IF(INDEX(Movimientos!$M$2:$M$1998,MATCH(A255&amp;"ENTRADA",Movimientos!$R$2:$R$1998,0))=0,"S/D",INDEX(Movimientos!$M$2:$M$1998,MATCH(A255&amp;"ENTRADA",Movimientos!$R$2:$R$1998,0))),"S/D")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7"/>
        <v>SIN STOCK</v>
      </c>
    </row>
    <row r="256" spans="1:11" ht="14.25">
      <c r="A256" s="18" t="s">
        <v>2399</v>
      </c>
      <c r="B256" s="3" t="str">
        <f>IFERROR(INDEX(Movimientos!$C$2:$C$1998,MATCH(A256&amp;"ENTRADA",Movimientos!$R$2:$R$1998,0)),"-")</f>
        <v>-</v>
      </c>
      <c r="C256" s="3" t="str">
        <f>IFERROR(INDEX(Movimientos!$D$2:$D$1998,MATCH(A256&amp;"ENTRADA",Movimientos!$R$2:$R$1998,0)),"-")</f>
        <v>-</v>
      </c>
      <c r="D256" s="3" t="str">
        <f>IFERROR(INDEX(Movimientos!$E$2:$E$1998,MATCH(A256&amp;"ENTRADA",Movimientos!$R$2:$R$1998,0)),"-")</f>
        <v>-</v>
      </c>
      <c r="E256" s="3" t="str">
        <f>IFERROR(INDEX(Movimientos!$F$2:$F$1998,MATCH(A256&amp;"ENTRADA",Movimientos!$R$2:$R$1998,0)),"-")</f>
        <v>-</v>
      </c>
      <c r="F256" s="3" t="str">
        <f>IFERROR(INDEX(Movimientos!$G$2:$G$1998,MATCH(A256&amp;"ENTRADA",Movimientos!$R$2:$R$1998,0)),"-")</f>
        <v>-</v>
      </c>
      <c r="G256" s="3" t="str">
        <f>IFERROR(INDEX(Movimientos!$L$2:$L$1998,MATCH(A256&amp;"ENTRADA",Movimientos!$R$2:$R$1998,0)),"-")</f>
        <v>-</v>
      </c>
      <c r="H256" s="19" t="str">
        <f>IFERROR(IF(INDEX(Movimientos!$M$2:$M$1998,MATCH(A256&amp;"ENTRADA",Movimientos!$R$2:$R$1998,0))=0,"S/D",INDEX(Movimientos!$M$2:$M$1998,MATCH(A256&amp;"ENTRADA",Movimientos!$R$2:$R$1998,0))),"S/D")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ref="K256:K319" ca="1" si="9">IF(A256="","",IF(J256&lt;0.01,"SIN STOCK",IF(H256="S/D","OK",IF(H256&lt;TODAY(),"VENCIDO",IF(I256&gt;=180,"OK","PRÓXIMO A VENCER")))))</f>
        <v>SIN STOCK</v>
      </c>
    </row>
    <row r="257" spans="1:11" ht="14.25">
      <c r="A257" s="18" t="s">
        <v>2400</v>
      </c>
      <c r="B257" s="3" t="str">
        <f>IFERROR(INDEX(Movimientos!$C$2:$C$1998,MATCH(A257&amp;"ENTRADA",Movimientos!$R$2:$R$1998,0)),"-")</f>
        <v>-</v>
      </c>
      <c r="C257" s="3" t="str">
        <f>IFERROR(INDEX(Movimientos!$D$2:$D$1998,MATCH(A257&amp;"ENTRADA",Movimientos!$R$2:$R$1998,0)),"-")</f>
        <v>-</v>
      </c>
      <c r="D257" s="3" t="str">
        <f>IFERROR(INDEX(Movimientos!$E$2:$E$1998,MATCH(A257&amp;"ENTRADA",Movimientos!$R$2:$R$1998,0)),"-")</f>
        <v>-</v>
      </c>
      <c r="E257" s="3" t="str">
        <f>IFERROR(INDEX(Movimientos!$F$2:$F$1998,MATCH(A257&amp;"ENTRADA",Movimientos!$R$2:$R$1998,0)),"-")</f>
        <v>-</v>
      </c>
      <c r="F257" s="3" t="str">
        <f>IFERROR(INDEX(Movimientos!$G$2:$G$1998,MATCH(A257&amp;"ENTRADA",Movimientos!$R$2:$R$1998,0)),"-")</f>
        <v>-</v>
      </c>
      <c r="G257" s="3" t="str">
        <f>IFERROR(INDEX(Movimientos!$L$2:$L$1998,MATCH(A257&amp;"ENTRADA",Movimientos!$R$2:$R$1998,0)),"-")</f>
        <v>-</v>
      </c>
      <c r="H257" s="19" t="str">
        <f>IFERROR(IF(INDEX(Movimientos!$M$2:$M$1998,MATCH(A257&amp;"ENTRADA",Movimientos!$R$2:$R$1998,0))=0,"S/D",INDEX(Movimientos!$M$2:$M$1998,MATCH(A257&amp;"ENTRADA",Movimientos!$R$2:$R$1998,0))),"S/D")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SIN STOCK</v>
      </c>
    </row>
    <row r="258" spans="1:11" ht="14.25">
      <c r="A258" s="18" t="s">
        <v>2401</v>
      </c>
      <c r="B258" s="3" t="str">
        <f>IFERROR(INDEX(Movimientos!$C$2:$C$1998,MATCH(A258&amp;"ENTRADA",Movimientos!$R$2:$R$1998,0)),"-")</f>
        <v>-</v>
      </c>
      <c r="C258" s="3" t="str">
        <f>IFERROR(INDEX(Movimientos!$D$2:$D$1998,MATCH(A258&amp;"ENTRADA",Movimientos!$R$2:$R$1998,0)),"-")</f>
        <v>-</v>
      </c>
      <c r="D258" s="3" t="str">
        <f>IFERROR(INDEX(Movimientos!$E$2:$E$1998,MATCH(A258&amp;"ENTRADA",Movimientos!$R$2:$R$1998,0)),"-")</f>
        <v>-</v>
      </c>
      <c r="E258" s="3" t="str">
        <f>IFERROR(INDEX(Movimientos!$F$2:$F$1998,MATCH(A258&amp;"ENTRADA",Movimientos!$R$2:$R$1998,0)),"-")</f>
        <v>-</v>
      </c>
      <c r="F258" s="3" t="str">
        <f>IFERROR(INDEX(Movimientos!$G$2:$G$1998,MATCH(A258&amp;"ENTRADA",Movimientos!$R$2:$R$1998,0)),"-")</f>
        <v>-</v>
      </c>
      <c r="G258" s="3" t="str">
        <f>IFERROR(INDEX(Movimientos!$L$2:$L$1998,MATCH(A258&amp;"ENTRADA",Movimientos!$R$2:$R$1998,0)),"-")</f>
        <v>-</v>
      </c>
      <c r="H258" s="19" t="str">
        <f>IFERROR(IF(INDEX(Movimientos!$M$2:$M$1998,MATCH(A258&amp;"ENTRADA",Movimientos!$R$2:$R$1998,0))=0,"S/D",INDEX(Movimientos!$M$2:$M$1998,MATCH(A258&amp;"ENTRADA",Movimientos!$R$2:$R$1998,0))),"S/D")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SIN STOCK</v>
      </c>
    </row>
    <row r="259" spans="1:11" ht="14.25">
      <c r="A259" s="18" t="s">
        <v>2402</v>
      </c>
      <c r="B259" s="3" t="str">
        <f>IFERROR(INDEX(Movimientos!$C$2:$C$1998,MATCH(A259&amp;"ENTRADA",Movimientos!$R$2:$R$1998,0)),"-")</f>
        <v>-</v>
      </c>
      <c r="C259" s="3" t="str">
        <f>IFERROR(INDEX(Movimientos!$D$2:$D$1998,MATCH(A259&amp;"ENTRADA",Movimientos!$R$2:$R$1998,0)),"-")</f>
        <v>-</v>
      </c>
      <c r="D259" s="3" t="str">
        <f>IFERROR(INDEX(Movimientos!$E$2:$E$1998,MATCH(A259&amp;"ENTRADA",Movimientos!$R$2:$R$1998,0)),"-")</f>
        <v>-</v>
      </c>
      <c r="E259" s="3" t="str">
        <f>IFERROR(INDEX(Movimientos!$F$2:$F$1998,MATCH(A259&amp;"ENTRADA",Movimientos!$R$2:$R$1998,0)),"-")</f>
        <v>-</v>
      </c>
      <c r="F259" s="3" t="str">
        <f>IFERROR(INDEX(Movimientos!$G$2:$G$1998,MATCH(A259&amp;"ENTRADA",Movimientos!$R$2:$R$1998,0)),"-")</f>
        <v>-</v>
      </c>
      <c r="G259" s="3" t="str">
        <f>IFERROR(INDEX(Movimientos!$L$2:$L$1998,MATCH(A259&amp;"ENTRADA",Movimientos!$R$2:$R$1998,0)),"-")</f>
        <v>-</v>
      </c>
      <c r="H259" s="19" t="str">
        <f>IFERROR(IF(INDEX(Movimientos!$M$2:$M$1998,MATCH(A259&amp;"ENTRADA",Movimientos!$R$2:$R$1998,0))=0,"S/D",INDEX(Movimientos!$M$2:$M$1998,MATCH(A259&amp;"ENTRADA",Movimientos!$R$2:$R$1998,0))),"S/D")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SIN STOCK</v>
      </c>
    </row>
    <row r="260" spans="1:11" ht="14.25">
      <c r="A260" s="18" t="s">
        <v>2403</v>
      </c>
      <c r="B260" s="3" t="str">
        <f>IFERROR(INDEX(Movimientos!$C$2:$C$1998,MATCH(A260&amp;"ENTRADA",Movimientos!$R$2:$R$1998,0)),"-")</f>
        <v>-</v>
      </c>
      <c r="C260" s="3" t="str">
        <f>IFERROR(INDEX(Movimientos!$D$2:$D$1998,MATCH(A260&amp;"ENTRADA",Movimientos!$R$2:$R$1998,0)),"-")</f>
        <v>-</v>
      </c>
      <c r="D260" s="3" t="str">
        <f>IFERROR(INDEX(Movimientos!$E$2:$E$1998,MATCH(A260&amp;"ENTRADA",Movimientos!$R$2:$R$1998,0)),"-")</f>
        <v>-</v>
      </c>
      <c r="E260" s="3" t="str">
        <f>IFERROR(INDEX(Movimientos!$F$2:$F$1998,MATCH(A260&amp;"ENTRADA",Movimientos!$R$2:$R$1998,0)),"-")</f>
        <v>-</v>
      </c>
      <c r="F260" s="3" t="str">
        <f>IFERROR(INDEX(Movimientos!$G$2:$G$1998,MATCH(A260&amp;"ENTRADA",Movimientos!$R$2:$R$1998,0)),"-")</f>
        <v>-</v>
      </c>
      <c r="G260" s="3" t="str">
        <f>IFERROR(INDEX(Movimientos!$L$2:$L$1998,MATCH(A260&amp;"ENTRADA",Movimientos!$R$2:$R$1998,0)),"-")</f>
        <v>-</v>
      </c>
      <c r="H260" s="19" t="str">
        <f>IFERROR(IF(INDEX(Movimientos!$M$2:$M$1998,MATCH(A260&amp;"ENTRADA",Movimientos!$R$2:$R$1998,0))=0,"S/D",INDEX(Movimientos!$M$2:$M$1998,MATCH(A260&amp;"ENTRADA",Movimientos!$R$2:$R$1998,0))),"S/D")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SIN STOCK</v>
      </c>
    </row>
    <row r="261" spans="1:11" ht="14.25">
      <c r="A261" s="18" t="s">
        <v>2404</v>
      </c>
      <c r="B261" s="3" t="str">
        <f>IFERROR(INDEX(Movimientos!$C$2:$C$1998,MATCH(A261&amp;"ENTRADA",Movimientos!$R$2:$R$1998,0)),"-")</f>
        <v>-</v>
      </c>
      <c r="C261" s="3" t="str">
        <f>IFERROR(INDEX(Movimientos!$D$2:$D$1998,MATCH(A261&amp;"ENTRADA",Movimientos!$R$2:$R$1998,0)),"-")</f>
        <v>-</v>
      </c>
      <c r="D261" s="3" t="str">
        <f>IFERROR(INDEX(Movimientos!$E$2:$E$1998,MATCH(A261&amp;"ENTRADA",Movimientos!$R$2:$R$1998,0)),"-")</f>
        <v>-</v>
      </c>
      <c r="E261" s="3" t="str">
        <f>IFERROR(INDEX(Movimientos!$F$2:$F$1998,MATCH(A261&amp;"ENTRADA",Movimientos!$R$2:$R$1998,0)),"-")</f>
        <v>-</v>
      </c>
      <c r="F261" s="3" t="str">
        <f>IFERROR(INDEX(Movimientos!$G$2:$G$1998,MATCH(A261&amp;"ENTRADA",Movimientos!$R$2:$R$1998,0)),"-")</f>
        <v>-</v>
      </c>
      <c r="G261" s="3" t="str">
        <f>IFERROR(INDEX(Movimientos!$L$2:$L$1998,MATCH(A261&amp;"ENTRADA",Movimientos!$R$2:$R$1998,0)),"-")</f>
        <v>-</v>
      </c>
      <c r="H261" s="19" t="str">
        <f>IFERROR(IF(INDEX(Movimientos!$M$2:$M$1998,MATCH(A261&amp;"ENTRADA",Movimientos!$R$2:$R$1998,0))=0,"S/D",INDEX(Movimientos!$M$2:$M$1998,MATCH(A261&amp;"ENTRADA",Movimientos!$R$2:$R$1998,0))),"S/D")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SIN STOCK</v>
      </c>
    </row>
    <row r="262" spans="1:11" ht="14.25">
      <c r="A262" s="18" t="s">
        <v>2405</v>
      </c>
      <c r="B262" s="3" t="str">
        <f>IFERROR(INDEX(Movimientos!$C$2:$C$1998,MATCH(A262&amp;"ENTRADA",Movimientos!$R$2:$R$1998,0)),"-")</f>
        <v>-</v>
      </c>
      <c r="C262" s="3" t="str">
        <f>IFERROR(INDEX(Movimientos!$D$2:$D$1998,MATCH(A262&amp;"ENTRADA",Movimientos!$R$2:$R$1998,0)),"-")</f>
        <v>-</v>
      </c>
      <c r="D262" s="3" t="str">
        <f>IFERROR(INDEX(Movimientos!$E$2:$E$1998,MATCH(A262&amp;"ENTRADA",Movimientos!$R$2:$R$1998,0)),"-")</f>
        <v>-</v>
      </c>
      <c r="E262" s="3" t="str">
        <f>IFERROR(INDEX(Movimientos!$F$2:$F$1998,MATCH(A262&amp;"ENTRADA",Movimientos!$R$2:$R$1998,0)),"-")</f>
        <v>-</v>
      </c>
      <c r="F262" s="3" t="str">
        <f>IFERROR(INDEX(Movimientos!$G$2:$G$1998,MATCH(A262&amp;"ENTRADA",Movimientos!$R$2:$R$1998,0)),"-")</f>
        <v>-</v>
      </c>
      <c r="G262" s="3" t="str">
        <f>IFERROR(INDEX(Movimientos!$L$2:$L$1998,MATCH(A262&amp;"ENTRADA",Movimientos!$R$2:$R$1998,0)),"-")</f>
        <v>-</v>
      </c>
      <c r="H262" s="19" t="str">
        <f>IFERROR(IF(INDEX(Movimientos!$M$2:$M$1998,MATCH(A262&amp;"ENTRADA",Movimientos!$R$2:$R$1998,0))=0,"S/D",INDEX(Movimientos!$M$2:$M$1998,MATCH(A262&amp;"ENTRADA",Movimientos!$R$2:$R$1998,0))),"S/D")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SIN STOCK</v>
      </c>
    </row>
    <row r="263" spans="1:11" ht="14.25">
      <c r="A263" s="18" t="s">
        <v>2406</v>
      </c>
      <c r="B263" s="3" t="str">
        <f>IFERROR(INDEX(Movimientos!$C$2:$C$1998,MATCH(A263&amp;"ENTRADA",Movimientos!$R$2:$R$1998,0)),"-")</f>
        <v>-</v>
      </c>
      <c r="C263" s="3" t="str">
        <f>IFERROR(INDEX(Movimientos!$D$2:$D$1998,MATCH(A263&amp;"ENTRADA",Movimientos!$R$2:$R$1998,0)),"-")</f>
        <v>-</v>
      </c>
      <c r="D263" s="3" t="str">
        <f>IFERROR(INDEX(Movimientos!$E$2:$E$1998,MATCH(A263&amp;"ENTRADA",Movimientos!$R$2:$R$1998,0)),"-")</f>
        <v>-</v>
      </c>
      <c r="E263" s="3" t="str">
        <f>IFERROR(INDEX(Movimientos!$F$2:$F$1998,MATCH(A263&amp;"ENTRADA",Movimientos!$R$2:$R$1998,0)),"-")</f>
        <v>-</v>
      </c>
      <c r="F263" s="3" t="str">
        <f>IFERROR(INDEX(Movimientos!$G$2:$G$1998,MATCH(A263&amp;"ENTRADA",Movimientos!$R$2:$R$1998,0)),"-")</f>
        <v>-</v>
      </c>
      <c r="G263" s="3" t="str">
        <f>IFERROR(INDEX(Movimientos!$L$2:$L$1998,MATCH(A263&amp;"ENTRADA",Movimientos!$R$2:$R$1998,0)),"-")</f>
        <v>-</v>
      </c>
      <c r="H263" s="19" t="str">
        <f>IFERROR(IF(INDEX(Movimientos!$M$2:$M$1998,MATCH(A263&amp;"ENTRADA",Movimientos!$R$2:$R$1998,0))=0,"S/D",INDEX(Movimientos!$M$2:$M$1998,MATCH(A263&amp;"ENTRADA",Movimientos!$R$2:$R$1998,0))),"S/D")</f>
        <v>S/D</v>
      </c>
      <c r="I263" s="16" t="str">
        <f t="shared" ref="I263:I326" ca="1" si="10">IF(OR(A263="",H263="S/D"),"S/D",H263-TODAY())</f>
        <v>S/D</v>
      </c>
      <c r="J263" s="6">
        <f>IF(A263="","",SUMIFS(Movimientos!$K:$K,Movimientos!$H:$H,A263))</f>
        <v>0</v>
      </c>
      <c r="K263" s="14" t="str">
        <f t="shared" ca="1" si="9"/>
        <v>SIN STOCK</v>
      </c>
    </row>
    <row r="264" spans="1:11" ht="14.25">
      <c r="A264" s="18" t="s">
        <v>2407</v>
      </c>
      <c r="B264" s="3" t="str">
        <f>IFERROR(INDEX(Movimientos!$C$2:$C$1998,MATCH(A264&amp;"ENTRADA",Movimientos!$R$2:$R$1998,0)),"-")</f>
        <v>-</v>
      </c>
      <c r="C264" s="3" t="str">
        <f>IFERROR(INDEX(Movimientos!$D$2:$D$1998,MATCH(A264&amp;"ENTRADA",Movimientos!$R$2:$R$1998,0)),"-")</f>
        <v>-</v>
      </c>
      <c r="D264" s="3" t="str">
        <f>IFERROR(INDEX(Movimientos!$E$2:$E$1998,MATCH(A264&amp;"ENTRADA",Movimientos!$R$2:$R$1998,0)),"-")</f>
        <v>-</v>
      </c>
      <c r="E264" s="3" t="str">
        <f>IFERROR(INDEX(Movimientos!$F$2:$F$1998,MATCH(A264&amp;"ENTRADA",Movimientos!$R$2:$R$1998,0)),"-")</f>
        <v>-</v>
      </c>
      <c r="F264" s="3" t="str">
        <f>IFERROR(INDEX(Movimientos!$G$2:$G$1998,MATCH(A264&amp;"ENTRADA",Movimientos!$R$2:$R$1998,0)),"-")</f>
        <v>-</v>
      </c>
      <c r="G264" s="3" t="str">
        <f>IFERROR(INDEX(Movimientos!$L$2:$L$1998,MATCH(A264&amp;"ENTRADA",Movimientos!$R$2:$R$1998,0)),"-")</f>
        <v>-</v>
      </c>
      <c r="H264" s="19" t="str">
        <f>IFERROR(IF(INDEX(Movimientos!$M$2:$M$1998,MATCH(A264&amp;"ENTRADA",Movimientos!$R$2:$R$1998,0))=0,"S/D",INDEX(Movimientos!$M$2:$M$1998,MATCH(A264&amp;"ENTRADA",Movimientos!$R$2:$R$1998,0))),"S/D")</f>
        <v>S/D</v>
      </c>
      <c r="I264" s="16" t="str">
        <f t="shared" ca="1" si="10"/>
        <v>S/D</v>
      </c>
      <c r="J264" s="6">
        <f>IF(A264="","",SUMIFS(Movimientos!$K:$K,Movimientos!$H:$H,A264))</f>
        <v>0</v>
      </c>
      <c r="K264" s="14" t="str">
        <f t="shared" ca="1" si="9"/>
        <v>SIN STOCK</v>
      </c>
    </row>
    <row r="265" spans="1:11" ht="14.25">
      <c r="A265" s="18" t="s">
        <v>2408</v>
      </c>
      <c r="B265" s="3" t="str">
        <f>IFERROR(INDEX(Movimientos!$C$2:$C$1998,MATCH(A265&amp;"ENTRADA",Movimientos!$R$2:$R$1998,0)),"-")</f>
        <v>-</v>
      </c>
      <c r="C265" s="3" t="str">
        <f>IFERROR(INDEX(Movimientos!$D$2:$D$1998,MATCH(A265&amp;"ENTRADA",Movimientos!$R$2:$R$1998,0)),"-")</f>
        <v>-</v>
      </c>
      <c r="D265" s="3" t="str">
        <f>IFERROR(INDEX(Movimientos!$E$2:$E$1998,MATCH(A265&amp;"ENTRADA",Movimientos!$R$2:$R$1998,0)),"-")</f>
        <v>-</v>
      </c>
      <c r="E265" s="3" t="str">
        <f>IFERROR(INDEX(Movimientos!$F$2:$F$1998,MATCH(A265&amp;"ENTRADA",Movimientos!$R$2:$R$1998,0)),"-")</f>
        <v>-</v>
      </c>
      <c r="F265" s="3" t="str">
        <f>IFERROR(INDEX(Movimientos!$G$2:$G$1998,MATCH(A265&amp;"ENTRADA",Movimientos!$R$2:$R$1998,0)),"-")</f>
        <v>-</v>
      </c>
      <c r="G265" s="3" t="str">
        <f>IFERROR(INDEX(Movimientos!$L$2:$L$1998,MATCH(A265&amp;"ENTRADA",Movimientos!$R$2:$R$1998,0)),"-")</f>
        <v>-</v>
      </c>
      <c r="H265" s="19" t="str">
        <f>IFERROR(IF(INDEX(Movimientos!$M$2:$M$1998,MATCH(A265&amp;"ENTRADA",Movimientos!$R$2:$R$1998,0))=0,"S/D",INDEX(Movimientos!$M$2:$M$1998,MATCH(A265&amp;"ENTRADA",Movimientos!$R$2:$R$1998,0))),"S/D")</f>
        <v>S/D</v>
      </c>
      <c r="I265" s="16" t="str">
        <f t="shared" ca="1" si="10"/>
        <v>S/D</v>
      </c>
      <c r="J265" s="6">
        <f>IF(A265="","",SUMIFS(Movimientos!$K:$K,Movimientos!$H:$H,A265))</f>
        <v>0</v>
      </c>
      <c r="K265" s="14" t="str">
        <f t="shared" ca="1" si="9"/>
        <v>SIN STOCK</v>
      </c>
    </row>
    <row r="266" spans="1:11" ht="14.25">
      <c r="A266" s="18" t="s">
        <v>2409</v>
      </c>
      <c r="B266" s="3" t="str">
        <f>IFERROR(INDEX(Movimientos!$C$2:$C$1998,MATCH(A266&amp;"ENTRADA",Movimientos!$R$2:$R$1998,0)),"-")</f>
        <v>-</v>
      </c>
      <c r="C266" s="3" t="str">
        <f>IFERROR(INDEX(Movimientos!$D$2:$D$1998,MATCH(A266&amp;"ENTRADA",Movimientos!$R$2:$R$1998,0)),"-")</f>
        <v>-</v>
      </c>
      <c r="D266" s="3" t="str">
        <f>IFERROR(INDEX(Movimientos!$E$2:$E$1998,MATCH(A266&amp;"ENTRADA",Movimientos!$R$2:$R$1998,0)),"-")</f>
        <v>-</v>
      </c>
      <c r="E266" s="3" t="str">
        <f>IFERROR(INDEX(Movimientos!$F$2:$F$1998,MATCH(A266&amp;"ENTRADA",Movimientos!$R$2:$R$1998,0)),"-")</f>
        <v>-</v>
      </c>
      <c r="F266" s="3" t="str">
        <f>IFERROR(INDEX(Movimientos!$G$2:$G$1998,MATCH(A266&amp;"ENTRADA",Movimientos!$R$2:$R$1998,0)),"-")</f>
        <v>-</v>
      </c>
      <c r="G266" s="3" t="str">
        <f>IFERROR(INDEX(Movimientos!$L$2:$L$1998,MATCH(A266&amp;"ENTRADA",Movimientos!$R$2:$R$1998,0)),"-")</f>
        <v>-</v>
      </c>
      <c r="H266" s="19" t="str">
        <f>IFERROR(IF(INDEX(Movimientos!$M$2:$M$1998,MATCH(A266&amp;"ENTRADA",Movimientos!$R$2:$R$1998,0))=0,"S/D",INDEX(Movimientos!$M$2:$M$1998,MATCH(A266&amp;"ENTRADA",Movimientos!$R$2:$R$1998,0))),"S/D")</f>
        <v>S/D</v>
      </c>
      <c r="I266" s="16" t="str">
        <f t="shared" ca="1" si="10"/>
        <v>S/D</v>
      </c>
      <c r="J266" s="6">
        <f>IF(A266="","",SUMIFS(Movimientos!$K:$K,Movimientos!$H:$H,A266))</f>
        <v>0</v>
      </c>
      <c r="K266" s="14" t="str">
        <f t="shared" ca="1" si="9"/>
        <v>SIN STOCK</v>
      </c>
    </row>
    <row r="267" spans="1:11" ht="14.25">
      <c r="A267" s="18" t="s">
        <v>2410</v>
      </c>
      <c r="B267" s="3" t="str">
        <f>IFERROR(INDEX(Movimientos!$C$2:$C$1998,MATCH(A267&amp;"ENTRADA",Movimientos!$R$2:$R$1998,0)),"-")</f>
        <v>-</v>
      </c>
      <c r="C267" s="3" t="str">
        <f>IFERROR(INDEX(Movimientos!$D$2:$D$1998,MATCH(A267&amp;"ENTRADA",Movimientos!$R$2:$R$1998,0)),"-")</f>
        <v>-</v>
      </c>
      <c r="D267" s="3" t="str">
        <f>IFERROR(INDEX(Movimientos!$E$2:$E$1998,MATCH(A267&amp;"ENTRADA",Movimientos!$R$2:$R$1998,0)),"-")</f>
        <v>-</v>
      </c>
      <c r="E267" s="3" t="str">
        <f>IFERROR(INDEX(Movimientos!$F$2:$F$1998,MATCH(A267&amp;"ENTRADA",Movimientos!$R$2:$R$1998,0)),"-")</f>
        <v>-</v>
      </c>
      <c r="F267" s="3" t="str">
        <f>IFERROR(INDEX(Movimientos!$G$2:$G$1998,MATCH(A267&amp;"ENTRADA",Movimientos!$R$2:$R$1998,0)),"-")</f>
        <v>-</v>
      </c>
      <c r="G267" s="3" t="str">
        <f>IFERROR(INDEX(Movimientos!$L$2:$L$1998,MATCH(A267&amp;"ENTRADA",Movimientos!$R$2:$R$1998,0)),"-")</f>
        <v>-</v>
      </c>
      <c r="H267" s="19" t="str">
        <f>IFERROR(IF(INDEX(Movimientos!$M$2:$M$1998,MATCH(A267&amp;"ENTRADA",Movimientos!$R$2:$R$1998,0))=0,"S/D",INDEX(Movimientos!$M$2:$M$1998,MATCH(A267&amp;"ENTRADA",Movimientos!$R$2:$R$1998,0))),"S/D")</f>
        <v>S/D</v>
      </c>
      <c r="I267" s="16" t="str">
        <f t="shared" ca="1" si="10"/>
        <v>S/D</v>
      </c>
      <c r="J267" s="6">
        <f>IF(A267="","",SUMIFS(Movimientos!$K:$K,Movimientos!$H:$H,A267))</f>
        <v>0</v>
      </c>
      <c r="K267" s="14" t="str">
        <f t="shared" ca="1" si="9"/>
        <v>SIN STOCK</v>
      </c>
    </row>
    <row r="268" spans="1:11" ht="14.25">
      <c r="A268" s="18" t="s">
        <v>2411</v>
      </c>
      <c r="B268" s="3" t="str">
        <f>IFERROR(INDEX(Movimientos!$C$2:$C$1998,MATCH(A268&amp;"ENTRADA",Movimientos!$R$2:$R$1998,0)),"-")</f>
        <v>-</v>
      </c>
      <c r="C268" s="3" t="str">
        <f>IFERROR(INDEX(Movimientos!$D$2:$D$1998,MATCH(A268&amp;"ENTRADA",Movimientos!$R$2:$R$1998,0)),"-")</f>
        <v>-</v>
      </c>
      <c r="D268" s="3" t="str">
        <f>IFERROR(INDEX(Movimientos!$E$2:$E$1998,MATCH(A268&amp;"ENTRADA",Movimientos!$R$2:$R$1998,0)),"-")</f>
        <v>-</v>
      </c>
      <c r="E268" s="3" t="str">
        <f>IFERROR(INDEX(Movimientos!$F$2:$F$1998,MATCH(A268&amp;"ENTRADA",Movimientos!$R$2:$R$1998,0)),"-")</f>
        <v>-</v>
      </c>
      <c r="F268" s="3" t="str">
        <f>IFERROR(INDEX(Movimientos!$G$2:$G$1998,MATCH(A268&amp;"ENTRADA",Movimientos!$R$2:$R$1998,0)),"-")</f>
        <v>-</v>
      </c>
      <c r="G268" s="3" t="str">
        <f>IFERROR(INDEX(Movimientos!$L$2:$L$1998,MATCH(A268&amp;"ENTRADA",Movimientos!$R$2:$R$1998,0)),"-")</f>
        <v>-</v>
      </c>
      <c r="H268" s="19" t="str">
        <f>IFERROR(IF(INDEX(Movimientos!$M$2:$M$1998,MATCH(A268&amp;"ENTRADA",Movimientos!$R$2:$R$1998,0))=0,"S/D",INDEX(Movimientos!$M$2:$M$1998,MATCH(A268&amp;"ENTRADA",Movimientos!$R$2:$R$1998,0))),"S/D")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9"/>
        <v>SIN STOCK</v>
      </c>
    </row>
    <row r="269" spans="1:11" ht="14.25">
      <c r="A269" s="18" t="s">
        <v>2412</v>
      </c>
      <c r="B269" s="3" t="str">
        <f>IFERROR(INDEX(Movimientos!$C$2:$C$1998,MATCH(A269&amp;"ENTRADA",Movimientos!$R$2:$R$1998,0)),"-")</f>
        <v>-</v>
      </c>
      <c r="C269" s="3" t="str">
        <f>IFERROR(INDEX(Movimientos!$D$2:$D$1998,MATCH(A269&amp;"ENTRADA",Movimientos!$R$2:$R$1998,0)),"-")</f>
        <v>-</v>
      </c>
      <c r="D269" s="3" t="str">
        <f>IFERROR(INDEX(Movimientos!$E$2:$E$1998,MATCH(A269&amp;"ENTRADA",Movimientos!$R$2:$R$1998,0)),"-")</f>
        <v>-</v>
      </c>
      <c r="E269" s="3" t="str">
        <f>IFERROR(INDEX(Movimientos!$F$2:$F$1998,MATCH(A269&amp;"ENTRADA",Movimientos!$R$2:$R$1998,0)),"-")</f>
        <v>-</v>
      </c>
      <c r="F269" s="3" t="str">
        <f>IFERROR(INDEX(Movimientos!$G$2:$G$1998,MATCH(A269&amp;"ENTRADA",Movimientos!$R$2:$R$1998,0)),"-")</f>
        <v>-</v>
      </c>
      <c r="G269" s="3" t="str">
        <f>IFERROR(INDEX(Movimientos!$L$2:$L$1998,MATCH(A269&amp;"ENTRADA",Movimientos!$R$2:$R$1998,0)),"-")</f>
        <v>-</v>
      </c>
      <c r="H269" s="19" t="str">
        <f>IFERROR(IF(INDEX(Movimientos!$M$2:$M$1998,MATCH(A269&amp;"ENTRADA",Movimientos!$R$2:$R$1998,0))=0,"S/D",INDEX(Movimientos!$M$2:$M$1998,MATCH(A269&amp;"ENTRADA",Movimientos!$R$2:$R$1998,0))),"S/D")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9"/>
        <v>SIN STOCK</v>
      </c>
    </row>
    <row r="270" spans="1:11" ht="14.25">
      <c r="A270" s="18" t="s">
        <v>2413</v>
      </c>
      <c r="B270" s="3" t="str">
        <f>IFERROR(INDEX(Movimientos!$C$2:$C$1998,MATCH(A270&amp;"ENTRADA",Movimientos!$R$2:$R$1998,0)),"-")</f>
        <v>-</v>
      </c>
      <c r="C270" s="3" t="str">
        <f>IFERROR(INDEX(Movimientos!$D$2:$D$1998,MATCH(A270&amp;"ENTRADA",Movimientos!$R$2:$R$1998,0)),"-")</f>
        <v>-</v>
      </c>
      <c r="D270" s="3" t="str">
        <f>IFERROR(INDEX(Movimientos!$E$2:$E$1998,MATCH(A270&amp;"ENTRADA",Movimientos!$R$2:$R$1998,0)),"-")</f>
        <v>-</v>
      </c>
      <c r="E270" s="3" t="str">
        <f>IFERROR(INDEX(Movimientos!$F$2:$F$1998,MATCH(A270&amp;"ENTRADA",Movimientos!$R$2:$R$1998,0)),"-")</f>
        <v>-</v>
      </c>
      <c r="F270" s="3" t="str">
        <f>IFERROR(INDEX(Movimientos!$G$2:$G$1998,MATCH(A270&amp;"ENTRADA",Movimientos!$R$2:$R$1998,0)),"-")</f>
        <v>-</v>
      </c>
      <c r="G270" s="3" t="str">
        <f>IFERROR(INDEX(Movimientos!$L$2:$L$1998,MATCH(A270&amp;"ENTRADA",Movimientos!$R$2:$R$1998,0)),"-")</f>
        <v>-</v>
      </c>
      <c r="H270" s="19" t="str">
        <f>IFERROR(IF(INDEX(Movimientos!$M$2:$M$1998,MATCH(A270&amp;"ENTRADA",Movimientos!$R$2:$R$1998,0))=0,"S/D",INDEX(Movimientos!$M$2:$M$1998,MATCH(A270&amp;"ENTRADA",Movimientos!$R$2:$R$1998,0))),"S/D")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9"/>
        <v>SIN STOCK</v>
      </c>
    </row>
    <row r="271" spans="1:11" ht="14.25">
      <c r="A271" s="18" t="s">
        <v>2414</v>
      </c>
      <c r="B271" s="3" t="str">
        <f>IFERROR(INDEX(Movimientos!$C$2:$C$1998,MATCH(A271&amp;"ENTRADA",Movimientos!$R$2:$R$1998,0)),"-")</f>
        <v>-</v>
      </c>
      <c r="C271" s="3" t="str">
        <f>IFERROR(INDEX(Movimientos!$D$2:$D$1998,MATCH(A271&amp;"ENTRADA",Movimientos!$R$2:$R$1998,0)),"-")</f>
        <v>-</v>
      </c>
      <c r="D271" s="3" t="str">
        <f>IFERROR(INDEX(Movimientos!$E$2:$E$1998,MATCH(A271&amp;"ENTRADA",Movimientos!$R$2:$R$1998,0)),"-")</f>
        <v>-</v>
      </c>
      <c r="E271" s="3" t="str">
        <f>IFERROR(INDEX(Movimientos!$F$2:$F$1998,MATCH(A271&amp;"ENTRADA",Movimientos!$R$2:$R$1998,0)),"-")</f>
        <v>-</v>
      </c>
      <c r="F271" s="3" t="str">
        <f>IFERROR(INDEX(Movimientos!$G$2:$G$1998,MATCH(A271&amp;"ENTRADA",Movimientos!$R$2:$R$1998,0)),"-")</f>
        <v>-</v>
      </c>
      <c r="G271" s="3" t="str">
        <f>IFERROR(INDEX(Movimientos!$L$2:$L$1998,MATCH(A271&amp;"ENTRADA",Movimientos!$R$2:$R$1998,0)),"-")</f>
        <v>-</v>
      </c>
      <c r="H271" s="19" t="str">
        <f>IFERROR(IF(INDEX(Movimientos!$M$2:$M$1998,MATCH(A271&amp;"ENTRADA",Movimientos!$R$2:$R$1998,0))=0,"S/D",INDEX(Movimientos!$M$2:$M$1998,MATCH(A271&amp;"ENTRADA",Movimientos!$R$2:$R$1998,0))),"S/D")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9"/>
        <v>SIN STOCK</v>
      </c>
    </row>
    <row r="272" spans="1:11" ht="14.25">
      <c r="A272" s="18" t="s">
        <v>2415</v>
      </c>
      <c r="B272" s="3" t="str">
        <f>IFERROR(INDEX(Movimientos!$C$2:$C$1998,MATCH(A272&amp;"ENTRADA",Movimientos!$R$2:$R$1998,0)),"-")</f>
        <v>-</v>
      </c>
      <c r="C272" s="3" t="str">
        <f>IFERROR(INDEX(Movimientos!$D$2:$D$1998,MATCH(A272&amp;"ENTRADA",Movimientos!$R$2:$R$1998,0)),"-")</f>
        <v>-</v>
      </c>
      <c r="D272" s="3" t="str">
        <f>IFERROR(INDEX(Movimientos!$E$2:$E$1998,MATCH(A272&amp;"ENTRADA",Movimientos!$R$2:$R$1998,0)),"-")</f>
        <v>-</v>
      </c>
      <c r="E272" s="3" t="str">
        <f>IFERROR(INDEX(Movimientos!$F$2:$F$1998,MATCH(A272&amp;"ENTRADA",Movimientos!$R$2:$R$1998,0)),"-")</f>
        <v>-</v>
      </c>
      <c r="F272" s="3" t="str">
        <f>IFERROR(INDEX(Movimientos!$G$2:$G$1998,MATCH(A272&amp;"ENTRADA",Movimientos!$R$2:$R$1998,0)),"-")</f>
        <v>-</v>
      </c>
      <c r="G272" s="3" t="str">
        <f>IFERROR(INDEX(Movimientos!$L$2:$L$1998,MATCH(A272&amp;"ENTRADA",Movimientos!$R$2:$R$1998,0)),"-")</f>
        <v>-</v>
      </c>
      <c r="H272" s="19" t="str">
        <f>IFERROR(IF(INDEX(Movimientos!$M$2:$M$1998,MATCH(A272&amp;"ENTRADA",Movimientos!$R$2:$R$1998,0))=0,"S/D",INDEX(Movimientos!$M$2:$M$1998,MATCH(A272&amp;"ENTRADA",Movimientos!$R$2:$R$1998,0))),"S/D")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9"/>
        <v>SIN STOCK</v>
      </c>
    </row>
    <row r="273" spans="1:11" ht="14.25">
      <c r="A273" s="18" t="s">
        <v>2416</v>
      </c>
      <c r="B273" s="3" t="str">
        <f>IFERROR(INDEX(Movimientos!$C$2:$C$1998,MATCH(A273&amp;"ENTRADA",Movimientos!$R$2:$R$1998,0)),"-")</f>
        <v>-</v>
      </c>
      <c r="C273" s="3" t="str">
        <f>IFERROR(INDEX(Movimientos!$D$2:$D$1998,MATCH(A273&amp;"ENTRADA",Movimientos!$R$2:$R$1998,0)),"-")</f>
        <v>-</v>
      </c>
      <c r="D273" s="3" t="str">
        <f>IFERROR(INDEX(Movimientos!$E$2:$E$1998,MATCH(A273&amp;"ENTRADA",Movimientos!$R$2:$R$1998,0)),"-")</f>
        <v>-</v>
      </c>
      <c r="E273" s="3" t="str">
        <f>IFERROR(INDEX(Movimientos!$F$2:$F$1998,MATCH(A273&amp;"ENTRADA",Movimientos!$R$2:$R$1998,0)),"-")</f>
        <v>-</v>
      </c>
      <c r="F273" s="3" t="str">
        <f>IFERROR(INDEX(Movimientos!$G$2:$G$1998,MATCH(A273&amp;"ENTRADA",Movimientos!$R$2:$R$1998,0)),"-")</f>
        <v>-</v>
      </c>
      <c r="G273" s="3" t="str">
        <f>IFERROR(INDEX(Movimientos!$L$2:$L$1998,MATCH(A273&amp;"ENTRADA",Movimientos!$R$2:$R$1998,0)),"-")</f>
        <v>-</v>
      </c>
      <c r="H273" s="19" t="str">
        <f>IFERROR(IF(INDEX(Movimientos!$M$2:$M$1998,MATCH(A273&amp;"ENTRADA",Movimientos!$R$2:$R$1998,0))=0,"S/D",INDEX(Movimientos!$M$2:$M$1998,MATCH(A273&amp;"ENTRADA",Movimientos!$R$2:$R$1998,0))),"S/D")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9"/>
        <v>SIN STOCK</v>
      </c>
    </row>
    <row r="274" spans="1:11" ht="14.25">
      <c r="A274" s="18" t="s">
        <v>2417</v>
      </c>
      <c r="B274" s="3" t="str">
        <f>IFERROR(INDEX(Movimientos!$C$2:$C$1998,MATCH(A274&amp;"ENTRADA",Movimientos!$R$2:$R$1998,0)),"-")</f>
        <v>-</v>
      </c>
      <c r="C274" s="3" t="str">
        <f>IFERROR(INDEX(Movimientos!$D$2:$D$1998,MATCH(A274&amp;"ENTRADA",Movimientos!$R$2:$R$1998,0)),"-")</f>
        <v>-</v>
      </c>
      <c r="D274" s="3" t="str">
        <f>IFERROR(INDEX(Movimientos!$E$2:$E$1998,MATCH(A274&amp;"ENTRADA",Movimientos!$R$2:$R$1998,0)),"-")</f>
        <v>-</v>
      </c>
      <c r="E274" s="3" t="str">
        <f>IFERROR(INDEX(Movimientos!$F$2:$F$1998,MATCH(A274&amp;"ENTRADA",Movimientos!$R$2:$R$1998,0)),"-")</f>
        <v>-</v>
      </c>
      <c r="F274" s="3" t="str">
        <f>IFERROR(INDEX(Movimientos!$G$2:$G$1998,MATCH(A274&amp;"ENTRADA",Movimientos!$R$2:$R$1998,0)),"-")</f>
        <v>-</v>
      </c>
      <c r="G274" s="3" t="str">
        <f>IFERROR(INDEX(Movimientos!$L$2:$L$1998,MATCH(A274&amp;"ENTRADA",Movimientos!$R$2:$R$1998,0)),"-")</f>
        <v>-</v>
      </c>
      <c r="H274" s="19" t="str">
        <f>IFERROR(IF(INDEX(Movimientos!$M$2:$M$1998,MATCH(A274&amp;"ENTRADA",Movimientos!$R$2:$R$1998,0))=0,"S/D",INDEX(Movimientos!$M$2:$M$1998,MATCH(A274&amp;"ENTRADA",Movimientos!$R$2:$R$1998,0))),"S/D")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9"/>
        <v>SIN STOCK</v>
      </c>
    </row>
    <row r="275" spans="1:11" ht="14.25">
      <c r="A275" s="18" t="s">
        <v>2418</v>
      </c>
      <c r="B275" s="3" t="str">
        <f>IFERROR(INDEX(Movimientos!$C$2:$C$1998,MATCH(A275&amp;"ENTRADA",Movimientos!$R$2:$R$1998,0)),"-")</f>
        <v>-</v>
      </c>
      <c r="C275" s="3" t="str">
        <f>IFERROR(INDEX(Movimientos!$D$2:$D$1998,MATCH(A275&amp;"ENTRADA",Movimientos!$R$2:$R$1998,0)),"-")</f>
        <v>-</v>
      </c>
      <c r="D275" s="3" t="str">
        <f>IFERROR(INDEX(Movimientos!$E$2:$E$1998,MATCH(A275&amp;"ENTRADA",Movimientos!$R$2:$R$1998,0)),"-")</f>
        <v>-</v>
      </c>
      <c r="E275" s="3" t="str">
        <f>IFERROR(INDEX(Movimientos!$F$2:$F$1998,MATCH(A275&amp;"ENTRADA",Movimientos!$R$2:$R$1998,0)),"-")</f>
        <v>-</v>
      </c>
      <c r="F275" s="3" t="str">
        <f>IFERROR(INDEX(Movimientos!$G$2:$G$1998,MATCH(A275&amp;"ENTRADA",Movimientos!$R$2:$R$1998,0)),"-")</f>
        <v>-</v>
      </c>
      <c r="G275" s="3" t="str">
        <f>IFERROR(INDEX(Movimientos!$L$2:$L$1998,MATCH(A275&amp;"ENTRADA",Movimientos!$R$2:$R$1998,0)),"-")</f>
        <v>-</v>
      </c>
      <c r="H275" s="19" t="str">
        <f>IFERROR(IF(INDEX(Movimientos!$M$2:$M$1998,MATCH(A275&amp;"ENTRADA",Movimientos!$R$2:$R$1998,0))=0,"S/D",INDEX(Movimientos!$M$2:$M$1998,MATCH(A275&amp;"ENTRADA",Movimientos!$R$2:$R$1998,0))),"S/D")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9"/>
        <v>SIN STOCK</v>
      </c>
    </row>
    <row r="276" spans="1:11" ht="14.25">
      <c r="A276" s="18" t="s">
        <v>2419</v>
      </c>
      <c r="B276" s="3" t="str">
        <f>IFERROR(INDEX(Movimientos!$C$2:$C$1998,MATCH(A276&amp;"ENTRADA",Movimientos!$R$2:$R$1998,0)),"-")</f>
        <v>-</v>
      </c>
      <c r="C276" s="3" t="str">
        <f>IFERROR(INDEX(Movimientos!$D$2:$D$1998,MATCH(A276&amp;"ENTRADA",Movimientos!$R$2:$R$1998,0)),"-")</f>
        <v>-</v>
      </c>
      <c r="D276" s="3" t="str">
        <f>IFERROR(INDEX(Movimientos!$E$2:$E$1998,MATCH(A276&amp;"ENTRADA",Movimientos!$R$2:$R$1998,0)),"-")</f>
        <v>-</v>
      </c>
      <c r="E276" s="3" t="str">
        <f>IFERROR(INDEX(Movimientos!$F$2:$F$1998,MATCH(A276&amp;"ENTRADA",Movimientos!$R$2:$R$1998,0)),"-")</f>
        <v>-</v>
      </c>
      <c r="F276" s="3" t="str">
        <f>IFERROR(INDEX(Movimientos!$G$2:$G$1998,MATCH(A276&amp;"ENTRADA",Movimientos!$R$2:$R$1998,0)),"-")</f>
        <v>-</v>
      </c>
      <c r="G276" s="3" t="str">
        <f>IFERROR(INDEX(Movimientos!$L$2:$L$1998,MATCH(A276&amp;"ENTRADA",Movimientos!$R$2:$R$1998,0)),"-")</f>
        <v>-</v>
      </c>
      <c r="H276" s="19" t="str">
        <f>IFERROR(IF(INDEX(Movimientos!$M$2:$M$1998,MATCH(A276&amp;"ENTRADA",Movimientos!$R$2:$R$1998,0))=0,"S/D",INDEX(Movimientos!$M$2:$M$1998,MATCH(A276&amp;"ENTRADA",Movimientos!$R$2:$R$1998,0))),"S/D")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9"/>
        <v>SIN STOCK</v>
      </c>
    </row>
    <row r="277" spans="1:11" ht="14.25">
      <c r="A277" s="18" t="s">
        <v>2420</v>
      </c>
      <c r="B277" s="3" t="str">
        <f>IFERROR(INDEX(Movimientos!$C$2:$C$1998,MATCH(A277&amp;"ENTRADA",Movimientos!$R$2:$R$1998,0)),"-")</f>
        <v>-</v>
      </c>
      <c r="C277" s="3" t="str">
        <f>IFERROR(INDEX(Movimientos!$D$2:$D$1998,MATCH(A277&amp;"ENTRADA",Movimientos!$R$2:$R$1998,0)),"-")</f>
        <v>-</v>
      </c>
      <c r="D277" s="3" t="str">
        <f>IFERROR(INDEX(Movimientos!$E$2:$E$1998,MATCH(A277&amp;"ENTRADA",Movimientos!$R$2:$R$1998,0)),"-")</f>
        <v>-</v>
      </c>
      <c r="E277" s="3" t="str">
        <f>IFERROR(INDEX(Movimientos!$F$2:$F$1998,MATCH(A277&amp;"ENTRADA",Movimientos!$R$2:$R$1998,0)),"-")</f>
        <v>-</v>
      </c>
      <c r="F277" s="3" t="str">
        <f>IFERROR(INDEX(Movimientos!$G$2:$G$1998,MATCH(A277&amp;"ENTRADA",Movimientos!$R$2:$R$1998,0)),"-")</f>
        <v>-</v>
      </c>
      <c r="G277" s="3" t="str">
        <f>IFERROR(INDEX(Movimientos!$L$2:$L$1998,MATCH(A277&amp;"ENTRADA",Movimientos!$R$2:$R$1998,0)),"-")</f>
        <v>-</v>
      </c>
      <c r="H277" s="19" t="str">
        <f>IFERROR(IF(INDEX(Movimientos!$M$2:$M$1998,MATCH(A277&amp;"ENTRADA",Movimientos!$R$2:$R$1998,0))=0,"S/D",INDEX(Movimientos!$M$2:$M$1998,MATCH(A277&amp;"ENTRADA",Movimientos!$R$2:$R$1998,0))),"S/D")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9"/>
        <v>SIN STOCK</v>
      </c>
    </row>
    <row r="278" spans="1:11" ht="14.25">
      <c r="A278" s="18" t="s">
        <v>2421</v>
      </c>
      <c r="B278" s="3" t="str">
        <f>IFERROR(INDEX(Movimientos!$C$2:$C$1998,MATCH(A278&amp;"ENTRADA",Movimientos!$R$2:$R$1998,0)),"-")</f>
        <v>-</v>
      </c>
      <c r="C278" s="3" t="str">
        <f>IFERROR(INDEX(Movimientos!$D$2:$D$1998,MATCH(A278&amp;"ENTRADA",Movimientos!$R$2:$R$1998,0)),"-")</f>
        <v>-</v>
      </c>
      <c r="D278" s="3" t="str">
        <f>IFERROR(INDEX(Movimientos!$E$2:$E$1998,MATCH(A278&amp;"ENTRADA",Movimientos!$R$2:$R$1998,0)),"-")</f>
        <v>-</v>
      </c>
      <c r="E278" s="3" t="str">
        <f>IFERROR(INDEX(Movimientos!$F$2:$F$1998,MATCH(A278&amp;"ENTRADA",Movimientos!$R$2:$R$1998,0)),"-")</f>
        <v>-</v>
      </c>
      <c r="F278" s="3" t="str">
        <f>IFERROR(INDEX(Movimientos!$G$2:$G$1998,MATCH(A278&amp;"ENTRADA",Movimientos!$R$2:$R$1998,0)),"-")</f>
        <v>-</v>
      </c>
      <c r="G278" s="3" t="str">
        <f>IFERROR(INDEX(Movimientos!$L$2:$L$1998,MATCH(A278&amp;"ENTRADA",Movimientos!$R$2:$R$1998,0)),"-")</f>
        <v>-</v>
      </c>
      <c r="H278" s="19" t="str">
        <f>IFERROR(IF(INDEX(Movimientos!$M$2:$M$1998,MATCH(A278&amp;"ENTRADA",Movimientos!$R$2:$R$1998,0))=0,"S/D",INDEX(Movimientos!$M$2:$M$1998,MATCH(A278&amp;"ENTRADA",Movimientos!$R$2:$R$1998,0))),"S/D")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9"/>
        <v>SIN STOCK</v>
      </c>
    </row>
    <row r="279" spans="1:11" ht="14.25">
      <c r="A279" s="18" t="s">
        <v>2422</v>
      </c>
      <c r="B279" s="3" t="str">
        <f>IFERROR(INDEX(Movimientos!$C$2:$C$1998,MATCH(A279&amp;"ENTRADA",Movimientos!$R$2:$R$1998,0)),"-")</f>
        <v>-</v>
      </c>
      <c r="C279" s="3" t="str">
        <f>IFERROR(INDEX(Movimientos!$D$2:$D$1998,MATCH(A279&amp;"ENTRADA",Movimientos!$R$2:$R$1998,0)),"-")</f>
        <v>-</v>
      </c>
      <c r="D279" s="3" t="str">
        <f>IFERROR(INDEX(Movimientos!$E$2:$E$1998,MATCH(A279&amp;"ENTRADA",Movimientos!$R$2:$R$1998,0)),"-")</f>
        <v>-</v>
      </c>
      <c r="E279" s="3" t="str">
        <f>IFERROR(INDEX(Movimientos!$F$2:$F$1998,MATCH(A279&amp;"ENTRADA",Movimientos!$R$2:$R$1998,0)),"-")</f>
        <v>-</v>
      </c>
      <c r="F279" s="3" t="str">
        <f>IFERROR(INDEX(Movimientos!$G$2:$G$1998,MATCH(A279&amp;"ENTRADA",Movimientos!$R$2:$R$1998,0)),"-")</f>
        <v>-</v>
      </c>
      <c r="G279" s="3" t="str">
        <f>IFERROR(INDEX(Movimientos!$L$2:$L$1998,MATCH(A279&amp;"ENTRADA",Movimientos!$R$2:$R$1998,0)),"-")</f>
        <v>-</v>
      </c>
      <c r="H279" s="19" t="str">
        <f>IFERROR(IF(INDEX(Movimientos!$M$2:$M$1998,MATCH(A279&amp;"ENTRADA",Movimientos!$R$2:$R$1998,0))=0,"S/D",INDEX(Movimientos!$M$2:$M$1998,MATCH(A279&amp;"ENTRADA",Movimientos!$R$2:$R$1998,0))),"S/D")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9"/>
        <v>SIN STOCK</v>
      </c>
    </row>
    <row r="280" spans="1:11" ht="14.25">
      <c r="A280" s="18" t="s">
        <v>2423</v>
      </c>
      <c r="B280" s="3" t="str">
        <f>IFERROR(INDEX(Movimientos!$C$2:$C$1998,MATCH(A280&amp;"ENTRADA",Movimientos!$R$2:$R$1998,0)),"-")</f>
        <v>-</v>
      </c>
      <c r="C280" s="3" t="str">
        <f>IFERROR(INDEX(Movimientos!$D$2:$D$1998,MATCH(A280&amp;"ENTRADA",Movimientos!$R$2:$R$1998,0)),"-")</f>
        <v>-</v>
      </c>
      <c r="D280" s="3" t="str">
        <f>IFERROR(INDEX(Movimientos!$E$2:$E$1998,MATCH(A280&amp;"ENTRADA",Movimientos!$R$2:$R$1998,0)),"-")</f>
        <v>-</v>
      </c>
      <c r="E280" s="3" t="str">
        <f>IFERROR(INDEX(Movimientos!$F$2:$F$1998,MATCH(A280&amp;"ENTRADA",Movimientos!$R$2:$R$1998,0)),"-")</f>
        <v>-</v>
      </c>
      <c r="F280" s="3" t="str">
        <f>IFERROR(INDEX(Movimientos!$G$2:$G$1998,MATCH(A280&amp;"ENTRADA",Movimientos!$R$2:$R$1998,0)),"-")</f>
        <v>-</v>
      </c>
      <c r="G280" s="3" t="str">
        <f>IFERROR(INDEX(Movimientos!$L$2:$L$1998,MATCH(A280&amp;"ENTRADA",Movimientos!$R$2:$R$1998,0)),"-")</f>
        <v>-</v>
      </c>
      <c r="H280" s="19" t="str">
        <f>IFERROR(IF(INDEX(Movimientos!$M$2:$M$1998,MATCH(A280&amp;"ENTRADA",Movimientos!$R$2:$R$1998,0))=0,"S/D",INDEX(Movimientos!$M$2:$M$1998,MATCH(A280&amp;"ENTRADA",Movimientos!$R$2:$R$1998,0))),"S/D")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9"/>
        <v>SIN STOCK</v>
      </c>
    </row>
    <row r="281" spans="1:11" ht="14.25">
      <c r="A281" s="18" t="s">
        <v>2424</v>
      </c>
      <c r="B281" s="3" t="str">
        <f>IFERROR(INDEX(Movimientos!$C$2:$C$1998,MATCH(A281&amp;"ENTRADA",Movimientos!$R$2:$R$1998,0)),"-")</f>
        <v>-</v>
      </c>
      <c r="C281" s="3" t="str">
        <f>IFERROR(INDEX(Movimientos!$D$2:$D$1998,MATCH(A281&amp;"ENTRADA",Movimientos!$R$2:$R$1998,0)),"-")</f>
        <v>-</v>
      </c>
      <c r="D281" s="3" t="str">
        <f>IFERROR(INDEX(Movimientos!$E$2:$E$1998,MATCH(A281&amp;"ENTRADA",Movimientos!$R$2:$R$1998,0)),"-")</f>
        <v>-</v>
      </c>
      <c r="E281" s="3" t="str">
        <f>IFERROR(INDEX(Movimientos!$F$2:$F$1998,MATCH(A281&amp;"ENTRADA",Movimientos!$R$2:$R$1998,0)),"-")</f>
        <v>-</v>
      </c>
      <c r="F281" s="3" t="str">
        <f>IFERROR(INDEX(Movimientos!$G$2:$G$1998,MATCH(A281&amp;"ENTRADA",Movimientos!$R$2:$R$1998,0)),"-")</f>
        <v>-</v>
      </c>
      <c r="G281" s="3" t="str">
        <f>IFERROR(INDEX(Movimientos!$L$2:$L$1998,MATCH(A281&amp;"ENTRADA",Movimientos!$R$2:$R$1998,0)),"-")</f>
        <v>-</v>
      </c>
      <c r="H281" s="19" t="str">
        <f>IFERROR(IF(INDEX(Movimientos!$M$2:$M$1998,MATCH(A281&amp;"ENTRADA",Movimientos!$R$2:$R$1998,0))=0,"S/D",INDEX(Movimientos!$M$2:$M$1998,MATCH(A281&amp;"ENTRADA",Movimientos!$R$2:$R$1998,0))),"S/D")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9"/>
        <v>SIN STOCK</v>
      </c>
    </row>
    <row r="282" spans="1:11" ht="14.25">
      <c r="A282" s="18" t="s">
        <v>2425</v>
      </c>
      <c r="B282" s="3" t="str">
        <f>IFERROR(INDEX(Movimientos!$C$2:$C$1998,MATCH(A282&amp;"ENTRADA",Movimientos!$R$2:$R$1998,0)),"-")</f>
        <v>-</v>
      </c>
      <c r="C282" s="3" t="str">
        <f>IFERROR(INDEX(Movimientos!$D$2:$D$1998,MATCH(A282&amp;"ENTRADA",Movimientos!$R$2:$R$1998,0)),"-")</f>
        <v>-</v>
      </c>
      <c r="D282" s="3" t="str">
        <f>IFERROR(INDEX(Movimientos!$E$2:$E$1998,MATCH(A282&amp;"ENTRADA",Movimientos!$R$2:$R$1998,0)),"-")</f>
        <v>-</v>
      </c>
      <c r="E282" s="3" t="str">
        <f>IFERROR(INDEX(Movimientos!$F$2:$F$1998,MATCH(A282&amp;"ENTRADA",Movimientos!$R$2:$R$1998,0)),"-")</f>
        <v>-</v>
      </c>
      <c r="F282" s="3" t="str">
        <f>IFERROR(INDEX(Movimientos!$G$2:$G$1998,MATCH(A282&amp;"ENTRADA",Movimientos!$R$2:$R$1998,0)),"-")</f>
        <v>-</v>
      </c>
      <c r="G282" s="3" t="str">
        <f>IFERROR(INDEX(Movimientos!$L$2:$L$1998,MATCH(A282&amp;"ENTRADA",Movimientos!$R$2:$R$1998,0)),"-")</f>
        <v>-</v>
      </c>
      <c r="H282" s="19" t="str">
        <f>IFERROR(IF(INDEX(Movimientos!$M$2:$M$1998,MATCH(A282&amp;"ENTRADA",Movimientos!$R$2:$R$1998,0))=0,"S/D",INDEX(Movimientos!$M$2:$M$1998,MATCH(A282&amp;"ENTRADA",Movimientos!$R$2:$R$1998,0))),"S/D")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9"/>
        <v>SIN STOCK</v>
      </c>
    </row>
    <row r="283" spans="1:11" ht="14.25">
      <c r="A283" s="18" t="s">
        <v>2426</v>
      </c>
      <c r="B283" s="3" t="str">
        <f>IFERROR(INDEX(Movimientos!$C$2:$C$1998,MATCH(A283&amp;"ENTRADA",Movimientos!$R$2:$R$1998,0)),"-")</f>
        <v>-</v>
      </c>
      <c r="C283" s="3" t="str">
        <f>IFERROR(INDEX(Movimientos!$D$2:$D$1998,MATCH(A283&amp;"ENTRADA",Movimientos!$R$2:$R$1998,0)),"-")</f>
        <v>-</v>
      </c>
      <c r="D283" s="3" t="str">
        <f>IFERROR(INDEX(Movimientos!$E$2:$E$1998,MATCH(A283&amp;"ENTRADA",Movimientos!$R$2:$R$1998,0)),"-")</f>
        <v>-</v>
      </c>
      <c r="E283" s="3" t="str">
        <f>IFERROR(INDEX(Movimientos!$F$2:$F$1998,MATCH(A283&amp;"ENTRADA",Movimientos!$R$2:$R$1998,0)),"-")</f>
        <v>-</v>
      </c>
      <c r="F283" s="3" t="str">
        <f>IFERROR(INDEX(Movimientos!$G$2:$G$1998,MATCH(A283&amp;"ENTRADA",Movimientos!$R$2:$R$1998,0)),"-")</f>
        <v>-</v>
      </c>
      <c r="G283" s="3" t="str">
        <f>IFERROR(INDEX(Movimientos!$L$2:$L$1998,MATCH(A283&amp;"ENTRADA",Movimientos!$R$2:$R$1998,0)),"-")</f>
        <v>-</v>
      </c>
      <c r="H283" s="19" t="str">
        <f>IFERROR(IF(INDEX(Movimientos!$M$2:$M$1998,MATCH(A283&amp;"ENTRADA",Movimientos!$R$2:$R$1998,0))=0,"S/D",INDEX(Movimientos!$M$2:$M$1998,MATCH(A283&amp;"ENTRADA",Movimientos!$R$2:$R$1998,0))),"S/D")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9"/>
        <v>SIN STOCK</v>
      </c>
    </row>
    <row r="284" spans="1:11" ht="14.25">
      <c r="A284" s="18" t="s">
        <v>2427</v>
      </c>
      <c r="B284" s="3" t="str">
        <f>IFERROR(INDEX(Movimientos!$C$2:$C$1998,MATCH(A284&amp;"ENTRADA",Movimientos!$R$2:$R$1998,0)),"-")</f>
        <v>-</v>
      </c>
      <c r="C284" s="3" t="str">
        <f>IFERROR(INDEX(Movimientos!$D$2:$D$1998,MATCH(A284&amp;"ENTRADA",Movimientos!$R$2:$R$1998,0)),"-")</f>
        <v>-</v>
      </c>
      <c r="D284" s="3" t="str">
        <f>IFERROR(INDEX(Movimientos!$E$2:$E$1998,MATCH(A284&amp;"ENTRADA",Movimientos!$R$2:$R$1998,0)),"-")</f>
        <v>-</v>
      </c>
      <c r="E284" s="3" t="str">
        <f>IFERROR(INDEX(Movimientos!$F$2:$F$1998,MATCH(A284&amp;"ENTRADA",Movimientos!$R$2:$R$1998,0)),"-")</f>
        <v>-</v>
      </c>
      <c r="F284" s="3" t="str">
        <f>IFERROR(INDEX(Movimientos!$G$2:$G$1998,MATCH(A284&amp;"ENTRADA",Movimientos!$R$2:$R$1998,0)),"-")</f>
        <v>-</v>
      </c>
      <c r="G284" s="3" t="str">
        <f>IFERROR(INDEX(Movimientos!$L$2:$L$1998,MATCH(A284&amp;"ENTRADA",Movimientos!$R$2:$R$1998,0)),"-")</f>
        <v>-</v>
      </c>
      <c r="H284" s="19" t="str">
        <f>IFERROR(IF(INDEX(Movimientos!$M$2:$M$1998,MATCH(A284&amp;"ENTRADA",Movimientos!$R$2:$R$1998,0))=0,"S/D",INDEX(Movimientos!$M$2:$M$1998,MATCH(A284&amp;"ENTRADA",Movimientos!$R$2:$R$1998,0))),"S/D")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9"/>
        <v>SIN STOCK</v>
      </c>
    </row>
    <row r="285" spans="1:11" ht="14.25">
      <c r="A285" s="18" t="s">
        <v>2428</v>
      </c>
      <c r="B285" s="3" t="str">
        <f>IFERROR(INDEX(Movimientos!$C$2:$C$1998,MATCH(A285&amp;"ENTRADA",Movimientos!$R$2:$R$1998,0)),"-")</f>
        <v>-</v>
      </c>
      <c r="C285" s="3" t="str">
        <f>IFERROR(INDEX(Movimientos!$D$2:$D$1998,MATCH(A285&amp;"ENTRADA",Movimientos!$R$2:$R$1998,0)),"-")</f>
        <v>-</v>
      </c>
      <c r="D285" s="3" t="str">
        <f>IFERROR(INDEX(Movimientos!$E$2:$E$1998,MATCH(A285&amp;"ENTRADA",Movimientos!$R$2:$R$1998,0)),"-")</f>
        <v>-</v>
      </c>
      <c r="E285" s="3" t="str">
        <f>IFERROR(INDEX(Movimientos!$F$2:$F$1998,MATCH(A285&amp;"ENTRADA",Movimientos!$R$2:$R$1998,0)),"-")</f>
        <v>-</v>
      </c>
      <c r="F285" s="3" t="str">
        <f>IFERROR(INDEX(Movimientos!$G$2:$G$1998,MATCH(A285&amp;"ENTRADA",Movimientos!$R$2:$R$1998,0)),"-")</f>
        <v>-</v>
      </c>
      <c r="G285" s="3" t="str">
        <f>IFERROR(INDEX(Movimientos!$L$2:$L$1998,MATCH(A285&amp;"ENTRADA",Movimientos!$R$2:$R$1998,0)),"-")</f>
        <v>-</v>
      </c>
      <c r="H285" s="19" t="str">
        <f>IFERROR(IF(INDEX(Movimientos!$M$2:$M$1998,MATCH(A285&amp;"ENTRADA",Movimientos!$R$2:$R$1998,0))=0,"S/D",INDEX(Movimientos!$M$2:$M$1998,MATCH(A285&amp;"ENTRADA",Movimientos!$R$2:$R$1998,0))),"S/D")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9"/>
        <v>SIN STOCK</v>
      </c>
    </row>
    <row r="286" spans="1:11" ht="14.25">
      <c r="A286" s="18" t="s">
        <v>2429</v>
      </c>
      <c r="B286" s="3" t="str">
        <f>IFERROR(INDEX(Movimientos!$C$2:$C$1998,MATCH(A286&amp;"ENTRADA",Movimientos!$R$2:$R$1998,0)),"-")</f>
        <v>-</v>
      </c>
      <c r="C286" s="3" t="str">
        <f>IFERROR(INDEX(Movimientos!$D$2:$D$1998,MATCH(A286&amp;"ENTRADA",Movimientos!$R$2:$R$1998,0)),"-")</f>
        <v>-</v>
      </c>
      <c r="D286" s="3" t="str">
        <f>IFERROR(INDEX(Movimientos!$E$2:$E$1998,MATCH(A286&amp;"ENTRADA",Movimientos!$R$2:$R$1998,0)),"-")</f>
        <v>-</v>
      </c>
      <c r="E286" s="3" t="str">
        <f>IFERROR(INDEX(Movimientos!$F$2:$F$1998,MATCH(A286&amp;"ENTRADA",Movimientos!$R$2:$R$1998,0)),"-")</f>
        <v>-</v>
      </c>
      <c r="F286" s="3" t="str">
        <f>IFERROR(INDEX(Movimientos!$G$2:$G$1998,MATCH(A286&amp;"ENTRADA",Movimientos!$R$2:$R$1998,0)),"-")</f>
        <v>-</v>
      </c>
      <c r="G286" s="3" t="str">
        <f>IFERROR(INDEX(Movimientos!$L$2:$L$1998,MATCH(A286&amp;"ENTRADA",Movimientos!$R$2:$R$1998,0)),"-")</f>
        <v>-</v>
      </c>
      <c r="H286" s="19" t="str">
        <f>IFERROR(IF(INDEX(Movimientos!$M$2:$M$1998,MATCH(A286&amp;"ENTRADA",Movimientos!$R$2:$R$1998,0))=0,"S/D",INDEX(Movimientos!$M$2:$M$1998,MATCH(A286&amp;"ENTRADA",Movimientos!$R$2:$R$1998,0))),"S/D")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9"/>
        <v>SIN STOCK</v>
      </c>
    </row>
    <row r="287" spans="1:11" ht="14.25">
      <c r="A287" s="18" t="s">
        <v>2430</v>
      </c>
      <c r="B287" s="3" t="str">
        <f>IFERROR(INDEX(Movimientos!$C$2:$C$1998,MATCH(A287&amp;"ENTRADA",Movimientos!$R$2:$R$1998,0)),"-")</f>
        <v>-</v>
      </c>
      <c r="C287" s="3" t="str">
        <f>IFERROR(INDEX(Movimientos!$D$2:$D$1998,MATCH(A287&amp;"ENTRADA",Movimientos!$R$2:$R$1998,0)),"-")</f>
        <v>-</v>
      </c>
      <c r="D287" s="3" t="str">
        <f>IFERROR(INDEX(Movimientos!$E$2:$E$1998,MATCH(A287&amp;"ENTRADA",Movimientos!$R$2:$R$1998,0)),"-")</f>
        <v>-</v>
      </c>
      <c r="E287" s="3" t="str">
        <f>IFERROR(INDEX(Movimientos!$F$2:$F$1998,MATCH(A287&amp;"ENTRADA",Movimientos!$R$2:$R$1998,0)),"-")</f>
        <v>-</v>
      </c>
      <c r="F287" s="3" t="str">
        <f>IFERROR(INDEX(Movimientos!$G$2:$G$1998,MATCH(A287&amp;"ENTRADA",Movimientos!$R$2:$R$1998,0)),"-")</f>
        <v>-</v>
      </c>
      <c r="G287" s="3" t="str">
        <f>IFERROR(INDEX(Movimientos!$L$2:$L$1998,MATCH(A287&amp;"ENTRADA",Movimientos!$R$2:$R$1998,0)),"-")</f>
        <v>-</v>
      </c>
      <c r="H287" s="19" t="str">
        <f>IFERROR(IF(INDEX(Movimientos!$M$2:$M$1998,MATCH(A287&amp;"ENTRADA",Movimientos!$R$2:$R$1998,0))=0,"S/D",INDEX(Movimientos!$M$2:$M$1998,MATCH(A287&amp;"ENTRADA",Movimientos!$R$2:$R$1998,0))),"S/D")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9"/>
        <v>SIN STOCK</v>
      </c>
    </row>
    <row r="288" spans="1:11" ht="14.25">
      <c r="A288" s="18" t="s">
        <v>2431</v>
      </c>
      <c r="B288" s="3" t="str">
        <f>IFERROR(INDEX(Movimientos!$C$2:$C$1998,MATCH(A288&amp;"ENTRADA",Movimientos!$R$2:$R$1998,0)),"-")</f>
        <v>-</v>
      </c>
      <c r="C288" s="3" t="str">
        <f>IFERROR(INDEX(Movimientos!$D$2:$D$1998,MATCH(A288&amp;"ENTRADA",Movimientos!$R$2:$R$1998,0)),"-")</f>
        <v>-</v>
      </c>
      <c r="D288" s="3" t="str">
        <f>IFERROR(INDEX(Movimientos!$E$2:$E$1998,MATCH(A288&amp;"ENTRADA",Movimientos!$R$2:$R$1998,0)),"-")</f>
        <v>-</v>
      </c>
      <c r="E288" s="3" t="str">
        <f>IFERROR(INDEX(Movimientos!$F$2:$F$1998,MATCH(A288&amp;"ENTRADA",Movimientos!$R$2:$R$1998,0)),"-")</f>
        <v>-</v>
      </c>
      <c r="F288" s="3" t="str">
        <f>IFERROR(INDEX(Movimientos!$G$2:$G$1998,MATCH(A288&amp;"ENTRADA",Movimientos!$R$2:$R$1998,0)),"-")</f>
        <v>-</v>
      </c>
      <c r="G288" s="3" t="str">
        <f>IFERROR(INDEX(Movimientos!$L$2:$L$1998,MATCH(A288&amp;"ENTRADA",Movimientos!$R$2:$R$1998,0)),"-")</f>
        <v>-</v>
      </c>
      <c r="H288" s="19" t="str">
        <f>IFERROR(IF(INDEX(Movimientos!$M$2:$M$1998,MATCH(A288&amp;"ENTRADA",Movimientos!$R$2:$R$1998,0))=0,"S/D",INDEX(Movimientos!$M$2:$M$1998,MATCH(A288&amp;"ENTRADA",Movimientos!$R$2:$R$1998,0))),"S/D")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9"/>
        <v>SIN STOCK</v>
      </c>
    </row>
    <row r="289" spans="1:11" ht="14.25">
      <c r="A289" s="18" t="s">
        <v>2432</v>
      </c>
      <c r="B289" s="3" t="str">
        <f>IFERROR(INDEX(Movimientos!$C$2:$C$1998,MATCH(A289&amp;"ENTRADA",Movimientos!$R$2:$R$1998,0)),"-")</f>
        <v>-</v>
      </c>
      <c r="C289" s="3" t="str">
        <f>IFERROR(INDEX(Movimientos!$D$2:$D$1998,MATCH(A289&amp;"ENTRADA",Movimientos!$R$2:$R$1998,0)),"-")</f>
        <v>-</v>
      </c>
      <c r="D289" s="3" t="str">
        <f>IFERROR(INDEX(Movimientos!$E$2:$E$1998,MATCH(A289&amp;"ENTRADA",Movimientos!$R$2:$R$1998,0)),"-")</f>
        <v>-</v>
      </c>
      <c r="E289" s="3" t="str">
        <f>IFERROR(INDEX(Movimientos!$F$2:$F$1998,MATCH(A289&amp;"ENTRADA",Movimientos!$R$2:$R$1998,0)),"-")</f>
        <v>-</v>
      </c>
      <c r="F289" s="3" t="str">
        <f>IFERROR(INDEX(Movimientos!$G$2:$G$1998,MATCH(A289&amp;"ENTRADA",Movimientos!$R$2:$R$1998,0)),"-")</f>
        <v>-</v>
      </c>
      <c r="G289" s="3" t="str">
        <f>IFERROR(INDEX(Movimientos!$L$2:$L$1998,MATCH(A289&amp;"ENTRADA",Movimientos!$R$2:$R$1998,0)),"-")</f>
        <v>-</v>
      </c>
      <c r="H289" s="19" t="str">
        <f>IFERROR(IF(INDEX(Movimientos!$M$2:$M$1998,MATCH(A289&amp;"ENTRADA",Movimientos!$R$2:$R$1998,0))=0,"S/D",INDEX(Movimientos!$M$2:$M$1998,MATCH(A289&amp;"ENTRADA",Movimientos!$R$2:$R$1998,0))),"S/D")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9"/>
        <v>SIN STOCK</v>
      </c>
    </row>
    <row r="290" spans="1:11" ht="14.25">
      <c r="A290" s="18" t="s">
        <v>2433</v>
      </c>
      <c r="B290" s="3" t="str">
        <f>IFERROR(INDEX(Movimientos!$C$2:$C$1998,MATCH(A290&amp;"ENTRADA",Movimientos!$R$2:$R$1998,0)),"-")</f>
        <v>-</v>
      </c>
      <c r="C290" s="3" t="str">
        <f>IFERROR(INDEX(Movimientos!$D$2:$D$1998,MATCH(A290&amp;"ENTRADA",Movimientos!$R$2:$R$1998,0)),"-")</f>
        <v>-</v>
      </c>
      <c r="D290" s="3" t="str">
        <f>IFERROR(INDEX(Movimientos!$E$2:$E$1998,MATCH(A290&amp;"ENTRADA",Movimientos!$R$2:$R$1998,0)),"-")</f>
        <v>-</v>
      </c>
      <c r="E290" s="3" t="str">
        <f>IFERROR(INDEX(Movimientos!$F$2:$F$1998,MATCH(A290&amp;"ENTRADA",Movimientos!$R$2:$R$1998,0)),"-")</f>
        <v>-</v>
      </c>
      <c r="F290" s="3" t="str">
        <f>IFERROR(INDEX(Movimientos!$G$2:$G$1998,MATCH(A290&amp;"ENTRADA",Movimientos!$R$2:$R$1998,0)),"-")</f>
        <v>-</v>
      </c>
      <c r="G290" s="3" t="str">
        <f>IFERROR(INDEX(Movimientos!$L$2:$L$1998,MATCH(A290&amp;"ENTRADA",Movimientos!$R$2:$R$1998,0)),"-")</f>
        <v>-</v>
      </c>
      <c r="H290" s="19" t="str">
        <f>IFERROR(IF(INDEX(Movimientos!$M$2:$M$1998,MATCH(A290&amp;"ENTRADA",Movimientos!$R$2:$R$1998,0))=0,"S/D",INDEX(Movimientos!$M$2:$M$1998,MATCH(A290&amp;"ENTRADA",Movimientos!$R$2:$R$1998,0))),"S/D")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9"/>
        <v>SIN STOCK</v>
      </c>
    </row>
    <row r="291" spans="1:11" ht="14.25">
      <c r="A291" s="18" t="s">
        <v>2434</v>
      </c>
      <c r="B291" s="3" t="str">
        <f>IFERROR(INDEX(Movimientos!$C$2:$C$1998,MATCH(A291&amp;"ENTRADA",Movimientos!$R$2:$R$1998,0)),"-")</f>
        <v>-</v>
      </c>
      <c r="C291" s="3" t="str">
        <f>IFERROR(INDEX(Movimientos!$D$2:$D$1998,MATCH(A291&amp;"ENTRADA",Movimientos!$R$2:$R$1998,0)),"-")</f>
        <v>-</v>
      </c>
      <c r="D291" s="3" t="str">
        <f>IFERROR(INDEX(Movimientos!$E$2:$E$1998,MATCH(A291&amp;"ENTRADA",Movimientos!$R$2:$R$1998,0)),"-")</f>
        <v>-</v>
      </c>
      <c r="E291" s="3" t="str">
        <f>IFERROR(INDEX(Movimientos!$F$2:$F$1998,MATCH(A291&amp;"ENTRADA",Movimientos!$R$2:$R$1998,0)),"-")</f>
        <v>-</v>
      </c>
      <c r="F291" s="3" t="str">
        <f>IFERROR(INDEX(Movimientos!$G$2:$G$1998,MATCH(A291&amp;"ENTRADA",Movimientos!$R$2:$R$1998,0)),"-")</f>
        <v>-</v>
      </c>
      <c r="G291" s="3" t="str">
        <f>IFERROR(INDEX(Movimientos!$L$2:$L$1998,MATCH(A291&amp;"ENTRADA",Movimientos!$R$2:$R$1998,0)),"-")</f>
        <v>-</v>
      </c>
      <c r="H291" s="19" t="str">
        <f>IFERROR(IF(INDEX(Movimientos!$M$2:$M$1998,MATCH(A291&amp;"ENTRADA",Movimientos!$R$2:$R$1998,0))=0,"S/D",INDEX(Movimientos!$M$2:$M$1998,MATCH(A291&amp;"ENTRADA",Movimientos!$R$2:$R$1998,0))),"S/D")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9"/>
        <v>SIN STOCK</v>
      </c>
    </row>
    <row r="292" spans="1:11" ht="14.25">
      <c r="A292" s="18" t="s">
        <v>2435</v>
      </c>
      <c r="B292" s="3" t="str">
        <f>IFERROR(INDEX(Movimientos!$C$2:$C$1998,MATCH(A292&amp;"ENTRADA",Movimientos!$R$2:$R$1998,0)),"-")</f>
        <v>-</v>
      </c>
      <c r="C292" s="3" t="str">
        <f>IFERROR(INDEX(Movimientos!$D$2:$D$1998,MATCH(A292&amp;"ENTRADA",Movimientos!$R$2:$R$1998,0)),"-")</f>
        <v>-</v>
      </c>
      <c r="D292" s="3" t="str">
        <f>IFERROR(INDEX(Movimientos!$E$2:$E$1998,MATCH(A292&amp;"ENTRADA",Movimientos!$R$2:$R$1998,0)),"-")</f>
        <v>-</v>
      </c>
      <c r="E292" s="3" t="str">
        <f>IFERROR(INDEX(Movimientos!$F$2:$F$1998,MATCH(A292&amp;"ENTRADA",Movimientos!$R$2:$R$1998,0)),"-")</f>
        <v>-</v>
      </c>
      <c r="F292" s="3" t="str">
        <f>IFERROR(INDEX(Movimientos!$G$2:$G$1998,MATCH(A292&amp;"ENTRADA",Movimientos!$R$2:$R$1998,0)),"-")</f>
        <v>-</v>
      </c>
      <c r="G292" s="3" t="str">
        <f>IFERROR(INDEX(Movimientos!$L$2:$L$1998,MATCH(A292&amp;"ENTRADA",Movimientos!$R$2:$R$1998,0)),"-")</f>
        <v>-</v>
      </c>
      <c r="H292" s="19" t="str">
        <f>IFERROR(IF(INDEX(Movimientos!$M$2:$M$1998,MATCH(A292&amp;"ENTRADA",Movimientos!$R$2:$R$1998,0))=0,"S/D",INDEX(Movimientos!$M$2:$M$1998,MATCH(A292&amp;"ENTRADA",Movimientos!$R$2:$R$1998,0))),"S/D")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9"/>
        <v>SIN STOCK</v>
      </c>
    </row>
    <row r="293" spans="1:11" ht="14.25">
      <c r="A293" s="18" t="s">
        <v>2436</v>
      </c>
      <c r="B293" s="3" t="str">
        <f>IFERROR(INDEX(Movimientos!$C$2:$C$1998,MATCH(A293&amp;"ENTRADA",Movimientos!$R$2:$R$1998,0)),"-")</f>
        <v>-</v>
      </c>
      <c r="C293" s="3" t="str">
        <f>IFERROR(INDEX(Movimientos!$D$2:$D$1998,MATCH(A293&amp;"ENTRADA",Movimientos!$R$2:$R$1998,0)),"-")</f>
        <v>-</v>
      </c>
      <c r="D293" s="3" t="str">
        <f>IFERROR(INDEX(Movimientos!$E$2:$E$1998,MATCH(A293&amp;"ENTRADA",Movimientos!$R$2:$R$1998,0)),"-")</f>
        <v>-</v>
      </c>
      <c r="E293" s="3" t="str">
        <f>IFERROR(INDEX(Movimientos!$F$2:$F$1998,MATCH(A293&amp;"ENTRADA",Movimientos!$R$2:$R$1998,0)),"-")</f>
        <v>-</v>
      </c>
      <c r="F293" s="3" t="str">
        <f>IFERROR(INDEX(Movimientos!$G$2:$G$1998,MATCH(A293&amp;"ENTRADA",Movimientos!$R$2:$R$1998,0)),"-")</f>
        <v>-</v>
      </c>
      <c r="G293" s="3" t="str">
        <f>IFERROR(INDEX(Movimientos!$L$2:$L$1998,MATCH(A293&amp;"ENTRADA",Movimientos!$R$2:$R$1998,0)),"-")</f>
        <v>-</v>
      </c>
      <c r="H293" s="19" t="str">
        <f>IFERROR(IF(INDEX(Movimientos!$M$2:$M$1998,MATCH(A293&amp;"ENTRADA",Movimientos!$R$2:$R$1998,0))=0,"S/D",INDEX(Movimientos!$M$2:$M$1998,MATCH(A293&amp;"ENTRADA",Movimientos!$R$2:$R$1998,0))),"S/D")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9"/>
        <v>SIN STOCK</v>
      </c>
    </row>
    <row r="294" spans="1:11" ht="14.25">
      <c r="A294" s="18" t="s">
        <v>2437</v>
      </c>
      <c r="B294" s="3" t="str">
        <f>IFERROR(INDEX(Movimientos!$C$2:$C$1998,MATCH(A294&amp;"ENTRADA",Movimientos!$R$2:$R$1998,0)),"-")</f>
        <v>-</v>
      </c>
      <c r="C294" s="3" t="str">
        <f>IFERROR(INDEX(Movimientos!$D$2:$D$1998,MATCH(A294&amp;"ENTRADA",Movimientos!$R$2:$R$1998,0)),"-")</f>
        <v>-</v>
      </c>
      <c r="D294" s="3" t="str">
        <f>IFERROR(INDEX(Movimientos!$E$2:$E$1998,MATCH(A294&amp;"ENTRADA",Movimientos!$R$2:$R$1998,0)),"-")</f>
        <v>-</v>
      </c>
      <c r="E294" s="3" t="str">
        <f>IFERROR(INDEX(Movimientos!$F$2:$F$1998,MATCH(A294&amp;"ENTRADA",Movimientos!$R$2:$R$1998,0)),"-")</f>
        <v>-</v>
      </c>
      <c r="F294" s="3" t="str">
        <f>IFERROR(INDEX(Movimientos!$G$2:$G$1998,MATCH(A294&amp;"ENTRADA",Movimientos!$R$2:$R$1998,0)),"-")</f>
        <v>-</v>
      </c>
      <c r="G294" s="3" t="str">
        <f>IFERROR(INDEX(Movimientos!$L$2:$L$1998,MATCH(A294&amp;"ENTRADA",Movimientos!$R$2:$R$1998,0)),"-")</f>
        <v>-</v>
      </c>
      <c r="H294" s="19" t="str">
        <f>IFERROR(IF(INDEX(Movimientos!$M$2:$M$1998,MATCH(A294&amp;"ENTRADA",Movimientos!$R$2:$R$1998,0))=0,"S/D",INDEX(Movimientos!$M$2:$M$1998,MATCH(A294&amp;"ENTRADA",Movimientos!$R$2:$R$1998,0))),"S/D")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9"/>
        <v>SIN STOCK</v>
      </c>
    </row>
    <row r="295" spans="1:11" ht="14.25">
      <c r="A295" s="18" t="s">
        <v>2438</v>
      </c>
      <c r="B295" s="3" t="str">
        <f>IFERROR(INDEX(Movimientos!$C$2:$C$1998,MATCH(A295&amp;"ENTRADA",Movimientos!$R$2:$R$1998,0)),"-")</f>
        <v>-</v>
      </c>
      <c r="C295" s="3" t="str">
        <f>IFERROR(INDEX(Movimientos!$D$2:$D$1998,MATCH(A295&amp;"ENTRADA",Movimientos!$R$2:$R$1998,0)),"-")</f>
        <v>-</v>
      </c>
      <c r="D295" s="3" t="str">
        <f>IFERROR(INDEX(Movimientos!$E$2:$E$1998,MATCH(A295&amp;"ENTRADA",Movimientos!$R$2:$R$1998,0)),"-")</f>
        <v>-</v>
      </c>
      <c r="E295" s="3" t="str">
        <f>IFERROR(INDEX(Movimientos!$F$2:$F$1998,MATCH(A295&amp;"ENTRADA",Movimientos!$R$2:$R$1998,0)),"-")</f>
        <v>-</v>
      </c>
      <c r="F295" s="3" t="str">
        <f>IFERROR(INDEX(Movimientos!$G$2:$G$1998,MATCH(A295&amp;"ENTRADA",Movimientos!$R$2:$R$1998,0)),"-")</f>
        <v>-</v>
      </c>
      <c r="G295" s="3" t="str">
        <f>IFERROR(INDEX(Movimientos!$L$2:$L$1998,MATCH(A295&amp;"ENTRADA",Movimientos!$R$2:$R$1998,0)),"-")</f>
        <v>-</v>
      </c>
      <c r="H295" s="19" t="str">
        <f>IFERROR(IF(INDEX(Movimientos!$M$2:$M$1998,MATCH(A295&amp;"ENTRADA",Movimientos!$R$2:$R$1998,0))=0,"S/D",INDEX(Movimientos!$M$2:$M$1998,MATCH(A295&amp;"ENTRADA",Movimientos!$R$2:$R$1998,0))),"S/D")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9"/>
        <v>SIN STOCK</v>
      </c>
    </row>
    <row r="296" spans="1:11" ht="14.25">
      <c r="A296" s="18" t="s">
        <v>2439</v>
      </c>
      <c r="B296" s="3" t="str">
        <f>IFERROR(INDEX(Movimientos!$C$2:$C$1998,MATCH(A296&amp;"ENTRADA",Movimientos!$R$2:$R$1998,0)),"-")</f>
        <v>-</v>
      </c>
      <c r="C296" s="3" t="str">
        <f>IFERROR(INDEX(Movimientos!$D$2:$D$1998,MATCH(A296&amp;"ENTRADA",Movimientos!$R$2:$R$1998,0)),"-")</f>
        <v>-</v>
      </c>
      <c r="D296" s="3" t="str">
        <f>IFERROR(INDEX(Movimientos!$E$2:$E$1998,MATCH(A296&amp;"ENTRADA",Movimientos!$R$2:$R$1998,0)),"-")</f>
        <v>-</v>
      </c>
      <c r="E296" s="3" t="str">
        <f>IFERROR(INDEX(Movimientos!$F$2:$F$1998,MATCH(A296&amp;"ENTRADA",Movimientos!$R$2:$R$1998,0)),"-")</f>
        <v>-</v>
      </c>
      <c r="F296" s="3" t="str">
        <f>IFERROR(INDEX(Movimientos!$G$2:$G$1998,MATCH(A296&amp;"ENTRADA",Movimientos!$R$2:$R$1998,0)),"-")</f>
        <v>-</v>
      </c>
      <c r="G296" s="3" t="str">
        <f>IFERROR(INDEX(Movimientos!$L$2:$L$1998,MATCH(A296&amp;"ENTRADA",Movimientos!$R$2:$R$1998,0)),"-")</f>
        <v>-</v>
      </c>
      <c r="H296" s="19" t="str">
        <f>IFERROR(IF(INDEX(Movimientos!$M$2:$M$1998,MATCH(A296&amp;"ENTRADA",Movimientos!$R$2:$R$1998,0))=0,"S/D",INDEX(Movimientos!$M$2:$M$1998,MATCH(A296&amp;"ENTRADA",Movimientos!$R$2:$R$1998,0))),"S/D")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9"/>
        <v>SIN STOCK</v>
      </c>
    </row>
    <row r="297" spans="1:11" ht="14.25">
      <c r="A297" s="18" t="s">
        <v>2440</v>
      </c>
      <c r="B297" s="3" t="str">
        <f>IFERROR(INDEX(Movimientos!$C$2:$C$1998,MATCH(A297&amp;"ENTRADA",Movimientos!$R$2:$R$1998,0)),"-")</f>
        <v>-</v>
      </c>
      <c r="C297" s="3" t="str">
        <f>IFERROR(INDEX(Movimientos!$D$2:$D$1998,MATCH(A297&amp;"ENTRADA",Movimientos!$R$2:$R$1998,0)),"-")</f>
        <v>-</v>
      </c>
      <c r="D297" s="3" t="str">
        <f>IFERROR(INDEX(Movimientos!$E$2:$E$1998,MATCH(A297&amp;"ENTRADA",Movimientos!$R$2:$R$1998,0)),"-")</f>
        <v>-</v>
      </c>
      <c r="E297" s="3" t="str">
        <f>IFERROR(INDEX(Movimientos!$F$2:$F$1998,MATCH(A297&amp;"ENTRADA",Movimientos!$R$2:$R$1998,0)),"-")</f>
        <v>-</v>
      </c>
      <c r="F297" s="3" t="str">
        <f>IFERROR(INDEX(Movimientos!$G$2:$G$1998,MATCH(A297&amp;"ENTRADA",Movimientos!$R$2:$R$1998,0)),"-")</f>
        <v>-</v>
      </c>
      <c r="G297" s="3" t="str">
        <f>IFERROR(INDEX(Movimientos!$L$2:$L$1998,MATCH(A297&amp;"ENTRADA",Movimientos!$R$2:$R$1998,0)),"-")</f>
        <v>-</v>
      </c>
      <c r="H297" s="19" t="str">
        <f>IFERROR(IF(INDEX(Movimientos!$M$2:$M$1998,MATCH(A297&amp;"ENTRADA",Movimientos!$R$2:$R$1998,0))=0,"S/D",INDEX(Movimientos!$M$2:$M$1998,MATCH(A297&amp;"ENTRADA",Movimientos!$R$2:$R$1998,0))),"S/D")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9"/>
        <v>SIN STOCK</v>
      </c>
    </row>
    <row r="298" spans="1:11" ht="14.25">
      <c r="A298" s="18" t="s">
        <v>2441</v>
      </c>
      <c r="B298" s="3" t="str">
        <f>IFERROR(INDEX(Movimientos!$C$2:$C$1998,MATCH(A298&amp;"ENTRADA",Movimientos!$R$2:$R$1998,0)),"-")</f>
        <v>-</v>
      </c>
      <c r="C298" s="3" t="str">
        <f>IFERROR(INDEX(Movimientos!$D$2:$D$1998,MATCH(A298&amp;"ENTRADA",Movimientos!$R$2:$R$1998,0)),"-")</f>
        <v>-</v>
      </c>
      <c r="D298" s="3" t="str">
        <f>IFERROR(INDEX(Movimientos!$E$2:$E$1998,MATCH(A298&amp;"ENTRADA",Movimientos!$R$2:$R$1998,0)),"-")</f>
        <v>-</v>
      </c>
      <c r="E298" s="3" t="str">
        <f>IFERROR(INDEX(Movimientos!$F$2:$F$1998,MATCH(A298&amp;"ENTRADA",Movimientos!$R$2:$R$1998,0)),"-")</f>
        <v>-</v>
      </c>
      <c r="F298" s="3" t="str">
        <f>IFERROR(INDEX(Movimientos!$G$2:$G$1998,MATCH(A298&amp;"ENTRADA",Movimientos!$R$2:$R$1998,0)),"-")</f>
        <v>-</v>
      </c>
      <c r="G298" s="3" t="str">
        <f>IFERROR(INDEX(Movimientos!$L$2:$L$1998,MATCH(A298&amp;"ENTRADA",Movimientos!$R$2:$R$1998,0)),"-")</f>
        <v>-</v>
      </c>
      <c r="H298" s="19" t="str">
        <f>IFERROR(IF(INDEX(Movimientos!$M$2:$M$1998,MATCH(A298&amp;"ENTRADA",Movimientos!$R$2:$R$1998,0))=0,"S/D",INDEX(Movimientos!$M$2:$M$1998,MATCH(A298&amp;"ENTRADA",Movimientos!$R$2:$R$1998,0))),"S/D")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9"/>
        <v>SIN STOCK</v>
      </c>
    </row>
    <row r="299" spans="1:11" ht="14.25">
      <c r="A299" s="18" t="s">
        <v>2442</v>
      </c>
      <c r="B299" s="3" t="str">
        <f>IFERROR(INDEX(Movimientos!$C$2:$C$1998,MATCH(A299&amp;"ENTRADA",Movimientos!$R$2:$R$1998,0)),"-")</f>
        <v>-</v>
      </c>
      <c r="C299" s="3" t="str">
        <f>IFERROR(INDEX(Movimientos!$D$2:$D$1998,MATCH(A299&amp;"ENTRADA",Movimientos!$R$2:$R$1998,0)),"-")</f>
        <v>-</v>
      </c>
      <c r="D299" s="3" t="str">
        <f>IFERROR(INDEX(Movimientos!$E$2:$E$1998,MATCH(A299&amp;"ENTRADA",Movimientos!$R$2:$R$1998,0)),"-")</f>
        <v>-</v>
      </c>
      <c r="E299" s="3" t="str">
        <f>IFERROR(INDEX(Movimientos!$F$2:$F$1998,MATCH(A299&amp;"ENTRADA",Movimientos!$R$2:$R$1998,0)),"-")</f>
        <v>-</v>
      </c>
      <c r="F299" s="3" t="str">
        <f>IFERROR(INDEX(Movimientos!$G$2:$G$1998,MATCH(A299&amp;"ENTRADA",Movimientos!$R$2:$R$1998,0)),"-")</f>
        <v>-</v>
      </c>
      <c r="G299" s="3" t="str">
        <f>IFERROR(INDEX(Movimientos!$L$2:$L$1998,MATCH(A299&amp;"ENTRADA",Movimientos!$R$2:$R$1998,0)),"-")</f>
        <v>-</v>
      </c>
      <c r="H299" s="19" t="str">
        <f>IFERROR(IF(INDEX(Movimientos!$M$2:$M$1998,MATCH(A299&amp;"ENTRADA",Movimientos!$R$2:$R$1998,0))=0,"S/D",INDEX(Movimientos!$M$2:$M$1998,MATCH(A299&amp;"ENTRADA",Movimientos!$R$2:$R$1998,0))),"S/D")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9"/>
        <v>SIN STOCK</v>
      </c>
    </row>
    <row r="300" spans="1:11" ht="14.25">
      <c r="A300" s="18" t="s">
        <v>2443</v>
      </c>
      <c r="B300" s="3" t="str">
        <f>IFERROR(INDEX(Movimientos!$C$2:$C$1998,MATCH(A300&amp;"ENTRADA",Movimientos!$R$2:$R$1998,0)),"-")</f>
        <v>-</v>
      </c>
      <c r="C300" s="3" t="str">
        <f>IFERROR(INDEX(Movimientos!$D$2:$D$1998,MATCH(A300&amp;"ENTRADA",Movimientos!$R$2:$R$1998,0)),"-")</f>
        <v>-</v>
      </c>
      <c r="D300" s="3" t="str">
        <f>IFERROR(INDEX(Movimientos!$E$2:$E$1998,MATCH(A300&amp;"ENTRADA",Movimientos!$R$2:$R$1998,0)),"-")</f>
        <v>-</v>
      </c>
      <c r="E300" s="3" t="str">
        <f>IFERROR(INDEX(Movimientos!$F$2:$F$1998,MATCH(A300&amp;"ENTRADA",Movimientos!$R$2:$R$1998,0)),"-")</f>
        <v>-</v>
      </c>
      <c r="F300" s="3" t="str">
        <f>IFERROR(INDEX(Movimientos!$G$2:$G$1998,MATCH(A300&amp;"ENTRADA",Movimientos!$R$2:$R$1998,0)),"-")</f>
        <v>-</v>
      </c>
      <c r="G300" s="3" t="str">
        <f>IFERROR(INDEX(Movimientos!$L$2:$L$1998,MATCH(A300&amp;"ENTRADA",Movimientos!$R$2:$R$1998,0)),"-")</f>
        <v>-</v>
      </c>
      <c r="H300" s="19" t="str">
        <f>IFERROR(IF(INDEX(Movimientos!$M$2:$M$1998,MATCH(A300&amp;"ENTRADA",Movimientos!$R$2:$R$1998,0))=0,"S/D",INDEX(Movimientos!$M$2:$M$1998,MATCH(A300&amp;"ENTRADA",Movimientos!$R$2:$R$1998,0))),"S/D")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9"/>
        <v>SIN STOCK</v>
      </c>
    </row>
    <row r="301" spans="1:11" ht="14.25">
      <c r="A301" s="18" t="s">
        <v>2444</v>
      </c>
      <c r="B301" s="3" t="str">
        <f>IFERROR(INDEX(Movimientos!$C$2:$C$1998,MATCH(A301&amp;"ENTRADA",Movimientos!$R$2:$R$1998,0)),"-")</f>
        <v>-</v>
      </c>
      <c r="C301" s="3" t="str">
        <f>IFERROR(INDEX(Movimientos!$D$2:$D$1998,MATCH(A301&amp;"ENTRADA",Movimientos!$R$2:$R$1998,0)),"-")</f>
        <v>-</v>
      </c>
      <c r="D301" s="3" t="str">
        <f>IFERROR(INDEX(Movimientos!$E$2:$E$1998,MATCH(A301&amp;"ENTRADA",Movimientos!$R$2:$R$1998,0)),"-")</f>
        <v>-</v>
      </c>
      <c r="E301" s="3" t="str">
        <f>IFERROR(INDEX(Movimientos!$F$2:$F$1998,MATCH(A301&amp;"ENTRADA",Movimientos!$R$2:$R$1998,0)),"-")</f>
        <v>-</v>
      </c>
      <c r="F301" s="3" t="str">
        <f>IFERROR(INDEX(Movimientos!$G$2:$G$1998,MATCH(A301&amp;"ENTRADA",Movimientos!$R$2:$R$1998,0)),"-")</f>
        <v>-</v>
      </c>
      <c r="G301" s="3" t="str">
        <f>IFERROR(INDEX(Movimientos!$L$2:$L$1998,MATCH(A301&amp;"ENTRADA",Movimientos!$R$2:$R$1998,0)),"-")</f>
        <v>-</v>
      </c>
      <c r="H301" s="19" t="str">
        <f>IFERROR(IF(INDEX(Movimientos!$M$2:$M$1998,MATCH(A301&amp;"ENTRADA",Movimientos!$R$2:$R$1998,0))=0,"S/D",INDEX(Movimientos!$M$2:$M$1998,MATCH(A301&amp;"ENTRADA",Movimientos!$R$2:$R$1998,0))),"S/D")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9"/>
        <v>SIN STOCK</v>
      </c>
    </row>
    <row r="302" spans="1:11" ht="14.25">
      <c r="A302" s="18" t="s">
        <v>2445</v>
      </c>
      <c r="B302" s="3" t="str">
        <f>IFERROR(INDEX(Movimientos!$C$2:$C$1998,MATCH(A302&amp;"ENTRADA",Movimientos!$R$2:$R$1998,0)),"-")</f>
        <v>-</v>
      </c>
      <c r="C302" s="3" t="str">
        <f>IFERROR(INDEX(Movimientos!$D$2:$D$1998,MATCH(A302&amp;"ENTRADA",Movimientos!$R$2:$R$1998,0)),"-")</f>
        <v>-</v>
      </c>
      <c r="D302" s="3" t="str">
        <f>IFERROR(INDEX(Movimientos!$E$2:$E$1998,MATCH(A302&amp;"ENTRADA",Movimientos!$R$2:$R$1998,0)),"-")</f>
        <v>-</v>
      </c>
      <c r="E302" s="3" t="str">
        <f>IFERROR(INDEX(Movimientos!$F$2:$F$1998,MATCH(A302&amp;"ENTRADA",Movimientos!$R$2:$R$1998,0)),"-")</f>
        <v>-</v>
      </c>
      <c r="F302" s="3" t="str">
        <f>IFERROR(INDEX(Movimientos!$G$2:$G$1998,MATCH(A302&amp;"ENTRADA",Movimientos!$R$2:$R$1998,0)),"-")</f>
        <v>-</v>
      </c>
      <c r="G302" s="3" t="str">
        <f>IFERROR(INDEX(Movimientos!$L$2:$L$1998,MATCH(A302&amp;"ENTRADA",Movimientos!$R$2:$R$1998,0)),"-")</f>
        <v>-</v>
      </c>
      <c r="H302" s="19" t="str">
        <f>IFERROR(IF(INDEX(Movimientos!$M$2:$M$1998,MATCH(A302&amp;"ENTRADA",Movimientos!$R$2:$R$1998,0))=0,"S/D",INDEX(Movimientos!$M$2:$M$1998,MATCH(A302&amp;"ENTRADA",Movimientos!$R$2:$R$1998,0))),"S/D")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9"/>
        <v>SIN STOCK</v>
      </c>
    </row>
    <row r="303" spans="1:11" ht="14.25">
      <c r="A303" s="18" t="s">
        <v>2446</v>
      </c>
      <c r="B303" s="3" t="str">
        <f>IFERROR(INDEX(Movimientos!$C$2:$C$1998,MATCH(A303&amp;"ENTRADA",Movimientos!$R$2:$R$1998,0)),"-")</f>
        <v>-</v>
      </c>
      <c r="C303" s="3" t="str">
        <f>IFERROR(INDEX(Movimientos!$D$2:$D$1998,MATCH(A303&amp;"ENTRADA",Movimientos!$R$2:$R$1998,0)),"-")</f>
        <v>-</v>
      </c>
      <c r="D303" s="3" t="str">
        <f>IFERROR(INDEX(Movimientos!$E$2:$E$1998,MATCH(A303&amp;"ENTRADA",Movimientos!$R$2:$R$1998,0)),"-")</f>
        <v>-</v>
      </c>
      <c r="E303" s="3" t="str">
        <f>IFERROR(INDEX(Movimientos!$F$2:$F$1998,MATCH(A303&amp;"ENTRADA",Movimientos!$R$2:$R$1998,0)),"-")</f>
        <v>-</v>
      </c>
      <c r="F303" s="3" t="str">
        <f>IFERROR(INDEX(Movimientos!$G$2:$G$1998,MATCH(A303&amp;"ENTRADA",Movimientos!$R$2:$R$1998,0)),"-")</f>
        <v>-</v>
      </c>
      <c r="G303" s="3" t="str">
        <f>IFERROR(INDEX(Movimientos!$L$2:$L$1998,MATCH(A303&amp;"ENTRADA",Movimientos!$R$2:$R$1998,0)),"-")</f>
        <v>-</v>
      </c>
      <c r="H303" s="19" t="str">
        <f>IFERROR(IF(INDEX(Movimientos!$M$2:$M$1998,MATCH(A303&amp;"ENTRADA",Movimientos!$R$2:$R$1998,0))=0,"S/D",INDEX(Movimientos!$M$2:$M$1998,MATCH(A303&amp;"ENTRADA",Movimientos!$R$2:$R$1998,0))),"S/D")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9"/>
        <v>SIN STOCK</v>
      </c>
    </row>
    <row r="304" spans="1:11" ht="14.25">
      <c r="A304" s="18" t="s">
        <v>2447</v>
      </c>
      <c r="B304" s="3" t="str">
        <f>IFERROR(INDEX(Movimientos!$C$2:$C$1998,MATCH(A304&amp;"ENTRADA",Movimientos!$R$2:$R$1998,0)),"-")</f>
        <v>-</v>
      </c>
      <c r="C304" s="3" t="str">
        <f>IFERROR(INDEX(Movimientos!$D$2:$D$1998,MATCH(A304&amp;"ENTRADA",Movimientos!$R$2:$R$1998,0)),"-")</f>
        <v>-</v>
      </c>
      <c r="D304" s="3" t="str">
        <f>IFERROR(INDEX(Movimientos!$E$2:$E$1998,MATCH(A304&amp;"ENTRADA",Movimientos!$R$2:$R$1998,0)),"-")</f>
        <v>-</v>
      </c>
      <c r="E304" s="3" t="str">
        <f>IFERROR(INDEX(Movimientos!$F$2:$F$1998,MATCH(A304&amp;"ENTRADA",Movimientos!$R$2:$R$1998,0)),"-")</f>
        <v>-</v>
      </c>
      <c r="F304" s="3" t="str">
        <f>IFERROR(INDEX(Movimientos!$G$2:$G$1998,MATCH(A304&amp;"ENTRADA",Movimientos!$R$2:$R$1998,0)),"-")</f>
        <v>-</v>
      </c>
      <c r="G304" s="3" t="str">
        <f>IFERROR(INDEX(Movimientos!$L$2:$L$1998,MATCH(A304&amp;"ENTRADA",Movimientos!$R$2:$R$1998,0)),"-")</f>
        <v>-</v>
      </c>
      <c r="H304" s="19" t="str">
        <f>IFERROR(IF(INDEX(Movimientos!$M$2:$M$1998,MATCH(A304&amp;"ENTRADA",Movimientos!$R$2:$R$1998,0))=0,"S/D",INDEX(Movimientos!$M$2:$M$1998,MATCH(A304&amp;"ENTRADA",Movimientos!$R$2:$R$1998,0))),"S/D")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9"/>
        <v>SIN STOCK</v>
      </c>
    </row>
    <row r="305" spans="1:11" ht="14.25">
      <c r="A305" s="18" t="s">
        <v>2448</v>
      </c>
      <c r="B305" s="3" t="str">
        <f>IFERROR(INDEX(Movimientos!$C$2:$C$1998,MATCH(A305&amp;"ENTRADA",Movimientos!$R$2:$R$1998,0)),"-")</f>
        <v>-</v>
      </c>
      <c r="C305" s="3" t="str">
        <f>IFERROR(INDEX(Movimientos!$D$2:$D$1998,MATCH(A305&amp;"ENTRADA",Movimientos!$R$2:$R$1998,0)),"-")</f>
        <v>-</v>
      </c>
      <c r="D305" s="3" t="str">
        <f>IFERROR(INDEX(Movimientos!$E$2:$E$1998,MATCH(A305&amp;"ENTRADA",Movimientos!$R$2:$R$1998,0)),"-")</f>
        <v>-</v>
      </c>
      <c r="E305" s="3" t="str">
        <f>IFERROR(INDEX(Movimientos!$F$2:$F$1998,MATCH(A305&amp;"ENTRADA",Movimientos!$R$2:$R$1998,0)),"-")</f>
        <v>-</v>
      </c>
      <c r="F305" s="3" t="str">
        <f>IFERROR(INDEX(Movimientos!$G$2:$G$1998,MATCH(A305&amp;"ENTRADA",Movimientos!$R$2:$R$1998,0)),"-")</f>
        <v>-</v>
      </c>
      <c r="G305" s="3" t="str">
        <f>IFERROR(INDEX(Movimientos!$L$2:$L$1998,MATCH(A305&amp;"ENTRADA",Movimientos!$R$2:$R$1998,0)),"-")</f>
        <v>-</v>
      </c>
      <c r="H305" s="19" t="str">
        <f>IFERROR(IF(INDEX(Movimientos!$M$2:$M$1998,MATCH(A305&amp;"ENTRADA",Movimientos!$R$2:$R$1998,0))=0,"S/D",INDEX(Movimientos!$M$2:$M$1998,MATCH(A305&amp;"ENTRADA",Movimientos!$R$2:$R$1998,0))),"S/D")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9"/>
        <v>SIN STOCK</v>
      </c>
    </row>
    <row r="306" spans="1:11" ht="14.25">
      <c r="A306" s="18" t="s">
        <v>2449</v>
      </c>
      <c r="B306" s="3" t="str">
        <f>IFERROR(INDEX(Movimientos!$C$2:$C$1998,MATCH(A306&amp;"ENTRADA",Movimientos!$R$2:$R$1998,0)),"-")</f>
        <v>-</v>
      </c>
      <c r="C306" s="3" t="str">
        <f>IFERROR(INDEX(Movimientos!$D$2:$D$1998,MATCH(A306&amp;"ENTRADA",Movimientos!$R$2:$R$1998,0)),"-")</f>
        <v>-</v>
      </c>
      <c r="D306" s="3" t="str">
        <f>IFERROR(INDEX(Movimientos!$E$2:$E$1998,MATCH(A306&amp;"ENTRADA",Movimientos!$R$2:$R$1998,0)),"-")</f>
        <v>-</v>
      </c>
      <c r="E306" s="3" t="str">
        <f>IFERROR(INDEX(Movimientos!$F$2:$F$1998,MATCH(A306&amp;"ENTRADA",Movimientos!$R$2:$R$1998,0)),"-")</f>
        <v>-</v>
      </c>
      <c r="F306" s="3" t="str">
        <f>IFERROR(INDEX(Movimientos!$G$2:$G$1998,MATCH(A306&amp;"ENTRADA",Movimientos!$R$2:$R$1998,0)),"-")</f>
        <v>-</v>
      </c>
      <c r="G306" s="3" t="str">
        <f>IFERROR(INDEX(Movimientos!$L$2:$L$1998,MATCH(A306&amp;"ENTRADA",Movimientos!$R$2:$R$1998,0)),"-")</f>
        <v>-</v>
      </c>
      <c r="H306" s="19" t="str">
        <f>IFERROR(IF(INDEX(Movimientos!$M$2:$M$1998,MATCH(A306&amp;"ENTRADA",Movimientos!$R$2:$R$1998,0))=0,"S/D",INDEX(Movimientos!$M$2:$M$1998,MATCH(A306&amp;"ENTRADA",Movimientos!$R$2:$R$1998,0))),"S/D")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9"/>
        <v>SIN STOCK</v>
      </c>
    </row>
    <row r="307" spans="1:11" ht="14.25">
      <c r="A307" s="18" t="s">
        <v>2450</v>
      </c>
      <c r="B307" s="3" t="str">
        <f>IFERROR(INDEX(Movimientos!$C$2:$C$1998,MATCH(A307&amp;"ENTRADA",Movimientos!$R$2:$R$1998,0)),"-")</f>
        <v>-</v>
      </c>
      <c r="C307" s="3" t="str">
        <f>IFERROR(INDEX(Movimientos!$D$2:$D$1998,MATCH(A307&amp;"ENTRADA",Movimientos!$R$2:$R$1998,0)),"-")</f>
        <v>-</v>
      </c>
      <c r="D307" s="3" t="str">
        <f>IFERROR(INDEX(Movimientos!$E$2:$E$1998,MATCH(A307&amp;"ENTRADA",Movimientos!$R$2:$R$1998,0)),"-")</f>
        <v>-</v>
      </c>
      <c r="E307" s="3" t="str">
        <f>IFERROR(INDEX(Movimientos!$F$2:$F$1998,MATCH(A307&amp;"ENTRADA",Movimientos!$R$2:$R$1998,0)),"-")</f>
        <v>-</v>
      </c>
      <c r="F307" s="3" t="str">
        <f>IFERROR(INDEX(Movimientos!$G$2:$G$1998,MATCH(A307&amp;"ENTRADA",Movimientos!$R$2:$R$1998,0)),"-")</f>
        <v>-</v>
      </c>
      <c r="G307" s="3" t="str">
        <f>IFERROR(INDEX(Movimientos!$L$2:$L$1998,MATCH(A307&amp;"ENTRADA",Movimientos!$R$2:$R$1998,0)),"-")</f>
        <v>-</v>
      </c>
      <c r="H307" s="19" t="str">
        <f>IFERROR(IF(INDEX(Movimientos!$M$2:$M$1998,MATCH(A307&amp;"ENTRADA",Movimientos!$R$2:$R$1998,0))=0,"S/D",INDEX(Movimientos!$M$2:$M$1998,MATCH(A307&amp;"ENTRADA",Movimientos!$R$2:$R$1998,0))),"S/D")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9"/>
        <v>SIN STOCK</v>
      </c>
    </row>
    <row r="308" spans="1:11" ht="14.25">
      <c r="A308" s="18" t="s">
        <v>2451</v>
      </c>
      <c r="B308" s="3" t="str">
        <f>IFERROR(INDEX(Movimientos!$C$2:$C$1998,MATCH(A308&amp;"ENTRADA",Movimientos!$R$2:$R$1998,0)),"-")</f>
        <v>-</v>
      </c>
      <c r="C308" s="3" t="str">
        <f>IFERROR(INDEX(Movimientos!$D$2:$D$1998,MATCH(A308&amp;"ENTRADA",Movimientos!$R$2:$R$1998,0)),"-")</f>
        <v>-</v>
      </c>
      <c r="D308" s="3" t="str">
        <f>IFERROR(INDEX(Movimientos!$E$2:$E$1998,MATCH(A308&amp;"ENTRADA",Movimientos!$R$2:$R$1998,0)),"-")</f>
        <v>-</v>
      </c>
      <c r="E308" s="3" t="str">
        <f>IFERROR(INDEX(Movimientos!$F$2:$F$1998,MATCH(A308&amp;"ENTRADA",Movimientos!$R$2:$R$1998,0)),"-")</f>
        <v>-</v>
      </c>
      <c r="F308" s="3" t="str">
        <f>IFERROR(INDEX(Movimientos!$G$2:$G$1998,MATCH(A308&amp;"ENTRADA",Movimientos!$R$2:$R$1998,0)),"-")</f>
        <v>-</v>
      </c>
      <c r="G308" s="3" t="str">
        <f>IFERROR(INDEX(Movimientos!$L$2:$L$1998,MATCH(A308&amp;"ENTRADA",Movimientos!$R$2:$R$1998,0)),"-")</f>
        <v>-</v>
      </c>
      <c r="H308" s="19" t="str">
        <f>IFERROR(IF(INDEX(Movimientos!$M$2:$M$1998,MATCH(A308&amp;"ENTRADA",Movimientos!$R$2:$R$1998,0))=0,"S/D",INDEX(Movimientos!$M$2:$M$1998,MATCH(A308&amp;"ENTRADA",Movimientos!$R$2:$R$1998,0))),"S/D")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9"/>
        <v>SIN STOCK</v>
      </c>
    </row>
    <row r="309" spans="1:11" ht="14.25">
      <c r="A309" s="18" t="s">
        <v>2452</v>
      </c>
      <c r="B309" s="3" t="str">
        <f>IFERROR(INDEX(Movimientos!$C$2:$C$1998,MATCH(A309&amp;"ENTRADA",Movimientos!$R$2:$R$1998,0)),"-")</f>
        <v>-</v>
      </c>
      <c r="C309" s="3" t="str">
        <f>IFERROR(INDEX(Movimientos!$D$2:$D$1998,MATCH(A309&amp;"ENTRADA",Movimientos!$R$2:$R$1998,0)),"-")</f>
        <v>-</v>
      </c>
      <c r="D309" s="3" t="str">
        <f>IFERROR(INDEX(Movimientos!$E$2:$E$1998,MATCH(A309&amp;"ENTRADA",Movimientos!$R$2:$R$1998,0)),"-")</f>
        <v>-</v>
      </c>
      <c r="E309" s="3" t="str">
        <f>IFERROR(INDEX(Movimientos!$F$2:$F$1998,MATCH(A309&amp;"ENTRADA",Movimientos!$R$2:$R$1998,0)),"-")</f>
        <v>-</v>
      </c>
      <c r="F309" s="3" t="str">
        <f>IFERROR(INDEX(Movimientos!$G$2:$G$1998,MATCH(A309&amp;"ENTRADA",Movimientos!$R$2:$R$1998,0)),"-")</f>
        <v>-</v>
      </c>
      <c r="G309" s="3" t="str">
        <f>IFERROR(INDEX(Movimientos!$L$2:$L$1998,MATCH(A309&amp;"ENTRADA",Movimientos!$R$2:$R$1998,0)),"-")</f>
        <v>-</v>
      </c>
      <c r="H309" s="19" t="str">
        <f>IFERROR(IF(INDEX(Movimientos!$M$2:$M$1998,MATCH(A309&amp;"ENTRADA",Movimientos!$R$2:$R$1998,0))=0,"S/D",INDEX(Movimientos!$M$2:$M$1998,MATCH(A309&amp;"ENTRADA",Movimientos!$R$2:$R$1998,0))),"S/D")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9"/>
        <v>SIN STOCK</v>
      </c>
    </row>
    <row r="310" spans="1:11" ht="14.25">
      <c r="A310" s="18" t="s">
        <v>2453</v>
      </c>
      <c r="B310" s="3" t="str">
        <f>IFERROR(INDEX(Movimientos!$C$2:$C$1998,MATCH(A310&amp;"ENTRADA",Movimientos!$R$2:$R$1998,0)),"-")</f>
        <v>-</v>
      </c>
      <c r="C310" s="3" t="str">
        <f>IFERROR(INDEX(Movimientos!$D$2:$D$1998,MATCH(A310&amp;"ENTRADA",Movimientos!$R$2:$R$1998,0)),"-")</f>
        <v>-</v>
      </c>
      <c r="D310" s="3" t="str">
        <f>IFERROR(INDEX(Movimientos!$E$2:$E$1998,MATCH(A310&amp;"ENTRADA",Movimientos!$R$2:$R$1998,0)),"-")</f>
        <v>-</v>
      </c>
      <c r="E310" s="3" t="str">
        <f>IFERROR(INDEX(Movimientos!$F$2:$F$1998,MATCH(A310&amp;"ENTRADA",Movimientos!$R$2:$R$1998,0)),"-")</f>
        <v>-</v>
      </c>
      <c r="F310" s="3" t="str">
        <f>IFERROR(INDEX(Movimientos!$G$2:$G$1998,MATCH(A310&amp;"ENTRADA",Movimientos!$R$2:$R$1998,0)),"-")</f>
        <v>-</v>
      </c>
      <c r="G310" s="3" t="str">
        <f>IFERROR(INDEX(Movimientos!$L$2:$L$1998,MATCH(A310&amp;"ENTRADA",Movimientos!$R$2:$R$1998,0)),"-")</f>
        <v>-</v>
      </c>
      <c r="H310" s="19" t="str">
        <f>IFERROR(IF(INDEX(Movimientos!$M$2:$M$1998,MATCH(A310&amp;"ENTRADA",Movimientos!$R$2:$R$1998,0))=0,"S/D",INDEX(Movimientos!$M$2:$M$1998,MATCH(A310&amp;"ENTRADA",Movimientos!$R$2:$R$1998,0))),"S/D")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9"/>
        <v>SIN STOCK</v>
      </c>
    </row>
    <row r="311" spans="1:11" ht="14.25">
      <c r="A311" s="18" t="s">
        <v>2454</v>
      </c>
      <c r="B311" s="3" t="str">
        <f>IFERROR(INDEX(Movimientos!$C$2:$C$1998,MATCH(A311&amp;"ENTRADA",Movimientos!$R$2:$R$1998,0)),"-")</f>
        <v>-</v>
      </c>
      <c r="C311" s="3" t="str">
        <f>IFERROR(INDEX(Movimientos!$D$2:$D$1998,MATCH(A311&amp;"ENTRADA",Movimientos!$R$2:$R$1998,0)),"-")</f>
        <v>-</v>
      </c>
      <c r="D311" s="3" t="str">
        <f>IFERROR(INDEX(Movimientos!$E$2:$E$1998,MATCH(A311&amp;"ENTRADA",Movimientos!$R$2:$R$1998,0)),"-")</f>
        <v>-</v>
      </c>
      <c r="E311" s="3" t="str">
        <f>IFERROR(INDEX(Movimientos!$F$2:$F$1998,MATCH(A311&amp;"ENTRADA",Movimientos!$R$2:$R$1998,0)),"-")</f>
        <v>-</v>
      </c>
      <c r="F311" s="3" t="str">
        <f>IFERROR(INDEX(Movimientos!$G$2:$G$1998,MATCH(A311&amp;"ENTRADA",Movimientos!$R$2:$R$1998,0)),"-")</f>
        <v>-</v>
      </c>
      <c r="G311" s="3" t="str">
        <f>IFERROR(INDEX(Movimientos!$L$2:$L$1998,MATCH(A311&amp;"ENTRADA",Movimientos!$R$2:$R$1998,0)),"-")</f>
        <v>-</v>
      </c>
      <c r="H311" s="19" t="str">
        <f>IFERROR(IF(INDEX(Movimientos!$M$2:$M$1998,MATCH(A311&amp;"ENTRADA",Movimientos!$R$2:$R$1998,0))=0,"S/D",INDEX(Movimientos!$M$2:$M$1998,MATCH(A311&amp;"ENTRADA",Movimientos!$R$2:$R$1998,0))),"S/D")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9"/>
        <v>SIN STOCK</v>
      </c>
    </row>
    <row r="312" spans="1:11" ht="14.25">
      <c r="A312" s="18" t="s">
        <v>2455</v>
      </c>
      <c r="B312" s="3" t="str">
        <f>IFERROR(INDEX(Movimientos!$C$2:$C$1998,MATCH(A312&amp;"ENTRADA",Movimientos!$R$2:$R$1998,0)),"-")</f>
        <v>-</v>
      </c>
      <c r="C312" s="3" t="str">
        <f>IFERROR(INDEX(Movimientos!$D$2:$D$1998,MATCH(A312&amp;"ENTRADA",Movimientos!$R$2:$R$1998,0)),"-")</f>
        <v>-</v>
      </c>
      <c r="D312" s="3" t="str">
        <f>IFERROR(INDEX(Movimientos!$E$2:$E$1998,MATCH(A312&amp;"ENTRADA",Movimientos!$R$2:$R$1998,0)),"-")</f>
        <v>-</v>
      </c>
      <c r="E312" s="3" t="str">
        <f>IFERROR(INDEX(Movimientos!$F$2:$F$1998,MATCH(A312&amp;"ENTRADA",Movimientos!$R$2:$R$1998,0)),"-")</f>
        <v>-</v>
      </c>
      <c r="F312" s="3" t="str">
        <f>IFERROR(INDEX(Movimientos!$G$2:$G$1998,MATCH(A312&amp;"ENTRADA",Movimientos!$R$2:$R$1998,0)),"-")</f>
        <v>-</v>
      </c>
      <c r="G312" s="3" t="str">
        <f>IFERROR(INDEX(Movimientos!$L$2:$L$1998,MATCH(A312&amp;"ENTRADA",Movimientos!$R$2:$R$1998,0)),"-")</f>
        <v>-</v>
      </c>
      <c r="H312" s="19" t="str">
        <f>IFERROR(IF(INDEX(Movimientos!$M$2:$M$1998,MATCH(A312&amp;"ENTRADA",Movimientos!$R$2:$R$1998,0))=0,"S/D",INDEX(Movimientos!$M$2:$M$1998,MATCH(A312&amp;"ENTRADA",Movimientos!$R$2:$R$1998,0))),"S/D")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9"/>
        <v>SIN STOCK</v>
      </c>
    </row>
    <row r="313" spans="1:11" ht="14.25">
      <c r="A313" s="18" t="s">
        <v>2456</v>
      </c>
      <c r="B313" s="3" t="str">
        <f>IFERROR(INDEX(Movimientos!$C$2:$C$1998,MATCH(A313&amp;"ENTRADA",Movimientos!$R$2:$R$1998,0)),"-")</f>
        <v>-</v>
      </c>
      <c r="C313" s="3" t="str">
        <f>IFERROR(INDEX(Movimientos!$D$2:$D$1998,MATCH(A313&amp;"ENTRADA",Movimientos!$R$2:$R$1998,0)),"-")</f>
        <v>-</v>
      </c>
      <c r="D313" s="3" t="str">
        <f>IFERROR(INDEX(Movimientos!$E$2:$E$1998,MATCH(A313&amp;"ENTRADA",Movimientos!$R$2:$R$1998,0)),"-")</f>
        <v>-</v>
      </c>
      <c r="E313" s="3" t="str">
        <f>IFERROR(INDEX(Movimientos!$F$2:$F$1998,MATCH(A313&amp;"ENTRADA",Movimientos!$R$2:$R$1998,0)),"-")</f>
        <v>-</v>
      </c>
      <c r="F313" s="3" t="str">
        <f>IFERROR(INDEX(Movimientos!$G$2:$G$1998,MATCH(A313&amp;"ENTRADA",Movimientos!$R$2:$R$1998,0)),"-")</f>
        <v>-</v>
      </c>
      <c r="G313" s="3" t="str">
        <f>IFERROR(INDEX(Movimientos!$L$2:$L$1998,MATCH(A313&amp;"ENTRADA",Movimientos!$R$2:$R$1998,0)),"-")</f>
        <v>-</v>
      </c>
      <c r="H313" s="19" t="str">
        <f>IFERROR(IF(INDEX(Movimientos!$M$2:$M$1998,MATCH(A313&amp;"ENTRADA",Movimientos!$R$2:$R$1998,0))=0,"S/D",INDEX(Movimientos!$M$2:$M$1998,MATCH(A313&amp;"ENTRADA",Movimientos!$R$2:$R$1998,0))),"S/D")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9"/>
        <v>SIN STOCK</v>
      </c>
    </row>
    <row r="314" spans="1:11" ht="14.25">
      <c r="A314" s="18" t="s">
        <v>2457</v>
      </c>
      <c r="B314" s="3" t="str">
        <f>IFERROR(INDEX(Movimientos!$C$2:$C$1998,MATCH(A314&amp;"ENTRADA",Movimientos!$R$2:$R$1998,0)),"-")</f>
        <v>-</v>
      </c>
      <c r="C314" s="3" t="str">
        <f>IFERROR(INDEX(Movimientos!$D$2:$D$1998,MATCH(A314&amp;"ENTRADA",Movimientos!$R$2:$R$1998,0)),"-")</f>
        <v>-</v>
      </c>
      <c r="D314" s="3" t="str">
        <f>IFERROR(INDEX(Movimientos!$E$2:$E$1998,MATCH(A314&amp;"ENTRADA",Movimientos!$R$2:$R$1998,0)),"-")</f>
        <v>-</v>
      </c>
      <c r="E314" s="3" t="str">
        <f>IFERROR(INDEX(Movimientos!$F$2:$F$1998,MATCH(A314&amp;"ENTRADA",Movimientos!$R$2:$R$1998,0)),"-")</f>
        <v>-</v>
      </c>
      <c r="F314" s="3" t="str">
        <f>IFERROR(INDEX(Movimientos!$G$2:$G$1998,MATCH(A314&amp;"ENTRADA",Movimientos!$R$2:$R$1998,0)),"-")</f>
        <v>-</v>
      </c>
      <c r="G314" s="3" t="str">
        <f>IFERROR(INDEX(Movimientos!$L$2:$L$1998,MATCH(A314&amp;"ENTRADA",Movimientos!$R$2:$R$1998,0)),"-")</f>
        <v>-</v>
      </c>
      <c r="H314" s="19" t="str">
        <f>IFERROR(IF(INDEX(Movimientos!$M$2:$M$1998,MATCH(A314&amp;"ENTRADA",Movimientos!$R$2:$R$1998,0))=0,"S/D",INDEX(Movimientos!$M$2:$M$1998,MATCH(A314&amp;"ENTRADA",Movimientos!$R$2:$R$1998,0))),"S/D")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9"/>
        <v>SIN STOCK</v>
      </c>
    </row>
    <row r="315" spans="1:11" ht="14.25">
      <c r="A315" s="18" t="s">
        <v>2458</v>
      </c>
      <c r="B315" s="3" t="str">
        <f>IFERROR(INDEX(Movimientos!$C$2:$C$1998,MATCH(A315&amp;"ENTRADA",Movimientos!$R$2:$R$1998,0)),"-")</f>
        <v>-</v>
      </c>
      <c r="C315" s="3" t="str">
        <f>IFERROR(INDEX(Movimientos!$D$2:$D$1998,MATCH(A315&amp;"ENTRADA",Movimientos!$R$2:$R$1998,0)),"-")</f>
        <v>-</v>
      </c>
      <c r="D315" s="3" t="str">
        <f>IFERROR(INDEX(Movimientos!$E$2:$E$1998,MATCH(A315&amp;"ENTRADA",Movimientos!$R$2:$R$1998,0)),"-")</f>
        <v>-</v>
      </c>
      <c r="E315" s="3" t="str">
        <f>IFERROR(INDEX(Movimientos!$F$2:$F$1998,MATCH(A315&amp;"ENTRADA",Movimientos!$R$2:$R$1998,0)),"-")</f>
        <v>-</v>
      </c>
      <c r="F315" s="3" t="str">
        <f>IFERROR(INDEX(Movimientos!$G$2:$G$1998,MATCH(A315&amp;"ENTRADA",Movimientos!$R$2:$R$1998,0)),"-")</f>
        <v>-</v>
      </c>
      <c r="G315" s="3" t="str">
        <f>IFERROR(INDEX(Movimientos!$L$2:$L$1998,MATCH(A315&amp;"ENTRADA",Movimientos!$R$2:$R$1998,0)),"-")</f>
        <v>-</v>
      </c>
      <c r="H315" s="19" t="str">
        <f>IFERROR(IF(INDEX(Movimientos!$M$2:$M$1998,MATCH(A315&amp;"ENTRADA",Movimientos!$R$2:$R$1998,0))=0,"S/D",INDEX(Movimientos!$M$2:$M$1998,MATCH(A315&amp;"ENTRADA",Movimientos!$R$2:$R$1998,0))),"S/D")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9"/>
        <v>SIN STOCK</v>
      </c>
    </row>
    <row r="316" spans="1:11" ht="14.25">
      <c r="A316" s="18" t="s">
        <v>2459</v>
      </c>
      <c r="B316" s="3" t="str">
        <f>IFERROR(INDEX(Movimientos!$C$2:$C$1998,MATCH(A316&amp;"ENTRADA",Movimientos!$R$2:$R$1998,0)),"-")</f>
        <v>-</v>
      </c>
      <c r="C316" s="3" t="str">
        <f>IFERROR(INDEX(Movimientos!$D$2:$D$1998,MATCH(A316&amp;"ENTRADA",Movimientos!$R$2:$R$1998,0)),"-")</f>
        <v>-</v>
      </c>
      <c r="D316" s="3" t="str">
        <f>IFERROR(INDEX(Movimientos!$E$2:$E$1998,MATCH(A316&amp;"ENTRADA",Movimientos!$R$2:$R$1998,0)),"-")</f>
        <v>-</v>
      </c>
      <c r="E316" s="3" t="str">
        <f>IFERROR(INDEX(Movimientos!$F$2:$F$1998,MATCH(A316&amp;"ENTRADA",Movimientos!$R$2:$R$1998,0)),"-")</f>
        <v>-</v>
      </c>
      <c r="F316" s="3" t="str">
        <f>IFERROR(INDEX(Movimientos!$G$2:$G$1998,MATCH(A316&amp;"ENTRADA",Movimientos!$R$2:$R$1998,0)),"-")</f>
        <v>-</v>
      </c>
      <c r="G316" s="3" t="str">
        <f>IFERROR(INDEX(Movimientos!$L$2:$L$1998,MATCH(A316&amp;"ENTRADA",Movimientos!$R$2:$R$1998,0)),"-")</f>
        <v>-</v>
      </c>
      <c r="H316" s="19" t="str">
        <f>IFERROR(IF(INDEX(Movimientos!$M$2:$M$1998,MATCH(A316&amp;"ENTRADA",Movimientos!$R$2:$R$1998,0))=0,"S/D",INDEX(Movimientos!$M$2:$M$1998,MATCH(A316&amp;"ENTRADA",Movimientos!$R$2:$R$1998,0))),"S/D")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9"/>
        <v>SIN STOCK</v>
      </c>
    </row>
    <row r="317" spans="1:11" ht="14.25">
      <c r="A317" s="18" t="s">
        <v>2460</v>
      </c>
      <c r="B317" s="3" t="str">
        <f>IFERROR(INDEX(Movimientos!$C$2:$C$1998,MATCH(A317&amp;"ENTRADA",Movimientos!$R$2:$R$1998,0)),"-")</f>
        <v>-</v>
      </c>
      <c r="C317" s="3" t="str">
        <f>IFERROR(INDEX(Movimientos!$D$2:$D$1998,MATCH(A317&amp;"ENTRADA",Movimientos!$R$2:$R$1998,0)),"-")</f>
        <v>-</v>
      </c>
      <c r="D317" s="3" t="str">
        <f>IFERROR(INDEX(Movimientos!$E$2:$E$1998,MATCH(A317&amp;"ENTRADA",Movimientos!$R$2:$R$1998,0)),"-")</f>
        <v>-</v>
      </c>
      <c r="E317" s="3" t="str">
        <f>IFERROR(INDEX(Movimientos!$F$2:$F$1998,MATCH(A317&amp;"ENTRADA",Movimientos!$R$2:$R$1998,0)),"-")</f>
        <v>-</v>
      </c>
      <c r="F317" s="3" t="str">
        <f>IFERROR(INDEX(Movimientos!$G$2:$G$1998,MATCH(A317&amp;"ENTRADA",Movimientos!$R$2:$R$1998,0)),"-")</f>
        <v>-</v>
      </c>
      <c r="G317" s="3" t="str">
        <f>IFERROR(INDEX(Movimientos!$L$2:$L$1998,MATCH(A317&amp;"ENTRADA",Movimientos!$R$2:$R$1998,0)),"-")</f>
        <v>-</v>
      </c>
      <c r="H317" s="19" t="str">
        <f>IFERROR(IF(INDEX(Movimientos!$M$2:$M$1998,MATCH(A317&amp;"ENTRADA",Movimientos!$R$2:$R$1998,0))=0,"S/D",INDEX(Movimientos!$M$2:$M$1998,MATCH(A317&amp;"ENTRADA",Movimientos!$R$2:$R$1998,0))),"S/D")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9"/>
        <v>SIN STOCK</v>
      </c>
    </row>
    <row r="318" spans="1:11" ht="14.25">
      <c r="A318" s="18" t="s">
        <v>2461</v>
      </c>
      <c r="B318" s="3" t="str">
        <f>IFERROR(INDEX(Movimientos!$C$2:$C$1998,MATCH(A318&amp;"ENTRADA",Movimientos!$R$2:$R$1998,0)),"-")</f>
        <v>-</v>
      </c>
      <c r="C318" s="3" t="str">
        <f>IFERROR(INDEX(Movimientos!$D$2:$D$1998,MATCH(A318&amp;"ENTRADA",Movimientos!$R$2:$R$1998,0)),"-")</f>
        <v>-</v>
      </c>
      <c r="D318" s="3" t="str">
        <f>IFERROR(INDEX(Movimientos!$E$2:$E$1998,MATCH(A318&amp;"ENTRADA",Movimientos!$R$2:$R$1998,0)),"-")</f>
        <v>-</v>
      </c>
      <c r="E318" s="3" t="str">
        <f>IFERROR(INDEX(Movimientos!$F$2:$F$1998,MATCH(A318&amp;"ENTRADA",Movimientos!$R$2:$R$1998,0)),"-")</f>
        <v>-</v>
      </c>
      <c r="F318" s="3" t="str">
        <f>IFERROR(INDEX(Movimientos!$G$2:$G$1998,MATCH(A318&amp;"ENTRADA",Movimientos!$R$2:$R$1998,0)),"-")</f>
        <v>-</v>
      </c>
      <c r="G318" s="3" t="str">
        <f>IFERROR(INDEX(Movimientos!$L$2:$L$1998,MATCH(A318&amp;"ENTRADA",Movimientos!$R$2:$R$1998,0)),"-")</f>
        <v>-</v>
      </c>
      <c r="H318" s="19" t="str">
        <f>IFERROR(IF(INDEX(Movimientos!$M$2:$M$1998,MATCH(A318&amp;"ENTRADA",Movimientos!$R$2:$R$1998,0))=0,"S/D",INDEX(Movimientos!$M$2:$M$1998,MATCH(A318&amp;"ENTRADA",Movimientos!$R$2:$R$1998,0))),"S/D")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9"/>
        <v>SIN STOCK</v>
      </c>
    </row>
    <row r="319" spans="1:11" ht="14.25">
      <c r="A319" s="18" t="s">
        <v>2462</v>
      </c>
      <c r="B319" s="3" t="str">
        <f>IFERROR(INDEX(Movimientos!$C$2:$C$1998,MATCH(A319&amp;"ENTRADA",Movimientos!$R$2:$R$1998,0)),"-")</f>
        <v>-</v>
      </c>
      <c r="C319" s="3" t="str">
        <f>IFERROR(INDEX(Movimientos!$D$2:$D$1998,MATCH(A319&amp;"ENTRADA",Movimientos!$R$2:$R$1998,0)),"-")</f>
        <v>-</v>
      </c>
      <c r="D319" s="3" t="str">
        <f>IFERROR(INDEX(Movimientos!$E$2:$E$1998,MATCH(A319&amp;"ENTRADA",Movimientos!$R$2:$R$1998,0)),"-")</f>
        <v>-</v>
      </c>
      <c r="E319" s="3" t="str">
        <f>IFERROR(INDEX(Movimientos!$F$2:$F$1998,MATCH(A319&amp;"ENTRADA",Movimientos!$R$2:$R$1998,0)),"-")</f>
        <v>-</v>
      </c>
      <c r="F319" s="3" t="str">
        <f>IFERROR(INDEX(Movimientos!$G$2:$G$1998,MATCH(A319&amp;"ENTRADA",Movimientos!$R$2:$R$1998,0)),"-")</f>
        <v>-</v>
      </c>
      <c r="G319" s="3" t="str">
        <f>IFERROR(INDEX(Movimientos!$L$2:$L$1998,MATCH(A319&amp;"ENTRADA",Movimientos!$R$2:$R$1998,0)),"-")</f>
        <v>-</v>
      </c>
      <c r="H319" s="19" t="str">
        <f>IFERROR(IF(INDEX(Movimientos!$M$2:$M$1998,MATCH(A319&amp;"ENTRADA",Movimientos!$R$2:$R$1998,0))=0,"S/D",INDEX(Movimientos!$M$2:$M$1998,MATCH(A319&amp;"ENTRADA",Movimientos!$R$2:$R$1998,0))),"S/D")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9"/>
        <v>SIN STOCK</v>
      </c>
    </row>
    <row r="320" spans="1:11" ht="14.25">
      <c r="A320" s="18" t="s">
        <v>2463</v>
      </c>
      <c r="B320" s="3" t="str">
        <f>IFERROR(INDEX(Movimientos!$C$2:$C$1998,MATCH(A320&amp;"ENTRADA",Movimientos!$R$2:$R$1998,0)),"-")</f>
        <v>-</v>
      </c>
      <c r="C320" s="3" t="str">
        <f>IFERROR(INDEX(Movimientos!$D$2:$D$1998,MATCH(A320&amp;"ENTRADA",Movimientos!$R$2:$R$1998,0)),"-")</f>
        <v>-</v>
      </c>
      <c r="D320" s="3" t="str">
        <f>IFERROR(INDEX(Movimientos!$E$2:$E$1998,MATCH(A320&amp;"ENTRADA",Movimientos!$R$2:$R$1998,0)),"-")</f>
        <v>-</v>
      </c>
      <c r="E320" s="3" t="str">
        <f>IFERROR(INDEX(Movimientos!$F$2:$F$1998,MATCH(A320&amp;"ENTRADA",Movimientos!$R$2:$R$1998,0)),"-")</f>
        <v>-</v>
      </c>
      <c r="F320" s="3" t="str">
        <f>IFERROR(INDEX(Movimientos!$G$2:$G$1998,MATCH(A320&amp;"ENTRADA",Movimientos!$R$2:$R$1998,0)),"-")</f>
        <v>-</v>
      </c>
      <c r="G320" s="3" t="str">
        <f>IFERROR(INDEX(Movimientos!$L$2:$L$1998,MATCH(A320&amp;"ENTRADA",Movimientos!$R$2:$R$1998,0)),"-")</f>
        <v>-</v>
      </c>
      <c r="H320" s="19" t="str">
        <f>IFERROR(IF(INDEX(Movimientos!$M$2:$M$1998,MATCH(A320&amp;"ENTRADA",Movimientos!$R$2:$R$1998,0))=0,"S/D",INDEX(Movimientos!$M$2:$M$1998,MATCH(A320&amp;"ENTRADA",Movimientos!$R$2:$R$1998,0))),"S/D")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ref="K320:K383" ca="1" si="11">IF(A320="","",IF(J320&lt;0.01,"SIN STOCK",IF(H320="S/D","OK",IF(H320&lt;TODAY(),"VENCIDO",IF(I320&gt;=180,"OK","PRÓXIMO A VENCER")))))</f>
        <v>SIN STOCK</v>
      </c>
    </row>
    <row r="321" spans="1:11" ht="14.25">
      <c r="A321" s="18" t="s">
        <v>2464</v>
      </c>
      <c r="B321" s="3" t="str">
        <f>IFERROR(INDEX(Movimientos!$C$2:$C$1998,MATCH(A321&amp;"ENTRADA",Movimientos!$R$2:$R$1998,0)),"-")</f>
        <v>-</v>
      </c>
      <c r="C321" s="3" t="str">
        <f>IFERROR(INDEX(Movimientos!$D$2:$D$1998,MATCH(A321&amp;"ENTRADA",Movimientos!$R$2:$R$1998,0)),"-")</f>
        <v>-</v>
      </c>
      <c r="D321" s="3" t="str">
        <f>IFERROR(INDEX(Movimientos!$E$2:$E$1998,MATCH(A321&amp;"ENTRADA",Movimientos!$R$2:$R$1998,0)),"-")</f>
        <v>-</v>
      </c>
      <c r="E321" s="3" t="str">
        <f>IFERROR(INDEX(Movimientos!$F$2:$F$1998,MATCH(A321&amp;"ENTRADA",Movimientos!$R$2:$R$1998,0)),"-")</f>
        <v>-</v>
      </c>
      <c r="F321" s="3" t="str">
        <f>IFERROR(INDEX(Movimientos!$G$2:$G$1998,MATCH(A321&amp;"ENTRADA",Movimientos!$R$2:$R$1998,0)),"-")</f>
        <v>-</v>
      </c>
      <c r="G321" s="3" t="str">
        <f>IFERROR(INDEX(Movimientos!$L$2:$L$1998,MATCH(A321&amp;"ENTRADA",Movimientos!$R$2:$R$1998,0)),"-")</f>
        <v>-</v>
      </c>
      <c r="H321" s="19" t="str">
        <f>IFERROR(IF(INDEX(Movimientos!$M$2:$M$1998,MATCH(A321&amp;"ENTRADA",Movimientos!$R$2:$R$1998,0))=0,"S/D",INDEX(Movimientos!$M$2:$M$1998,MATCH(A321&amp;"ENTRADA",Movimientos!$R$2:$R$1998,0))),"S/D")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SIN STOCK</v>
      </c>
    </row>
    <row r="322" spans="1:11" ht="14.25">
      <c r="A322" s="18" t="s">
        <v>2465</v>
      </c>
      <c r="B322" s="3" t="str">
        <f>IFERROR(INDEX(Movimientos!$C$2:$C$1998,MATCH(A322&amp;"ENTRADA",Movimientos!$R$2:$R$1998,0)),"-")</f>
        <v>-</v>
      </c>
      <c r="C322" s="3" t="str">
        <f>IFERROR(INDEX(Movimientos!$D$2:$D$1998,MATCH(A322&amp;"ENTRADA",Movimientos!$R$2:$R$1998,0)),"-")</f>
        <v>-</v>
      </c>
      <c r="D322" s="3" t="str">
        <f>IFERROR(INDEX(Movimientos!$E$2:$E$1998,MATCH(A322&amp;"ENTRADA",Movimientos!$R$2:$R$1998,0)),"-")</f>
        <v>-</v>
      </c>
      <c r="E322" s="3" t="str">
        <f>IFERROR(INDEX(Movimientos!$F$2:$F$1998,MATCH(A322&amp;"ENTRADA",Movimientos!$R$2:$R$1998,0)),"-")</f>
        <v>-</v>
      </c>
      <c r="F322" s="3" t="str">
        <f>IFERROR(INDEX(Movimientos!$G$2:$G$1998,MATCH(A322&amp;"ENTRADA",Movimientos!$R$2:$R$1998,0)),"-")</f>
        <v>-</v>
      </c>
      <c r="G322" s="3" t="str">
        <f>IFERROR(INDEX(Movimientos!$L$2:$L$1998,MATCH(A322&amp;"ENTRADA",Movimientos!$R$2:$R$1998,0)),"-")</f>
        <v>-</v>
      </c>
      <c r="H322" s="19" t="str">
        <f>IFERROR(IF(INDEX(Movimientos!$M$2:$M$1998,MATCH(A322&amp;"ENTRADA",Movimientos!$R$2:$R$1998,0))=0,"S/D",INDEX(Movimientos!$M$2:$M$1998,MATCH(A322&amp;"ENTRADA",Movimientos!$R$2:$R$1998,0))),"S/D")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SIN STOCK</v>
      </c>
    </row>
    <row r="323" spans="1:11" ht="14.25">
      <c r="A323" s="18" t="s">
        <v>2466</v>
      </c>
      <c r="B323" s="3" t="str">
        <f>IFERROR(INDEX(Movimientos!$C$2:$C$1998,MATCH(A323&amp;"ENTRADA",Movimientos!$R$2:$R$1998,0)),"-")</f>
        <v>-</v>
      </c>
      <c r="C323" s="3" t="str">
        <f>IFERROR(INDEX(Movimientos!$D$2:$D$1998,MATCH(A323&amp;"ENTRADA",Movimientos!$R$2:$R$1998,0)),"-")</f>
        <v>-</v>
      </c>
      <c r="D323" s="3" t="str">
        <f>IFERROR(INDEX(Movimientos!$E$2:$E$1998,MATCH(A323&amp;"ENTRADA",Movimientos!$R$2:$R$1998,0)),"-")</f>
        <v>-</v>
      </c>
      <c r="E323" s="3" t="str">
        <f>IFERROR(INDEX(Movimientos!$F$2:$F$1998,MATCH(A323&amp;"ENTRADA",Movimientos!$R$2:$R$1998,0)),"-")</f>
        <v>-</v>
      </c>
      <c r="F323" s="3" t="str">
        <f>IFERROR(INDEX(Movimientos!$G$2:$G$1998,MATCH(A323&amp;"ENTRADA",Movimientos!$R$2:$R$1998,0)),"-")</f>
        <v>-</v>
      </c>
      <c r="G323" s="3" t="str">
        <f>IFERROR(INDEX(Movimientos!$L$2:$L$1998,MATCH(A323&amp;"ENTRADA",Movimientos!$R$2:$R$1998,0)),"-")</f>
        <v>-</v>
      </c>
      <c r="H323" s="19" t="str">
        <f>IFERROR(IF(INDEX(Movimientos!$M$2:$M$1998,MATCH(A323&amp;"ENTRADA",Movimientos!$R$2:$R$1998,0))=0,"S/D",INDEX(Movimientos!$M$2:$M$1998,MATCH(A323&amp;"ENTRADA",Movimientos!$R$2:$R$1998,0))),"S/D")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SIN STOCK</v>
      </c>
    </row>
    <row r="324" spans="1:11" ht="14.25">
      <c r="A324" s="18" t="s">
        <v>2467</v>
      </c>
      <c r="B324" s="3" t="str">
        <f>IFERROR(INDEX(Movimientos!$C$2:$C$1998,MATCH(A324&amp;"ENTRADA",Movimientos!$R$2:$R$1998,0)),"-")</f>
        <v>-</v>
      </c>
      <c r="C324" s="3" t="str">
        <f>IFERROR(INDEX(Movimientos!$D$2:$D$1998,MATCH(A324&amp;"ENTRADA",Movimientos!$R$2:$R$1998,0)),"-")</f>
        <v>-</v>
      </c>
      <c r="D324" s="3" t="str">
        <f>IFERROR(INDEX(Movimientos!$E$2:$E$1998,MATCH(A324&amp;"ENTRADA",Movimientos!$R$2:$R$1998,0)),"-")</f>
        <v>-</v>
      </c>
      <c r="E324" s="3" t="str">
        <f>IFERROR(INDEX(Movimientos!$F$2:$F$1998,MATCH(A324&amp;"ENTRADA",Movimientos!$R$2:$R$1998,0)),"-")</f>
        <v>-</v>
      </c>
      <c r="F324" s="3" t="str">
        <f>IFERROR(INDEX(Movimientos!$G$2:$G$1998,MATCH(A324&amp;"ENTRADA",Movimientos!$R$2:$R$1998,0)),"-")</f>
        <v>-</v>
      </c>
      <c r="G324" s="3" t="str">
        <f>IFERROR(INDEX(Movimientos!$L$2:$L$1998,MATCH(A324&amp;"ENTRADA",Movimientos!$R$2:$R$1998,0)),"-")</f>
        <v>-</v>
      </c>
      <c r="H324" s="19" t="str">
        <f>IFERROR(IF(INDEX(Movimientos!$M$2:$M$1998,MATCH(A324&amp;"ENTRADA",Movimientos!$R$2:$R$1998,0))=0,"S/D",INDEX(Movimientos!$M$2:$M$1998,MATCH(A324&amp;"ENTRADA",Movimientos!$R$2:$R$1998,0))),"S/D")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SIN STOCK</v>
      </c>
    </row>
    <row r="325" spans="1:11" ht="14.25">
      <c r="A325" s="18" t="s">
        <v>2468</v>
      </c>
      <c r="B325" s="3" t="str">
        <f>IFERROR(INDEX(Movimientos!$C$2:$C$1998,MATCH(A325&amp;"ENTRADA",Movimientos!$R$2:$R$1998,0)),"-")</f>
        <v>-</v>
      </c>
      <c r="C325" s="3" t="str">
        <f>IFERROR(INDEX(Movimientos!$D$2:$D$1998,MATCH(A325&amp;"ENTRADA",Movimientos!$R$2:$R$1998,0)),"-")</f>
        <v>-</v>
      </c>
      <c r="D325" s="3" t="str">
        <f>IFERROR(INDEX(Movimientos!$E$2:$E$1998,MATCH(A325&amp;"ENTRADA",Movimientos!$R$2:$R$1998,0)),"-")</f>
        <v>-</v>
      </c>
      <c r="E325" s="3" t="str">
        <f>IFERROR(INDEX(Movimientos!$F$2:$F$1998,MATCH(A325&amp;"ENTRADA",Movimientos!$R$2:$R$1998,0)),"-")</f>
        <v>-</v>
      </c>
      <c r="F325" s="3" t="str">
        <f>IFERROR(INDEX(Movimientos!$G$2:$G$1998,MATCH(A325&amp;"ENTRADA",Movimientos!$R$2:$R$1998,0)),"-")</f>
        <v>-</v>
      </c>
      <c r="G325" s="3" t="str">
        <f>IFERROR(INDEX(Movimientos!$L$2:$L$1998,MATCH(A325&amp;"ENTRADA",Movimientos!$R$2:$R$1998,0)),"-")</f>
        <v>-</v>
      </c>
      <c r="H325" s="19" t="str">
        <f>IFERROR(IF(INDEX(Movimientos!$M$2:$M$1998,MATCH(A325&amp;"ENTRADA",Movimientos!$R$2:$R$1998,0))=0,"S/D",INDEX(Movimientos!$M$2:$M$1998,MATCH(A325&amp;"ENTRADA",Movimientos!$R$2:$R$1998,0))),"S/D")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SIN STOCK</v>
      </c>
    </row>
    <row r="326" spans="1:11" ht="14.25">
      <c r="A326" s="18" t="s">
        <v>2469</v>
      </c>
      <c r="B326" s="3" t="str">
        <f>IFERROR(INDEX(Movimientos!$C$2:$C$1998,MATCH(A326&amp;"ENTRADA",Movimientos!$R$2:$R$1998,0)),"-")</f>
        <v>-</v>
      </c>
      <c r="C326" s="3" t="str">
        <f>IFERROR(INDEX(Movimientos!$D$2:$D$1998,MATCH(A326&amp;"ENTRADA",Movimientos!$R$2:$R$1998,0)),"-")</f>
        <v>-</v>
      </c>
      <c r="D326" s="3" t="str">
        <f>IFERROR(INDEX(Movimientos!$E$2:$E$1998,MATCH(A326&amp;"ENTRADA",Movimientos!$R$2:$R$1998,0)),"-")</f>
        <v>-</v>
      </c>
      <c r="E326" s="3" t="str">
        <f>IFERROR(INDEX(Movimientos!$F$2:$F$1998,MATCH(A326&amp;"ENTRADA",Movimientos!$R$2:$R$1998,0)),"-")</f>
        <v>-</v>
      </c>
      <c r="F326" s="3" t="str">
        <f>IFERROR(INDEX(Movimientos!$G$2:$G$1998,MATCH(A326&amp;"ENTRADA",Movimientos!$R$2:$R$1998,0)),"-")</f>
        <v>-</v>
      </c>
      <c r="G326" s="3" t="str">
        <f>IFERROR(INDEX(Movimientos!$L$2:$L$1998,MATCH(A326&amp;"ENTRADA",Movimientos!$R$2:$R$1998,0)),"-")</f>
        <v>-</v>
      </c>
      <c r="H326" s="19" t="str">
        <f>IFERROR(IF(INDEX(Movimientos!$M$2:$M$1998,MATCH(A326&amp;"ENTRADA",Movimientos!$R$2:$R$1998,0))=0,"S/D",INDEX(Movimientos!$M$2:$M$1998,MATCH(A326&amp;"ENTRADA",Movimientos!$R$2:$R$1998,0))),"S/D")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SIN STOCK</v>
      </c>
    </row>
    <row r="327" spans="1:11" ht="14.25">
      <c r="A327" s="18" t="s">
        <v>2470</v>
      </c>
      <c r="B327" s="3" t="str">
        <f>IFERROR(INDEX(Movimientos!$C$2:$C$1998,MATCH(A327&amp;"ENTRADA",Movimientos!$R$2:$R$1998,0)),"-")</f>
        <v>-</v>
      </c>
      <c r="C327" s="3" t="str">
        <f>IFERROR(INDEX(Movimientos!$D$2:$D$1998,MATCH(A327&amp;"ENTRADA",Movimientos!$R$2:$R$1998,0)),"-")</f>
        <v>-</v>
      </c>
      <c r="D327" s="3" t="str">
        <f>IFERROR(INDEX(Movimientos!$E$2:$E$1998,MATCH(A327&amp;"ENTRADA",Movimientos!$R$2:$R$1998,0)),"-")</f>
        <v>-</v>
      </c>
      <c r="E327" s="3" t="str">
        <f>IFERROR(INDEX(Movimientos!$F$2:$F$1998,MATCH(A327&amp;"ENTRADA",Movimientos!$R$2:$R$1998,0)),"-")</f>
        <v>-</v>
      </c>
      <c r="F327" s="3" t="str">
        <f>IFERROR(INDEX(Movimientos!$G$2:$G$1998,MATCH(A327&amp;"ENTRADA",Movimientos!$R$2:$R$1998,0)),"-")</f>
        <v>-</v>
      </c>
      <c r="G327" s="3" t="str">
        <f>IFERROR(INDEX(Movimientos!$L$2:$L$1998,MATCH(A327&amp;"ENTRADA",Movimientos!$R$2:$R$1998,0)),"-")</f>
        <v>-</v>
      </c>
      <c r="H327" s="19" t="str">
        <f>IFERROR(IF(INDEX(Movimientos!$M$2:$M$1998,MATCH(A327&amp;"ENTRADA",Movimientos!$R$2:$R$1998,0))=0,"S/D",INDEX(Movimientos!$M$2:$M$1998,MATCH(A327&amp;"ENTRADA",Movimientos!$R$2:$R$1998,0))),"S/D")</f>
        <v>S/D</v>
      </c>
      <c r="I327" s="16" t="str">
        <f t="shared" ref="I327:I390" ca="1" si="12">IF(OR(A327="",H327="S/D"),"S/D",H327-TODAY())</f>
        <v>S/D</v>
      </c>
      <c r="J327" s="6">
        <f>IF(A327="","",SUMIFS(Movimientos!$K:$K,Movimientos!$H:$H,A327))</f>
        <v>0</v>
      </c>
      <c r="K327" s="14" t="str">
        <f t="shared" ca="1" si="11"/>
        <v>SIN STOCK</v>
      </c>
    </row>
    <row r="328" spans="1:11" ht="14.25">
      <c r="A328" s="18" t="s">
        <v>2471</v>
      </c>
      <c r="B328" s="3" t="str">
        <f>IFERROR(INDEX(Movimientos!$C$2:$C$1998,MATCH(A328&amp;"ENTRADA",Movimientos!$R$2:$R$1998,0)),"-")</f>
        <v>-</v>
      </c>
      <c r="C328" s="3" t="str">
        <f>IFERROR(INDEX(Movimientos!$D$2:$D$1998,MATCH(A328&amp;"ENTRADA",Movimientos!$R$2:$R$1998,0)),"-")</f>
        <v>-</v>
      </c>
      <c r="D328" s="3" t="str">
        <f>IFERROR(INDEX(Movimientos!$E$2:$E$1998,MATCH(A328&amp;"ENTRADA",Movimientos!$R$2:$R$1998,0)),"-")</f>
        <v>-</v>
      </c>
      <c r="E328" s="3" t="str">
        <f>IFERROR(INDEX(Movimientos!$F$2:$F$1998,MATCH(A328&amp;"ENTRADA",Movimientos!$R$2:$R$1998,0)),"-")</f>
        <v>-</v>
      </c>
      <c r="F328" s="3" t="str">
        <f>IFERROR(INDEX(Movimientos!$G$2:$G$1998,MATCH(A328&amp;"ENTRADA",Movimientos!$R$2:$R$1998,0)),"-")</f>
        <v>-</v>
      </c>
      <c r="G328" s="3" t="str">
        <f>IFERROR(INDEX(Movimientos!$L$2:$L$1998,MATCH(A328&amp;"ENTRADA",Movimientos!$R$2:$R$1998,0)),"-")</f>
        <v>-</v>
      </c>
      <c r="H328" s="19" t="str">
        <f>IFERROR(IF(INDEX(Movimientos!$M$2:$M$1998,MATCH(A328&amp;"ENTRADA",Movimientos!$R$2:$R$1998,0))=0,"S/D",INDEX(Movimientos!$M$2:$M$1998,MATCH(A328&amp;"ENTRADA",Movimientos!$R$2:$R$1998,0))),"S/D")</f>
        <v>S/D</v>
      </c>
      <c r="I328" s="16" t="str">
        <f t="shared" ca="1" si="12"/>
        <v>S/D</v>
      </c>
      <c r="J328" s="6">
        <f>IF(A328="","",SUMIFS(Movimientos!$K:$K,Movimientos!$H:$H,A328))</f>
        <v>0</v>
      </c>
      <c r="K328" s="14" t="str">
        <f t="shared" ca="1" si="11"/>
        <v>SIN STOCK</v>
      </c>
    </row>
    <row r="329" spans="1:11" ht="14.25">
      <c r="A329" s="18" t="s">
        <v>2472</v>
      </c>
      <c r="B329" s="3" t="str">
        <f>IFERROR(INDEX(Movimientos!$C$2:$C$1998,MATCH(A329&amp;"ENTRADA",Movimientos!$R$2:$R$1998,0)),"-")</f>
        <v>-</v>
      </c>
      <c r="C329" s="3" t="str">
        <f>IFERROR(INDEX(Movimientos!$D$2:$D$1998,MATCH(A329&amp;"ENTRADA",Movimientos!$R$2:$R$1998,0)),"-")</f>
        <v>-</v>
      </c>
      <c r="D329" s="3" t="str">
        <f>IFERROR(INDEX(Movimientos!$E$2:$E$1998,MATCH(A329&amp;"ENTRADA",Movimientos!$R$2:$R$1998,0)),"-")</f>
        <v>-</v>
      </c>
      <c r="E329" s="3" t="str">
        <f>IFERROR(INDEX(Movimientos!$F$2:$F$1998,MATCH(A329&amp;"ENTRADA",Movimientos!$R$2:$R$1998,0)),"-")</f>
        <v>-</v>
      </c>
      <c r="F329" s="3" t="str">
        <f>IFERROR(INDEX(Movimientos!$G$2:$G$1998,MATCH(A329&amp;"ENTRADA",Movimientos!$R$2:$R$1998,0)),"-")</f>
        <v>-</v>
      </c>
      <c r="G329" s="3" t="str">
        <f>IFERROR(INDEX(Movimientos!$L$2:$L$1998,MATCH(A329&amp;"ENTRADA",Movimientos!$R$2:$R$1998,0)),"-")</f>
        <v>-</v>
      </c>
      <c r="H329" s="19" t="str">
        <f>IFERROR(IF(INDEX(Movimientos!$M$2:$M$1998,MATCH(A329&amp;"ENTRADA",Movimientos!$R$2:$R$1998,0))=0,"S/D",INDEX(Movimientos!$M$2:$M$1998,MATCH(A329&amp;"ENTRADA",Movimientos!$R$2:$R$1998,0))),"S/D")</f>
        <v>S/D</v>
      </c>
      <c r="I329" s="16" t="str">
        <f t="shared" ca="1" si="12"/>
        <v>S/D</v>
      </c>
      <c r="J329" s="6">
        <f>IF(A329="","",SUMIFS(Movimientos!$K:$K,Movimientos!$H:$H,A329))</f>
        <v>0</v>
      </c>
      <c r="K329" s="14" t="str">
        <f t="shared" ca="1" si="11"/>
        <v>SIN STOCK</v>
      </c>
    </row>
    <row r="330" spans="1:11" ht="14.25">
      <c r="A330" s="18" t="s">
        <v>2473</v>
      </c>
      <c r="B330" s="3" t="str">
        <f>IFERROR(INDEX(Movimientos!$C$2:$C$1998,MATCH(A330&amp;"ENTRADA",Movimientos!$R$2:$R$1998,0)),"-")</f>
        <v>-</v>
      </c>
      <c r="C330" s="3" t="str">
        <f>IFERROR(INDEX(Movimientos!$D$2:$D$1998,MATCH(A330&amp;"ENTRADA",Movimientos!$R$2:$R$1998,0)),"-")</f>
        <v>-</v>
      </c>
      <c r="D330" s="3" t="str">
        <f>IFERROR(INDEX(Movimientos!$E$2:$E$1998,MATCH(A330&amp;"ENTRADA",Movimientos!$R$2:$R$1998,0)),"-")</f>
        <v>-</v>
      </c>
      <c r="E330" s="3" t="str">
        <f>IFERROR(INDEX(Movimientos!$F$2:$F$1998,MATCH(A330&amp;"ENTRADA",Movimientos!$R$2:$R$1998,0)),"-")</f>
        <v>-</v>
      </c>
      <c r="F330" s="3" t="str">
        <f>IFERROR(INDEX(Movimientos!$G$2:$G$1998,MATCH(A330&amp;"ENTRADA",Movimientos!$R$2:$R$1998,0)),"-")</f>
        <v>-</v>
      </c>
      <c r="G330" s="3" t="str">
        <f>IFERROR(INDEX(Movimientos!$L$2:$L$1998,MATCH(A330&amp;"ENTRADA",Movimientos!$R$2:$R$1998,0)),"-")</f>
        <v>-</v>
      </c>
      <c r="H330" s="19" t="str">
        <f>IFERROR(IF(INDEX(Movimientos!$M$2:$M$1998,MATCH(A330&amp;"ENTRADA",Movimientos!$R$2:$R$1998,0))=0,"S/D",INDEX(Movimientos!$M$2:$M$1998,MATCH(A330&amp;"ENTRADA",Movimientos!$R$2:$R$1998,0))),"S/D")</f>
        <v>S/D</v>
      </c>
      <c r="I330" s="16" t="str">
        <f t="shared" ca="1" si="12"/>
        <v>S/D</v>
      </c>
      <c r="J330" s="6">
        <f>IF(A330="","",SUMIFS(Movimientos!$K:$K,Movimientos!$H:$H,A330))</f>
        <v>0</v>
      </c>
      <c r="K330" s="14" t="str">
        <f t="shared" ca="1" si="11"/>
        <v>SIN STOCK</v>
      </c>
    </row>
    <row r="331" spans="1:11" ht="14.25">
      <c r="A331" s="18" t="s">
        <v>2474</v>
      </c>
      <c r="B331" s="3" t="str">
        <f>IFERROR(INDEX(Movimientos!$C$2:$C$1998,MATCH(A331&amp;"ENTRADA",Movimientos!$R$2:$R$1998,0)),"-")</f>
        <v>-</v>
      </c>
      <c r="C331" s="3" t="str">
        <f>IFERROR(INDEX(Movimientos!$D$2:$D$1998,MATCH(A331&amp;"ENTRADA",Movimientos!$R$2:$R$1998,0)),"-")</f>
        <v>-</v>
      </c>
      <c r="D331" s="3" t="str">
        <f>IFERROR(INDEX(Movimientos!$E$2:$E$1998,MATCH(A331&amp;"ENTRADA",Movimientos!$R$2:$R$1998,0)),"-")</f>
        <v>-</v>
      </c>
      <c r="E331" s="3" t="str">
        <f>IFERROR(INDEX(Movimientos!$F$2:$F$1998,MATCH(A331&amp;"ENTRADA",Movimientos!$R$2:$R$1998,0)),"-")</f>
        <v>-</v>
      </c>
      <c r="F331" s="3" t="str">
        <f>IFERROR(INDEX(Movimientos!$G$2:$G$1998,MATCH(A331&amp;"ENTRADA",Movimientos!$R$2:$R$1998,0)),"-")</f>
        <v>-</v>
      </c>
      <c r="G331" s="3" t="str">
        <f>IFERROR(INDEX(Movimientos!$L$2:$L$1998,MATCH(A331&amp;"ENTRADA",Movimientos!$R$2:$R$1998,0)),"-")</f>
        <v>-</v>
      </c>
      <c r="H331" s="19" t="str">
        <f>IFERROR(IF(INDEX(Movimientos!$M$2:$M$1998,MATCH(A331&amp;"ENTRADA",Movimientos!$R$2:$R$1998,0))=0,"S/D",INDEX(Movimientos!$M$2:$M$1998,MATCH(A331&amp;"ENTRADA",Movimientos!$R$2:$R$1998,0))),"S/D")</f>
        <v>S/D</v>
      </c>
      <c r="I331" s="16" t="str">
        <f t="shared" ca="1" si="12"/>
        <v>S/D</v>
      </c>
      <c r="J331" s="6">
        <f>IF(A331="","",SUMIFS(Movimientos!$K:$K,Movimientos!$H:$H,A331))</f>
        <v>0</v>
      </c>
      <c r="K331" s="14" t="str">
        <f t="shared" ca="1" si="11"/>
        <v>SIN STOCK</v>
      </c>
    </row>
    <row r="332" spans="1:11" ht="14.25">
      <c r="A332" s="18" t="s">
        <v>2475</v>
      </c>
      <c r="B332" s="3" t="str">
        <f>IFERROR(INDEX(Movimientos!$C$2:$C$1998,MATCH(A332&amp;"ENTRADA",Movimientos!$R$2:$R$1998,0)),"-")</f>
        <v>-</v>
      </c>
      <c r="C332" s="3" t="str">
        <f>IFERROR(INDEX(Movimientos!$D$2:$D$1998,MATCH(A332&amp;"ENTRADA",Movimientos!$R$2:$R$1998,0)),"-")</f>
        <v>-</v>
      </c>
      <c r="D332" s="3" t="str">
        <f>IFERROR(INDEX(Movimientos!$E$2:$E$1998,MATCH(A332&amp;"ENTRADA",Movimientos!$R$2:$R$1998,0)),"-")</f>
        <v>-</v>
      </c>
      <c r="E332" s="3" t="str">
        <f>IFERROR(INDEX(Movimientos!$F$2:$F$1998,MATCH(A332&amp;"ENTRADA",Movimientos!$R$2:$R$1998,0)),"-")</f>
        <v>-</v>
      </c>
      <c r="F332" s="3" t="str">
        <f>IFERROR(INDEX(Movimientos!$G$2:$G$1998,MATCH(A332&amp;"ENTRADA",Movimientos!$R$2:$R$1998,0)),"-")</f>
        <v>-</v>
      </c>
      <c r="G332" s="3" t="str">
        <f>IFERROR(INDEX(Movimientos!$L$2:$L$1998,MATCH(A332&amp;"ENTRADA",Movimientos!$R$2:$R$1998,0)),"-")</f>
        <v>-</v>
      </c>
      <c r="H332" s="19" t="str">
        <f>IFERROR(IF(INDEX(Movimientos!$M$2:$M$1998,MATCH(A332&amp;"ENTRADA",Movimientos!$R$2:$R$1998,0))=0,"S/D",INDEX(Movimientos!$M$2:$M$1998,MATCH(A332&amp;"ENTRADA",Movimientos!$R$2:$R$1998,0))),"S/D")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1"/>
        <v>SIN STOCK</v>
      </c>
    </row>
    <row r="333" spans="1:11" ht="14.25">
      <c r="A333" s="18" t="s">
        <v>2476</v>
      </c>
      <c r="B333" s="3" t="str">
        <f>IFERROR(INDEX(Movimientos!$C$2:$C$1998,MATCH(A333&amp;"ENTRADA",Movimientos!$R$2:$R$1998,0)),"-")</f>
        <v>-</v>
      </c>
      <c r="C333" s="3" t="str">
        <f>IFERROR(INDEX(Movimientos!$D$2:$D$1998,MATCH(A333&amp;"ENTRADA",Movimientos!$R$2:$R$1998,0)),"-")</f>
        <v>-</v>
      </c>
      <c r="D333" s="3" t="str">
        <f>IFERROR(INDEX(Movimientos!$E$2:$E$1998,MATCH(A333&amp;"ENTRADA",Movimientos!$R$2:$R$1998,0)),"-")</f>
        <v>-</v>
      </c>
      <c r="E333" s="3" t="str">
        <f>IFERROR(INDEX(Movimientos!$F$2:$F$1998,MATCH(A333&amp;"ENTRADA",Movimientos!$R$2:$R$1998,0)),"-")</f>
        <v>-</v>
      </c>
      <c r="F333" s="3" t="str">
        <f>IFERROR(INDEX(Movimientos!$G$2:$G$1998,MATCH(A333&amp;"ENTRADA",Movimientos!$R$2:$R$1998,0)),"-")</f>
        <v>-</v>
      </c>
      <c r="G333" s="3" t="str">
        <f>IFERROR(INDEX(Movimientos!$L$2:$L$1998,MATCH(A333&amp;"ENTRADA",Movimientos!$R$2:$R$1998,0)),"-")</f>
        <v>-</v>
      </c>
      <c r="H333" s="19" t="str">
        <f>IFERROR(IF(INDEX(Movimientos!$M$2:$M$1998,MATCH(A333&amp;"ENTRADA",Movimientos!$R$2:$R$1998,0))=0,"S/D",INDEX(Movimientos!$M$2:$M$1998,MATCH(A333&amp;"ENTRADA",Movimientos!$R$2:$R$1998,0))),"S/D")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1"/>
        <v>SIN STOCK</v>
      </c>
    </row>
    <row r="334" spans="1:11" ht="14.25">
      <c r="A334" s="18" t="s">
        <v>2477</v>
      </c>
      <c r="B334" s="3" t="str">
        <f>IFERROR(INDEX(Movimientos!$C$2:$C$1998,MATCH(A334&amp;"ENTRADA",Movimientos!$R$2:$R$1998,0)),"-")</f>
        <v>-</v>
      </c>
      <c r="C334" s="3" t="str">
        <f>IFERROR(INDEX(Movimientos!$D$2:$D$1998,MATCH(A334&amp;"ENTRADA",Movimientos!$R$2:$R$1998,0)),"-")</f>
        <v>-</v>
      </c>
      <c r="D334" s="3" t="str">
        <f>IFERROR(INDEX(Movimientos!$E$2:$E$1998,MATCH(A334&amp;"ENTRADA",Movimientos!$R$2:$R$1998,0)),"-")</f>
        <v>-</v>
      </c>
      <c r="E334" s="3" t="str">
        <f>IFERROR(INDEX(Movimientos!$F$2:$F$1998,MATCH(A334&amp;"ENTRADA",Movimientos!$R$2:$R$1998,0)),"-")</f>
        <v>-</v>
      </c>
      <c r="F334" s="3" t="str">
        <f>IFERROR(INDEX(Movimientos!$G$2:$G$1998,MATCH(A334&amp;"ENTRADA",Movimientos!$R$2:$R$1998,0)),"-")</f>
        <v>-</v>
      </c>
      <c r="G334" s="3" t="str">
        <f>IFERROR(INDEX(Movimientos!$L$2:$L$1998,MATCH(A334&amp;"ENTRADA",Movimientos!$R$2:$R$1998,0)),"-")</f>
        <v>-</v>
      </c>
      <c r="H334" s="19" t="str">
        <f>IFERROR(IF(INDEX(Movimientos!$M$2:$M$1998,MATCH(A334&amp;"ENTRADA",Movimientos!$R$2:$R$1998,0))=0,"S/D",INDEX(Movimientos!$M$2:$M$1998,MATCH(A334&amp;"ENTRADA",Movimientos!$R$2:$R$1998,0))),"S/D")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1"/>
        <v>SIN STOCK</v>
      </c>
    </row>
    <row r="335" spans="1:11" ht="14.25">
      <c r="A335" s="18" t="s">
        <v>2478</v>
      </c>
      <c r="B335" s="3" t="str">
        <f>IFERROR(INDEX(Movimientos!$C$2:$C$1998,MATCH(A335&amp;"ENTRADA",Movimientos!$R$2:$R$1998,0)),"-")</f>
        <v>-</v>
      </c>
      <c r="C335" s="3" t="str">
        <f>IFERROR(INDEX(Movimientos!$D$2:$D$1998,MATCH(A335&amp;"ENTRADA",Movimientos!$R$2:$R$1998,0)),"-")</f>
        <v>-</v>
      </c>
      <c r="D335" s="3" t="str">
        <f>IFERROR(INDEX(Movimientos!$E$2:$E$1998,MATCH(A335&amp;"ENTRADA",Movimientos!$R$2:$R$1998,0)),"-")</f>
        <v>-</v>
      </c>
      <c r="E335" s="3" t="str">
        <f>IFERROR(INDEX(Movimientos!$F$2:$F$1998,MATCH(A335&amp;"ENTRADA",Movimientos!$R$2:$R$1998,0)),"-")</f>
        <v>-</v>
      </c>
      <c r="F335" s="3" t="str">
        <f>IFERROR(INDEX(Movimientos!$G$2:$G$1998,MATCH(A335&amp;"ENTRADA",Movimientos!$R$2:$R$1998,0)),"-")</f>
        <v>-</v>
      </c>
      <c r="G335" s="3" t="str">
        <f>IFERROR(INDEX(Movimientos!$L$2:$L$1998,MATCH(A335&amp;"ENTRADA",Movimientos!$R$2:$R$1998,0)),"-")</f>
        <v>-</v>
      </c>
      <c r="H335" s="19" t="str">
        <f>IFERROR(IF(INDEX(Movimientos!$M$2:$M$1998,MATCH(A335&amp;"ENTRADA",Movimientos!$R$2:$R$1998,0))=0,"S/D",INDEX(Movimientos!$M$2:$M$1998,MATCH(A335&amp;"ENTRADA",Movimientos!$R$2:$R$1998,0))),"S/D")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1"/>
        <v>SIN STOCK</v>
      </c>
    </row>
    <row r="336" spans="1:11" ht="14.25">
      <c r="A336" s="18" t="s">
        <v>2479</v>
      </c>
      <c r="B336" s="3" t="str">
        <f>IFERROR(INDEX(Movimientos!$C$2:$C$1998,MATCH(A336&amp;"ENTRADA",Movimientos!$R$2:$R$1998,0)),"-")</f>
        <v>-</v>
      </c>
      <c r="C336" s="3" t="str">
        <f>IFERROR(INDEX(Movimientos!$D$2:$D$1998,MATCH(A336&amp;"ENTRADA",Movimientos!$R$2:$R$1998,0)),"-")</f>
        <v>-</v>
      </c>
      <c r="D336" s="3" t="str">
        <f>IFERROR(INDEX(Movimientos!$E$2:$E$1998,MATCH(A336&amp;"ENTRADA",Movimientos!$R$2:$R$1998,0)),"-")</f>
        <v>-</v>
      </c>
      <c r="E336" s="3" t="str">
        <f>IFERROR(INDEX(Movimientos!$F$2:$F$1998,MATCH(A336&amp;"ENTRADA",Movimientos!$R$2:$R$1998,0)),"-")</f>
        <v>-</v>
      </c>
      <c r="F336" s="3" t="str">
        <f>IFERROR(INDEX(Movimientos!$G$2:$G$1998,MATCH(A336&amp;"ENTRADA",Movimientos!$R$2:$R$1998,0)),"-")</f>
        <v>-</v>
      </c>
      <c r="G336" s="3" t="str">
        <f>IFERROR(INDEX(Movimientos!$L$2:$L$1998,MATCH(A336&amp;"ENTRADA",Movimientos!$R$2:$R$1998,0)),"-")</f>
        <v>-</v>
      </c>
      <c r="H336" s="19" t="str">
        <f>IFERROR(IF(INDEX(Movimientos!$M$2:$M$1998,MATCH(A336&amp;"ENTRADA",Movimientos!$R$2:$R$1998,0))=0,"S/D",INDEX(Movimientos!$M$2:$M$1998,MATCH(A336&amp;"ENTRADA",Movimientos!$R$2:$R$1998,0))),"S/D")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1"/>
        <v>SIN STOCK</v>
      </c>
    </row>
    <row r="337" spans="1:11" ht="14.25">
      <c r="A337" s="18" t="s">
        <v>2480</v>
      </c>
      <c r="B337" s="3" t="str">
        <f>IFERROR(INDEX(Movimientos!$C$2:$C$1998,MATCH(A337&amp;"ENTRADA",Movimientos!$R$2:$R$1998,0)),"-")</f>
        <v>-</v>
      </c>
      <c r="C337" s="3" t="str">
        <f>IFERROR(INDEX(Movimientos!$D$2:$D$1998,MATCH(A337&amp;"ENTRADA",Movimientos!$R$2:$R$1998,0)),"-")</f>
        <v>-</v>
      </c>
      <c r="D337" s="3" t="str">
        <f>IFERROR(INDEX(Movimientos!$E$2:$E$1998,MATCH(A337&amp;"ENTRADA",Movimientos!$R$2:$R$1998,0)),"-")</f>
        <v>-</v>
      </c>
      <c r="E337" s="3" t="str">
        <f>IFERROR(INDEX(Movimientos!$F$2:$F$1998,MATCH(A337&amp;"ENTRADA",Movimientos!$R$2:$R$1998,0)),"-")</f>
        <v>-</v>
      </c>
      <c r="F337" s="3" t="str">
        <f>IFERROR(INDEX(Movimientos!$G$2:$G$1998,MATCH(A337&amp;"ENTRADA",Movimientos!$R$2:$R$1998,0)),"-")</f>
        <v>-</v>
      </c>
      <c r="G337" s="3" t="str">
        <f>IFERROR(INDEX(Movimientos!$L$2:$L$1998,MATCH(A337&amp;"ENTRADA",Movimientos!$R$2:$R$1998,0)),"-")</f>
        <v>-</v>
      </c>
      <c r="H337" s="19" t="str">
        <f>IFERROR(IF(INDEX(Movimientos!$M$2:$M$1998,MATCH(A337&amp;"ENTRADA",Movimientos!$R$2:$R$1998,0))=0,"S/D",INDEX(Movimientos!$M$2:$M$1998,MATCH(A337&amp;"ENTRADA",Movimientos!$R$2:$R$1998,0))),"S/D")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1"/>
        <v>SIN STOCK</v>
      </c>
    </row>
    <row r="338" spans="1:11" ht="14.25">
      <c r="A338" s="18" t="s">
        <v>2481</v>
      </c>
      <c r="B338" s="3" t="str">
        <f>IFERROR(INDEX(Movimientos!$C$2:$C$1998,MATCH(A338&amp;"ENTRADA",Movimientos!$R$2:$R$1998,0)),"-")</f>
        <v>-</v>
      </c>
      <c r="C338" s="3" t="str">
        <f>IFERROR(INDEX(Movimientos!$D$2:$D$1998,MATCH(A338&amp;"ENTRADA",Movimientos!$R$2:$R$1998,0)),"-")</f>
        <v>-</v>
      </c>
      <c r="D338" s="3" t="str">
        <f>IFERROR(INDEX(Movimientos!$E$2:$E$1998,MATCH(A338&amp;"ENTRADA",Movimientos!$R$2:$R$1998,0)),"-")</f>
        <v>-</v>
      </c>
      <c r="E338" s="3" t="str">
        <f>IFERROR(INDEX(Movimientos!$F$2:$F$1998,MATCH(A338&amp;"ENTRADA",Movimientos!$R$2:$R$1998,0)),"-")</f>
        <v>-</v>
      </c>
      <c r="F338" s="3" t="str">
        <f>IFERROR(INDEX(Movimientos!$G$2:$G$1998,MATCH(A338&amp;"ENTRADA",Movimientos!$R$2:$R$1998,0)),"-")</f>
        <v>-</v>
      </c>
      <c r="G338" s="3" t="str">
        <f>IFERROR(INDEX(Movimientos!$L$2:$L$1998,MATCH(A338&amp;"ENTRADA",Movimientos!$R$2:$R$1998,0)),"-")</f>
        <v>-</v>
      </c>
      <c r="H338" s="19" t="str">
        <f>IFERROR(IF(INDEX(Movimientos!$M$2:$M$1998,MATCH(A338&amp;"ENTRADA",Movimientos!$R$2:$R$1998,0))=0,"S/D",INDEX(Movimientos!$M$2:$M$1998,MATCH(A338&amp;"ENTRADA",Movimientos!$R$2:$R$1998,0))),"S/D")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1"/>
        <v>SIN STOCK</v>
      </c>
    </row>
    <row r="339" spans="1:11" ht="14.25">
      <c r="A339" s="18" t="s">
        <v>2482</v>
      </c>
      <c r="B339" s="3" t="str">
        <f>IFERROR(INDEX(Movimientos!$C$2:$C$1998,MATCH(A339&amp;"ENTRADA",Movimientos!$R$2:$R$1998,0)),"-")</f>
        <v>-</v>
      </c>
      <c r="C339" s="3" t="str">
        <f>IFERROR(INDEX(Movimientos!$D$2:$D$1998,MATCH(A339&amp;"ENTRADA",Movimientos!$R$2:$R$1998,0)),"-")</f>
        <v>-</v>
      </c>
      <c r="D339" s="3" t="str">
        <f>IFERROR(INDEX(Movimientos!$E$2:$E$1998,MATCH(A339&amp;"ENTRADA",Movimientos!$R$2:$R$1998,0)),"-")</f>
        <v>-</v>
      </c>
      <c r="E339" s="3" t="str">
        <f>IFERROR(INDEX(Movimientos!$F$2:$F$1998,MATCH(A339&amp;"ENTRADA",Movimientos!$R$2:$R$1998,0)),"-")</f>
        <v>-</v>
      </c>
      <c r="F339" s="3" t="str">
        <f>IFERROR(INDEX(Movimientos!$G$2:$G$1998,MATCH(A339&amp;"ENTRADA",Movimientos!$R$2:$R$1998,0)),"-")</f>
        <v>-</v>
      </c>
      <c r="G339" s="3" t="str">
        <f>IFERROR(INDEX(Movimientos!$L$2:$L$1998,MATCH(A339&amp;"ENTRADA",Movimientos!$R$2:$R$1998,0)),"-")</f>
        <v>-</v>
      </c>
      <c r="H339" s="19" t="str">
        <f>IFERROR(IF(INDEX(Movimientos!$M$2:$M$1998,MATCH(A339&amp;"ENTRADA",Movimientos!$R$2:$R$1998,0))=0,"S/D",INDEX(Movimientos!$M$2:$M$1998,MATCH(A339&amp;"ENTRADA",Movimientos!$R$2:$R$1998,0))),"S/D")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1"/>
        <v>SIN STOCK</v>
      </c>
    </row>
    <row r="340" spans="1:11" ht="14.25">
      <c r="A340" s="18" t="s">
        <v>2483</v>
      </c>
      <c r="B340" s="3" t="str">
        <f>IFERROR(INDEX(Movimientos!$C$2:$C$1998,MATCH(A340&amp;"ENTRADA",Movimientos!$R$2:$R$1998,0)),"-")</f>
        <v>-</v>
      </c>
      <c r="C340" s="3" t="str">
        <f>IFERROR(INDEX(Movimientos!$D$2:$D$1998,MATCH(A340&amp;"ENTRADA",Movimientos!$R$2:$R$1998,0)),"-")</f>
        <v>-</v>
      </c>
      <c r="D340" s="3" t="str">
        <f>IFERROR(INDEX(Movimientos!$E$2:$E$1998,MATCH(A340&amp;"ENTRADA",Movimientos!$R$2:$R$1998,0)),"-")</f>
        <v>-</v>
      </c>
      <c r="E340" s="3" t="str">
        <f>IFERROR(INDEX(Movimientos!$F$2:$F$1998,MATCH(A340&amp;"ENTRADA",Movimientos!$R$2:$R$1998,0)),"-")</f>
        <v>-</v>
      </c>
      <c r="F340" s="3" t="str">
        <f>IFERROR(INDEX(Movimientos!$G$2:$G$1998,MATCH(A340&amp;"ENTRADA",Movimientos!$R$2:$R$1998,0)),"-")</f>
        <v>-</v>
      </c>
      <c r="G340" s="3" t="str">
        <f>IFERROR(INDEX(Movimientos!$L$2:$L$1998,MATCH(A340&amp;"ENTRADA",Movimientos!$R$2:$R$1998,0)),"-")</f>
        <v>-</v>
      </c>
      <c r="H340" s="19" t="str">
        <f>IFERROR(IF(INDEX(Movimientos!$M$2:$M$1998,MATCH(A340&amp;"ENTRADA",Movimientos!$R$2:$R$1998,0))=0,"S/D",INDEX(Movimientos!$M$2:$M$1998,MATCH(A340&amp;"ENTRADA",Movimientos!$R$2:$R$1998,0))),"S/D")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1"/>
        <v>SIN STOCK</v>
      </c>
    </row>
    <row r="341" spans="1:11" ht="14.25">
      <c r="A341" s="18" t="s">
        <v>2484</v>
      </c>
      <c r="B341" s="3" t="str">
        <f>IFERROR(INDEX(Movimientos!$C$2:$C$1998,MATCH(A341&amp;"ENTRADA",Movimientos!$R$2:$R$1998,0)),"-")</f>
        <v>-</v>
      </c>
      <c r="C341" s="3" t="str">
        <f>IFERROR(INDEX(Movimientos!$D$2:$D$1998,MATCH(A341&amp;"ENTRADA",Movimientos!$R$2:$R$1998,0)),"-")</f>
        <v>-</v>
      </c>
      <c r="D341" s="3" t="str">
        <f>IFERROR(INDEX(Movimientos!$E$2:$E$1998,MATCH(A341&amp;"ENTRADA",Movimientos!$R$2:$R$1998,0)),"-")</f>
        <v>-</v>
      </c>
      <c r="E341" s="3" t="str">
        <f>IFERROR(INDEX(Movimientos!$F$2:$F$1998,MATCH(A341&amp;"ENTRADA",Movimientos!$R$2:$R$1998,0)),"-")</f>
        <v>-</v>
      </c>
      <c r="F341" s="3" t="str">
        <f>IFERROR(INDEX(Movimientos!$G$2:$G$1998,MATCH(A341&amp;"ENTRADA",Movimientos!$R$2:$R$1998,0)),"-")</f>
        <v>-</v>
      </c>
      <c r="G341" s="3" t="str">
        <f>IFERROR(INDEX(Movimientos!$L$2:$L$1998,MATCH(A341&amp;"ENTRADA",Movimientos!$R$2:$R$1998,0)),"-")</f>
        <v>-</v>
      </c>
      <c r="H341" s="19" t="str">
        <f>IFERROR(IF(INDEX(Movimientos!$M$2:$M$1998,MATCH(A341&amp;"ENTRADA",Movimientos!$R$2:$R$1998,0))=0,"S/D",INDEX(Movimientos!$M$2:$M$1998,MATCH(A341&amp;"ENTRADA",Movimientos!$R$2:$R$1998,0))),"S/D")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1"/>
        <v>SIN STOCK</v>
      </c>
    </row>
    <row r="342" spans="1:11" ht="14.25">
      <c r="A342" s="18" t="s">
        <v>2485</v>
      </c>
      <c r="B342" s="3" t="str">
        <f>IFERROR(INDEX(Movimientos!$C$2:$C$1998,MATCH(A342&amp;"ENTRADA",Movimientos!$R$2:$R$1998,0)),"-")</f>
        <v>-</v>
      </c>
      <c r="C342" s="3" t="str">
        <f>IFERROR(INDEX(Movimientos!$D$2:$D$1998,MATCH(A342&amp;"ENTRADA",Movimientos!$R$2:$R$1998,0)),"-")</f>
        <v>-</v>
      </c>
      <c r="D342" s="3" t="str">
        <f>IFERROR(INDEX(Movimientos!$E$2:$E$1998,MATCH(A342&amp;"ENTRADA",Movimientos!$R$2:$R$1998,0)),"-")</f>
        <v>-</v>
      </c>
      <c r="E342" s="3" t="str">
        <f>IFERROR(INDEX(Movimientos!$F$2:$F$1998,MATCH(A342&amp;"ENTRADA",Movimientos!$R$2:$R$1998,0)),"-")</f>
        <v>-</v>
      </c>
      <c r="F342" s="3" t="str">
        <f>IFERROR(INDEX(Movimientos!$G$2:$G$1998,MATCH(A342&amp;"ENTRADA",Movimientos!$R$2:$R$1998,0)),"-")</f>
        <v>-</v>
      </c>
      <c r="G342" s="3" t="str">
        <f>IFERROR(INDEX(Movimientos!$L$2:$L$1998,MATCH(A342&amp;"ENTRADA",Movimientos!$R$2:$R$1998,0)),"-")</f>
        <v>-</v>
      </c>
      <c r="H342" s="19" t="str">
        <f>IFERROR(IF(INDEX(Movimientos!$M$2:$M$1998,MATCH(A342&amp;"ENTRADA",Movimientos!$R$2:$R$1998,0))=0,"S/D",INDEX(Movimientos!$M$2:$M$1998,MATCH(A342&amp;"ENTRADA",Movimientos!$R$2:$R$1998,0))),"S/D")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1"/>
        <v>SIN STOCK</v>
      </c>
    </row>
    <row r="343" spans="1:11" ht="14.25">
      <c r="A343" s="18" t="s">
        <v>2486</v>
      </c>
      <c r="B343" s="3" t="str">
        <f>IFERROR(INDEX(Movimientos!$C$2:$C$1998,MATCH(A343&amp;"ENTRADA",Movimientos!$R$2:$R$1998,0)),"-")</f>
        <v>-</v>
      </c>
      <c r="C343" s="3" t="str">
        <f>IFERROR(INDEX(Movimientos!$D$2:$D$1998,MATCH(A343&amp;"ENTRADA",Movimientos!$R$2:$R$1998,0)),"-")</f>
        <v>-</v>
      </c>
      <c r="D343" s="3" t="str">
        <f>IFERROR(INDEX(Movimientos!$E$2:$E$1998,MATCH(A343&amp;"ENTRADA",Movimientos!$R$2:$R$1998,0)),"-")</f>
        <v>-</v>
      </c>
      <c r="E343" s="3" t="str">
        <f>IFERROR(INDEX(Movimientos!$F$2:$F$1998,MATCH(A343&amp;"ENTRADA",Movimientos!$R$2:$R$1998,0)),"-")</f>
        <v>-</v>
      </c>
      <c r="F343" s="3" t="str">
        <f>IFERROR(INDEX(Movimientos!$G$2:$G$1998,MATCH(A343&amp;"ENTRADA",Movimientos!$R$2:$R$1998,0)),"-")</f>
        <v>-</v>
      </c>
      <c r="G343" s="3" t="str">
        <f>IFERROR(INDEX(Movimientos!$L$2:$L$1998,MATCH(A343&amp;"ENTRADA",Movimientos!$R$2:$R$1998,0)),"-")</f>
        <v>-</v>
      </c>
      <c r="H343" s="19" t="str">
        <f>IFERROR(IF(INDEX(Movimientos!$M$2:$M$1998,MATCH(A343&amp;"ENTRADA",Movimientos!$R$2:$R$1998,0))=0,"S/D",INDEX(Movimientos!$M$2:$M$1998,MATCH(A343&amp;"ENTRADA",Movimientos!$R$2:$R$1998,0))),"S/D")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1"/>
        <v>SIN STOCK</v>
      </c>
    </row>
    <row r="344" spans="1:11" ht="14.25">
      <c r="A344" s="18" t="s">
        <v>2487</v>
      </c>
      <c r="B344" s="3" t="str">
        <f>IFERROR(INDEX(Movimientos!$C$2:$C$1998,MATCH(A344&amp;"ENTRADA",Movimientos!$R$2:$R$1998,0)),"-")</f>
        <v>-</v>
      </c>
      <c r="C344" s="3" t="str">
        <f>IFERROR(INDEX(Movimientos!$D$2:$D$1998,MATCH(A344&amp;"ENTRADA",Movimientos!$R$2:$R$1998,0)),"-")</f>
        <v>-</v>
      </c>
      <c r="D344" s="3" t="str">
        <f>IFERROR(INDEX(Movimientos!$E$2:$E$1998,MATCH(A344&amp;"ENTRADA",Movimientos!$R$2:$R$1998,0)),"-")</f>
        <v>-</v>
      </c>
      <c r="E344" s="3" t="str">
        <f>IFERROR(INDEX(Movimientos!$F$2:$F$1998,MATCH(A344&amp;"ENTRADA",Movimientos!$R$2:$R$1998,0)),"-")</f>
        <v>-</v>
      </c>
      <c r="F344" s="3" t="str">
        <f>IFERROR(INDEX(Movimientos!$G$2:$G$1998,MATCH(A344&amp;"ENTRADA",Movimientos!$R$2:$R$1998,0)),"-")</f>
        <v>-</v>
      </c>
      <c r="G344" s="3" t="str">
        <f>IFERROR(INDEX(Movimientos!$L$2:$L$1998,MATCH(A344&amp;"ENTRADA",Movimientos!$R$2:$R$1998,0)),"-")</f>
        <v>-</v>
      </c>
      <c r="H344" s="19" t="str">
        <f>IFERROR(IF(INDEX(Movimientos!$M$2:$M$1998,MATCH(A344&amp;"ENTRADA",Movimientos!$R$2:$R$1998,0))=0,"S/D",INDEX(Movimientos!$M$2:$M$1998,MATCH(A344&amp;"ENTRADA",Movimientos!$R$2:$R$1998,0))),"S/D")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1"/>
        <v>SIN STOCK</v>
      </c>
    </row>
    <row r="345" spans="1:11" ht="14.25">
      <c r="A345" s="18" t="s">
        <v>2488</v>
      </c>
      <c r="B345" s="3" t="str">
        <f>IFERROR(INDEX(Movimientos!$C$2:$C$1998,MATCH(A345&amp;"ENTRADA",Movimientos!$R$2:$R$1998,0)),"-")</f>
        <v>-</v>
      </c>
      <c r="C345" s="3" t="str">
        <f>IFERROR(INDEX(Movimientos!$D$2:$D$1998,MATCH(A345&amp;"ENTRADA",Movimientos!$R$2:$R$1998,0)),"-")</f>
        <v>-</v>
      </c>
      <c r="D345" s="3" t="str">
        <f>IFERROR(INDEX(Movimientos!$E$2:$E$1998,MATCH(A345&amp;"ENTRADA",Movimientos!$R$2:$R$1998,0)),"-")</f>
        <v>-</v>
      </c>
      <c r="E345" s="3" t="str">
        <f>IFERROR(INDEX(Movimientos!$F$2:$F$1998,MATCH(A345&amp;"ENTRADA",Movimientos!$R$2:$R$1998,0)),"-")</f>
        <v>-</v>
      </c>
      <c r="F345" s="3" t="str">
        <f>IFERROR(INDEX(Movimientos!$G$2:$G$1998,MATCH(A345&amp;"ENTRADA",Movimientos!$R$2:$R$1998,0)),"-")</f>
        <v>-</v>
      </c>
      <c r="G345" s="3" t="str">
        <f>IFERROR(INDEX(Movimientos!$L$2:$L$1998,MATCH(A345&amp;"ENTRADA",Movimientos!$R$2:$R$1998,0)),"-")</f>
        <v>-</v>
      </c>
      <c r="H345" s="19" t="str">
        <f>IFERROR(IF(INDEX(Movimientos!$M$2:$M$1998,MATCH(A345&amp;"ENTRADA",Movimientos!$R$2:$R$1998,0))=0,"S/D",INDEX(Movimientos!$M$2:$M$1998,MATCH(A345&amp;"ENTRADA",Movimientos!$R$2:$R$1998,0))),"S/D")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1"/>
        <v>SIN STOCK</v>
      </c>
    </row>
    <row r="346" spans="1:11" ht="14.25">
      <c r="A346" s="18" t="s">
        <v>2489</v>
      </c>
      <c r="B346" s="3" t="str">
        <f>IFERROR(INDEX(Movimientos!$C$2:$C$1998,MATCH(A346&amp;"ENTRADA",Movimientos!$R$2:$R$1998,0)),"-")</f>
        <v>-</v>
      </c>
      <c r="C346" s="3" t="str">
        <f>IFERROR(INDEX(Movimientos!$D$2:$D$1998,MATCH(A346&amp;"ENTRADA",Movimientos!$R$2:$R$1998,0)),"-")</f>
        <v>-</v>
      </c>
      <c r="D346" s="3" t="str">
        <f>IFERROR(INDEX(Movimientos!$E$2:$E$1998,MATCH(A346&amp;"ENTRADA",Movimientos!$R$2:$R$1998,0)),"-")</f>
        <v>-</v>
      </c>
      <c r="E346" s="3" t="str">
        <f>IFERROR(INDEX(Movimientos!$F$2:$F$1998,MATCH(A346&amp;"ENTRADA",Movimientos!$R$2:$R$1998,0)),"-")</f>
        <v>-</v>
      </c>
      <c r="F346" s="3" t="str">
        <f>IFERROR(INDEX(Movimientos!$G$2:$G$1998,MATCH(A346&amp;"ENTRADA",Movimientos!$R$2:$R$1998,0)),"-")</f>
        <v>-</v>
      </c>
      <c r="G346" s="3" t="str">
        <f>IFERROR(INDEX(Movimientos!$L$2:$L$1998,MATCH(A346&amp;"ENTRADA",Movimientos!$R$2:$R$1998,0)),"-")</f>
        <v>-</v>
      </c>
      <c r="H346" s="19" t="str">
        <f>IFERROR(IF(INDEX(Movimientos!$M$2:$M$1998,MATCH(A346&amp;"ENTRADA",Movimientos!$R$2:$R$1998,0))=0,"S/D",INDEX(Movimientos!$M$2:$M$1998,MATCH(A346&amp;"ENTRADA",Movimientos!$R$2:$R$1998,0))),"S/D")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1"/>
        <v>SIN STOCK</v>
      </c>
    </row>
    <row r="347" spans="1:11" ht="14.25">
      <c r="A347" s="18" t="s">
        <v>2490</v>
      </c>
      <c r="B347" s="3" t="str">
        <f>IFERROR(INDEX(Movimientos!$C$2:$C$1998,MATCH(A347&amp;"ENTRADA",Movimientos!$R$2:$R$1998,0)),"-")</f>
        <v>-</v>
      </c>
      <c r="C347" s="3" t="str">
        <f>IFERROR(INDEX(Movimientos!$D$2:$D$1998,MATCH(A347&amp;"ENTRADA",Movimientos!$R$2:$R$1998,0)),"-")</f>
        <v>-</v>
      </c>
      <c r="D347" s="3" t="str">
        <f>IFERROR(INDEX(Movimientos!$E$2:$E$1998,MATCH(A347&amp;"ENTRADA",Movimientos!$R$2:$R$1998,0)),"-")</f>
        <v>-</v>
      </c>
      <c r="E347" s="3" t="str">
        <f>IFERROR(INDEX(Movimientos!$F$2:$F$1998,MATCH(A347&amp;"ENTRADA",Movimientos!$R$2:$R$1998,0)),"-")</f>
        <v>-</v>
      </c>
      <c r="F347" s="3" t="str">
        <f>IFERROR(INDEX(Movimientos!$G$2:$G$1998,MATCH(A347&amp;"ENTRADA",Movimientos!$R$2:$R$1998,0)),"-")</f>
        <v>-</v>
      </c>
      <c r="G347" s="3" t="str">
        <f>IFERROR(INDEX(Movimientos!$L$2:$L$1998,MATCH(A347&amp;"ENTRADA",Movimientos!$R$2:$R$1998,0)),"-")</f>
        <v>-</v>
      </c>
      <c r="H347" s="19" t="str">
        <f>IFERROR(IF(INDEX(Movimientos!$M$2:$M$1998,MATCH(A347&amp;"ENTRADA",Movimientos!$R$2:$R$1998,0))=0,"S/D",INDEX(Movimientos!$M$2:$M$1998,MATCH(A347&amp;"ENTRADA",Movimientos!$R$2:$R$1998,0))),"S/D")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1"/>
        <v>SIN STOCK</v>
      </c>
    </row>
    <row r="348" spans="1:11" ht="14.25">
      <c r="A348" s="18" t="s">
        <v>2491</v>
      </c>
      <c r="B348" s="3" t="str">
        <f>IFERROR(INDEX(Movimientos!$C$2:$C$1998,MATCH(A348&amp;"ENTRADA",Movimientos!$R$2:$R$1998,0)),"-")</f>
        <v>-</v>
      </c>
      <c r="C348" s="3" t="str">
        <f>IFERROR(INDEX(Movimientos!$D$2:$D$1998,MATCH(A348&amp;"ENTRADA",Movimientos!$R$2:$R$1998,0)),"-")</f>
        <v>-</v>
      </c>
      <c r="D348" s="3" t="str">
        <f>IFERROR(INDEX(Movimientos!$E$2:$E$1998,MATCH(A348&amp;"ENTRADA",Movimientos!$R$2:$R$1998,0)),"-")</f>
        <v>-</v>
      </c>
      <c r="E348" s="3" t="str">
        <f>IFERROR(INDEX(Movimientos!$F$2:$F$1998,MATCH(A348&amp;"ENTRADA",Movimientos!$R$2:$R$1998,0)),"-")</f>
        <v>-</v>
      </c>
      <c r="F348" s="3" t="str">
        <f>IFERROR(INDEX(Movimientos!$G$2:$G$1998,MATCH(A348&amp;"ENTRADA",Movimientos!$R$2:$R$1998,0)),"-")</f>
        <v>-</v>
      </c>
      <c r="G348" s="3" t="str">
        <f>IFERROR(INDEX(Movimientos!$L$2:$L$1998,MATCH(A348&amp;"ENTRADA",Movimientos!$R$2:$R$1998,0)),"-")</f>
        <v>-</v>
      </c>
      <c r="H348" s="19" t="str">
        <f>IFERROR(IF(INDEX(Movimientos!$M$2:$M$1998,MATCH(A348&amp;"ENTRADA",Movimientos!$R$2:$R$1998,0))=0,"S/D",INDEX(Movimientos!$M$2:$M$1998,MATCH(A348&amp;"ENTRADA",Movimientos!$R$2:$R$1998,0))),"S/D")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1"/>
        <v>SIN STOCK</v>
      </c>
    </row>
    <row r="349" spans="1:11" ht="14.25">
      <c r="A349" s="18" t="s">
        <v>2492</v>
      </c>
      <c r="B349" s="3" t="str">
        <f>IFERROR(INDEX(Movimientos!$C$2:$C$1998,MATCH(A349&amp;"ENTRADA",Movimientos!$R$2:$R$1998,0)),"-")</f>
        <v>-</v>
      </c>
      <c r="C349" s="3" t="str">
        <f>IFERROR(INDEX(Movimientos!$D$2:$D$1998,MATCH(A349&amp;"ENTRADA",Movimientos!$R$2:$R$1998,0)),"-")</f>
        <v>-</v>
      </c>
      <c r="D349" s="3" t="str">
        <f>IFERROR(INDEX(Movimientos!$E$2:$E$1998,MATCH(A349&amp;"ENTRADA",Movimientos!$R$2:$R$1998,0)),"-")</f>
        <v>-</v>
      </c>
      <c r="E349" s="3" t="str">
        <f>IFERROR(INDEX(Movimientos!$F$2:$F$1998,MATCH(A349&amp;"ENTRADA",Movimientos!$R$2:$R$1998,0)),"-")</f>
        <v>-</v>
      </c>
      <c r="F349" s="3" t="str">
        <f>IFERROR(INDEX(Movimientos!$G$2:$G$1998,MATCH(A349&amp;"ENTRADA",Movimientos!$R$2:$R$1998,0)),"-")</f>
        <v>-</v>
      </c>
      <c r="G349" s="3" t="str">
        <f>IFERROR(INDEX(Movimientos!$L$2:$L$1998,MATCH(A349&amp;"ENTRADA",Movimientos!$R$2:$R$1998,0)),"-")</f>
        <v>-</v>
      </c>
      <c r="H349" s="19" t="str">
        <f>IFERROR(IF(INDEX(Movimientos!$M$2:$M$1998,MATCH(A349&amp;"ENTRADA",Movimientos!$R$2:$R$1998,0))=0,"S/D",INDEX(Movimientos!$M$2:$M$1998,MATCH(A349&amp;"ENTRADA",Movimientos!$R$2:$R$1998,0))),"S/D")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1"/>
        <v>SIN STOCK</v>
      </c>
    </row>
    <row r="350" spans="1:11" ht="14.25">
      <c r="A350" s="18" t="s">
        <v>2493</v>
      </c>
      <c r="B350" s="3" t="str">
        <f>IFERROR(INDEX(Movimientos!$C$2:$C$1998,MATCH(A350&amp;"ENTRADA",Movimientos!$R$2:$R$1998,0)),"-")</f>
        <v>-</v>
      </c>
      <c r="C350" s="3" t="str">
        <f>IFERROR(INDEX(Movimientos!$D$2:$D$1998,MATCH(A350&amp;"ENTRADA",Movimientos!$R$2:$R$1998,0)),"-")</f>
        <v>-</v>
      </c>
      <c r="D350" s="3" t="str">
        <f>IFERROR(INDEX(Movimientos!$E$2:$E$1998,MATCH(A350&amp;"ENTRADA",Movimientos!$R$2:$R$1998,0)),"-")</f>
        <v>-</v>
      </c>
      <c r="E350" s="3" t="str">
        <f>IFERROR(INDEX(Movimientos!$F$2:$F$1998,MATCH(A350&amp;"ENTRADA",Movimientos!$R$2:$R$1998,0)),"-")</f>
        <v>-</v>
      </c>
      <c r="F350" s="3" t="str">
        <f>IFERROR(INDEX(Movimientos!$G$2:$G$1998,MATCH(A350&amp;"ENTRADA",Movimientos!$R$2:$R$1998,0)),"-")</f>
        <v>-</v>
      </c>
      <c r="G350" s="3" t="str">
        <f>IFERROR(INDEX(Movimientos!$L$2:$L$1998,MATCH(A350&amp;"ENTRADA",Movimientos!$R$2:$R$1998,0)),"-")</f>
        <v>-</v>
      </c>
      <c r="H350" s="19" t="str">
        <f>IFERROR(IF(INDEX(Movimientos!$M$2:$M$1998,MATCH(A350&amp;"ENTRADA",Movimientos!$R$2:$R$1998,0))=0,"S/D",INDEX(Movimientos!$M$2:$M$1998,MATCH(A350&amp;"ENTRADA",Movimientos!$R$2:$R$1998,0))),"S/D")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1"/>
        <v>SIN STOCK</v>
      </c>
    </row>
    <row r="351" spans="1:11" ht="14.25">
      <c r="A351" s="18" t="s">
        <v>2494</v>
      </c>
      <c r="B351" s="3" t="str">
        <f>IFERROR(INDEX(Movimientos!$C$2:$C$1998,MATCH(A351&amp;"ENTRADA",Movimientos!$R$2:$R$1998,0)),"-")</f>
        <v>-</v>
      </c>
      <c r="C351" s="3" t="str">
        <f>IFERROR(INDEX(Movimientos!$D$2:$D$1998,MATCH(A351&amp;"ENTRADA",Movimientos!$R$2:$R$1998,0)),"-")</f>
        <v>-</v>
      </c>
      <c r="D351" s="3" t="str">
        <f>IFERROR(INDEX(Movimientos!$E$2:$E$1998,MATCH(A351&amp;"ENTRADA",Movimientos!$R$2:$R$1998,0)),"-")</f>
        <v>-</v>
      </c>
      <c r="E351" s="3" t="str">
        <f>IFERROR(INDEX(Movimientos!$F$2:$F$1998,MATCH(A351&amp;"ENTRADA",Movimientos!$R$2:$R$1998,0)),"-")</f>
        <v>-</v>
      </c>
      <c r="F351" s="3" t="str">
        <f>IFERROR(INDEX(Movimientos!$G$2:$G$1998,MATCH(A351&amp;"ENTRADA",Movimientos!$R$2:$R$1998,0)),"-")</f>
        <v>-</v>
      </c>
      <c r="G351" s="3" t="str">
        <f>IFERROR(INDEX(Movimientos!$L$2:$L$1998,MATCH(A351&amp;"ENTRADA",Movimientos!$R$2:$R$1998,0)),"-")</f>
        <v>-</v>
      </c>
      <c r="H351" s="19" t="str">
        <f>IFERROR(IF(INDEX(Movimientos!$M$2:$M$1998,MATCH(A351&amp;"ENTRADA",Movimientos!$R$2:$R$1998,0))=0,"S/D",INDEX(Movimientos!$M$2:$M$1998,MATCH(A351&amp;"ENTRADA",Movimientos!$R$2:$R$1998,0))),"S/D")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1"/>
        <v>SIN STOCK</v>
      </c>
    </row>
    <row r="352" spans="1:11" ht="14.25">
      <c r="A352" s="18" t="s">
        <v>2495</v>
      </c>
      <c r="B352" s="3" t="str">
        <f>IFERROR(INDEX(Movimientos!$C$2:$C$1998,MATCH(A352&amp;"ENTRADA",Movimientos!$R$2:$R$1998,0)),"-")</f>
        <v>-</v>
      </c>
      <c r="C352" s="3" t="str">
        <f>IFERROR(INDEX(Movimientos!$D$2:$D$1998,MATCH(A352&amp;"ENTRADA",Movimientos!$R$2:$R$1998,0)),"-")</f>
        <v>-</v>
      </c>
      <c r="D352" s="3" t="str">
        <f>IFERROR(INDEX(Movimientos!$E$2:$E$1998,MATCH(A352&amp;"ENTRADA",Movimientos!$R$2:$R$1998,0)),"-")</f>
        <v>-</v>
      </c>
      <c r="E352" s="3" t="str">
        <f>IFERROR(INDEX(Movimientos!$F$2:$F$1998,MATCH(A352&amp;"ENTRADA",Movimientos!$R$2:$R$1998,0)),"-")</f>
        <v>-</v>
      </c>
      <c r="F352" s="3" t="str">
        <f>IFERROR(INDEX(Movimientos!$G$2:$G$1998,MATCH(A352&amp;"ENTRADA",Movimientos!$R$2:$R$1998,0)),"-")</f>
        <v>-</v>
      </c>
      <c r="G352" s="3" t="str">
        <f>IFERROR(INDEX(Movimientos!$L$2:$L$1998,MATCH(A352&amp;"ENTRADA",Movimientos!$R$2:$R$1998,0)),"-")</f>
        <v>-</v>
      </c>
      <c r="H352" s="19" t="str">
        <f>IFERROR(IF(INDEX(Movimientos!$M$2:$M$1998,MATCH(A352&amp;"ENTRADA",Movimientos!$R$2:$R$1998,0))=0,"S/D",INDEX(Movimientos!$M$2:$M$1998,MATCH(A352&amp;"ENTRADA",Movimientos!$R$2:$R$1998,0))),"S/D")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1"/>
        <v>SIN STOCK</v>
      </c>
    </row>
    <row r="353" spans="1:11" ht="14.25">
      <c r="A353" s="18" t="s">
        <v>2496</v>
      </c>
      <c r="B353" s="3" t="str">
        <f>IFERROR(INDEX(Movimientos!$C$2:$C$1998,MATCH(A353&amp;"ENTRADA",Movimientos!$R$2:$R$1998,0)),"-")</f>
        <v>-</v>
      </c>
      <c r="C353" s="3" t="str">
        <f>IFERROR(INDEX(Movimientos!$D$2:$D$1998,MATCH(A353&amp;"ENTRADA",Movimientos!$R$2:$R$1998,0)),"-")</f>
        <v>-</v>
      </c>
      <c r="D353" s="3" t="str">
        <f>IFERROR(INDEX(Movimientos!$E$2:$E$1998,MATCH(A353&amp;"ENTRADA",Movimientos!$R$2:$R$1998,0)),"-")</f>
        <v>-</v>
      </c>
      <c r="E353" s="3" t="str">
        <f>IFERROR(INDEX(Movimientos!$F$2:$F$1998,MATCH(A353&amp;"ENTRADA",Movimientos!$R$2:$R$1998,0)),"-")</f>
        <v>-</v>
      </c>
      <c r="F353" s="3" t="str">
        <f>IFERROR(INDEX(Movimientos!$G$2:$G$1998,MATCH(A353&amp;"ENTRADA",Movimientos!$R$2:$R$1998,0)),"-")</f>
        <v>-</v>
      </c>
      <c r="G353" s="3" t="str">
        <f>IFERROR(INDEX(Movimientos!$L$2:$L$1998,MATCH(A353&amp;"ENTRADA",Movimientos!$R$2:$R$1998,0)),"-")</f>
        <v>-</v>
      </c>
      <c r="H353" s="19" t="str">
        <f>IFERROR(IF(INDEX(Movimientos!$M$2:$M$1998,MATCH(A353&amp;"ENTRADA",Movimientos!$R$2:$R$1998,0))=0,"S/D",INDEX(Movimientos!$M$2:$M$1998,MATCH(A353&amp;"ENTRADA",Movimientos!$R$2:$R$1998,0))),"S/D")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1"/>
        <v>SIN STOCK</v>
      </c>
    </row>
    <row r="354" spans="1:11" ht="14.25">
      <c r="A354" s="18" t="s">
        <v>2497</v>
      </c>
      <c r="B354" s="3" t="str">
        <f>IFERROR(INDEX(Movimientos!$C$2:$C$1998,MATCH(A354&amp;"ENTRADA",Movimientos!$R$2:$R$1998,0)),"-")</f>
        <v>-</v>
      </c>
      <c r="C354" s="3" t="str">
        <f>IFERROR(INDEX(Movimientos!$D$2:$D$1998,MATCH(A354&amp;"ENTRADA",Movimientos!$R$2:$R$1998,0)),"-")</f>
        <v>-</v>
      </c>
      <c r="D354" s="3" t="str">
        <f>IFERROR(INDEX(Movimientos!$E$2:$E$1998,MATCH(A354&amp;"ENTRADA",Movimientos!$R$2:$R$1998,0)),"-")</f>
        <v>-</v>
      </c>
      <c r="E354" s="3" t="str">
        <f>IFERROR(INDEX(Movimientos!$F$2:$F$1998,MATCH(A354&amp;"ENTRADA",Movimientos!$R$2:$R$1998,0)),"-")</f>
        <v>-</v>
      </c>
      <c r="F354" s="3" t="str">
        <f>IFERROR(INDEX(Movimientos!$G$2:$G$1998,MATCH(A354&amp;"ENTRADA",Movimientos!$R$2:$R$1998,0)),"-")</f>
        <v>-</v>
      </c>
      <c r="G354" s="3" t="str">
        <f>IFERROR(INDEX(Movimientos!$L$2:$L$1998,MATCH(A354&amp;"ENTRADA",Movimientos!$R$2:$R$1998,0)),"-")</f>
        <v>-</v>
      </c>
      <c r="H354" s="19" t="str">
        <f>IFERROR(IF(INDEX(Movimientos!$M$2:$M$1998,MATCH(A354&amp;"ENTRADA",Movimientos!$R$2:$R$1998,0))=0,"S/D",INDEX(Movimientos!$M$2:$M$1998,MATCH(A354&amp;"ENTRADA",Movimientos!$R$2:$R$1998,0))),"S/D")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1"/>
        <v>SIN STOCK</v>
      </c>
    </row>
    <row r="355" spans="1:11" ht="14.25">
      <c r="A355" s="18" t="s">
        <v>2498</v>
      </c>
      <c r="B355" s="3" t="str">
        <f>IFERROR(INDEX(Movimientos!$C$2:$C$1998,MATCH(A355&amp;"ENTRADA",Movimientos!$R$2:$R$1998,0)),"-")</f>
        <v>-</v>
      </c>
      <c r="C355" s="3" t="str">
        <f>IFERROR(INDEX(Movimientos!$D$2:$D$1998,MATCH(A355&amp;"ENTRADA",Movimientos!$R$2:$R$1998,0)),"-")</f>
        <v>-</v>
      </c>
      <c r="D355" s="3" t="str">
        <f>IFERROR(INDEX(Movimientos!$E$2:$E$1998,MATCH(A355&amp;"ENTRADA",Movimientos!$R$2:$R$1998,0)),"-")</f>
        <v>-</v>
      </c>
      <c r="E355" s="3" t="str">
        <f>IFERROR(INDEX(Movimientos!$F$2:$F$1998,MATCH(A355&amp;"ENTRADA",Movimientos!$R$2:$R$1998,0)),"-")</f>
        <v>-</v>
      </c>
      <c r="F355" s="3" t="str">
        <f>IFERROR(INDEX(Movimientos!$G$2:$G$1998,MATCH(A355&amp;"ENTRADA",Movimientos!$R$2:$R$1998,0)),"-")</f>
        <v>-</v>
      </c>
      <c r="G355" s="3" t="str">
        <f>IFERROR(INDEX(Movimientos!$L$2:$L$1998,MATCH(A355&amp;"ENTRADA",Movimientos!$R$2:$R$1998,0)),"-")</f>
        <v>-</v>
      </c>
      <c r="H355" s="19" t="str">
        <f>IFERROR(IF(INDEX(Movimientos!$M$2:$M$1998,MATCH(A355&amp;"ENTRADA",Movimientos!$R$2:$R$1998,0))=0,"S/D",INDEX(Movimientos!$M$2:$M$1998,MATCH(A355&amp;"ENTRADA",Movimientos!$R$2:$R$1998,0))),"S/D")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1"/>
        <v>SIN STOCK</v>
      </c>
    </row>
    <row r="356" spans="1:11" ht="14.25">
      <c r="A356" s="18" t="s">
        <v>2499</v>
      </c>
      <c r="B356" s="3" t="str">
        <f>IFERROR(INDEX(Movimientos!$C$2:$C$1998,MATCH(A356&amp;"ENTRADA",Movimientos!$R$2:$R$1998,0)),"-")</f>
        <v>-</v>
      </c>
      <c r="C356" s="3" t="str">
        <f>IFERROR(INDEX(Movimientos!$D$2:$D$1998,MATCH(A356&amp;"ENTRADA",Movimientos!$R$2:$R$1998,0)),"-")</f>
        <v>-</v>
      </c>
      <c r="D356" s="3" t="str">
        <f>IFERROR(INDEX(Movimientos!$E$2:$E$1998,MATCH(A356&amp;"ENTRADA",Movimientos!$R$2:$R$1998,0)),"-")</f>
        <v>-</v>
      </c>
      <c r="E356" s="3" t="str">
        <f>IFERROR(INDEX(Movimientos!$F$2:$F$1998,MATCH(A356&amp;"ENTRADA",Movimientos!$R$2:$R$1998,0)),"-")</f>
        <v>-</v>
      </c>
      <c r="F356" s="3" t="str">
        <f>IFERROR(INDEX(Movimientos!$G$2:$G$1998,MATCH(A356&amp;"ENTRADA",Movimientos!$R$2:$R$1998,0)),"-")</f>
        <v>-</v>
      </c>
      <c r="G356" s="3" t="str">
        <f>IFERROR(INDEX(Movimientos!$L$2:$L$1998,MATCH(A356&amp;"ENTRADA",Movimientos!$R$2:$R$1998,0)),"-")</f>
        <v>-</v>
      </c>
      <c r="H356" s="19" t="str">
        <f>IFERROR(IF(INDEX(Movimientos!$M$2:$M$1998,MATCH(A356&amp;"ENTRADA",Movimientos!$R$2:$R$1998,0))=0,"S/D",INDEX(Movimientos!$M$2:$M$1998,MATCH(A356&amp;"ENTRADA",Movimientos!$R$2:$R$1998,0))),"S/D")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1"/>
        <v>SIN STOCK</v>
      </c>
    </row>
    <row r="357" spans="1:11" ht="14.25">
      <c r="A357" s="18" t="s">
        <v>2500</v>
      </c>
      <c r="B357" s="3" t="str">
        <f>IFERROR(INDEX(Movimientos!$C$2:$C$1998,MATCH(A357&amp;"ENTRADA",Movimientos!$R$2:$R$1998,0)),"-")</f>
        <v>-</v>
      </c>
      <c r="C357" s="3" t="str">
        <f>IFERROR(INDEX(Movimientos!$D$2:$D$1998,MATCH(A357&amp;"ENTRADA",Movimientos!$R$2:$R$1998,0)),"-")</f>
        <v>-</v>
      </c>
      <c r="D357" s="3" t="str">
        <f>IFERROR(INDEX(Movimientos!$E$2:$E$1998,MATCH(A357&amp;"ENTRADA",Movimientos!$R$2:$R$1998,0)),"-")</f>
        <v>-</v>
      </c>
      <c r="E357" s="3" t="str">
        <f>IFERROR(INDEX(Movimientos!$F$2:$F$1998,MATCH(A357&amp;"ENTRADA",Movimientos!$R$2:$R$1998,0)),"-")</f>
        <v>-</v>
      </c>
      <c r="F357" s="3" t="str">
        <f>IFERROR(INDEX(Movimientos!$G$2:$G$1998,MATCH(A357&amp;"ENTRADA",Movimientos!$R$2:$R$1998,0)),"-")</f>
        <v>-</v>
      </c>
      <c r="G357" s="3" t="str">
        <f>IFERROR(INDEX(Movimientos!$L$2:$L$1998,MATCH(A357&amp;"ENTRADA",Movimientos!$R$2:$R$1998,0)),"-")</f>
        <v>-</v>
      </c>
      <c r="H357" s="19" t="str">
        <f>IFERROR(IF(INDEX(Movimientos!$M$2:$M$1998,MATCH(A357&amp;"ENTRADA",Movimientos!$R$2:$R$1998,0))=0,"S/D",INDEX(Movimientos!$M$2:$M$1998,MATCH(A357&amp;"ENTRADA",Movimientos!$R$2:$R$1998,0))),"S/D")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1"/>
        <v>SIN STOCK</v>
      </c>
    </row>
    <row r="358" spans="1:11" ht="14.25">
      <c r="A358" s="18" t="s">
        <v>2501</v>
      </c>
      <c r="B358" s="3" t="str">
        <f>IFERROR(INDEX(Movimientos!$C$2:$C$1998,MATCH(A358&amp;"ENTRADA",Movimientos!$R$2:$R$1998,0)),"-")</f>
        <v>-</v>
      </c>
      <c r="C358" s="3" t="str">
        <f>IFERROR(INDEX(Movimientos!$D$2:$D$1998,MATCH(A358&amp;"ENTRADA",Movimientos!$R$2:$R$1998,0)),"-")</f>
        <v>-</v>
      </c>
      <c r="D358" s="3" t="str">
        <f>IFERROR(INDEX(Movimientos!$E$2:$E$1998,MATCH(A358&amp;"ENTRADA",Movimientos!$R$2:$R$1998,0)),"-")</f>
        <v>-</v>
      </c>
      <c r="E358" s="3" t="str">
        <f>IFERROR(INDEX(Movimientos!$F$2:$F$1998,MATCH(A358&amp;"ENTRADA",Movimientos!$R$2:$R$1998,0)),"-")</f>
        <v>-</v>
      </c>
      <c r="F358" s="3" t="str">
        <f>IFERROR(INDEX(Movimientos!$G$2:$G$1998,MATCH(A358&amp;"ENTRADA",Movimientos!$R$2:$R$1998,0)),"-")</f>
        <v>-</v>
      </c>
      <c r="G358" s="3" t="str">
        <f>IFERROR(INDEX(Movimientos!$L$2:$L$1998,MATCH(A358&amp;"ENTRADA",Movimientos!$R$2:$R$1998,0)),"-")</f>
        <v>-</v>
      </c>
      <c r="H358" s="19" t="str">
        <f>IFERROR(IF(INDEX(Movimientos!$M$2:$M$1998,MATCH(A358&amp;"ENTRADA",Movimientos!$R$2:$R$1998,0))=0,"S/D",INDEX(Movimientos!$M$2:$M$1998,MATCH(A358&amp;"ENTRADA",Movimientos!$R$2:$R$1998,0))),"S/D")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1"/>
        <v>SIN STOCK</v>
      </c>
    </row>
    <row r="359" spans="1:11" ht="14.25">
      <c r="A359" s="18" t="s">
        <v>2502</v>
      </c>
      <c r="B359" s="3" t="str">
        <f>IFERROR(INDEX(Movimientos!$C$2:$C$1998,MATCH(A359&amp;"ENTRADA",Movimientos!$R$2:$R$1998,0)),"-")</f>
        <v>-</v>
      </c>
      <c r="C359" s="3" t="str">
        <f>IFERROR(INDEX(Movimientos!$D$2:$D$1998,MATCH(A359&amp;"ENTRADA",Movimientos!$R$2:$R$1998,0)),"-")</f>
        <v>-</v>
      </c>
      <c r="D359" s="3" t="str">
        <f>IFERROR(INDEX(Movimientos!$E$2:$E$1998,MATCH(A359&amp;"ENTRADA",Movimientos!$R$2:$R$1998,0)),"-")</f>
        <v>-</v>
      </c>
      <c r="E359" s="3" t="str">
        <f>IFERROR(INDEX(Movimientos!$F$2:$F$1998,MATCH(A359&amp;"ENTRADA",Movimientos!$R$2:$R$1998,0)),"-")</f>
        <v>-</v>
      </c>
      <c r="F359" s="3" t="str">
        <f>IFERROR(INDEX(Movimientos!$G$2:$G$1998,MATCH(A359&amp;"ENTRADA",Movimientos!$R$2:$R$1998,0)),"-")</f>
        <v>-</v>
      </c>
      <c r="G359" s="3" t="str">
        <f>IFERROR(INDEX(Movimientos!$L$2:$L$1998,MATCH(A359&amp;"ENTRADA",Movimientos!$R$2:$R$1998,0)),"-")</f>
        <v>-</v>
      </c>
      <c r="H359" s="19" t="str">
        <f>IFERROR(IF(INDEX(Movimientos!$M$2:$M$1998,MATCH(A359&amp;"ENTRADA",Movimientos!$R$2:$R$1998,0))=0,"S/D",INDEX(Movimientos!$M$2:$M$1998,MATCH(A359&amp;"ENTRADA",Movimientos!$R$2:$R$1998,0))),"S/D")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1"/>
        <v>SIN STOCK</v>
      </c>
    </row>
    <row r="360" spans="1:11" ht="14.25">
      <c r="A360" s="18" t="s">
        <v>2503</v>
      </c>
      <c r="B360" s="3" t="str">
        <f>IFERROR(INDEX(Movimientos!$C$2:$C$1998,MATCH(A360&amp;"ENTRADA",Movimientos!$R$2:$R$1998,0)),"-")</f>
        <v>-</v>
      </c>
      <c r="C360" s="3" t="str">
        <f>IFERROR(INDEX(Movimientos!$D$2:$D$1998,MATCH(A360&amp;"ENTRADA",Movimientos!$R$2:$R$1998,0)),"-")</f>
        <v>-</v>
      </c>
      <c r="D360" s="3" t="str">
        <f>IFERROR(INDEX(Movimientos!$E$2:$E$1998,MATCH(A360&amp;"ENTRADA",Movimientos!$R$2:$R$1998,0)),"-")</f>
        <v>-</v>
      </c>
      <c r="E360" s="3" t="str">
        <f>IFERROR(INDEX(Movimientos!$F$2:$F$1998,MATCH(A360&amp;"ENTRADA",Movimientos!$R$2:$R$1998,0)),"-")</f>
        <v>-</v>
      </c>
      <c r="F360" s="3" t="str">
        <f>IFERROR(INDEX(Movimientos!$G$2:$G$1998,MATCH(A360&amp;"ENTRADA",Movimientos!$R$2:$R$1998,0)),"-")</f>
        <v>-</v>
      </c>
      <c r="G360" s="3" t="str">
        <f>IFERROR(INDEX(Movimientos!$L$2:$L$1998,MATCH(A360&amp;"ENTRADA",Movimientos!$R$2:$R$1998,0)),"-")</f>
        <v>-</v>
      </c>
      <c r="H360" s="19" t="str">
        <f>IFERROR(IF(INDEX(Movimientos!$M$2:$M$1998,MATCH(A360&amp;"ENTRADA",Movimientos!$R$2:$R$1998,0))=0,"S/D",INDEX(Movimientos!$M$2:$M$1998,MATCH(A360&amp;"ENTRADA",Movimientos!$R$2:$R$1998,0))),"S/D")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1"/>
        <v>SIN STOCK</v>
      </c>
    </row>
    <row r="361" spans="1:11" ht="14.25">
      <c r="A361" s="18" t="s">
        <v>2504</v>
      </c>
      <c r="B361" s="3" t="str">
        <f>IFERROR(INDEX(Movimientos!$C$2:$C$1998,MATCH(A361&amp;"ENTRADA",Movimientos!$R$2:$R$1998,0)),"-")</f>
        <v>-</v>
      </c>
      <c r="C361" s="3" t="str">
        <f>IFERROR(INDEX(Movimientos!$D$2:$D$1998,MATCH(A361&amp;"ENTRADA",Movimientos!$R$2:$R$1998,0)),"-")</f>
        <v>-</v>
      </c>
      <c r="D361" s="3" t="str">
        <f>IFERROR(INDEX(Movimientos!$E$2:$E$1998,MATCH(A361&amp;"ENTRADA",Movimientos!$R$2:$R$1998,0)),"-")</f>
        <v>-</v>
      </c>
      <c r="E361" s="3" t="str">
        <f>IFERROR(INDEX(Movimientos!$F$2:$F$1998,MATCH(A361&amp;"ENTRADA",Movimientos!$R$2:$R$1998,0)),"-")</f>
        <v>-</v>
      </c>
      <c r="F361" s="3" t="str">
        <f>IFERROR(INDEX(Movimientos!$G$2:$G$1998,MATCH(A361&amp;"ENTRADA",Movimientos!$R$2:$R$1998,0)),"-")</f>
        <v>-</v>
      </c>
      <c r="G361" s="3" t="str">
        <f>IFERROR(INDEX(Movimientos!$L$2:$L$1998,MATCH(A361&amp;"ENTRADA",Movimientos!$R$2:$R$1998,0)),"-")</f>
        <v>-</v>
      </c>
      <c r="H361" s="19" t="str">
        <f>IFERROR(IF(INDEX(Movimientos!$M$2:$M$1998,MATCH(A361&amp;"ENTRADA",Movimientos!$R$2:$R$1998,0))=0,"S/D",INDEX(Movimientos!$M$2:$M$1998,MATCH(A361&amp;"ENTRADA",Movimientos!$R$2:$R$1998,0))),"S/D")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1"/>
        <v>SIN STOCK</v>
      </c>
    </row>
    <row r="362" spans="1:11" ht="14.25">
      <c r="A362" s="18" t="s">
        <v>2505</v>
      </c>
      <c r="B362" s="3" t="str">
        <f>IFERROR(INDEX(Movimientos!$C$2:$C$1998,MATCH(A362&amp;"ENTRADA",Movimientos!$R$2:$R$1998,0)),"-")</f>
        <v>-</v>
      </c>
      <c r="C362" s="3" t="str">
        <f>IFERROR(INDEX(Movimientos!$D$2:$D$1998,MATCH(A362&amp;"ENTRADA",Movimientos!$R$2:$R$1998,0)),"-")</f>
        <v>-</v>
      </c>
      <c r="D362" s="3" t="str">
        <f>IFERROR(INDEX(Movimientos!$E$2:$E$1998,MATCH(A362&amp;"ENTRADA",Movimientos!$R$2:$R$1998,0)),"-")</f>
        <v>-</v>
      </c>
      <c r="E362" s="3" t="str">
        <f>IFERROR(INDEX(Movimientos!$F$2:$F$1998,MATCH(A362&amp;"ENTRADA",Movimientos!$R$2:$R$1998,0)),"-")</f>
        <v>-</v>
      </c>
      <c r="F362" s="3" t="str">
        <f>IFERROR(INDEX(Movimientos!$G$2:$G$1998,MATCH(A362&amp;"ENTRADA",Movimientos!$R$2:$R$1998,0)),"-")</f>
        <v>-</v>
      </c>
      <c r="G362" s="3" t="str">
        <f>IFERROR(INDEX(Movimientos!$L$2:$L$1998,MATCH(A362&amp;"ENTRADA",Movimientos!$R$2:$R$1998,0)),"-")</f>
        <v>-</v>
      </c>
      <c r="H362" s="19" t="str">
        <f>IFERROR(IF(INDEX(Movimientos!$M$2:$M$1998,MATCH(A362&amp;"ENTRADA",Movimientos!$R$2:$R$1998,0))=0,"S/D",INDEX(Movimientos!$M$2:$M$1998,MATCH(A362&amp;"ENTRADA",Movimientos!$R$2:$R$1998,0))),"S/D")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1"/>
        <v>SIN STOCK</v>
      </c>
    </row>
    <row r="363" spans="1:11" ht="14.25">
      <c r="A363" s="18" t="s">
        <v>2506</v>
      </c>
      <c r="B363" s="3" t="str">
        <f>IFERROR(INDEX(Movimientos!$C$2:$C$1998,MATCH(A363&amp;"ENTRADA",Movimientos!$R$2:$R$1998,0)),"-")</f>
        <v>-</v>
      </c>
      <c r="C363" s="3" t="str">
        <f>IFERROR(INDEX(Movimientos!$D$2:$D$1998,MATCH(A363&amp;"ENTRADA",Movimientos!$R$2:$R$1998,0)),"-")</f>
        <v>-</v>
      </c>
      <c r="D363" s="3" t="str">
        <f>IFERROR(INDEX(Movimientos!$E$2:$E$1998,MATCH(A363&amp;"ENTRADA",Movimientos!$R$2:$R$1998,0)),"-")</f>
        <v>-</v>
      </c>
      <c r="E363" s="3" t="str">
        <f>IFERROR(INDEX(Movimientos!$F$2:$F$1998,MATCH(A363&amp;"ENTRADA",Movimientos!$R$2:$R$1998,0)),"-")</f>
        <v>-</v>
      </c>
      <c r="F363" s="3" t="str">
        <f>IFERROR(INDEX(Movimientos!$G$2:$G$1998,MATCH(A363&amp;"ENTRADA",Movimientos!$R$2:$R$1998,0)),"-")</f>
        <v>-</v>
      </c>
      <c r="G363" s="3" t="str">
        <f>IFERROR(INDEX(Movimientos!$L$2:$L$1998,MATCH(A363&amp;"ENTRADA",Movimientos!$R$2:$R$1998,0)),"-")</f>
        <v>-</v>
      </c>
      <c r="H363" s="19" t="str">
        <f>IFERROR(IF(INDEX(Movimientos!$M$2:$M$1998,MATCH(A363&amp;"ENTRADA",Movimientos!$R$2:$R$1998,0))=0,"S/D",INDEX(Movimientos!$M$2:$M$1998,MATCH(A363&amp;"ENTRADA",Movimientos!$R$2:$R$1998,0))),"S/D")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1"/>
        <v>SIN STOCK</v>
      </c>
    </row>
    <row r="364" spans="1:11" ht="14.25">
      <c r="A364" s="18" t="s">
        <v>2507</v>
      </c>
      <c r="B364" s="3" t="str">
        <f>IFERROR(INDEX(Movimientos!$C$2:$C$1998,MATCH(A364&amp;"ENTRADA",Movimientos!$R$2:$R$1998,0)),"-")</f>
        <v>-</v>
      </c>
      <c r="C364" s="3" t="str">
        <f>IFERROR(INDEX(Movimientos!$D$2:$D$1998,MATCH(A364&amp;"ENTRADA",Movimientos!$R$2:$R$1998,0)),"-")</f>
        <v>-</v>
      </c>
      <c r="D364" s="3" t="str">
        <f>IFERROR(INDEX(Movimientos!$E$2:$E$1998,MATCH(A364&amp;"ENTRADA",Movimientos!$R$2:$R$1998,0)),"-")</f>
        <v>-</v>
      </c>
      <c r="E364" s="3" t="str">
        <f>IFERROR(INDEX(Movimientos!$F$2:$F$1998,MATCH(A364&amp;"ENTRADA",Movimientos!$R$2:$R$1998,0)),"-")</f>
        <v>-</v>
      </c>
      <c r="F364" s="3" t="str">
        <f>IFERROR(INDEX(Movimientos!$G$2:$G$1998,MATCH(A364&amp;"ENTRADA",Movimientos!$R$2:$R$1998,0)),"-")</f>
        <v>-</v>
      </c>
      <c r="G364" s="3" t="str">
        <f>IFERROR(INDEX(Movimientos!$L$2:$L$1998,MATCH(A364&amp;"ENTRADA",Movimientos!$R$2:$R$1998,0)),"-")</f>
        <v>-</v>
      </c>
      <c r="H364" s="19" t="str">
        <f>IFERROR(IF(INDEX(Movimientos!$M$2:$M$1998,MATCH(A364&amp;"ENTRADA",Movimientos!$R$2:$R$1998,0))=0,"S/D",INDEX(Movimientos!$M$2:$M$1998,MATCH(A364&amp;"ENTRADA",Movimientos!$R$2:$R$1998,0))),"S/D")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1"/>
        <v>SIN STOCK</v>
      </c>
    </row>
    <row r="365" spans="1:11" ht="14.25">
      <c r="A365" s="18" t="s">
        <v>2508</v>
      </c>
      <c r="B365" s="3" t="str">
        <f>IFERROR(INDEX(Movimientos!$C$2:$C$1998,MATCH(A365&amp;"ENTRADA",Movimientos!$R$2:$R$1998,0)),"-")</f>
        <v>-</v>
      </c>
      <c r="C365" s="3" t="str">
        <f>IFERROR(INDEX(Movimientos!$D$2:$D$1998,MATCH(A365&amp;"ENTRADA",Movimientos!$R$2:$R$1998,0)),"-")</f>
        <v>-</v>
      </c>
      <c r="D365" s="3" t="str">
        <f>IFERROR(INDEX(Movimientos!$E$2:$E$1998,MATCH(A365&amp;"ENTRADA",Movimientos!$R$2:$R$1998,0)),"-")</f>
        <v>-</v>
      </c>
      <c r="E365" s="3" t="str">
        <f>IFERROR(INDEX(Movimientos!$F$2:$F$1998,MATCH(A365&amp;"ENTRADA",Movimientos!$R$2:$R$1998,0)),"-")</f>
        <v>-</v>
      </c>
      <c r="F365" s="3" t="str">
        <f>IFERROR(INDEX(Movimientos!$G$2:$G$1998,MATCH(A365&amp;"ENTRADA",Movimientos!$R$2:$R$1998,0)),"-")</f>
        <v>-</v>
      </c>
      <c r="G365" s="3" t="str">
        <f>IFERROR(INDEX(Movimientos!$L$2:$L$1998,MATCH(A365&amp;"ENTRADA",Movimientos!$R$2:$R$1998,0)),"-")</f>
        <v>-</v>
      </c>
      <c r="H365" s="19" t="str">
        <f>IFERROR(IF(INDEX(Movimientos!$M$2:$M$1998,MATCH(A365&amp;"ENTRADA",Movimientos!$R$2:$R$1998,0))=0,"S/D",INDEX(Movimientos!$M$2:$M$1998,MATCH(A365&amp;"ENTRADA",Movimientos!$R$2:$R$1998,0))),"S/D")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1"/>
        <v>SIN STOCK</v>
      </c>
    </row>
    <row r="366" spans="1:11" ht="14.25">
      <c r="A366" s="18" t="s">
        <v>2509</v>
      </c>
      <c r="B366" s="3" t="str">
        <f>IFERROR(INDEX(Movimientos!$C$2:$C$1998,MATCH(A366&amp;"ENTRADA",Movimientos!$R$2:$R$1998,0)),"-")</f>
        <v>-</v>
      </c>
      <c r="C366" s="3" t="str">
        <f>IFERROR(INDEX(Movimientos!$D$2:$D$1998,MATCH(A366&amp;"ENTRADA",Movimientos!$R$2:$R$1998,0)),"-")</f>
        <v>-</v>
      </c>
      <c r="D366" s="3" t="str">
        <f>IFERROR(INDEX(Movimientos!$E$2:$E$1998,MATCH(A366&amp;"ENTRADA",Movimientos!$R$2:$R$1998,0)),"-")</f>
        <v>-</v>
      </c>
      <c r="E366" s="3" t="str">
        <f>IFERROR(INDEX(Movimientos!$F$2:$F$1998,MATCH(A366&amp;"ENTRADA",Movimientos!$R$2:$R$1998,0)),"-")</f>
        <v>-</v>
      </c>
      <c r="F366" s="3" t="str">
        <f>IFERROR(INDEX(Movimientos!$G$2:$G$1998,MATCH(A366&amp;"ENTRADA",Movimientos!$R$2:$R$1998,0)),"-")</f>
        <v>-</v>
      </c>
      <c r="G366" s="3" t="str">
        <f>IFERROR(INDEX(Movimientos!$L$2:$L$1998,MATCH(A366&amp;"ENTRADA",Movimientos!$R$2:$R$1998,0)),"-")</f>
        <v>-</v>
      </c>
      <c r="H366" s="19" t="str">
        <f>IFERROR(IF(INDEX(Movimientos!$M$2:$M$1998,MATCH(A366&amp;"ENTRADA",Movimientos!$R$2:$R$1998,0))=0,"S/D",INDEX(Movimientos!$M$2:$M$1998,MATCH(A366&amp;"ENTRADA",Movimientos!$R$2:$R$1998,0))),"S/D")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1"/>
        <v>SIN STOCK</v>
      </c>
    </row>
    <row r="367" spans="1:11" ht="14.25">
      <c r="A367" s="18" t="s">
        <v>2510</v>
      </c>
      <c r="B367" s="3" t="str">
        <f>IFERROR(INDEX(Movimientos!$C$2:$C$1998,MATCH(A367&amp;"ENTRADA",Movimientos!$R$2:$R$1998,0)),"-")</f>
        <v>-</v>
      </c>
      <c r="C367" s="3" t="str">
        <f>IFERROR(INDEX(Movimientos!$D$2:$D$1998,MATCH(A367&amp;"ENTRADA",Movimientos!$R$2:$R$1998,0)),"-")</f>
        <v>-</v>
      </c>
      <c r="D367" s="3" t="str">
        <f>IFERROR(INDEX(Movimientos!$E$2:$E$1998,MATCH(A367&amp;"ENTRADA",Movimientos!$R$2:$R$1998,0)),"-")</f>
        <v>-</v>
      </c>
      <c r="E367" s="3" t="str">
        <f>IFERROR(INDEX(Movimientos!$F$2:$F$1998,MATCH(A367&amp;"ENTRADA",Movimientos!$R$2:$R$1998,0)),"-")</f>
        <v>-</v>
      </c>
      <c r="F367" s="3" t="str">
        <f>IFERROR(INDEX(Movimientos!$G$2:$G$1998,MATCH(A367&amp;"ENTRADA",Movimientos!$R$2:$R$1998,0)),"-")</f>
        <v>-</v>
      </c>
      <c r="G367" s="3" t="str">
        <f>IFERROR(INDEX(Movimientos!$L$2:$L$1998,MATCH(A367&amp;"ENTRADA",Movimientos!$R$2:$R$1998,0)),"-")</f>
        <v>-</v>
      </c>
      <c r="H367" s="19" t="str">
        <f>IFERROR(IF(INDEX(Movimientos!$M$2:$M$1998,MATCH(A367&amp;"ENTRADA",Movimientos!$R$2:$R$1998,0))=0,"S/D",INDEX(Movimientos!$M$2:$M$1998,MATCH(A367&amp;"ENTRADA",Movimientos!$R$2:$R$1998,0))),"S/D")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1"/>
        <v>SIN STOCK</v>
      </c>
    </row>
    <row r="368" spans="1:11" ht="14.25">
      <c r="A368" s="18" t="s">
        <v>2511</v>
      </c>
      <c r="B368" s="3" t="str">
        <f>IFERROR(INDEX(Movimientos!$C$2:$C$1998,MATCH(A368&amp;"ENTRADA",Movimientos!$R$2:$R$1998,0)),"-")</f>
        <v>-</v>
      </c>
      <c r="C368" s="3" t="str">
        <f>IFERROR(INDEX(Movimientos!$D$2:$D$1998,MATCH(A368&amp;"ENTRADA",Movimientos!$R$2:$R$1998,0)),"-")</f>
        <v>-</v>
      </c>
      <c r="D368" s="3" t="str">
        <f>IFERROR(INDEX(Movimientos!$E$2:$E$1998,MATCH(A368&amp;"ENTRADA",Movimientos!$R$2:$R$1998,0)),"-")</f>
        <v>-</v>
      </c>
      <c r="E368" s="3" t="str">
        <f>IFERROR(INDEX(Movimientos!$F$2:$F$1998,MATCH(A368&amp;"ENTRADA",Movimientos!$R$2:$R$1998,0)),"-")</f>
        <v>-</v>
      </c>
      <c r="F368" s="3" t="str">
        <f>IFERROR(INDEX(Movimientos!$G$2:$G$1998,MATCH(A368&amp;"ENTRADA",Movimientos!$R$2:$R$1998,0)),"-")</f>
        <v>-</v>
      </c>
      <c r="G368" s="3" t="str">
        <f>IFERROR(INDEX(Movimientos!$L$2:$L$1998,MATCH(A368&amp;"ENTRADA",Movimientos!$R$2:$R$1998,0)),"-")</f>
        <v>-</v>
      </c>
      <c r="H368" s="19" t="str">
        <f>IFERROR(IF(INDEX(Movimientos!$M$2:$M$1998,MATCH(A368&amp;"ENTRADA",Movimientos!$R$2:$R$1998,0))=0,"S/D",INDEX(Movimientos!$M$2:$M$1998,MATCH(A368&amp;"ENTRADA",Movimientos!$R$2:$R$1998,0))),"S/D")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1"/>
        <v>SIN STOCK</v>
      </c>
    </row>
    <row r="369" spans="1:11" ht="14.25">
      <c r="A369" s="18" t="s">
        <v>2512</v>
      </c>
      <c r="B369" s="3" t="str">
        <f>IFERROR(INDEX(Movimientos!$C$2:$C$1998,MATCH(A369&amp;"ENTRADA",Movimientos!$R$2:$R$1998,0)),"-")</f>
        <v>-</v>
      </c>
      <c r="C369" s="3" t="str">
        <f>IFERROR(INDEX(Movimientos!$D$2:$D$1998,MATCH(A369&amp;"ENTRADA",Movimientos!$R$2:$R$1998,0)),"-")</f>
        <v>-</v>
      </c>
      <c r="D369" s="3" t="str">
        <f>IFERROR(INDEX(Movimientos!$E$2:$E$1998,MATCH(A369&amp;"ENTRADA",Movimientos!$R$2:$R$1998,0)),"-")</f>
        <v>-</v>
      </c>
      <c r="E369" s="3" t="str">
        <f>IFERROR(INDEX(Movimientos!$F$2:$F$1998,MATCH(A369&amp;"ENTRADA",Movimientos!$R$2:$R$1998,0)),"-")</f>
        <v>-</v>
      </c>
      <c r="F369" s="3" t="str">
        <f>IFERROR(INDEX(Movimientos!$G$2:$G$1998,MATCH(A369&amp;"ENTRADA",Movimientos!$R$2:$R$1998,0)),"-")</f>
        <v>-</v>
      </c>
      <c r="G369" s="3" t="str">
        <f>IFERROR(INDEX(Movimientos!$L$2:$L$1998,MATCH(A369&amp;"ENTRADA",Movimientos!$R$2:$R$1998,0)),"-")</f>
        <v>-</v>
      </c>
      <c r="H369" s="19" t="str">
        <f>IFERROR(IF(INDEX(Movimientos!$M$2:$M$1998,MATCH(A369&amp;"ENTRADA",Movimientos!$R$2:$R$1998,0))=0,"S/D",INDEX(Movimientos!$M$2:$M$1998,MATCH(A369&amp;"ENTRADA",Movimientos!$R$2:$R$1998,0))),"S/D")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1"/>
        <v>SIN STOCK</v>
      </c>
    </row>
    <row r="370" spans="1:11" ht="14.25">
      <c r="A370" s="18" t="s">
        <v>2513</v>
      </c>
      <c r="B370" s="3" t="str">
        <f>IFERROR(INDEX(Movimientos!$C$2:$C$1998,MATCH(A370&amp;"ENTRADA",Movimientos!$R$2:$R$1998,0)),"-")</f>
        <v>-</v>
      </c>
      <c r="C370" s="3" t="str">
        <f>IFERROR(INDEX(Movimientos!$D$2:$D$1998,MATCH(A370&amp;"ENTRADA",Movimientos!$R$2:$R$1998,0)),"-")</f>
        <v>-</v>
      </c>
      <c r="D370" s="3" t="str">
        <f>IFERROR(INDEX(Movimientos!$E$2:$E$1998,MATCH(A370&amp;"ENTRADA",Movimientos!$R$2:$R$1998,0)),"-")</f>
        <v>-</v>
      </c>
      <c r="E370" s="3" t="str">
        <f>IFERROR(INDEX(Movimientos!$F$2:$F$1998,MATCH(A370&amp;"ENTRADA",Movimientos!$R$2:$R$1998,0)),"-")</f>
        <v>-</v>
      </c>
      <c r="F370" s="3" t="str">
        <f>IFERROR(INDEX(Movimientos!$G$2:$G$1998,MATCH(A370&amp;"ENTRADA",Movimientos!$R$2:$R$1998,0)),"-")</f>
        <v>-</v>
      </c>
      <c r="G370" s="3" t="str">
        <f>IFERROR(INDEX(Movimientos!$L$2:$L$1998,MATCH(A370&amp;"ENTRADA",Movimientos!$R$2:$R$1998,0)),"-")</f>
        <v>-</v>
      </c>
      <c r="H370" s="19" t="str">
        <f>IFERROR(IF(INDEX(Movimientos!$M$2:$M$1998,MATCH(A370&amp;"ENTRADA",Movimientos!$R$2:$R$1998,0))=0,"S/D",INDEX(Movimientos!$M$2:$M$1998,MATCH(A370&amp;"ENTRADA",Movimientos!$R$2:$R$1998,0))),"S/D")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1"/>
        <v>SIN STOCK</v>
      </c>
    </row>
    <row r="371" spans="1:11" ht="14.25">
      <c r="A371" s="18" t="s">
        <v>2514</v>
      </c>
      <c r="B371" s="3" t="str">
        <f>IFERROR(INDEX(Movimientos!$C$2:$C$1998,MATCH(A371&amp;"ENTRADA",Movimientos!$R$2:$R$1998,0)),"-")</f>
        <v>-</v>
      </c>
      <c r="C371" s="3" t="str">
        <f>IFERROR(INDEX(Movimientos!$D$2:$D$1998,MATCH(A371&amp;"ENTRADA",Movimientos!$R$2:$R$1998,0)),"-")</f>
        <v>-</v>
      </c>
      <c r="D371" s="3" t="str">
        <f>IFERROR(INDEX(Movimientos!$E$2:$E$1998,MATCH(A371&amp;"ENTRADA",Movimientos!$R$2:$R$1998,0)),"-")</f>
        <v>-</v>
      </c>
      <c r="E371" s="3" t="str">
        <f>IFERROR(INDEX(Movimientos!$F$2:$F$1998,MATCH(A371&amp;"ENTRADA",Movimientos!$R$2:$R$1998,0)),"-")</f>
        <v>-</v>
      </c>
      <c r="F371" s="3" t="str">
        <f>IFERROR(INDEX(Movimientos!$G$2:$G$1998,MATCH(A371&amp;"ENTRADA",Movimientos!$R$2:$R$1998,0)),"-")</f>
        <v>-</v>
      </c>
      <c r="G371" s="3" t="str">
        <f>IFERROR(INDEX(Movimientos!$L$2:$L$1998,MATCH(A371&amp;"ENTRADA",Movimientos!$R$2:$R$1998,0)),"-")</f>
        <v>-</v>
      </c>
      <c r="H371" s="19" t="str">
        <f>IFERROR(IF(INDEX(Movimientos!$M$2:$M$1998,MATCH(A371&amp;"ENTRADA",Movimientos!$R$2:$R$1998,0))=0,"S/D",INDEX(Movimientos!$M$2:$M$1998,MATCH(A371&amp;"ENTRADA",Movimientos!$R$2:$R$1998,0))),"S/D")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1"/>
        <v>SIN STOCK</v>
      </c>
    </row>
    <row r="372" spans="1:11" ht="14.25">
      <c r="A372" s="18" t="s">
        <v>2515</v>
      </c>
      <c r="B372" s="3" t="str">
        <f>IFERROR(INDEX(Movimientos!$C$2:$C$1998,MATCH(A372&amp;"ENTRADA",Movimientos!$R$2:$R$1998,0)),"-")</f>
        <v>-</v>
      </c>
      <c r="C372" s="3" t="str">
        <f>IFERROR(INDEX(Movimientos!$D$2:$D$1998,MATCH(A372&amp;"ENTRADA",Movimientos!$R$2:$R$1998,0)),"-")</f>
        <v>-</v>
      </c>
      <c r="D372" s="3" t="str">
        <f>IFERROR(INDEX(Movimientos!$E$2:$E$1998,MATCH(A372&amp;"ENTRADA",Movimientos!$R$2:$R$1998,0)),"-")</f>
        <v>-</v>
      </c>
      <c r="E372" s="3" t="str">
        <f>IFERROR(INDEX(Movimientos!$F$2:$F$1998,MATCH(A372&amp;"ENTRADA",Movimientos!$R$2:$R$1998,0)),"-")</f>
        <v>-</v>
      </c>
      <c r="F372" s="3" t="str">
        <f>IFERROR(INDEX(Movimientos!$G$2:$G$1998,MATCH(A372&amp;"ENTRADA",Movimientos!$R$2:$R$1998,0)),"-")</f>
        <v>-</v>
      </c>
      <c r="G372" s="3" t="str">
        <f>IFERROR(INDEX(Movimientos!$L$2:$L$1998,MATCH(A372&amp;"ENTRADA",Movimientos!$R$2:$R$1998,0)),"-")</f>
        <v>-</v>
      </c>
      <c r="H372" s="19" t="str">
        <f>IFERROR(IF(INDEX(Movimientos!$M$2:$M$1998,MATCH(A372&amp;"ENTRADA",Movimientos!$R$2:$R$1998,0))=0,"S/D",INDEX(Movimientos!$M$2:$M$1998,MATCH(A372&amp;"ENTRADA",Movimientos!$R$2:$R$1998,0))),"S/D")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1"/>
        <v>SIN STOCK</v>
      </c>
    </row>
    <row r="373" spans="1:11" ht="14.25">
      <c r="A373" s="18" t="s">
        <v>2516</v>
      </c>
      <c r="B373" s="3" t="str">
        <f>IFERROR(INDEX(Movimientos!$C$2:$C$1998,MATCH(A373&amp;"ENTRADA",Movimientos!$R$2:$R$1998,0)),"-")</f>
        <v>-</v>
      </c>
      <c r="C373" s="3" t="str">
        <f>IFERROR(INDEX(Movimientos!$D$2:$D$1998,MATCH(A373&amp;"ENTRADA",Movimientos!$R$2:$R$1998,0)),"-")</f>
        <v>-</v>
      </c>
      <c r="D373" s="3" t="str">
        <f>IFERROR(INDEX(Movimientos!$E$2:$E$1998,MATCH(A373&amp;"ENTRADA",Movimientos!$R$2:$R$1998,0)),"-")</f>
        <v>-</v>
      </c>
      <c r="E373" s="3" t="str">
        <f>IFERROR(INDEX(Movimientos!$F$2:$F$1998,MATCH(A373&amp;"ENTRADA",Movimientos!$R$2:$R$1998,0)),"-")</f>
        <v>-</v>
      </c>
      <c r="F373" s="3" t="str">
        <f>IFERROR(INDEX(Movimientos!$G$2:$G$1998,MATCH(A373&amp;"ENTRADA",Movimientos!$R$2:$R$1998,0)),"-")</f>
        <v>-</v>
      </c>
      <c r="G373" s="3" t="str">
        <f>IFERROR(INDEX(Movimientos!$L$2:$L$1998,MATCH(A373&amp;"ENTRADA",Movimientos!$R$2:$R$1998,0)),"-")</f>
        <v>-</v>
      </c>
      <c r="H373" s="19" t="str">
        <f>IFERROR(IF(INDEX(Movimientos!$M$2:$M$1998,MATCH(A373&amp;"ENTRADA",Movimientos!$R$2:$R$1998,0))=0,"S/D",INDEX(Movimientos!$M$2:$M$1998,MATCH(A373&amp;"ENTRADA",Movimientos!$R$2:$R$1998,0))),"S/D")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1"/>
        <v>SIN STOCK</v>
      </c>
    </row>
    <row r="374" spans="1:11" ht="14.25">
      <c r="A374" s="18" t="s">
        <v>2517</v>
      </c>
      <c r="B374" s="3" t="str">
        <f>IFERROR(INDEX(Movimientos!$C$2:$C$1998,MATCH(A374&amp;"ENTRADA",Movimientos!$R$2:$R$1998,0)),"-")</f>
        <v>-</v>
      </c>
      <c r="C374" s="3" t="str">
        <f>IFERROR(INDEX(Movimientos!$D$2:$D$1998,MATCH(A374&amp;"ENTRADA",Movimientos!$R$2:$R$1998,0)),"-")</f>
        <v>-</v>
      </c>
      <c r="D374" s="3" t="str">
        <f>IFERROR(INDEX(Movimientos!$E$2:$E$1998,MATCH(A374&amp;"ENTRADA",Movimientos!$R$2:$R$1998,0)),"-")</f>
        <v>-</v>
      </c>
      <c r="E374" s="3" t="str">
        <f>IFERROR(INDEX(Movimientos!$F$2:$F$1998,MATCH(A374&amp;"ENTRADA",Movimientos!$R$2:$R$1998,0)),"-")</f>
        <v>-</v>
      </c>
      <c r="F374" s="3" t="str">
        <f>IFERROR(INDEX(Movimientos!$G$2:$G$1998,MATCH(A374&amp;"ENTRADA",Movimientos!$R$2:$R$1998,0)),"-")</f>
        <v>-</v>
      </c>
      <c r="G374" s="3" t="str">
        <f>IFERROR(INDEX(Movimientos!$L$2:$L$1998,MATCH(A374&amp;"ENTRADA",Movimientos!$R$2:$R$1998,0)),"-")</f>
        <v>-</v>
      </c>
      <c r="H374" s="19" t="str">
        <f>IFERROR(IF(INDEX(Movimientos!$M$2:$M$1998,MATCH(A374&amp;"ENTRADA",Movimientos!$R$2:$R$1998,0))=0,"S/D",INDEX(Movimientos!$M$2:$M$1998,MATCH(A374&amp;"ENTRADA",Movimientos!$R$2:$R$1998,0))),"S/D")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1"/>
        <v>SIN STOCK</v>
      </c>
    </row>
    <row r="375" spans="1:11" ht="14.25">
      <c r="A375" s="18" t="s">
        <v>2518</v>
      </c>
      <c r="B375" s="3" t="str">
        <f>IFERROR(INDEX(Movimientos!$C$2:$C$1998,MATCH(A375&amp;"ENTRADA",Movimientos!$R$2:$R$1998,0)),"-")</f>
        <v>-</v>
      </c>
      <c r="C375" s="3" t="str">
        <f>IFERROR(INDEX(Movimientos!$D$2:$D$1998,MATCH(A375&amp;"ENTRADA",Movimientos!$R$2:$R$1998,0)),"-")</f>
        <v>-</v>
      </c>
      <c r="D375" s="3" t="str">
        <f>IFERROR(INDEX(Movimientos!$E$2:$E$1998,MATCH(A375&amp;"ENTRADA",Movimientos!$R$2:$R$1998,0)),"-")</f>
        <v>-</v>
      </c>
      <c r="E375" s="3" t="str">
        <f>IFERROR(INDEX(Movimientos!$F$2:$F$1998,MATCH(A375&amp;"ENTRADA",Movimientos!$R$2:$R$1998,0)),"-")</f>
        <v>-</v>
      </c>
      <c r="F375" s="3" t="str">
        <f>IFERROR(INDEX(Movimientos!$G$2:$G$1998,MATCH(A375&amp;"ENTRADA",Movimientos!$R$2:$R$1998,0)),"-")</f>
        <v>-</v>
      </c>
      <c r="G375" s="3" t="str">
        <f>IFERROR(INDEX(Movimientos!$L$2:$L$1998,MATCH(A375&amp;"ENTRADA",Movimientos!$R$2:$R$1998,0)),"-")</f>
        <v>-</v>
      </c>
      <c r="H375" s="19" t="str">
        <f>IFERROR(IF(INDEX(Movimientos!$M$2:$M$1998,MATCH(A375&amp;"ENTRADA",Movimientos!$R$2:$R$1998,0))=0,"S/D",INDEX(Movimientos!$M$2:$M$1998,MATCH(A375&amp;"ENTRADA",Movimientos!$R$2:$R$1998,0))),"S/D")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1"/>
        <v>SIN STOCK</v>
      </c>
    </row>
    <row r="376" spans="1:11" ht="14.25">
      <c r="A376" s="18" t="s">
        <v>2519</v>
      </c>
      <c r="B376" s="3" t="str">
        <f>IFERROR(INDEX(Movimientos!$C$2:$C$1998,MATCH(A376&amp;"ENTRADA",Movimientos!$R$2:$R$1998,0)),"-")</f>
        <v>-</v>
      </c>
      <c r="C376" s="3" t="str">
        <f>IFERROR(INDEX(Movimientos!$D$2:$D$1998,MATCH(A376&amp;"ENTRADA",Movimientos!$R$2:$R$1998,0)),"-")</f>
        <v>-</v>
      </c>
      <c r="D376" s="3" t="str">
        <f>IFERROR(INDEX(Movimientos!$E$2:$E$1998,MATCH(A376&amp;"ENTRADA",Movimientos!$R$2:$R$1998,0)),"-")</f>
        <v>-</v>
      </c>
      <c r="E376" s="3" t="str">
        <f>IFERROR(INDEX(Movimientos!$F$2:$F$1998,MATCH(A376&amp;"ENTRADA",Movimientos!$R$2:$R$1998,0)),"-")</f>
        <v>-</v>
      </c>
      <c r="F376" s="3" t="str">
        <f>IFERROR(INDEX(Movimientos!$G$2:$G$1998,MATCH(A376&amp;"ENTRADA",Movimientos!$R$2:$R$1998,0)),"-")</f>
        <v>-</v>
      </c>
      <c r="G376" s="3" t="str">
        <f>IFERROR(INDEX(Movimientos!$L$2:$L$1998,MATCH(A376&amp;"ENTRADA",Movimientos!$R$2:$R$1998,0)),"-")</f>
        <v>-</v>
      </c>
      <c r="H376" s="19" t="str">
        <f>IFERROR(IF(INDEX(Movimientos!$M$2:$M$1998,MATCH(A376&amp;"ENTRADA",Movimientos!$R$2:$R$1998,0))=0,"S/D",INDEX(Movimientos!$M$2:$M$1998,MATCH(A376&amp;"ENTRADA",Movimientos!$R$2:$R$1998,0))),"S/D")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1"/>
        <v>SIN STOCK</v>
      </c>
    </row>
    <row r="377" spans="1:11" ht="14.25">
      <c r="A377" s="18" t="s">
        <v>2520</v>
      </c>
      <c r="B377" s="3" t="str">
        <f>IFERROR(INDEX(Movimientos!$C$2:$C$1998,MATCH(A377&amp;"ENTRADA",Movimientos!$R$2:$R$1998,0)),"-")</f>
        <v>-</v>
      </c>
      <c r="C377" s="3" t="str">
        <f>IFERROR(INDEX(Movimientos!$D$2:$D$1998,MATCH(A377&amp;"ENTRADA",Movimientos!$R$2:$R$1998,0)),"-")</f>
        <v>-</v>
      </c>
      <c r="D377" s="3" t="str">
        <f>IFERROR(INDEX(Movimientos!$E$2:$E$1998,MATCH(A377&amp;"ENTRADA",Movimientos!$R$2:$R$1998,0)),"-")</f>
        <v>-</v>
      </c>
      <c r="E377" s="3" t="str">
        <f>IFERROR(INDEX(Movimientos!$F$2:$F$1998,MATCH(A377&amp;"ENTRADA",Movimientos!$R$2:$R$1998,0)),"-")</f>
        <v>-</v>
      </c>
      <c r="F377" s="3" t="str">
        <f>IFERROR(INDEX(Movimientos!$G$2:$G$1998,MATCH(A377&amp;"ENTRADA",Movimientos!$R$2:$R$1998,0)),"-")</f>
        <v>-</v>
      </c>
      <c r="G377" s="3" t="str">
        <f>IFERROR(INDEX(Movimientos!$L$2:$L$1998,MATCH(A377&amp;"ENTRADA",Movimientos!$R$2:$R$1998,0)),"-")</f>
        <v>-</v>
      </c>
      <c r="H377" s="19" t="str">
        <f>IFERROR(IF(INDEX(Movimientos!$M$2:$M$1998,MATCH(A377&amp;"ENTRADA",Movimientos!$R$2:$R$1998,0))=0,"S/D",INDEX(Movimientos!$M$2:$M$1998,MATCH(A377&amp;"ENTRADA",Movimientos!$R$2:$R$1998,0))),"S/D")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1"/>
        <v>SIN STOCK</v>
      </c>
    </row>
    <row r="378" spans="1:11" ht="14.25">
      <c r="A378" s="18" t="s">
        <v>2521</v>
      </c>
      <c r="B378" s="3" t="str">
        <f>IFERROR(INDEX(Movimientos!$C$2:$C$1998,MATCH(A378&amp;"ENTRADA",Movimientos!$R$2:$R$1998,0)),"-")</f>
        <v>-</v>
      </c>
      <c r="C378" s="3" t="str">
        <f>IFERROR(INDEX(Movimientos!$D$2:$D$1998,MATCH(A378&amp;"ENTRADA",Movimientos!$R$2:$R$1998,0)),"-")</f>
        <v>-</v>
      </c>
      <c r="D378" s="3" t="str">
        <f>IFERROR(INDEX(Movimientos!$E$2:$E$1998,MATCH(A378&amp;"ENTRADA",Movimientos!$R$2:$R$1998,0)),"-")</f>
        <v>-</v>
      </c>
      <c r="E378" s="3" t="str">
        <f>IFERROR(INDEX(Movimientos!$F$2:$F$1998,MATCH(A378&amp;"ENTRADA",Movimientos!$R$2:$R$1998,0)),"-")</f>
        <v>-</v>
      </c>
      <c r="F378" s="3" t="str">
        <f>IFERROR(INDEX(Movimientos!$G$2:$G$1998,MATCH(A378&amp;"ENTRADA",Movimientos!$R$2:$R$1998,0)),"-")</f>
        <v>-</v>
      </c>
      <c r="G378" s="3" t="str">
        <f>IFERROR(INDEX(Movimientos!$L$2:$L$1998,MATCH(A378&amp;"ENTRADA",Movimientos!$R$2:$R$1998,0)),"-")</f>
        <v>-</v>
      </c>
      <c r="H378" s="19" t="str">
        <f>IFERROR(IF(INDEX(Movimientos!$M$2:$M$1998,MATCH(A378&amp;"ENTRADA",Movimientos!$R$2:$R$1998,0))=0,"S/D",INDEX(Movimientos!$M$2:$M$1998,MATCH(A378&amp;"ENTRADA",Movimientos!$R$2:$R$1998,0))),"S/D")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1"/>
        <v>SIN STOCK</v>
      </c>
    </row>
    <row r="379" spans="1:11" ht="14.25">
      <c r="A379" s="18" t="s">
        <v>2522</v>
      </c>
      <c r="B379" s="3" t="str">
        <f>IFERROR(INDEX(Movimientos!$C$2:$C$1998,MATCH(A379&amp;"ENTRADA",Movimientos!$R$2:$R$1998,0)),"-")</f>
        <v>-</v>
      </c>
      <c r="C379" s="3" t="str">
        <f>IFERROR(INDEX(Movimientos!$D$2:$D$1998,MATCH(A379&amp;"ENTRADA",Movimientos!$R$2:$R$1998,0)),"-")</f>
        <v>-</v>
      </c>
      <c r="D379" s="3" t="str">
        <f>IFERROR(INDEX(Movimientos!$E$2:$E$1998,MATCH(A379&amp;"ENTRADA",Movimientos!$R$2:$R$1998,0)),"-")</f>
        <v>-</v>
      </c>
      <c r="E379" s="3" t="str">
        <f>IFERROR(INDEX(Movimientos!$F$2:$F$1998,MATCH(A379&amp;"ENTRADA",Movimientos!$R$2:$R$1998,0)),"-")</f>
        <v>-</v>
      </c>
      <c r="F379" s="3" t="str">
        <f>IFERROR(INDEX(Movimientos!$G$2:$G$1998,MATCH(A379&amp;"ENTRADA",Movimientos!$R$2:$R$1998,0)),"-")</f>
        <v>-</v>
      </c>
      <c r="G379" s="3" t="str">
        <f>IFERROR(INDEX(Movimientos!$L$2:$L$1998,MATCH(A379&amp;"ENTRADA",Movimientos!$R$2:$R$1998,0)),"-")</f>
        <v>-</v>
      </c>
      <c r="H379" s="19" t="str">
        <f>IFERROR(IF(INDEX(Movimientos!$M$2:$M$1998,MATCH(A379&amp;"ENTRADA",Movimientos!$R$2:$R$1998,0))=0,"S/D",INDEX(Movimientos!$M$2:$M$1998,MATCH(A379&amp;"ENTRADA",Movimientos!$R$2:$R$1998,0))),"S/D")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1"/>
        <v>SIN STOCK</v>
      </c>
    </row>
    <row r="380" spans="1:11" ht="14.25">
      <c r="A380" s="18" t="s">
        <v>2523</v>
      </c>
      <c r="B380" s="3" t="str">
        <f>IFERROR(INDEX(Movimientos!$C$2:$C$1998,MATCH(A380&amp;"ENTRADA",Movimientos!$R$2:$R$1998,0)),"-")</f>
        <v>-</v>
      </c>
      <c r="C380" s="3" t="str">
        <f>IFERROR(INDEX(Movimientos!$D$2:$D$1998,MATCH(A380&amp;"ENTRADA",Movimientos!$R$2:$R$1998,0)),"-")</f>
        <v>-</v>
      </c>
      <c r="D380" s="3" t="str">
        <f>IFERROR(INDEX(Movimientos!$E$2:$E$1998,MATCH(A380&amp;"ENTRADA",Movimientos!$R$2:$R$1998,0)),"-")</f>
        <v>-</v>
      </c>
      <c r="E380" s="3" t="str">
        <f>IFERROR(INDEX(Movimientos!$F$2:$F$1998,MATCH(A380&amp;"ENTRADA",Movimientos!$R$2:$R$1998,0)),"-")</f>
        <v>-</v>
      </c>
      <c r="F380" s="3" t="str">
        <f>IFERROR(INDEX(Movimientos!$G$2:$G$1998,MATCH(A380&amp;"ENTRADA",Movimientos!$R$2:$R$1998,0)),"-")</f>
        <v>-</v>
      </c>
      <c r="G380" s="3" t="str">
        <f>IFERROR(INDEX(Movimientos!$L$2:$L$1998,MATCH(A380&amp;"ENTRADA",Movimientos!$R$2:$R$1998,0)),"-")</f>
        <v>-</v>
      </c>
      <c r="H380" s="19" t="str">
        <f>IFERROR(IF(INDEX(Movimientos!$M$2:$M$1998,MATCH(A380&amp;"ENTRADA",Movimientos!$R$2:$R$1998,0))=0,"S/D",INDEX(Movimientos!$M$2:$M$1998,MATCH(A380&amp;"ENTRADA",Movimientos!$R$2:$R$1998,0))),"S/D")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1"/>
        <v>SIN STOCK</v>
      </c>
    </row>
    <row r="381" spans="1:11" ht="14.25">
      <c r="A381" s="18" t="s">
        <v>2524</v>
      </c>
      <c r="B381" s="3" t="str">
        <f>IFERROR(INDEX(Movimientos!$C$2:$C$1998,MATCH(A381&amp;"ENTRADA",Movimientos!$R$2:$R$1998,0)),"-")</f>
        <v>-</v>
      </c>
      <c r="C381" s="3" t="str">
        <f>IFERROR(INDEX(Movimientos!$D$2:$D$1998,MATCH(A381&amp;"ENTRADA",Movimientos!$R$2:$R$1998,0)),"-")</f>
        <v>-</v>
      </c>
      <c r="D381" s="3" t="str">
        <f>IFERROR(INDEX(Movimientos!$E$2:$E$1998,MATCH(A381&amp;"ENTRADA",Movimientos!$R$2:$R$1998,0)),"-")</f>
        <v>-</v>
      </c>
      <c r="E381" s="3" t="str">
        <f>IFERROR(INDEX(Movimientos!$F$2:$F$1998,MATCH(A381&amp;"ENTRADA",Movimientos!$R$2:$R$1998,0)),"-")</f>
        <v>-</v>
      </c>
      <c r="F381" s="3" t="str">
        <f>IFERROR(INDEX(Movimientos!$G$2:$G$1998,MATCH(A381&amp;"ENTRADA",Movimientos!$R$2:$R$1998,0)),"-")</f>
        <v>-</v>
      </c>
      <c r="G381" s="3" t="str">
        <f>IFERROR(INDEX(Movimientos!$L$2:$L$1998,MATCH(A381&amp;"ENTRADA",Movimientos!$R$2:$R$1998,0)),"-")</f>
        <v>-</v>
      </c>
      <c r="H381" s="19" t="str">
        <f>IFERROR(IF(INDEX(Movimientos!$M$2:$M$1998,MATCH(A381&amp;"ENTRADA",Movimientos!$R$2:$R$1998,0))=0,"S/D",INDEX(Movimientos!$M$2:$M$1998,MATCH(A381&amp;"ENTRADA",Movimientos!$R$2:$R$1998,0))),"S/D")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1"/>
        <v>SIN STOCK</v>
      </c>
    </row>
    <row r="382" spans="1:11" ht="14.25">
      <c r="A382" s="18" t="s">
        <v>2525</v>
      </c>
      <c r="B382" s="3" t="str">
        <f>IFERROR(INDEX(Movimientos!$C$2:$C$1998,MATCH(A382&amp;"ENTRADA",Movimientos!$R$2:$R$1998,0)),"-")</f>
        <v>-</v>
      </c>
      <c r="C382" s="3" t="str">
        <f>IFERROR(INDEX(Movimientos!$D$2:$D$1998,MATCH(A382&amp;"ENTRADA",Movimientos!$R$2:$R$1998,0)),"-")</f>
        <v>-</v>
      </c>
      <c r="D382" s="3" t="str">
        <f>IFERROR(INDEX(Movimientos!$E$2:$E$1998,MATCH(A382&amp;"ENTRADA",Movimientos!$R$2:$R$1998,0)),"-")</f>
        <v>-</v>
      </c>
      <c r="E382" s="3" t="str">
        <f>IFERROR(INDEX(Movimientos!$F$2:$F$1998,MATCH(A382&amp;"ENTRADA",Movimientos!$R$2:$R$1998,0)),"-")</f>
        <v>-</v>
      </c>
      <c r="F382" s="3" t="str">
        <f>IFERROR(INDEX(Movimientos!$G$2:$G$1998,MATCH(A382&amp;"ENTRADA",Movimientos!$R$2:$R$1998,0)),"-")</f>
        <v>-</v>
      </c>
      <c r="G382" s="3" t="str">
        <f>IFERROR(INDEX(Movimientos!$L$2:$L$1998,MATCH(A382&amp;"ENTRADA",Movimientos!$R$2:$R$1998,0)),"-")</f>
        <v>-</v>
      </c>
      <c r="H382" s="19" t="str">
        <f>IFERROR(IF(INDEX(Movimientos!$M$2:$M$1998,MATCH(A382&amp;"ENTRADA",Movimientos!$R$2:$R$1998,0))=0,"S/D",INDEX(Movimientos!$M$2:$M$1998,MATCH(A382&amp;"ENTRADA",Movimientos!$R$2:$R$1998,0))),"S/D")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1"/>
        <v>SIN STOCK</v>
      </c>
    </row>
    <row r="383" spans="1:11" ht="14.25">
      <c r="A383" s="18" t="s">
        <v>2526</v>
      </c>
      <c r="B383" s="3" t="str">
        <f>IFERROR(INDEX(Movimientos!$C$2:$C$1998,MATCH(A383&amp;"ENTRADA",Movimientos!$R$2:$R$1998,0)),"-")</f>
        <v>-</v>
      </c>
      <c r="C383" s="3" t="str">
        <f>IFERROR(INDEX(Movimientos!$D$2:$D$1998,MATCH(A383&amp;"ENTRADA",Movimientos!$R$2:$R$1998,0)),"-")</f>
        <v>-</v>
      </c>
      <c r="D383" s="3" t="str">
        <f>IFERROR(INDEX(Movimientos!$E$2:$E$1998,MATCH(A383&amp;"ENTRADA",Movimientos!$R$2:$R$1998,0)),"-")</f>
        <v>-</v>
      </c>
      <c r="E383" s="3" t="str">
        <f>IFERROR(INDEX(Movimientos!$F$2:$F$1998,MATCH(A383&amp;"ENTRADA",Movimientos!$R$2:$R$1998,0)),"-")</f>
        <v>-</v>
      </c>
      <c r="F383" s="3" t="str">
        <f>IFERROR(INDEX(Movimientos!$G$2:$G$1998,MATCH(A383&amp;"ENTRADA",Movimientos!$R$2:$R$1998,0)),"-")</f>
        <v>-</v>
      </c>
      <c r="G383" s="3" t="str">
        <f>IFERROR(INDEX(Movimientos!$L$2:$L$1998,MATCH(A383&amp;"ENTRADA",Movimientos!$R$2:$R$1998,0)),"-")</f>
        <v>-</v>
      </c>
      <c r="H383" s="19" t="str">
        <f>IFERROR(IF(INDEX(Movimientos!$M$2:$M$1998,MATCH(A383&amp;"ENTRADA",Movimientos!$R$2:$R$1998,0))=0,"S/D",INDEX(Movimientos!$M$2:$M$1998,MATCH(A383&amp;"ENTRADA",Movimientos!$R$2:$R$1998,0))),"S/D")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1"/>
        <v>SIN STOCK</v>
      </c>
    </row>
    <row r="384" spans="1:11" ht="14.25">
      <c r="A384" s="18" t="s">
        <v>2527</v>
      </c>
      <c r="B384" s="3" t="str">
        <f>IFERROR(INDEX(Movimientos!$C$2:$C$1998,MATCH(A384&amp;"ENTRADA",Movimientos!$R$2:$R$1998,0)),"-")</f>
        <v>-</v>
      </c>
      <c r="C384" s="3" t="str">
        <f>IFERROR(INDEX(Movimientos!$D$2:$D$1998,MATCH(A384&amp;"ENTRADA",Movimientos!$R$2:$R$1998,0)),"-")</f>
        <v>-</v>
      </c>
      <c r="D384" s="3" t="str">
        <f>IFERROR(INDEX(Movimientos!$E$2:$E$1998,MATCH(A384&amp;"ENTRADA",Movimientos!$R$2:$R$1998,0)),"-")</f>
        <v>-</v>
      </c>
      <c r="E384" s="3" t="str">
        <f>IFERROR(INDEX(Movimientos!$F$2:$F$1998,MATCH(A384&amp;"ENTRADA",Movimientos!$R$2:$R$1998,0)),"-")</f>
        <v>-</v>
      </c>
      <c r="F384" s="3" t="str">
        <f>IFERROR(INDEX(Movimientos!$G$2:$G$1998,MATCH(A384&amp;"ENTRADA",Movimientos!$R$2:$R$1998,0)),"-")</f>
        <v>-</v>
      </c>
      <c r="G384" s="3" t="str">
        <f>IFERROR(INDEX(Movimientos!$L$2:$L$1998,MATCH(A384&amp;"ENTRADA",Movimientos!$R$2:$R$1998,0)),"-")</f>
        <v>-</v>
      </c>
      <c r="H384" s="19" t="str">
        <f>IFERROR(IF(INDEX(Movimientos!$M$2:$M$1998,MATCH(A384&amp;"ENTRADA",Movimientos!$R$2:$R$1998,0))=0,"S/D",INDEX(Movimientos!$M$2:$M$1998,MATCH(A384&amp;"ENTRADA",Movimientos!$R$2:$R$1998,0))),"S/D")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ref="K384:K447" ca="1" si="13">IF(A384="","",IF(J384&lt;0.01,"SIN STOCK",IF(H384="S/D","OK",IF(H384&lt;TODAY(),"VENCIDO",IF(I384&gt;=180,"OK","PRÓXIMO A VENCER")))))</f>
        <v>SIN STOCK</v>
      </c>
    </row>
    <row r="385" spans="1:11" ht="14.25">
      <c r="A385" s="18" t="s">
        <v>2528</v>
      </c>
      <c r="B385" s="3" t="str">
        <f>IFERROR(INDEX(Movimientos!$C$2:$C$1998,MATCH(A385&amp;"ENTRADA",Movimientos!$R$2:$R$1998,0)),"-")</f>
        <v>-</v>
      </c>
      <c r="C385" s="3" t="str">
        <f>IFERROR(INDEX(Movimientos!$D$2:$D$1998,MATCH(A385&amp;"ENTRADA",Movimientos!$R$2:$R$1998,0)),"-")</f>
        <v>-</v>
      </c>
      <c r="D385" s="3" t="str">
        <f>IFERROR(INDEX(Movimientos!$E$2:$E$1998,MATCH(A385&amp;"ENTRADA",Movimientos!$R$2:$R$1998,0)),"-")</f>
        <v>-</v>
      </c>
      <c r="E385" s="3" t="str">
        <f>IFERROR(INDEX(Movimientos!$F$2:$F$1998,MATCH(A385&amp;"ENTRADA",Movimientos!$R$2:$R$1998,0)),"-")</f>
        <v>-</v>
      </c>
      <c r="F385" s="3" t="str">
        <f>IFERROR(INDEX(Movimientos!$G$2:$G$1998,MATCH(A385&amp;"ENTRADA",Movimientos!$R$2:$R$1998,0)),"-")</f>
        <v>-</v>
      </c>
      <c r="G385" s="3" t="str">
        <f>IFERROR(INDEX(Movimientos!$L$2:$L$1998,MATCH(A385&amp;"ENTRADA",Movimientos!$R$2:$R$1998,0)),"-")</f>
        <v>-</v>
      </c>
      <c r="H385" s="19" t="str">
        <f>IFERROR(IF(INDEX(Movimientos!$M$2:$M$1998,MATCH(A385&amp;"ENTRADA",Movimientos!$R$2:$R$1998,0))=0,"S/D",INDEX(Movimientos!$M$2:$M$1998,MATCH(A385&amp;"ENTRADA",Movimientos!$R$2:$R$1998,0))),"S/D")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SIN STOCK</v>
      </c>
    </row>
    <row r="386" spans="1:11" ht="14.25">
      <c r="A386" s="18" t="s">
        <v>2529</v>
      </c>
      <c r="B386" s="3" t="str">
        <f>IFERROR(INDEX(Movimientos!$C$2:$C$1998,MATCH(A386&amp;"ENTRADA",Movimientos!$R$2:$R$1998,0)),"-")</f>
        <v>-</v>
      </c>
      <c r="C386" s="3" t="str">
        <f>IFERROR(INDEX(Movimientos!$D$2:$D$1998,MATCH(A386&amp;"ENTRADA",Movimientos!$R$2:$R$1998,0)),"-")</f>
        <v>-</v>
      </c>
      <c r="D386" s="3" t="str">
        <f>IFERROR(INDEX(Movimientos!$E$2:$E$1998,MATCH(A386&amp;"ENTRADA",Movimientos!$R$2:$R$1998,0)),"-")</f>
        <v>-</v>
      </c>
      <c r="E386" s="3" t="str">
        <f>IFERROR(INDEX(Movimientos!$F$2:$F$1998,MATCH(A386&amp;"ENTRADA",Movimientos!$R$2:$R$1998,0)),"-")</f>
        <v>-</v>
      </c>
      <c r="F386" s="3" t="str">
        <f>IFERROR(INDEX(Movimientos!$G$2:$G$1998,MATCH(A386&amp;"ENTRADA",Movimientos!$R$2:$R$1998,0)),"-")</f>
        <v>-</v>
      </c>
      <c r="G386" s="3" t="str">
        <f>IFERROR(INDEX(Movimientos!$L$2:$L$1998,MATCH(A386&amp;"ENTRADA",Movimientos!$R$2:$R$1998,0)),"-")</f>
        <v>-</v>
      </c>
      <c r="H386" s="19" t="str">
        <f>IFERROR(IF(INDEX(Movimientos!$M$2:$M$1998,MATCH(A386&amp;"ENTRADA",Movimientos!$R$2:$R$1998,0))=0,"S/D",INDEX(Movimientos!$M$2:$M$1998,MATCH(A386&amp;"ENTRADA",Movimientos!$R$2:$R$1998,0))),"S/D")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SIN STOCK</v>
      </c>
    </row>
    <row r="387" spans="1:11" ht="14.25">
      <c r="A387" s="18" t="s">
        <v>2530</v>
      </c>
      <c r="B387" s="3" t="str">
        <f>IFERROR(INDEX(Movimientos!$C$2:$C$1998,MATCH(A387&amp;"ENTRADA",Movimientos!$R$2:$R$1998,0)),"-")</f>
        <v>-</v>
      </c>
      <c r="C387" s="3" t="str">
        <f>IFERROR(INDEX(Movimientos!$D$2:$D$1998,MATCH(A387&amp;"ENTRADA",Movimientos!$R$2:$R$1998,0)),"-")</f>
        <v>-</v>
      </c>
      <c r="D387" s="3" t="str">
        <f>IFERROR(INDEX(Movimientos!$E$2:$E$1998,MATCH(A387&amp;"ENTRADA",Movimientos!$R$2:$R$1998,0)),"-")</f>
        <v>-</v>
      </c>
      <c r="E387" s="3" t="str">
        <f>IFERROR(INDEX(Movimientos!$F$2:$F$1998,MATCH(A387&amp;"ENTRADA",Movimientos!$R$2:$R$1998,0)),"-")</f>
        <v>-</v>
      </c>
      <c r="F387" s="3" t="str">
        <f>IFERROR(INDEX(Movimientos!$G$2:$G$1998,MATCH(A387&amp;"ENTRADA",Movimientos!$R$2:$R$1998,0)),"-")</f>
        <v>-</v>
      </c>
      <c r="G387" s="3" t="str">
        <f>IFERROR(INDEX(Movimientos!$L$2:$L$1998,MATCH(A387&amp;"ENTRADA",Movimientos!$R$2:$R$1998,0)),"-")</f>
        <v>-</v>
      </c>
      <c r="H387" s="19" t="str">
        <f>IFERROR(IF(INDEX(Movimientos!$M$2:$M$1998,MATCH(A387&amp;"ENTRADA",Movimientos!$R$2:$R$1998,0))=0,"S/D",INDEX(Movimientos!$M$2:$M$1998,MATCH(A387&amp;"ENTRADA",Movimientos!$R$2:$R$1998,0))),"S/D")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SIN STOCK</v>
      </c>
    </row>
    <row r="388" spans="1:11" ht="14.25">
      <c r="A388" s="18" t="s">
        <v>2531</v>
      </c>
      <c r="B388" s="3" t="str">
        <f>IFERROR(INDEX(Movimientos!$C$2:$C$1998,MATCH(A388&amp;"ENTRADA",Movimientos!$R$2:$R$1998,0)),"-")</f>
        <v>-</v>
      </c>
      <c r="C388" s="3" t="str">
        <f>IFERROR(INDEX(Movimientos!$D$2:$D$1998,MATCH(A388&amp;"ENTRADA",Movimientos!$R$2:$R$1998,0)),"-")</f>
        <v>-</v>
      </c>
      <c r="D388" s="3" t="str">
        <f>IFERROR(INDEX(Movimientos!$E$2:$E$1998,MATCH(A388&amp;"ENTRADA",Movimientos!$R$2:$R$1998,0)),"-")</f>
        <v>-</v>
      </c>
      <c r="E388" s="3" t="str">
        <f>IFERROR(INDEX(Movimientos!$F$2:$F$1998,MATCH(A388&amp;"ENTRADA",Movimientos!$R$2:$R$1998,0)),"-")</f>
        <v>-</v>
      </c>
      <c r="F388" s="3" t="str">
        <f>IFERROR(INDEX(Movimientos!$G$2:$G$1998,MATCH(A388&amp;"ENTRADA",Movimientos!$R$2:$R$1998,0)),"-")</f>
        <v>-</v>
      </c>
      <c r="G388" s="3" t="str">
        <f>IFERROR(INDEX(Movimientos!$L$2:$L$1998,MATCH(A388&amp;"ENTRADA",Movimientos!$R$2:$R$1998,0)),"-")</f>
        <v>-</v>
      </c>
      <c r="H388" s="19" t="str">
        <f>IFERROR(IF(INDEX(Movimientos!$M$2:$M$1998,MATCH(A388&amp;"ENTRADA",Movimientos!$R$2:$R$1998,0))=0,"S/D",INDEX(Movimientos!$M$2:$M$1998,MATCH(A388&amp;"ENTRADA",Movimientos!$R$2:$R$1998,0))),"S/D")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SIN STOCK</v>
      </c>
    </row>
    <row r="389" spans="1:11" ht="14.25">
      <c r="A389" s="18" t="s">
        <v>2532</v>
      </c>
      <c r="B389" s="3" t="str">
        <f>IFERROR(INDEX(Movimientos!$C$2:$C$1998,MATCH(A389&amp;"ENTRADA",Movimientos!$R$2:$R$1998,0)),"-")</f>
        <v>-</v>
      </c>
      <c r="C389" s="3" t="str">
        <f>IFERROR(INDEX(Movimientos!$D$2:$D$1998,MATCH(A389&amp;"ENTRADA",Movimientos!$R$2:$R$1998,0)),"-")</f>
        <v>-</v>
      </c>
      <c r="D389" s="3" t="str">
        <f>IFERROR(INDEX(Movimientos!$E$2:$E$1998,MATCH(A389&amp;"ENTRADA",Movimientos!$R$2:$R$1998,0)),"-")</f>
        <v>-</v>
      </c>
      <c r="E389" s="3" t="str">
        <f>IFERROR(INDEX(Movimientos!$F$2:$F$1998,MATCH(A389&amp;"ENTRADA",Movimientos!$R$2:$R$1998,0)),"-")</f>
        <v>-</v>
      </c>
      <c r="F389" s="3" t="str">
        <f>IFERROR(INDEX(Movimientos!$G$2:$G$1998,MATCH(A389&amp;"ENTRADA",Movimientos!$R$2:$R$1998,0)),"-")</f>
        <v>-</v>
      </c>
      <c r="G389" s="3" t="str">
        <f>IFERROR(INDEX(Movimientos!$L$2:$L$1998,MATCH(A389&amp;"ENTRADA",Movimientos!$R$2:$R$1998,0)),"-")</f>
        <v>-</v>
      </c>
      <c r="H389" s="19" t="str">
        <f>IFERROR(IF(INDEX(Movimientos!$M$2:$M$1998,MATCH(A389&amp;"ENTRADA",Movimientos!$R$2:$R$1998,0))=0,"S/D",INDEX(Movimientos!$M$2:$M$1998,MATCH(A389&amp;"ENTRADA",Movimientos!$R$2:$R$1998,0))),"S/D")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SIN STOCK</v>
      </c>
    </row>
    <row r="390" spans="1:11" ht="14.25">
      <c r="A390" s="18" t="s">
        <v>2533</v>
      </c>
      <c r="B390" s="3" t="str">
        <f>IFERROR(INDEX(Movimientos!$C$2:$C$1998,MATCH(A390&amp;"ENTRADA",Movimientos!$R$2:$R$1998,0)),"-")</f>
        <v>-</v>
      </c>
      <c r="C390" s="3" t="str">
        <f>IFERROR(INDEX(Movimientos!$D$2:$D$1998,MATCH(A390&amp;"ENTRADA",Movimientos!$R$2:$R$1998,0)),"-")</f>
        <v>-</v>
      </c>
      <c r="D390" s="3" t="str">
        <f>IFERROR(INDEX(Movimientos!$E$2:$E$1998,MATCH(A390&amp;"ENTRADA",Movimientos!$R$2:$R$1998,0)),"-")</f>
        <v>-</v>
      </c>
      <c r="E390" s="3" t="str">
        <f>IFERROR(INDEX(Movimientos!$F$2:$F$1998,MATCH(A390&amp;"ENTRADA",Movimientos!$R$2:$R$1998,0)),"-")</f>
        <v>-</v>
      </c>
      <c r="F390" s="3" t="str">
        <f>IFERROR(INDEX(Movimientos!$G$2:$G$1998,MATCH(A390&amp;"ENTRADA",Movimientos!$R$2:$R$1998,0)),"-")</f>
        <v>-</v>
      </c>
      <c r="G390" s="3" t="str">
        <f>IFERROR(INDEX(Movimientos!$L$2:$L$1998,MATCH(A390&amp;"ENTRADA",Movimientos!$R$2:$R$1998,0)),"-")</f>
        <v>-</v>
      </c>
      <c r="H390" s="19" t="str">
        <f>IFERROR(IF(INDEX(Movimientos!$M$2:$M$1998,MATCH(A390&amp;"ENTRADA",Movimientos!$R$2:$R$1998,0))=0,"S/D",INDEX(Movimientos!$M$2:$M$1998,MATCH(A390&amp;"ENTRADA",Movimientos!$R$2:$R$1998,0))),"S/D")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SIN STOCK</v>
      </c>
    </row>
    <row r="391" spans="1:11" ht="14.25">
      <c r="A391" s="18" t="s">
        <v>2534</v>
      </c>
      <c r="B391" s="3" t="str">
        <f>IFERROR(INDEX(Movimientos!$C$2:$C$1998,MATCH(A391&amp;"ENTRADA",Movimientos!$R$2:$R$1998,0)),"-")</f>
        <v>-</v>
      </c>
      <c r="C391" s="3" t="str">
        <f>IFERROR(INDEX(Movimientos!$D$2:$D$1998,MATCH(A391&amp;"ENTRADA",Movimientos!$R$2:$R$1998,0)),"-")</f>
        <v>-</v>
      </c>
      <c r="D391" s="3" t="str">
        <f>IFERROR(INDEX(Movimientos!$E$2:$E$1998,MATCH(A391&amp;"ENTRADA",Movimientos!$R$2:$R$1998,0)),"-")</f>
        <v>-</v>
      </c>
      <c r="E391" s="3" t="str">
        <f>IFERROR(INDEX(Movimientos!$F$2:$F$1998,MATCH(A391&amp;"ENTRADA",Movimientos!$R$2:$R$1998,0)),"-")</f>
        <v>-</v>
      </c>
      <c r="F391" s="3" t="str">
        <f>IFERROR(INDEX(Movimientos!$G$2:$G$1998,MATCH(A391&amp;"ENTRADA",Movimientos!$R$2:$R$1998,0)),"-")</f>
        <v>-</v>
      </c>
      <c r="G391" s="3" t="str">
        <f>IFERROR(INDEX(Movimientos!$L$2:$L$1998,MATCH(A391&amp;"ENTRADA",Movimientos!$R$2:$R$1998,0)),"-")</f>
        <v>-</v>
      </c>
      <c r="H391" s="19" t="str">
        <f>IFERROR(IF(INDEX(Movimientos!$M$2:$M$1998,MATCH(A391&amp;"ENTRADA",Movimientos!$R$2:$R$1998,0))=0,"S/D",INDEX(Movimientos!$M$2:$M$1998,MATCH(A391&amp;"ENTRADA",Movimientos!$R$2:$R$1998,0))),"S/D")</f>
        <v>S/D</v>
      </c>
      <c r="I391" s="16" t="str">
        <f t="shared" ref="I391:I454" ca="1" si="14">IF(OR(A391="",H391="S/D"),"S/D",H391-TODAY())</f>
        <v>S/D</v>
      </c>
      <c r="J391" s="6">
        <f>IF(A391="","",SUMIFS(Movimientos!$K:$K,Movimientos!$H:$H,A391))</f>
        <v>0</v>
      </c>
      <c r="K391" s="14" t="str">
        <f t="shared" ca="1" si="13"/>
        <v>SIN STOCK</v>
      </c>
    </row>
    <row r="392" spans="1:11" ht="14.25">
      <c r="A392" s="18" t="s">
        <v>2535</v>
      </c>
      <c r="B392" s="3" t="str">
        <f>IFERROR(INDEX(Movimientos!$C$2:$C$1998,MATCH(A392&amp;"ENTRADA",Movimientos!$R$2:$R$1998,0)),"-")</f>
        <v>-</v>
      </c>
      <c r="C392" s="3" t="str">
        <f>IFERROR(INDEX(Movimientos!$D$2:$D$1998,MATCH(A392&amp;"ENTRADA",Movimientos!$R$2:$R$1998,0)),"-")</f>
        <v>-</v>
      </c>
      <c r="D392" s="3" t="str">
        <f>IFERROR(INDEX(Movimientos!$E$2:$E$1998,MATCH(A392&amp;"ENTRADA",Movimientos!$R$2:$R$1998,0)),"-")</f>
        <v>-</v>
      </c>
      <c r="E392" s="3" t="str">
        <f>IFERROR(INDEX(Movimientos!$F$2:$F$1998,MATCH(A392&amp;"ENTRADA",Movimientos!$R$2:$R$1998,0)),"-")</f>
        <v>-</v>
      </c>
      <c r="F392" s="3" t="str">
        <f>IFERROR(INDEX(Movimientos!$G$2:$G$1998,MATCH(A392&amp;"ENTRADA",Movimientos!$R$2:$R$1998,0)),"-")</f>
        <v>-</v>
      </c>
      <c r="G392" s="3" t="str">
        <f>IFERROR(INDEX(Movimientos!$L$2:$L$1998,MATCH(A392&amp;"ENTRADA",Movimientos!$R$2:$R$1998,0)),"-")</f>
        <v>-</v>
      </c>
      <c r="H392" s="19" t="str">
        <f>IFERROR(IF(INDEX(Movimientos!$M$2:$M$1998,MATCH(A392&amp;"ENTRADA",Movimientos!$R$2:$R$1998,0))=0,"S/D",INDEX(Movimientos!$M$2:$M$1998,MATCH(A392&amp;"ENTRADA",Movimientos!$R$2:$R$1998,0))),"S/D")</f>
        <v>S/D</v>
      </c>
      <c r="I392" s="16" t="str">
        <f t="shared" ca="1" si="14"/>
        <v>S/D</v>
      </c>
      <c r="J392" s="6">
        <f>IF(A392="","",SUMIFS(Movimientos!$K:$K,Movimientos!$H:$H,A392))</f>
        <v>0</v>
      </c>
      <c r="K392" s="14" t="str">
        <f t="shared" ca="1" si="13"/>
        <v>SIN STOCK</v>
      </c>
    </row>
    <row r="393" spans="1:11" ht="14.25">
      <c r="A393" s="18" t="s">
        <v>2536</v>
      </c>
      <c r="B393" s="3" t="str">
        <f>IFERROR(INDEX(Movimientos!$C$2:$C$1998,MATCH(A393&amp;"ENTRADA",Movimientos!$R$2:$R$1998,0)),"-")</f>
        <v>-</v>
      </c>
      <c r="C393" s="3" t="str">
        <f>IFERROR(INDEX(Movimientos!$D$2:$D$1998,MATCH(A393&amp;"ENTRADA",Movimientos!$R$2:$R$1998,0)),"-")</f>
        <v>-</v>
      </c>
      <c r="D393" s="3" t="str">
        <f>IFERROR(INDEX(Movimientos!$E$2:$E$1998,MATCH(A393&amp;"ENTRADA",Movimientos!$R$2:$R$1998,0)),"-")</f>
        <v>-</v>
      </c>
      <c r="E393" s="3" t="str">
        <f>IFERROR(INDEX(Movimientos!$F$2:$F$1998,MATCH(A393&amp;"ENTRADA",Movimientos!$R$2:$R$1998,0)),"-")</f>
        <v>-</v>
      </c>
      <c r="F393" s="3" t="str">
        <f>IFERROR(INDEX(Movimientos!$G$2:$G$1998,MATCH(A393&amp;"ENTRADA",Movimientos!$R$2:$R$1998,0)),"-")</f>
        <v>-</v>
      </c>
      <c r="G393" s="3" t="str">
        <f>IFERROR(INDEX(Movimientos!$L$2:$L$1998,MATCH(A393&amp;"ENTRADA",Movimientos!$R$2:$R$1998,0)),"-")</f>
        <v>-</v>
      </c>
      <c r="H393" s="19" t="str">
        <f>IFERROR(IF(INDEX(Movimientos!$M$2:$M$1998,MATCH(A393&amp;"ENTRADA",Movimientos!$R$2:$R$1998,0))=0,"S/D",INDEX(Movimientos!$M$2:$M$1998,MATCH(A393&amp;"ENTRADA",Movimientos!$R$2:$R$1998,0))),"S/D")</f>
        <v>S/D</v>
      </c>
      <c r="I393" s="16" t="str">
        <f t="shared" ca="1" si="14"/>
        <v>S/D</v>
      </c>
      <c r="J393" s="6">
        <f>IF(A393="","",SUMIFS(Movimientos!$K:$K,Movimientos!$H:$H,A393))</f>
        <v>0</v>
      </c>
      <c r="K393" s="14" t="str">
        <f t="shared" ca="1" si="13"/>
        <v>SIN STOCK</v>
      </c>
    </row>
    <row r="394" spans="1:11" ht="14.25">
      <c r="A394" s="18" t="s">
        <v>2537</v>
      </c>
      <c r="B394" s="3" t="str">
        <f>IFERROR(INDEX(Movimientos!$C$2:$C$1998,MATCH(A394&amp;"ENTRADA",Movimientos!$R$2:$R$1998,0)),"-")</f>
        <v>-</v>
      </c>
      <c r="C394" s="3" t="str">
        <f>IFERROR(INDEX(Movimientos!$D$2:$D$1998,MATCH(A394&amp;"ENTRADA",Movimientos!$R$2:$R$1998,0)),"-")</f>
        <v>-</v>
      </c>
      <c r="D394" s="3" t="str">
        <f>IFERROR(INDEX(Movimientos!$E$2:$E$1998,MATCH(A394&amp;"ENTRADA",Movimientos!$R$2:$R$1998,0)),"-")</f>
        <v>-</v>
      </c>
      <c r="E394" s="3" t="str">
        <f>IFERROR(INDEX(Movimientos!$F$2:$F$1998,MATCH(A394&amp;"ENTRADA",Movimientos!$R$2:$R$1998,0)),"-")</f>
        <v>-</v>
      </c>
      <c r="F394" s="3" t="str">
        <f>IFERROR(INDEX(Movimientos!$G$2:$G$1998,MATCH(A394&amp;"ENTRADA",Movimientos!$R$2:$R$1998,0)),"-")</f>
        <v>-</v>
      </c>
      <c r="G394" s="3" t="str">
        <f>IFERROR(INDEX(Movimientos!$L$2:$L$1998,MATCH(A394&amp;"ENTRADA",Movimientos!$R$2:$R$1998,0)),"-")</f>
        <v>-</v>
      </c>
      <c r="H394" s="19" t="str">
        <f>IFERROR(IF(INDEX(Movimientos!$M$2:$M$1998,MATCH(A394&amp;"ENTRADA",Movimientos!$R$2:$R$1998,0))=0,"S/D",INDEX(Movimientos!$M$2:$M$1998,MATCH(A394&amp;"ENTRADA",Movimientos!$R$2:$R$1998,0))),"S/D")</f>
        <v>S/D</v>
      </c>
      <c r="I394" s="16" t="str">
        <f t="shared" ca="1" si="14"/>
        <v>S/D</v>
      </c>
      <c r="J394" s="6">
        <f>IF(A394="","",SUMIFS(Movimientos!$K:$K,Movimientos!$H:$H,A394))</f>
        <v>0</v>
      </c>
      <c r="K394" s="14" t="str">
        <f t="shared" ca="1" si="13"/>
        <v>SIN STOCK</v>
      </c>
    </row>
    <row r="395" spans="1:11" ht="14.25">
      <c r="A395" s="18" t="s">
        <v>2538</v>
      </c>
      <c r="B395" s="3" t="str">
        <f>IFERROR(INDEX(Movimientos!$C$2:$C$1998,MATCH(A395&amp;"ENTRADA",Movimientos!$R$2:$R$1998,0)),"-")</f>
        <v>-</v>
      </c>
      <c r="C395" s="3" t="str">
        <f>IFERROR(INDEX(Movimientos!$D$2:$D$1998,MATCH(A395&amp;"ENTRADA",Movimientos!$R$2:$R$1998,0)),"-")</f>
        <v>-</v>
      </c>
      <c r="D395" s="3" t="str">
        <f>IFERROR(INDEX(Movimientos!$E$2:$E$1998,MATCH(A395&amp;"ENTRADA",Movimientos!$R$2:$R$1998,0)),"-")</f>
        <v>-</v>
      </c>
      <c r="E395" s="3" t="str">
        <f>IFERROR(INDEX(Movimientos!$F$2:$F$1998,MATCH(A395&amp;"ENTRADA",Movimientos!$R$2:$R$1998,0)),"-")</f>
        <v>-</v>
      </c>
      <c r="F395" s="3" t="str">
        <f>IFERROR(INDEX(Movimientos!$G$2:$G$1998,MATCH(A395&amp;"ENTRADA",Movimientos!$R$2:$R$1998,0)),"-")</f>
        <v>-</v>
      </c>
      <c r="G395" s="3" t="str">
        <f>IFERROR(INDEX(Movimientos!$L$2:$L$1998,MATCH(A395&amp;"ENTRADA",Movimientos!$R$2:$R$1998,0)),"-")</f>
        <v>-</v>
      </c>
      <c r="H395" s="19" t="str">
        <f>IFERROR(IF(INDEX(Movimientos!$M$2:$M$1998,MATCH(A395&amp;"ENTRADA",Movimientos!$R$2:$R$1998,0))=0,"S/D",INDEX(Movimientos!$M$2:$M$1998,MATCH(A395&amp;"ENTRADA",Movimientos!$R$2:$R$1998,0))),"S/D")</f>
        <v>S/D</v>
      </c>
      <c r="I395" s="16" t="str">
        <f t="shared" ca="1" si="14"/>
        <v>S/D</v>
      </c>
      <c r="J395" s="6">
        <f>IF(A395="","",SUMIFS(Movimientos!$K:$K,Movimientos!$H:$H,A395))</f>
        <v>0</v>
      </c>
      <c r="K395" s="14" t="str">
        <f t="shared" ca="1" si="13"/>
        <v>SIN STOCK</v>
      </c>
    </row>
    <row r="396" spans="1:11" ht="14.25">
      <c r="A396" s="18" t="s">
        <v>2539</v>
      </c>
      <c r="B396" s="3" t="str">
        <f>IFERROR(INDEX(Movimientos!$C$2:$C$1998,MATCH(A396&amp;"ENTRADA",Movimientos!$R$2:$R$1998,0)),"-")</f>
        <v>-</v>
      </c>
      <c r="C396" s="3" t="str">
        <f>IFERROR(INDEX(Movimientos!$D$2:$D$1998,MATCH(A396&amp;"ENTRADA",Movimientos!$R$2:$R$1998,0)),"-")</f>
        <v>-</v>
      </c>
      <c r="D396" s="3" t="str">
        <f>IFERROR(INDEX(Movimientos!$E$2:$E$1998,MATCH(A396&amp;"ENTRADA",Movimientos!$R$2:$R$1998,0)),"-")</f>
        <v>-</v>
      </c>
      <c r="E396" s="3" t="str">
        <f>IFERROR(INDEX(Movimientos!$F$2:$F$1998,MATCH(A396&amp;"ENTRADA",Movimientos!$R$2:$R$1998,0)),"-")</f>
        <v>-</v>
      </c>
      <c r="F396" s="3" t="str">
        <f>IFERROR(INDEX(Movimientos!$G$2:$G$1998,MATCH(A396&amp;"ENTRADA",Movimientos!$R$2:$R$1998,0)),"-")</f>
        <v>-</v>
      </c>
      <c r="G396" s="3" t="str">
        <f>IFERROR(INDEX(Movimientos!$L$2:$L$1998,MATCH(A396&amp;"ENTRADA",Movimientos!$R$2:$R$1998,0)),"-")</f>
        <v>-</v>
      </c>
      <c r="H396" s="19" t="str">
        <f>IFERROR(IF(INDEX(Movimientos!$M$2:$M$1998,MATCH(A396&amp;"ENTRADA",Movimientos!$R$2:$R$1998,0))=0,"S/D",INDEX(Movimientos!$M$2:$M$1998,MATCH(A396&amp;"ENTRADA",Movimientos!$R$2:$R$1998,0))),"S/D")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3"/>
        <v>SIN STOCK</v>
      </c>
    </row>
    <row r="397" spans="1:11" ht="14.25">
      <c r="A397" s="18" t="s">
        <v>2540</v>
      </c>
      <c r="B397" s="3" t="str">
        <f>IFERROR(INDEX(Movimientos!$C$2:$C$1998,MATCH(A397&amp;"ENTRADA",Movimientos!$R$2:$R$1998,0)),"-")</f>
        <v>-</v>
      </c>
      <c r="C397" s="3" t="str">
        <f>IFERROR(INDEX(Movimientos!$D$2:$D$1998,MATCH(A397&amp;"ENTRADA",Movimientos!$R$2:$R$1998,0)),"-")</f>
        <v>-</v>
      </c>
      <c r="D397" s="3" t="str">
        <f>IFERROR(INDEX(Movimientos!$E$2:$E$1998,MATCH(A397&amp;"ENTRADA",Movimientos!$R$2:$R$1998,0)),"-")</f>
        <v>-</v>
      </c>
      <c r="E397" s="3" t="str">
        <f>IFERROR(INDEX(Movimientos!$F$2:$F$1998,MATCH(A397&amp;"ENTRADA",Movimientos!$R$2:$R$1998,0)),"-")</f>
        <v>-</v>
      </c>
      <c r="F397" s="3" t="str">
        <f>IFERROR(INDEX(Movimientos!$G$2:$G$1998,MATCH(A397&amp;"ENTRADA",Movimientos!$R$2:$R$1998,0)),"-")</f>
        <v>-</v>
      </c>
      <c r="G397" s="3" t="str">
        <f>IFERROR(INDEX(Movimientos!$L$2:$L$1998,MATCH(A397&amp;"ENTRADA",Movimientos!$R$2:$R$1998,0)),"-")</f>
        <v>-</v>
      </c>
      <c r="H397" s="19" t="str">
        <f>IFERROR(IF(INDEX(Movimientos!$M$2:$M$1998,MATCH(A397&amp;"ENTRADA",Movimientos!$R$2:$R$1998,0))=0,"S/D",INDEX(Movimientos!$M$2:$M$1998,MATCH(A397&amp;"ENTRADA",Movimientos!$R$2:$R$1998,0))),"S/D")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3"/>
        <v>SIN STOCK</v>
      </c>
    </row>
    <row r="398" spans="1:11" ht="14.25">
      <c r="A398" s="18" t="s">
        <v>2541</v>
      </c>
      <c r="B398" s="3" t="str">
        <f>IFERROR(INDEX(Movimientos!$C$2:$C$1998,MATCH(A398&amp;"ENTRADA",Movimientos!$R$2:$R$1998,0)),"-")</f>
        <v>-</v>
      </c>
      <c r="C398" s="3" t="str">
        <f>IFERROR(INDEX(Movimientos!$D$2:$D$1998,MATCH(A398&amp;"ENTRADA",Movimientos!$R$2:$R$1998,0)),"-")</f>
        <v>-</v>
      </c>
      <c r="D398" s="3" t="str">
        <f>IFERROR(INDEX(Movimientos!$E$2:$E$1998,MATCH(A398&amp;"ENTRADA",Movimientos!$R$2:$R$1998,0)),"-")</f>
        <v>-</v>
      </c>
      <c r="E398" s="3" t="str">
        <f>IFERROR(INDEX(Movimientos!$F$2:$F$1998,MATCH(A398&amp;"ENTRADA",Movimientos!$R$2:$R$1998,0)),"-")</f>
        <v>-</v>
      </c>
      <c r="F398" s="3" t="str">
        <f>IFERROR(INDEX(Movimientos!$G$2:$G$1998,MATCH(A398&amp;"ENTRADA",Movimientos!$R$2:$R$1998,0)),"-")</f>
        <v>-</v>
      </c>
      <c r="G398" s="3" t="str">
        <f>IFERROR(INDEX(Movimientos!$L$2:$L$1998,MATCH(A398&amp;"ENTRADA",Movimientos!$R$2:$R$1998,0)),"-")</f>
        <v>-</v>
      </c>
      <c r="H398" s="19" t="str">
        <f>IFERROR(IF(INDEX(Movimientos!$M$2:$M$1998,MATCH(A398&amp;"ENTRADA",Movimientos!$R$2:$R$1998,0))=0,"S/D",INDEX(Movimientos!$M$2:$M$1998,MATCH(A398&amp;"ENTRADA",Movimientos!$R$2:$R$1998,0))),"S/D")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3"/>
        <v>SIN STOCK</v>
      </c>
    </row>
    <row r="399" spans="1:11" ht="14.25">
      <c r="A399" s="18" t="s">
        <v>2542</v>
      </c>
      <c r="B399" s="3" t="str">
        <f>IFERROR(INDEX(Movimientos!$C$2:$C$1998,MATCH(A399&amp;"ENTRADA",Movimientos!$R$2:$R$1998,0)),"-")</f>
        <v>-</v>
      </c>
      <c r="C399" s="3" t="str">
        <f>IFERROR(INDEX(Movimientos!$D$2:$D$1998,MATCH(A399&amp;"ENTRADA",Movimientos!$R$2:$R$1998,0)),"-")</f>
        <v>-</v>
      </c>
      <c r="D399" s="3" t="str">
        <f>IFERROR(INDEX(Movimientos!$E$2:$E$1998,MATCH(A399&amp;"ENTRADA",Movimientos!$R$2:$R$1998,0)),"-")</f>
        <v>-</v>
      </c>
      <c r="E399" s="3" t="str">
        <f>IFERROR(INDEX(Movimientos!$F$2:$F$1998,MATCH(A399&amp;"ENTRADA",Movimientos!$R$2:$R$1998,0)),"-")</f>
        <v>-</v>
      </c>
      <c r="F399" s="3" t="str">
        <f>IFERROR(INDEX(Movimientos!$G$2:$G$1998,MATCH(A399&amp;"ENTRADA",Movimientos!$R$2:$R$1998,0)),"-")</f>
        <v>-</v>
      </c>
      <c r="G399" s="3" t="str">
        <f>IFERROR(INDEX(Movimientos!$L$2:$L$1998,MATCH(A399&amp;"ENTRADA",Movimientos!$R$2:$R$1998,0)),"-")</f>
        <v>-</v>
      </c>
      <c r="H399" s="19" t="str">
        <f>IFERROR(IF(INDEX(Movimientos!$M$2:$M$1998,MATCH(A399&amp;"ENTRADA",Movimientos!$R$2:$R$1998,0))=0,"S/D",INDEX(Movimientos!$M$2:$M$1998,MATCH(A399&amp;"ENTRADA",Movimientos!$R$2:$R$1998,0))),"S/D")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3"/>
        <v>SIN STOCK</v>
      </c>
    </row>
    <row r="400" spans="1:11" ht="14.25">
      <c r="A400" s="18" t="s">
        <v>2543</v>
      </c>
      <c r="B400" s="3" t="str">
        <f>IFERROR(INDEX(Movimientos!$C$2:$C$1998,MATCH(A400&amp;"ENTRADA",Movimientos!$R$2:$R$1998,0)),"-")</f>
        <v>-</v>
      </c>
      <c r="C400" s="3" t="str">
        <f>IFERROR(INDEX(Movimientos!$D$2:$D$1998,MATCH(A400&amp;"ENTRADA",Movimientos!$R$2:$R$1998,0)),"-")</f>
        <v>-</v>
      </c>
      <c r="D400" s="3" t="str">
        <f>IFERROR(INDEX(Movimientos!$E$2:$E$1998,MATCH(A400&amp;"ENTRADA",Movimientos!$R$2:$R$1998,0)),"-")</f>
        <v>-</v>
      </c>
      <c r="E400" s="3" t="str">
        <f>IFERROR(INDEX(Movimientos!$F$2:$F$1998,MATCH(A400&amp;"ENTRADA",Movimientos!$R$2:$R$1998,0)),"-")</f>
        <v>-</v>
      </c>
      <c r="F400" s="3" t="str">
        <f>IFERROR(INDEX(Movimientos!$G$2:$G$1998,MATCH(A400&amp;"ENTRADA",Movimientos!$R$2:$R$1998,0)),"-")</f>
        <v>-</v>
      </c>
      <c r="G400" s="3" t="str">
        <f>IFERROR(INDEX(Movimientos!$L$2:$L$1998,MATCH(A400&amp;"ENTRADA",Movimientos!$R$2:$R$1998,0)),"-")</f>
        <v>-</v>
      </c>
      <c r="H400" s="19" t="str">
        <f>IFERROR(IF(INDEX(Movimientos!$M$2:$M$1998,MATCH(A400&amp;"ENTRADA",Movimientos!$R$2:$R$1998,0))=0,"S/D",INDEX(Movimientos!$M$2:$M$1998,MATCH(A400&amp;"ENTRADA",Movimientos!$R$2:$R$1998,0))),"S/D")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3"/>
        <v>SIN STOCK</v>
      </c>
    </row>
    <row r="401" spans="1:11" ht="14.25">
      <c r="A401" s="18" t="s">
        <v>2544</v>
      </c>
      <c r="B401" s="3" t="str">
        <f>IFERROR(INDEX(Movimientos!$C$2:$C$1998,MATCH(A401&amp;"ENTRADA",Movimientos!$R$2:$R$1998,0)),"-")</f>
        <v>-</v>
      </c>
      <c r="C401" s="3" t="str">
        <f>IFERROR(INDEX(Movimientos!$D$2:$D$1998,MATCH(A401&amp;"ENTRADA",Movimientos!$R$2:$R$1998,0)),"-")</f>
        <v>-</v>
      </c>
      <c r="D401" s="3" t="str">
        <f>IFERROR(INDEX(Movimientos!$E$2:$E$1998,MATCH(A401&amp;"ENTRADA",Movimientos!$R$2:$R$1998,0)),"-")</f>
        <v>-</v>
      </c>
      <c r="E401" s="3" t="str">
        <f>IFERROR(INDEX(Movimientos!$F$2:$F$1998,MATCH(A401&amp;"ENTRADA",Movimientos!$R$2:$R$1998,0)),"-")</f>
        <v>-</v>
      </c>
      <c r="F401" s="3" t="str">
        <f>IFERROR(INDEX(Movimientos!$G$2:$G$1998,MATCH(A401&amp;"ENTRADA",Movimientos!$R$2:$R$1998,0)),"-")</f>
        <v>-</v>
      </c>
      <c r="G401" s="3" t="str">
        <f>IFERROR(INDEX(Movimientos!$L$2:$L$1998,MATCH(A401&amp;"ENTRADA",Movimientos!$R$2:$R$1998,0)),"-")</f>
        <v>-</v>
      </c>
      <c r="H401" s="19" t="str">
        <f>IFERROR(IF(INDEX(Movimientos!$M$2:$M$1998,MATCH(A401&amp;"ENTRADA",Movimientos!$R$2:$R$1998,0))=0,"S/D",INDEX(Movimientos!$M$2:$M$1998,MATCH(A401&amp;"ENTRADA",Movimientos!$R$2:$R$1998,0))),"S/D")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3"/>
        <v>SIN STOCK</v>
      </c>
    </row>
    <row r="402" spans="1:11" ht="14.25">
      <c r="A402" s="18" t="s">
        <v>2545</v>
      </c>
      <c r="B402" s="3" t="str">
        <f>IFERROR(INDEX(Movimientos!$C$2:$C$1998,MATCH(A402&amp;"ENTRADA",Movimientos!$R$2:$R$1998,0)),"-")</f>
        <v>-</v>
      </c>
      <c r="C402" s="3" t="str">
        <f>IFERROR(INDEX(Movimientos!$D$2:$D$1998,MATCH(A402&amp;"ENTRADA",Movimientos!$R$2:$R$1998,0)),"-")</f>
        <v>-</v>
      </c>
      <c r="D402" s="3" t="str">
        <f>IFERROR(INDEX(Movimientos!$E$2:$E$1998,MATCH(A402&amp;"ENTRADA",Movimientos!$R$2:$R$1998,0)),"-")</f>
        <v>-</v>
      </c>
      <c r="E402" s="3" t="str">
        <f>IFERROR(INDEX(Movimientos!$F$2:$F$1998,MATCH(A402&amp;"ENTRADA",Movimientos!$R$2:$R$1998,0)),"-")</f>
        <v>-</v>
      </c>
      <c r="F402" s="3" t="str">
        <f>IFERROR(INDEX(Movimientos!$G$2:$G$1998,MATCH(A402&amp;"ENTRADA",Movimientos!$R$2:$R$1998,0)),"-")</f>
        <v>-</v>
      </c>
      <c r="G402" s="3" t="str">
        <f>IFERROR(INDEX(Movimientos!$L$2:$L$1998,MATCH(A402&amp;"ENTRADA",Movimientos!$R$2:$R$1998,0)),"-")</f>
        <v>-</v>
      </c>
      <c r="H402" s="19" t="str">
        <f>IFERROR(IF(INDEX(Movimientos!$M$2:$M$1998,MATCH(A402&amp;"ENTRADA",Movimientos!$R$2:$R$1998,0))=0,"S/D",INDEX(Movimientos!$M$2:$M$1998,MATCH(A402&amp;"ENTRADA",Movimientos!$R$2:$R$1998,0))),"S/D")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3"/>
        <v>SIN STOCK</v>
      </c>
    </row>
    <row r="403" spans="1:11" ht="14.25">
      <c r="A403" s="18" t="s">
        <v>2546</v>
      </c>
      <c r="B403" s="3" t="str">
        <f>IFERROR(INDEX(Movimientos!$C$2:$C$1998,MATCH(A403&amp;"ENTRADA",Movimientos!$R$2:$R$1998,0)),"-")</f>
        <v>-</v>
      </c>
      <c r="C403" s="3" t="str">
        <f>IFERROR(INDEX(Movimientos!$D$2:$D$1998,MATCH(A403&amp;"ENTRADA",Movimientos!$R$2:$R$1998,0)),"-")</f>
        <v>-</v>
      </c>
      <c r="D403" s="3" t="str">
        <f>IFERROR(INDEX(Movimientos!$E$2:$E$1998,MATCH(A403&amp;"ENTRADA",Movimientos!$R$2:$R$1998,0)),"-")</f>
        <v>-</v>
      </c>
      <c r="E403" s="3" t="str">
        <f>IFERROR(INDEX(Movimientos!$F$2:$F$1998,MATCH(A403&amp;"ENTRADA",Movimientos!$R$2:$R$1998,0)),"-")</f>
        <v>-</v>
      </c>
      <c r="F403" s="3" t="str">
        <f>IFERROR(INDEX(Movimientos!$G$2:$G$1998,MATCH(A403&amp;"ENTRADA",Movimientos!$R$2:$R$1998,0)),"-")</f>
        <v>-</v>
      </c>
      <c r="G403" s="3" t="str">
        <f>IFERROR(INDEX(Movimientos!$L$2:$L$1998,MATCH(A403&amp;"ENTRADA",Movimientos!$R$2:$R$1998,0)),"-")</f>
        <v>-</v>
      </c>
      <c r="H403" s="19" t="str">
        <f>IFERROR(IF(INDEX(Movimientos!$M$2:$M$1998,MATCH(A403&amp;"ENTRADA",Movimientos!$R$2:$R$1998,0))=0,"S/D",INDEX(Movimientos!$M$2:$M$1998,MATCH(A403&amp;"ENTRADA",Movimientos!$R$2:$R$1998,0))),"S/D")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3"/>
        <v>SIN STOCK</v>
      </c>
    </row>
    <row r="404" spans="1:11" ht="14.25">
      <c r="A404" s="18" t="s">
        <v>2547</v>
      </c>
      <c r="B404" s="3" t="str">
        <f>IFERROR(INDEX(Movimientos!$C$2:$C$1998,MATCH(A404&amp;"ENTRADA",Movimientos!$R$2:$R$1998,0)),"-")</f>
        <v>-</v>
      </c>
      <c r="C404" s="3" t="str">
        <f>IFERROR(INDEX(Movimientos!$D$2:$D$1998,MATCH(A404&amp;"ENTRADA",Movimientos!$R$2:$R$1998,0)),"-")</f>
        <v>-</v>
      </c>
      <c r="D404" s="3" t="str">
        <f>IFERROR(INDEX(Movimientos!$E$2:$E$1998,MATCH(A404&amp;"ENTRADA",Movimientos!$R$2:$R$1998,0)),"-")</f>
        <v>-</v>
      </c>
      <c r="E404" s="3" t="str">
        <f>IFERROR(INDEX(Movimientos!$F$2:$F$1998,MATCH(A404&amp;"ENTRADA",Movimientos!$R$2:$R$1998,0)),"-")</f>
        <v>-</v>
      </c>
      <c r="F404" s="3" t="str">
        <f>IFERROR(INDEX(Movimientos!$G$2:$G$1998,MATCH(A404&amp;"ENTRADA",Movimientos!$R$2:$R$1998,0)),"-")</f>
        <v>-</v>
      </c>
      <c r="G404" s="3" t="str">
        <f>IFERROR(INDEX(Movimientos!$L$2:$L$1998,MATCH(A404&amp;"ENTRADA",Movimientos!$R$2:$R$1998,0)),"-")</f>
        <v>-</v>
      </c>
      <c r="H404" s="19" t="str">
        <f>IFERROR(IF(INDEX(Movimientos!$M$2:$M$1998,MATCH(A404&amp;"ENTRADA",Movimientos!$R$2:$R$1998,0))=0,"S/D",INDEX(Movimientos!$M$2:$M$1998,MATCH(A404&amp;"ENTRADA",Movimientos!$R$2:$R$1998,0))),"S/D")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3"/>
        <v>SIN STOCK</v>
      </c>
    </row>
    <row r="405" spans="1:11" ht="14.25">
      <c r="A405" s="18" t="s">
        <v>2548</v>
      </c>
      <c r="B405" s="3" t="str">
        <f>IFERROR(INDEX(Movimientos!$C$2:$C$1998,MATCH(A405&amp;"ENTRADA",Movimientos!$R$2:$R$1998,0)),"-")</f>
        <v>-</v>
      </c>
      <c r="C405" s="3" t="str">
        <f>IFERROR(INDEX(Movimientos!$D$2:$D$1998,MATCH(A405&amp;"ENTRADA",Movimientos!$R$2:$R$1998,0)),"-")</f>
        <v>-</v>
      </c>
      <c r="D405" s="3" t="str">
        <f>IFERROR(INDEX(Movimientos!$E$2:$E$1998,MATCH(A405&amp;"ENTRADA",Movimientos!$R$2:$R$1998,0)),"-")</f>
        <v>-</v>
      </c>
      <c r="E405" s="3" t="str">
        <f>IFERROR(INDEX(Movimientos!$F$2:$F$1998,MATCH(A405&amp;"ENTRADA",Movimientos!$R$2:$R$1998,0)),"-")</f>
        <v>-</v>
      </c>
      <c r="F405" s="3" t="str">
        <f>IFERROR(INDEX(Movimientos!$G$2:$G$1998,MATCH(A405&amp;"ENTRADA",Movimientos!$R$2:$R$1998,0)),"-")</f>
        <v>-</v>
      </c>
      <c r="G405" s="3" t="str">
        <f>IFERROR(INDEX(Movimientos!$L$2:$L$1998,MATCH(A405&amp;"ENTRADA",Movimientos!$R$2:$R$1998,0)),"-")</f>
        <v>-</v>
      </c>
      <c r="H405" s="19" t="str">
        <f>IFERROR(IF(INDEX(Movimientos!$M$2:$M$1998,MATCH(A405&amp;"ENTRADA",Movimientos!$R$2:$R$1998,0))=0,"S/D",INDEX(Movimientos!$M$2:$M$1998,MATCH(A405&amp;"ENTRADA",Movimientos!$R$2:$R$1998,0))),"S/D")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3"/>
        <v>SIN STOCK</v>
      </c>
    </row>
    <row r="406" spans="1:11" ht="14.25">
      <c r="A406" s="18" t="s">
        <v>2549</v>
      </c>
      <c r="B406" s="3" t="str">
        <f>IFERROR(INDEX(Movimientos!$C$2:$C$1998,MATCH(A406&amp;"ENTRADA",Movimientos!$R$2:$R$1998,0)),"-")</f>
        <v>-</v>
      </c>
      <c r="C406" s="3" t="str">
        <f>IFERROR(INDEX(Movimientos!$D$2:$D$1998,MATCH(A406&amp;"ENTRADA",Movimientos!$R$2:$R$1998,0)),"-")</f>
        <v>-</v>
      </c>
      <c r="D406" s="3" t="str">
        <f>IFERROR(INDEX(Movimientos!$E$2:$E$1998,MATCH(A406&amp;"ENTRADA",Movimientos!$R$2:$R$1998,0)),"-")</f>
        <v>-</v>
      </c>
      <c r="E406" s="3" t="str">
        <f>IFERROR(INDEX(Movimientos!$F$2:$F$1998,MATCH(A406&amp;"ENTRADA",Movimientos!$R$2:$R$1998,0)),"-")</f>
        <v>-</v>
      </c>
      <c r="F406" s="3" t="str">
        <f>IFERROR(INDEX(Movimientos!$G$2:$G$1998,MATCH(A406&amp;"ENTRADA",Movimientos!$R$2:$R$1998,0)),"-")</f>
        <v>-</v>
      </c>
      <c r="G406" s="3" t="str">
        <f>IFERROR(INDEX(Movimientos!$L$2:$L$1998,MATCH(A406&amp;"ENTRADA",Movimientos!$R$2:$R$1998,0)),"-")</f>
        <v>-</v>
      </c>
      <c r="H406" s="19" t="str">
        <f>IFERROR(IF(INDEX(Movimientos!$M$2:$M$1998,MATCH(A406&amp;"ENTRADA",Movimientos!$R$2:$R$1998,0))=0,"S/D",INDEX(Movimientos!$M$2:$M$1998,MATCH(A406&amp;"ENTRADA",Movimientos!$R$2:$R$1998,0))),"S/D")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3"/>
        <v>SIN STOCK</v>
      </c>
    </row>
    <row r="407" spans="1:11" ht="14.25">
      <c r="A407" s="18" t="s">
        <v>2550</v>
      </c>
      <c r="B407" s="3" t="str">
        <f>IFERROR(INDEX(Movimientos!$C$2:$C$1998,MATCH(A407&amp;"ENTRADA",Movimientos!$R$2:$R$1998,0)),"-")</f>
        <v>-</v>
      </c>
      <c r="C407" s="3" t="str">
        <f>IFERROR(INDEX(Movimientos!$D$2:$D$1998,MATCH(A407&amp;"ENTRADA",Movimientos!$R$2:$R$1998,0)),"-")</f>
        <v>-</v>
      </c>
      <c r="D407" s="3" t="str">
        <f>IFERROR(INDEX(Movimientos!$E$2:$E$1998,MATCH(A407&amp;"ENTRADA",Movimientos!$R$2:$R$1998,0)),"-")</f>
        <v>-</v>
      </c>
      <c r="E407" s="3" t="str">
        <f>IFERROR(INDEX(Movimientos!$F$2:$F$1998,MATCH(A407&amp;"ENTRADA",Movimientos!$R$2:$R$1998,0)),"-")</f>
        <v>-</v>
      </c>
      <c r="F407" s="3" t="str">
        <f>IFERROR(INDEX(Movimientos!$G$2:$G$1998,MATCH(A407&amp;"ENTRADA",Movimientos!$R$2:$R$1998,0)),"-")</f>
        <v>-</v>
      </c>
      <c r="G407" s="3" t="str">
        <f>IFERROR(INDEX(Movimientos!$L$2:$L$1998,MATCH(A407&amp;"ENTRADA",Movimientos!$R$2:$R$1998,0)),"-")</f>
        <v>-</v>
      </c>
      <c r="H407" s="19" t="str">
        <f>IFERROR(IF(INDEX(Movimientos!$M$2:$M$1998,MATCH(A407&amp;"ENTRADA",Movimientos!$R$2:$R$1998,0))=0,"S/D",INDEX(Movimientos!$M$2:$M$1998,MATCH(A407&amp;"ENTRADA",Movimientos!$R$2:$R$1998,0))),"S/D")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3"/>
        <v>SIN STOCK</v>
      </c>
    </row>
    <row r="408" spans="1:11" ht="14.25">
      <c r="A408" s="18" t="s">
        <v>2551</v>
      </c>
      <c r="B408" s="3" t="str">
        <f>IFERROR(INDEX(Movimientos!$C$2:$C$1998,MATCH(A408&amp;"ENTRADA",Movimientos!$R$2:$R$1998,0)),"-")</f>
        <v>-</v>
      </c>
      <c r="C408" s="3" t="str">
        <f>IFERROR(INDEX(Movimientos!$D$2:$D$1998,MATCH(A408&amp;"ENTRADA",Movimientos!$R$2:$R$1998,0)),"-")</f>
        <v>-</v>
      </c>
      <c r="D408" s="3" t="str">
        <f>IFERROR(INDEX(Movimientos!$E$2:$E$1998,MATCH(A408&amp;"ENTRADA",Movimientos!$R$2:$R$1998,0)),"-")</f>
        <v>-</v>
      </c>
      <c r="E408" s="3" t="str">
        <f>IFERROR(INDEX(Movimientos!$F$2:$F$1998,MATCH(A408&amp;"ENTRADA",Movimientos!$R$2:$R$1998,0)),"-")</f>
        <v>-</v>
      </c>
      <c r="F408" s="3" t="str">
        <f>IFERROR(INDEX(Movimientos!$G$2:$G$1998,MATCH(A408&amp;"ENTRADA",Movimientos!$R$2:$R$1998,0)),"-")</f>
        <v>-</v>
      </c>
      <c r="G408" s="3" t="str">
        <f>IFERROR(INDEX(Movimientos!$L$2:$L$1998,MATCH(A408&amp;"ENTRADA",Movimientos!$R$2:$R$1998,0)),"-")</f>
        <v>-</v>
      </c>
      <c r="H408" s="19" t="str">
        <f>IFERROR(IF(INDEX(Movimientos!$M$2:$M$1998,MATCH(A408&amp;"ENTRADA",Movimientos!$R$2:$R$1998,0))=0,"S/D",INDEX(Movimientos!$M$2:$M$1998,MATCH(A408&amp;"ENTRADA",Movimientos!$R$2:$R$1998,0))),"S/D")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3"/>
        <v>SIN STOCK</v>
      </c>
    </row>
    <row r="409" spans="1:11" ht="14.25">
      <c r="A409" s="18" t="s">
        <v>2552</v>
      </c>
      <c r="B409" s="3" t="str">
        <f>IFERROR(INDEX(Movimientos!$C$2:$C$1998,MATCH(A409&amp;"ENTRADA",Movimientos!$R$2:$R$1998,0)),"-")</f>
        <v>-</v>
      </c>
      <c r="C409" s="3" t="str">
        <f>IFERROR(INDEX(Movimientos!$D$2:$D$1998,MATCH(A409&amp;"ENTRADA",Movimientos!$R$2:$R$1998,0)),"-")</f>
        <v>-</v>
      </c>
      <c r="D409" s="3" t="str">
        <f>IFERROR(INDEX(Movimientos!$E$2:$E$1998,MATCH(A409&amp;"ENTRADA",Movimientos!$R$2:$R$1998,0)),"-")</f>
        <v>-</v>
      </c>
      <c r="E409" s="3" t="str">
        <f>IFERROR(INDEX(Movimientos!$F$2:$F$1998,MATCH(A409&amp;"ENTRADA",Movimientos!$R$2:$R$1998,0)),"-")</f>
        <v>-</v>
      </c>
      <c r="F409" s="3" t="str">
        <f>IFERROR(INDEX(Movimientos!$G$2:$G$1998,MATCH(A409&amp;"ENTRADA",Movimientos!$R$2:$R$1998,0)),"-")</f>
        <v>-</v>
      </c>
      <c r="G409" s="3" t="str">
        <f>IFERROR(INDEX(Movimientos!$L$2:$L$1998,MATCH(A409&amp;"ENTRADA",Movimientos!$R$2:$R$1998,0)),"-")</f>
        <v>-</v>
      </c>
      <c r="H409" s="19" t="str">
        <f>IFERROR(IF(INDEX(Movimientos!$M$2:$M$1998,MATCH(A409&amp;"ENTRADA",Movimientos!$R$2:$R$1998,0))=0,"S/D",INDEX(Movimientos!$M$2:$M$1998,MATCH(A409&amp;"ENTRADA",Movimientos!$R$2:$R$1998,0))),"S/D")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3"/>
        <v>SIN STOCK</v>
      </c>
    </row>
    <row r="410" spans="1:11" ht="14.25">
      <c r="A410" s="18" t="s">
        <v>2553</v>
      </c>
      <c r="B410" s="3" t="str">
        <f>IFERROR(INDEX(Movimientos!$C$2:$C$1998,MATCH(A410&amp;"ENTRADA",Movimientos!$R$2:$R$1998,0)),"-")</f>
        <v>-</v>
      </c>
      <c r="C410" s="3" t="str">
        <f>IFERROR(INDEX(Movimientos!$D$2:$D$1998,MATCH(A410&amp;"ENTRADA",Movimientos!$R$2:$R$1998,0)),"-")</f>
        <v>-</v>
      </c>
      <c r="D410" s="3" t="str">
        <f>IFERROR(INDEX(Movimientos!$E$2:$E$1998,MATCH(A410&amp;"ENTRADA",Movimientos!$R$2:$R$1998,0)),"-")</f>
        <v>-</v>
      </c>
      <c r="E410" s="3" t="str">
        <f>IFERROR(INDEX(Movimientos!$F$2:$F$1998,MATCH(A410&amp;"ENTRADA",Movimientos!$R$2:$R$1998,0)),"-")</f>
        <v>-</v>
      </c>
      <c r="F410" s="3" t="str">
        <f>IFERROR(INDEX(Movimientos!$G$2:$G$1998,MATCH(A410&amp;"ENTRADA",Movimientos!$R$2:$R$1998,0)),"-")</f>
        <v>-</v>
      </c>
      <c r="G410" s="3" t="str">
        <f>IFERROR(INDEX(Movimientos!$L$2:$L$1998,MATCH(A410&amp;"ENTRADA",Movimientos!$R$2:$R$1998,0)),"-")</f>
        <v>-</v>
      </c>
      <c r="H410" s="19" t="str">
        <f>IFERROR(IF(INDEX(Movimientos!$M$2:$M$1998,MATCH(A410&amp;"ENTRADA",Movimientos!$R$2:$R$1998,0))=0,"S/D",INDEX(Movimientos!$M$2:$M$1998,MATCH(A410&amp;"ENTRADA",Movimientos!$R$2:$R$1998,0))),"S/D")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3"/>
        <v>SIN STOCK</v>
      </c>
    </row>
    <row r="411" spans="1:11" ht="14.25">
      <c r="A411" s="18" t="s">
        <v>2554</v>
      </c>
      <c r="B411" s="3" t="str">
        <f>IFERROR(INDEX(Movimientos!$C$2:$C$1998,MATCH(A411&amp;"ENTRADA",Movimientos!$R$2:$R$1998,0)),"-")</f>
        <v>-</v>
      </c>
      <c r="C411" s="3" t="str">
        <f>IFERROR(INDEX(Movimientos!$D$2:$D$1998,MATCH(A411&amp;"ENTRADA",Movimientos!$R$2:$R$1998,0)),"-")</f>
        <v>-</v>
      </c>
      <c r="D411" s="3" t="str">
        <f>IFERROR(INDEX(Movimientos!$E$2:$E$1998,MATCH(A411&amp;"ENTRADA",Movimientos!$R$2:$R$1998,0)),"-")</f>
        <v>-</v>
      </c>
      <c r="E411" s="3" t="str">
        <f>IFERROR(INDEX(Movimientos!$F$2:$F$1998,MATCH(A411&amp;"ENTRADA",Movimientos!$R$2:$R$1998,0)),"-")</f>
        <v>-</v>
      </c>
      <c r="F411" s="3" t="str">
        <f>IFERROR(INDEX(Movimientos!$G$2:$G$1998,MATCH(A411&amp;"ENTRADA",Movimientos!$R$2:$R$1998,0)),"-")</f>
        <v>-</v>
      </c>
      <c r="G411" s="3" t="str">
        <f>IFERROR(INDEX(Movimientos!$L$2:$L$1998,MATCH(A411&amp;"ENTRADA",Movimientos!$R$2:$R$1998,0)),"-")</f>
        <v>-</v>
      </c>
      <c r="H411" s="19" t="str">
        <f>IFERROR(IF(INDEX(Movimientos!$M$2:$M$1998,MATCH(A411&amp;"ENTRADA",Movimientos!$R$2:$R$1998,0))=0,"S/D",INDEX(Movimientos!$M$2:$M$1998,MATCH(A411&amp;"ENTRADA",Movimientos!$R$2:$R$1998,0))),"S/D")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3"/>
        <v>SIN STOCK</v>
      </c>
    </row>
    <row r="412" spans="1:11" ht="14.25">
      <c r="A412" s="18" t="s">
        <v>2555</v>
      </c>
      <c r="B412" s="3" t="str">
        <f>IFERROR(INDEX(Movimientos!$C$2:$C$1998,MATCH(A412&amp;"ENTRADA",Movimientos!$R$2:$R$1998,0)),"-")</f>
        <v>-</v>
      </c>
      <c r="C412" s="3" t="str">
        <f>IFERROR(INDEX(Movimientos!$D$2:$D$1998,MATCH(A412&amp;"ENTRADA",Movimientos!$R$2:$R$1998,0)),"-")</f>
        <v>-</v>
      </c>
      <c r="D412" s="3" t="str">
        <f>IFERROR(INDEX(Movimientos!$E$2:$E$1998,MATCH(A412&amp;"ENTRADA",Movimientos!$R$2:$R$1998,0)),"-")</f>
        <v>-</v>
      </c>
      <c r="E412" s="3" t="str">
        <f>IFERROR(INDEX(Movimientos!$F$2:$F$1998,MATCH(A412&amp;"ENTRADA",Movimientos!$R$2:$R$1998,0)),"-")</f>
        <v>-</v>
      </c>
      <c r="F412" s="3" t="str">
        <f>IFERROR(INDEX(Movimientos!$G$2:$G$1998,MATCH(A412&amp;"ENTRADA",Movimientos!$R$2:$R$1998,0)),"-")</f>
        <v>-</v>
      </c>
      <c r="G412" s="3" t="str">
        <f>IFERROR(INDEX(Movimientos!$L$2:$L$1998,MATCH(A412&amp;"ENTRADA",Movimientos!$R$2:$R$1998,0)),"-")</f>
        <v>-</v>
      </c>
      <c r="H412" s="19" t="str">
        <f>IFERROR(IF(INDEX(Movimientos!$M$2:$M$1998,MATCH(A412&amp;"ENTRADA",Movimientos!$R$2:$R$1998,0))=0,"S/D",INDEX(Movimientos!$M$2:$M$1998,MATCH(A412&amp;"ENTRADA",Movimientos!$R$2:$R$1998,0))),"S/D")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3"/>
        <v>SIN STOCK</v>
      </c>
    </row>
    <row r="413" spans="1:11" ht="14.25">
      <c r="A413" s="18" t="s">
        <v>2556</v>
      </c>
      <c r="B413" s="3" t="str">
        <f>IFERROR(INDEX(Movimientos!$C$2:$C$1998,MATCH(A413&amp;"ENTRADA",Movimientos!$R$2:$R$1998,0)),"-")</f>
        <v>-</v>
      </c>
      <c r="C413" s="3" t="str">
        <f>IFERROR(INDEX(Movimientos!$D$2:$D$1998,MATCH(A413&amp;"ENTRADA",Movimientos!$R$2:$R$1998,0)),"-")</f>
        <v>-</v>
      </c>
      <c r="D413" s="3" t="str">
        <f>IFERROR(INDEX(Movimientos!$E$2:$E$1998,MATCH(A413&amp;"ENTRADA",Movimientos!$R$2:$R$1998,0)),"-")</f>
        <v>-</v>
      </c>
      <c r="E413" s="3" t="str">
        <f>IFERROR(INDEX(Movimientos!$F$2:$F$1998,MATCH(A413&amp;"ENTRADA",Movimientos!$R$2:$R$1998,0)),"-")</f>
        <v>-</v>
      </c>
      <c r="F413" s="3" t="str">
        <f>IFERROR(INDEX(Movimientos!$G$2:$G$1998,MATCH(A413&amp;"ENTRADA",Movimientos!$R$2:$R$1998,0)),"-")</f>
        <v>-</v>
      </c>
      <c r="G413" s="3" t="str">
        <f>IFERROR(INDEX(Movimientos!$L$2:$L$1998,MATCH(A413&amp;"ENTRADA",Movimientos!$R$2:$R$1998,0)),"-")</f>
        <v>-</v>
      </c>
      <c r="H413" s="19" t="str">
        <f>IFERROR(IF(INDEX(Movimientos!$M$2:$M$1998,MATCH(A413&amp;"ENTRADA",Movimientos!$R$2:$R$1998,0))=0,"S/D",INDEX(Movimientos!$M$2:$M$1998,MATCH(A413&amp;"ENTRADA",Movimientos!$R$2:$R$1998,0))),"S/D")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3"/>
        <v>SIN STOCK</v>
      </c>
    </row>
    <row r="414" spans="1:11" ht="14.25">
      <c r="A414" s="18" t="s">
        <v>2557</v>
      </c>
      <c r="B414" s="3" t="str">
        <f>IFERROR(INDEX(Movimientos!$C$2:$C$1998,MATCH(A414&amp;"ENTRADA",Movimientos!$R$2:$R$1998,0)),"-")</f>
        <v>-</v>
      </c>
      <c r="C414" s="3" t="str">
        <f>IFERROR(INDEX(Movimientos!$D$2:$D$1998,MATCH(A414&amp;"ENTRADA",Movimientos!$R$2:$R$1998,0)),"-")</f>
        <v>-</v>
      </c>
      <c r="D414" s="3" t="str">
        <f>IFERROR(INDEX(Movimientos!$E$2:$E$1998,MATCH(A414&amp;"ENTRADA",Movimientos!$R$2:$R$1998,0)),"-")</f>
        <v>-</v>
      </c>
      <c r="E414" s="3" t="str">
        <f>IFERROR(INDEX(Movimientos!$F$2:$F$1998,MATCH(A414&amp;"ENTRADA",Movimientos!$R$2:$R$1998,0)),"-")</f>
        <v>-</v>
      </c>
      <c r="F414" s="3" t="str">
        <f>IFERROR(INDEX(Movimientos!$G$2:$G$1998,MATCH(A414&amp;"ENTRADA",Movimientos!$R$2:$R$1998,0)),"-")</f>
        <v>-</v>
      </c>
      <c r="G414" s="3" t="str">
        <f>IFERROR(INDEX(Movimientos!$L$2:$L$1998,MATCH(A414&amp;"ENTRADA",Movimientos!$R$2:$R$1998,0)),"-")</f>
        <v>-</v>
      </c>
      <c r="H414" s="19" t="str">
        <f>IFERROR(IF(INDEX(Movimientos!$M$2:$M$1998,MATCH(A414&amp;"ENTRADA",Movimientos!$R$2:$R$1998,0))=0,"S/D",INDEX(Movimientos!$M$2:$M$1998,MATCH(A414&amp;"ENTRADA",Movimientos!$R$2:$R$1998,0))),"S/D")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3"/>
        <v>SIN STOCK</v>
      </c>
    </row>
    <row r="415" spans="1:11" ht="14.25">
      <c r="A415" s="18" t="s">
        <v>2558</v>
      </c>
      <c r="B415" s="3" t="str">
        <f>IFERROR(INDEX(Movimientos!$C$2:$C$1998,MATCH(A415&amp;"ENTRADA",Movimientos!$R$2:$R$1998,0)),"-")</f>
        <v>-</v>
      </c>
      <c r="C415" s="3" t="str">
        <f>IFERROR(INDEX(Movimientos!$D$2:$D$1998,MATCH(A415&amp;"ENTRADA",Movimientos!$R$2:$R$1998,0)),"-")</f>
        <v>-</v>
      </c>
      <c r="D415" s="3" t="str">
        <f>IFERROR(INDEX(Movimientos!$E$2:$E$1998,MATCH(A415&amp;"ENTRADA",Movimientos!$R$2:$R$1998,0)),"-")</f>
        <v>-</v>
      </c>
      <c r="E415" s="3" t="str">
        <f>IFERROR(INDEX(Movimientos!$F$2:$F$1998,MATCH(A415&amp;"ENTRADA",Movimientos!$R$2:$R$1998,0)),"-")</f>
        <v>-</v>
      </c>
      <c r="F415" s="3" t="str">
        <f>IFERROR(INDEX(Movimientos!$G$2:$G$1998,MATCH(A415&amp;"ENTRADA",Movimientos!$R$2:$R$1998,0)),"-")</f>
        <v>-</v>
      </c>
      <c r="G415" s="3" t="str">
        <f>IFERROR(INDEX(Movimientos!$L$2:$L$1998,MATCH(A415&amp;"ENTRADA",Movimientos!$R$2:$R$1998,0)),"-")</f>
        <v>-</v>
      </c>
      <c r="H415" s="19" t="str">
        <f>IFERROR(IF(INDEX(Movimientos!$M$2:$M$1998,MATCH(A415&amp;"ENTRADA",Movimientos!$R$2:$R$1998,0))=0,"S/D",INDEX(Movimientos!$M$2:$M$1998,MATCH(A415&amp;"ENTRADA",Movimientos!$R$2:$R$1998,0))),"S/D")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3"/>
        <v>SIN STOCK</v>
      </c>
    </row>
    <row r="416" spans="1:11" ht="14.25">
      <c r="A416" s="18" t="s">
        <v>2559</v>
      </c>
      <c r="B416" s="3" t="str">
        <f>IFERROR(INDEX(Movimientos!$C$2:$C$1998,MATCH(A416&amp;"ENTRADA",Movimientos!$R$2:$R$1998,0)),"-")</f>
        <v>-</v>
      </c>
      <c r="C416" s="3" t="str">
        <f>IFERROR(INDEX(Movimientos!$D$2:$D$1998,MATCH(A416&amp;"ENTRADA",Movimientos!$R$2:$R$1998,0)),"-")</f>
        <v>-</v>
      </c>
      <c r="D416" s="3" t="str">
        <f>IFERROR(INDEX(Movimientos!$E$2:$E$1998,MATCH(A416&amp;"ENTRADA",Movimientos!$R$2:$R$1998,0)),"-")</f>
        <v>-</v>
      </c>
      <c r="E416" s="3" t="str">
        <f>IFERROR(INDEX(Movimientos!$F$2:$F$1998,MATCH(A416&amp;"ENTRADA",Movimientos!$R$2:$R$1998,0)),"-")</f>
        <v>-</v>
      </c>
      <c r="F416" s="3" t="str">
        <f>IFERROR(INDEX(Movimientos!$G$2:$G$1998,MATCH(A416&amp;"ENTRADA",Movimientos!$R$2:$R$1998,0)),"-")</f>
        <v>-</v>
      </c>
      <c r="G416" s="3" t="str">
        <f>IFERROR(INDEX(Movimientos!$L$2:$L$1998,MATCH(A416&amp;"ENTRADA",Movimientos!$R$2:$R$1998,0)),"-")</f>
        <v>-</v>
      </c>
      <c r="H416" s="19" t="str">
        <f>IFERROR(IF(INDEX(Movimientos!$M$2:$M$1998,MATCH(A416&amp;"ENTRADA",Movimientos!$R$2:$R$1998,0))=0,"S/D",INDEX(Movimientos!$M$2:$M$1998,MATCH(A416&amp;"ENTRADA",Movimientos!$R$2:$R$1998,0))),"S/D")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3"/>
        <v>SIN STOCK</v>
      </c>
    </row>
    <row r="417" spans="1:11" ht="14.25">
      <c r="A417" s="18" t="s">
        <v>2560</v>
      </c>
      <c r="B417" s="3" t="str">
        <f>IFERROR(INDEX(Movimientos!$C$2:$C$1998,MATCH(A417&amp;"ENTRADA",Movimientos!$R$2:$R$1998,0)),"-")</f>
        <v>-</v>
      </c>
      <c r="C417" s="3" t="str">
        <f>IFERROR(INDEX(Movimientos!$D$2:$D$1998,MATCH(A417&amp;"ENTRADA",Movimientos!$R$2:$R$1998,0)),"-")</f>
        <v>-</v>
      </c>
      <c r="D417" s="3" t="str">
        <f>IFERROR(INDEX(Movimientos!$E$2:$E$1998,MATCH(A417&amp;"ENTRADA",Movimientos!$R$2:$R$1998,0)),"-")</f>
        <v>-</v>
      </c>
      <c r="E417" s="3" t="str">
        <f>IFERROR(INDEX(Movimientos!$F$2:$F$1998,MATCH(A417&amp;"ENTRADA",Movimientos!$R$2:$R$1998,0)),"-")</f>
        <v>-</v>
      </c>
      <c r="F417" s="3" t="str">
        <f>IFERROR(INDEX(Movimientos!$G$2:$G$1998,MATCH(A417&amp;"ENTRADA",Movimientos!$R$2:$R$1998,0)),"-")</f>
        <v>-</v>
      </c>
      <c r="G417" s="3" t="str">
        <f>IFERROR(INDEX(Movimientos!$L$2:$L$1998,MATCH(A417&amp;"ENTRADA",Movimientos!$R$2:$R$1998,0)),"-")</f>
        <v>-</v>
      </c>
      <c r="H417" s="19" t="str">
        <f>IFERROR(IF(INDEX(Movimientos!$M$2:$M$1998,MATCH(A417&amp;"ENTRADA",Movimientos!$R$2:$R$1998,0))=0,"S/D",INDEX(Movimientos!$M$2:$M$1998,MATCH(A417&amp;"ENTRADA",Movimientos!$R$2:$R$1998,0))),"S/D")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3"/>
        <v>SIN STOCK</v>
      </c>
    </row>
    <row r="418" spans="1:11" ht="14.25">
      <c r="A418" s="18" t="s">
        <v>2561</v>
      </c>
      <c r="B418" s="3" t="str">
        <f>IFERROR(INDEX(Movimientos!$C$2:$C$1998,MATCH(A418&amp;"ENTRADA",Movimientos!$R$2:$R$1998,0)),"-")</f>
        <v>-</v>
      </c>
      <c r="C418" s="3" t="str">
        <f>IFERROR(INDEX(Movimientos!$D$2:$D$1998,MATCH(A418&amp;"ENTRADA",Movimientos!$R$2:$R$1998,0)),"-")</f>
        <v>-</v>
      </c>
      <c r="D418" s="3" t="str">
        <f>IFERROR(INDEX(Movimientos!$E$2:$E$1998,MATCH(A418&amp;"ENTRADA",Movimientos!$R$2:$R$1998,0)),"-")</f>
        <v>-</v>
      </c>
      <c r="E418" s="3" t="str">
        <f>IFERROR(INDEX(Movimientos!$F$2:$F$1998,MATCH(A418&amp;"ENTRADA",Movimientos!$R$2:$R$1998,0)),"-")</f>
        <v>-</v>
      </c>
      <c r="F418" s="3" t="str">
        <f>IFERROR(INDEX(Movimientos!$G$2:$G$1998,MATCH(A418&amp;"ENTRADA",Movimientos!$R$2:$R$1998,0)),"-")</f>
        <v>-</v>
      </c>
      <c r="G418" s="3" t="str">
        <f>IFERROR(INDEX(Movimientos!$L$2:$L$1998,MATCH(A418&amp;"ENTRADA",Movimientos!$R$2:$R$1998,0)),"-")</f>
        <v>-</v>
      </c>
      <c r="H418" s="19" t="str">
        <f>IFERROR(IF(INDEX(Movimientos!$M$2:$M$1998,MATCH(A418&amp;"ENTRADA",Movimientos!$R$2:$R$1998,0))=0,"S/D",INDEX(Movimientos!$M$2:$M$1998,MATCH(A418&amp;"ENTRADA",Movimientos!$R$2:$R$1998,0))),"S/D")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3"/>
        <v>SIN STOCK</v>
      </c>
    </row>
    <row r="419" spans="1:11" ht="14.25">
      <c r="A419" s="18" t="s">
        <v>2562</v>
      </c>
      <c r="B419" s="3" t="str">
        <f>IFERROR(INDEX(Movimientos!$C$2:$C$1998,MATCH(A419&amp;"ENTRADA",Movimientos!$R$2:$R$1998,0)),"-")</f>
        <v>-</v>
      </c>
      <c r="C419" s="3" t="str">
        <f>IFERROR(INDEX(Movimientos!$D$2:$D$1998,MATCH(A419&amp;"ENTRADA",Movimientos!$R$2:$R$1998,0)),"-")</f>
        <v>-</v>
      </c>
      <c r="D419" s="3" t="str">
        <f>IFERROR(INDEX(Movimientos!$E$2:$E$1998,MATCH(A419&amp;"ENTRADA",Movimientos!$R$2:$R$1998,0)),"-")</f>
        <v>-</v>
      </c>
      <c r="E419" s="3" t="str">
        <f>IFERROR(INDEX(Movimientos!$F$2:$F$1998,MATCH(A419&amp;"ENTRADA",Movimientos!$R$2:$R$1998,0)),"-")</f>
        <v>-</v>
      </c>
      <c r="F419" s="3" t="str">
        <f>IFERROR(INDEX(Movimientos!$G$2:$G$1998,MATCH(A419&amp;"ENTRADA",Movimientos!$R$2:$R$1998,0)),"-")</f>
        <v>-</v>
      </c>
      <c r="G419" s="3" t="str">
        <f>IFERROR(INDEX(Movimientos!$L$2:$L$1998,MATCH(A419&amp;"ENTRADA",Movimientos!$R$2:$R$1998,0)),"-")</f>
        <v>-</v>
      </c>
      <c r="H419" s="19" t="str">
        <f>IFERROR(IF(INDEX(Movimientos!$M$2:$M$1998,MATCH(A419&amp;"ENTRADA",Movimientos!$R$2:$R$1998,0))=0,"S/D",INDEX(Movimientos!$M$2:$M$1998,MATCH(A419&amp;"ENTRADA",Movimientos!$R$2:$R$1998,0))),"S/D")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3"/>
        <v>SIN STOCK</v>
      </c>
    </row>
    <row r="420" spans="1:11" ht="14.25">
      <c r="A420" s="18" t="s">
        <v>2563</v>
      </c>
      <c r="B420" s="3" t="str">
        <f>IFERROR(INDEX(Movimientos!$C$2:$C$1998,MATCH(A420&amp;"ENTRADA",Movimientos!$R$2:$R$1998,0)),"-")</f>
        <v>-</v>
      </c>
      <c r="C420" s="3" t="str">
        <f>IFERROR(INDEX(Movimientos!$D$2:$D$1998,MATCH(A420&amp;"ENTRADA",Movimientos!$R$2:$R$1998,0)),"-")</f>
        <v>-</v>
      </c>
      <c r="D420" s="3" t="str">
        <f>IFERROR(INDEX(Movimientos!$E$2:$E$1998,MATCH(A420&amp;"ENTRADA",Movimientos!$R$2:$R$1998,0)),"-")</f>
        <v>-</v>
      </c>
      <c r="E420" s="3" t="str">
        <f>IFERROR(INDEX(Movimientos!$F$2:$F$1998,MATCH(A420&amp;"ENTRADA",Movimientos!$R$2:$R$1998,0)),"-")</f>
        <v>-</v>
      </c>
      <c r="F420" s="3" t="str">
        <f>IFERROR(INDEX(Movimientos!$G$2:$G$1998,MATCH(A420&amp;"ENTRADA",Movimientos!$R$2:$R$1998,0)),"-")</f>
        <v>-</v>
      </c>
      <c r="G420" s="3" t="str">
        <f>IFERROR(INDEX(Movimientos!$L$2:$L$1998,MATCH(A420&amp;"ENTRADA",Movimientos!$R$2:$R$1998,0)),"-")</f>
        <v>-</v>
      </c>
      <c r="H420" s="19" t="str">
        <f>IFERROR(IF(INDEX(Movimientos!$M$2:$M$1998,MATCH(A420&amp;"ENTRADA",Movimientos!$R$2:$R$1998,0))=0,"S/D",INDEX(Movimientos!$M$2:$M$1998,MATCH(A420&amp;"ENTRADA",Movimientos!$R$2:$R$1998,0))),"S/D")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3"/>
        <v>SIN STOCK</v>
      </c>
    </row>
    <row r="421" spans="1:11" ht="14.25">
      <c r="A421" s="18" t="s">
        <v>2564</v>
      </c>
      <c r="B421" s="3" t="str">
        <f>IFERROR(INDEX(Movimientos!$C$2:$C$1998,MATCH(A421&amp;"ENTRADA",Movimientos!$R$2:$R$1998,0)),"-")</f>
        <v>-</v>
      </c>
      <c r="C421" s="3" t="str">
        <f>IFERROR(INDEX(Movimientos!$D$2:$D$1998,MATCH(A421&amp;"ENTRADA",Movimientos!$R$2:$R$1998,0)),"-")</f>
        <v>-</v>
      </c>
      <c r="D421" s="3" t="str">
        <f>IFERROR(INDEX(Movimientos!$E$2:$E$1998,MATCH(A421&amp;"ENTRADA",Movimientos!$R$2:$R$1998,0)),"-")</f>
        <v>-</v>
      </c>
      <c r="E421" s="3" t="str">
        <f>IFERROR(INDEX(Movimientos!$F$2:$F$1998,MATCH(A421&amp;"ENTRADA",Movimientos!$R$2:$R$1998,0)),"-")</f>
        <v>-</v>
      </c>
      <c r="F421" s="3" t="str">
        <f>IFERROR(INDEX(Movimientos!$G$2:$G$1998,MATCH(A421&amp;"ENTRADA",Movimientos!$R$2:$R$1998,0)),"-")</f>
        <v>-</v>
      </c>
      <c r="G421" s="3" t="str">
        <f>IFERROR(INDEX(Movimientos!$L$2:$L$1998,MATCH(A421&amp;"ENTRADA",Movimientos!$R$2:$R$1998,0)),"-")</f>
        <v>-</v>
      </c>
      <c r="H421" s="19" t="str">
        <f>IFERROR(IF(INDEX(Movimientos!$M$2:$M$1998,MATCH(A421&amp;"ENTRADA",Movimientos!$R$2:$R$1998,0))=0,"S/D",INDEX(Movimientos!$M$2:$M$1998,MATCH(A421&amp;"ENTRADA",Movimientos!$R$2:$R$1998,0))),"S/D")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3"/>
        <v>SIN STOCK</v>
      </c>
    </row>
    <row r="422" spans="1:11" ht="14.25">
      <c r="A422" s="18" t="s">
        <v>2565</v>
      </c>
      <c r="B422" s="3" t="str">
        <f>IFERROR(INDEX(Movimientos!$C$2:$C$1998,MATCH(A422&amp;"ENTRADA",Movimientos!$R$2:$R$1998,0)),"-")</f>
        <v>-</v>
      </c>
      <c r="C422" s="3" t="str">
        <f>IFERROR(INDEX(Movimientos!$D$2:$D$1998,MATCH(A422&amp;"ENTRADA",Movimientos!$R$2:$R$1998,0)),"-")</f>
        <v>-</v>
      </c>
      <c r="D422" s="3" t="str">
        <f>IFERROR(INDEX(Movimientos!$E$2:$E$1998,MATCH(A422&amp;"ENTRADA",Movimientos!$R$2:$R$1998,0)),"-")</f>
        <v>-</v>
      </c>
      <c r="E422" s="3" t="str">
        <f>IFERROR(INDEX(Movimientos!$F$2:$F$1998,MATCH(A422&amp;"ENTRADA",Movimientos!$R$2:$R$1998,0)),"-")</f>
        <v>-</v>
      </c>
      <c r="F422" s="3" t="str">
        <f>IFERROR(INDEX(Movimientos!$G$2:$G$1998,MATCH(A422&amp;"ENTRADA",Movimientos!$R$2:$R$1998,0)),"-")</f>
        <v>-</v>
      </c>
      <c r="G422" s="3" t="str">
        <f>IFERROR(INDEX(Movimientos!$L$2:$L$1998,MATCH(A422&amp;"ENTRADA",Movimientos!$R$2:$R$1998,0)),"-")</f>
        <v>-</v>
      </c>
      <c r="H422" s="19" t="str">
        <f>IFERROR(IF(INDEX(Movimientos!$M$2:$M$1998,MATCH(A422&amp;"ENTRADA",Movimientos!$R$2:$R$1998,0))=0,"S/D",INDEX(Movimientos!$M$2:$M$1998,MATCH(A422&amp;"ENTRADA",Movimientos!$R$2:$R$1998,0))),"S/D")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3"/>
        <v>SIN STOCK</v>
      </c>
    </row>
    <row r="423" spans="1:11" ht="14.25">
      <c r="A423" s="18" t="s">
        <v>2566</v>
      </c>
      <c r="B423" s="3" t="str">
        <f>IFERROR(INDEX(Movimientos!$C$2:$C$1998,MATCH(A423&amp;"ENTRADA",Movimientos!$R$2:$R$1998,0)),"-")</f>
        <v>-</v>
      </c>
      <c r="C423" s="3" t="str">
        <f>IFERROR(INDEX(Movimientos!$D$2:$D$1998,MATCH(A423&amp;"ENTRADA",Movimientos!$R$2:$R$1998,0)),"-")</f>
        <v>-</v>
      </c>
      <c r="D423" s="3" t="str">
        <f>IFERROR(INDEX(Movimientos!$E$2:$E$1998,MATCH(A423&amp;"ENTRADA",Movimientos!$R$2:$R$1998,0)),"-")</f>
        <v>-</v>
      </c>
      <c r="E423" s="3" t="str">
        <f>IFERROR(INDEX(Movimientos!$F$2:$F$1998,MATCH(A423&amp;"ENTRADA",Movimientos!$R$2:$R$1998,0)),"-")</f>
        <v>-</v>
      </c>
      <c r="F423" s="3" t="str">
        <f>IFERROR(INDEX(Movimientos!$G$2:$G$1998,MATCH(A423&amp;"ENTRADA",Movimientos!$R$2:$R$1998,0)),"-")</f>
        <v>-</v>
      </c>
      <c r="G423" s="3" t="str">
        <f>IFERROR(INDEX(Movimientos!$L$2:$L$1998,MATCH(A423&amp;"ENTRADA",Movimientos!$R$2:$R$1998,0)),"-")</f>
        <v>-</v>
      </c>
      <c r="H423" s="19" t="str">
        <f>IFERROR(IF(INDEX(Movimientos!$M$2:$M$1998,MATCH(A423&amp;"ENTRADA",Movimientos!$R$2:$R$1998,0))=0,"S/D",INDEX(Movimientos!$M$2:$M$1998,MATCH(A423&amp;"ENTRADA",Movimientos!$R$2:$R$1998,0))),"S/D")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3"/>
        <v>SIN STOCK</v>
      </c>
    </row>
    <row r="424" spans="1:11" ht="14.25">
      <c r="A424" s="18" t="s">
        <v>2567</v>
      </c>
      <c r="B424" s="3" t="str">
        <f>IFERROR(INDEX(Movimientos!$C$2:$C$1998,MATCH(A424&amp;"ENTRADA",Movimientos!$R$2:$R$1998,0)),"-")</f>
        <v>-</v>
      </c>
      <c r="C424" s="3" t="str">
        <f>IFERROR(INDEX(Movimientos!$D$2:$D$1998,MATCH(A424&amp;"ENTRADA",Movimientos!$R$2:$R$1998,0)),"-")</f>
        <v>-</v>
      </c>
      <c r="D424" s="3" t="str">
        <f>IFERROR(INDEX(Movimientos!$E$2:$E$1998,MATCH(A424&amp;"ENTRADA",Movimientos!$R$2:$R$1998,0)),"-")</f>
        <v>-</v>
      </c>
      <c r="E424" s="3" t="str">
        <f>IFERROR(INDEX(Movimientos!$F$2:$F$1998,MATCH(A424&amp;"ENTRADA",Movimientos!$R$2:$R$1998,0)),"-")</f>
        <v>-</v>
      </c>
      <c r="F424" s="3" t="str">
        <f>IFERROR(INDEX(Movimientos!$G$2:$G$1998,MATCH(A424&amp;"ENTRADA",Movimientos!$R$2:$R$1998,0)),"-")</f>
        <v>-</v>
      </c>
      <c r="G424" s="3" t="str">
        <f>IFERROR(INDEX(Movimientos!$L$2:$L$1998,MATCH(A424&amp;"ENTRADA",Movimientos!$R$2:$R$1998,0)),"-")</f>
        <v>-</v>
      </c>
      <c r="H424" s="19" t="str">
        <f>IFERROR(IF(INDEX(Movimientos!$M$2:$M$1998,MATCH(A424&amp;"ENTRADA",Movimientos!$R$2:$R$1998,0))=0,"S/D",INDEX(Movimientos!$M$2:$M$1998,MATCH(A424&amp;"ENTRADA",Movimientos!$R$2:$R$1998,0))),"S/D")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3"/>
        <v>SIN STOCK</v>
      </c>
    </row>
    <row r="425" spans="1:11" ht="14.25">
      <c r="A425" s="18" t="s">
        <v>2568</v>
      </c>
      <c r="B425" s="3" t="str">
        <f>IFERROR(INDEX(Movimientos!$C$2:$C$1998,MATCH(A425&amp;"ENTRADA",Movimientos!$R$2:$R$1998,0)),"-")</f>
        <v>-</v>
      </c>
      <c r="C425" s="3" t="str">
        <f>IFERROR(INDEX(Movimientos!$D$2:$D$1998,MATCH(A425&amp;"ENTRADA",Movimientos!$R$2:$R$1998,0)),"-")</f>
        <v>-</v>
      </c>
      <c r="D425" s="3" t="str">
        <f>IFERROR(INDEX(Movimientos!$E$2:$E$1998,MATCH(A425&amp;"ENTRADA",Movimientos!$R$2:$R$1998,0)),"-")</f>
        <v>-</v>
      </c>
      <c r="E425" s="3" t="str">
        <f>IFERROR(INDEX(Movimientos!$F$2:$F$1998,MATCH(A425&amp;"ENTRADA",Movimientos!$R$2:$R$1998,0)),"-")</f>
        <v>-</v>
      </c>
      <c r="F425" s="3" t="str">
        <f>IFERROR(INDEX(Movimientos!$G$2:$G$1998,MATCH(A425&amp;"ENTRADA",Movimientos!$R$2:$R$1998,0)),"-")</f>
        <v>-</v>
      </c>
      <c r="G425" s="3" t="str">
        <f>IFERROR(INDEX(Movimientos!$L$2:$L$1998,MATCH(A425&amp;"ENTRADA",Movimientos!$R$2:$R$1998,0)),"-")</f>
        <v>-</v>
      </c>
      <c r="H425" s="19" t="str">
        <f>IFERROR(IF(INDEX(Movimientos!$M$2:$M$1998,MATCH(A425&amp;"ENTRADA",Movimientos!$R$2:$R$1998,0))=0,"S/D",INDEX(Movimientos!$M$2:$M$1998,MATCH(A425&amp;"ENTRADA",Movimientos!$R$2:$R$1998,0))),"S/D")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3"/>
        <v>SIN STOCK</v>
      </c>
    </row>
    <row r="426" spans="1:11" ht="14.25">
      <c r="A426" s="18" t="s">
        <v>2569</v>
      </c>
      <c r="B426" s="3" t="str">
        <f>IFERROR(INDEX(Movimientos!$C$2:$C$1998,MATCH(A426&amp;"ENTRADA",Movimientos!$R$2:$R$1998,0)),"-")</f>
        <v>-</v>
      </c>
      <c r="C426" s="3" t="str">
        <f>IFERROR(INDEX(Movimientos!$D$2:$D$1998,MATCH(A426&amp;"ENTRADA",Movimientos!$R$2:$R$1998,0)),"-")</f>
        <v>-</v>
      </c>
      <c r="D426" s="3" t="str">
        <f>IFERROR(INDEX(Movimientos!$E$2:$E$1998,MATCH(A426&amp;"ENTRADA",Movimientos!$R$2:$R$1998,0)),"-")</f>
        <v>-</v>
      </c>
      <c r="E426" s="3" t="str">
        <f>IFERROR(INDEX(Movimientos!$F$2:$F$1998,MATCH(A426&amp;"ENTRADA",Movimientos!$R$2:$R$1998,0)),"-")</f>
        <v>-</v>
      </c>
      <c r="F426" s="3" t="str">
        <f>IFERROR(INDEX(Movimientos!$G$2:$G$1998,MATCH(A426&amp;"ENTRADA",Movimientos!$R$2:$R$1998,0)),"-")</f>
        <v>-</v>
      </c>
      <c r="G426" s="3" t="str">
        <f>IFERROR(INDEX(Movimientos!$L$2:$L$1998,MATCH(A426&amp;"ENTRADA",Movimientos!$R$2:$R$1998,0)),"-")</f>
        <v>-</v>
      </c>
      <c r="H426" s="19" t="str">
        <f>IFERROR(IF(INDEX(Movimientos!$M$2:$M$1998,MATCH(A426&amp;"ENTRADA",Movimientos!$R$2:$R$1998,0))=0,"S/D",INDEX(Movimientos!$M$2:$M$1998,MATCH(A426&amp;"ENTRADA",Movimientos!$R$2:$R$1998,0))),"S/D")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3"/>
        <v>SIN STOCK</v>
      </c>
    </row>
    <row r="427" spans="1:11" ht="14.25">
      <c r="A427" s="18" t="s">
        <v>2570</v>
      </c>
      <c r="B427" s="3" t="str">
        <f>IFERROR(INDEX(Movimientos!$C$2:$C$1998,MATCH(A427&amp;"ENTRADA",Movimientos!$R$2:$R$1998,0)),"-")</f>
        <v>-</v>
      </c>
      <c r="C427" s="3" t="str">
        <f>IFERROR(INDEX(Movimientos!$D$2:$D$1998,MATCH(A427&amp;"ENTRADA",Movimientos!$R$2:$R$1998,0)),"-")</f>
        <v>-</v>
      </c>
      <c r="D427" s="3" t="str">
        <f>IFERROR(INDEX(Movimientos!$E$2:$E$1998,MATCH(A427&amp;"ENTRADA",Movimientos!$R$2:$R$1998,0)),"-")</f>
        <v>-</v>
      </c>
      <c r="E427" s="3" t="str">
        <f>IFERROR(INDEX(Movimientos!$F$2:$F$1998,MATCH(A427&amp;"ENTRADA",Movimientos!$R$2:$R$1998,0)),"-")</f>
        <v>-</v>
      </c>
      <c r="F427" s="3" t="str">
        <f>IFERROR(INDEX(Movimientos!$G$2:$G$1998,MATCH(A427&amp;"ENTRADA",Movimientos!$R$2:$R$1998,0)),"-")</f>
        <v>-</v>
      </c>
      <c r="G427" s="3" t="str">
        <f>IFERROR(INDEX(Movimientos!$L$2:$L$1998,MATCH(A427&amp;"ENTRADA",Movimientos!$R$2:$R$1998,0)),"-")</f>
        <v>-</v>
      </c>
      <c r="H427" s="19" t="str">
        <f>IFERROR(IF(INDEX(Movimientos!$M$2:$M$1998,MATCH(A427&amp;"ENTRADA",Movimientos!$R$2:$R$1998,0))=0,"S/D",INDEX(Movimientos!$M$2:$M$1998,MATCH(A427&amp;"ENTRADA",Movimientos!$R$2:$R$1998,0))),"S/D")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3"/>
        <v>SIN STOCK</v>
      </c>
    </row>
    <row r="428" spans="1:11" ht="14.25">
      <c r="A428" s="18" t="s">
        <v>2571</v>
      </c>
      <c r="B428" s="3" t="str">
        <f>IFERROR(INDEX(Movimientos!$C$2:$C$1998,MATCH(A428&amp;"ENTRADA",Movimientos!$R$2:$R$1998,0)),"-")</f>
        <v>-</v>
      </c>
      <c r="C428" s="3" t="str">
        <f>IFERROR(INDEX(Movimientos!$D$2:$D$1998,MATCH(A428&amp;"ENTRADA",Movimientos!$R$2:$R$1998,0)),"-")</f>
        <v>-</v>
      </c>
      <c r="D428" s="3" t="str">
        <f>IFERROR(INDEX(Movimientos!$E$2:$E$1998,MATCH(A428&amp;"ENTRADA",Movimientos!$R$2:$R$1998,0)),"-")</f>
        <v>-</v>
      </c>
      <c r="E428" s="3" t="str">
        <f>IFERROR(INDEX(Movimientos!$F$2:$F$1998,MATCH(A428&amp;"ENTRADA",Movimientos!$R$2:$R$1998,0)),"-")</f>
        <v>-</v>
      </c>
      <c r="F428" s="3" t="str">
        <f>IFERROR(INDEX(Movimientos!$G$2:$G$1998,MATCH(A428&amp;"ENTRADA",Movimientos!$R$2:$R$1998,0)),"-")</f>
        <v>-</v>
      </c>
      <c r="G428" s="3" t="str">
        <f>IFERROR(INDEX(Movimientos!$L$2:$L$1998,MATCH(A428&amp;"ENTRADA",Movimientos!$R$2:$R$1998,0)),"-")</f>
        <v>-</v>
      </c>
      <c r="H428" s="19" t="str">
        <f>IFERROR(IF(INDEX(Movimientos!$M$2:$M$1998,MATCH(A428&amp;"ENTRADA",Movimientos!$R$2:$R$1998,0))=0,"S/D",INDEX(Movimientos!$M$2:$M$1998,MATCH(A428&amp;"ENTRADA",Movimientos!$R$2:$R$1998,0))),"S/D")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3"/>
        <v>SIN STOCK</v>
      </c>
    </row>
    <row r="429" spans="1:11" ht="14.25">
      <c r="A429" s="18" t="s">
        <v>2572</v>
      </c>
      <c r="B429" s="3" t="str">
        <f>IFERROR(INDEX(Movimientos!$C$2:$C$1998,MATCH(A429&amp;"ENTRADA",Movimientos!$R$2:$R$1998,0)),"-")</f>
        <v>-</v>
      </c>
      <c r="C429" s="3" t="str">
        <f>IFERROR(INDEX(Movimientos!$D$2:$D$1998,MATCH(A429&amp;"ENTRADA",Movimientos!$R$2:$R$1998,0)),"-")</f>
        <v>-</v>
      </c>
      <c r="D429" s="3" t="str">
        <f>IFERROR(INDEX(Movimientos!$E$2:$E$1998,MATCH(A429&amp;"ENTRADA",Movimientos!$R$2:$R$1998,0)),"-")</f>
        <v>-</v>
      </c>
      <c r="E429" s="3" t="str">
        <f>IFERROR(INDEX(Movimientos!$F$2:$F$1998,MATCH(A429&amp;"ENTRADA",Movimientos!$R$2:$R$1998,0)),"-")</f>
        <v>-</v>
      </c>
      <c r="F429" s="3" t="str">
        <f>IFERROR(INDEX(Movimientos!$G$2:$G$1998,MATCH(A429&amp;"ENTRADA",Movimientos!$R$2:$R$1998,0)),"-")</f>
        <v>-</v>
      </c>
      <c r="G429" s="3" t="str">
        <f>IFERROR(INDEX(Movimientos!$L$2:$L$1998,MATCH(A429&amp;"ENTRADA",Movimientos!$R$2:$R$1998,0)),"-")</f>
        <v>-</v>
      </c>
      <c r="H429" s="19" t="str">
        <f>IFERROR(IF(INDEX(Movimientos!$M$2:$M$1998,MATCH(A429&amp;"ENTRADA",Movimientos!$R$2:$R$1998,0))=0,"S/D",INDEX(Movimientos!$M$2:$M$1998,MATCH(A429&amp;"ENTRADA",Movimientos!$R$2:$R$1998,0))),"S/D")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3"/>
        <v>SIN STOCK</v>
      </c>
    </row>
    <row r="430" spans="1:11" ht="14.25">
      <c r="A430" s="18" t="s">
        <v>2573</v>
      </c>
      <c r="B430" s="3" t="str">
        <f>IFERROR(INDEX(Movimientos!$C$2:$C$1998,MATCH(A430&amp;"ENTRADA",Movimientos!$R$2:$R$1998,0)),"-")</f>
        <v>-</v>
      </c>
      <c r="C430" s="3" t="str">
        <f>IFERROR(INDEX(Movimientos!$D$2:$D$1998,MATCH(A430&amp;"ENTRADA",Movimientos!$R$2:$R$1998,0)),"-")</f>
        <v>-</v>
      </c>
      <c r="D430" s="3" t="str">
        <f>IFERROR(INDEX(Movimientos!$E$2:$E$1998,MATCH(A430&amp;"ENTRADA",Movimientos!$R$2:$R$1998,0)),"-")</f>
        <v>-</v>
      </c>
      <c r="E430" s="3" t="str">
        <f>IFERROR(INDEX(Movimientos!$F$2:$F$1998,MATCH(A430&amp;"ENTRADA",Movimientos!$R$2:$R$1998,0)),"-")</f>
        <v>-</v>
      </c>
      <c r="F430" s="3" t="str">
        <f>IFERROR(INDEX(Movimientos!$G$2:$G$1998,MATCH(A430&amp;"ENTRADA",Movimientos!$R$2:$R$1998,0)),"-")</f>
        <v>-</v>
      </c>
      <c r="G430" s="3" t="str">
        <f>IFERROR(INDEX(Movimientos!$L$2:$L$1998,MATCH(A430&amp;"ENTRADA",Movimientos!$R$2:$R$1998,0)),"-")</f>
        <v>-</v>
      </c>
      <c r="H430" s="19" t="str">
        <f>IFERROR(IF(INDEX(Movimientos!$M$2:$M$1998,MATCH(A430&amp;"ENTRADA",Movimientos!$R$2:$R$1998,0))=0,"S/D",INDEX(Movimientos!$M$2:$M$1998,MATCH(A430&amp;"ENTRADA",Movimientos!$R$2:$R$1998,0))),"S/D")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3"/>
        <v>SIN STOCK</v>
      </c>
    </row>
    <row r="431" spans="1:11" ht="14.25">
      <c r="A431" s="18" t="s">
        <v>2574</v>
      </c>
      <c r="B431" s="3" t="str">
        <f>IFERROR(INDEX(Movimientos!$C$2:$C$1998,MATCH(A431&amp;"ENTRADA",Movimientos!$R$2:$R$1998,0)),"-")</f>
        <v>-</v>
      </c>
      <c r="C431" s="3" t="str">
        <f>IFERROR(INDEX(Movimientos!$D$2:$D$1998,MATCH(A431&amp;"ENTRADA",Movimientos!$R$2:$R$1998,0)),"-")</f>
        <v>-</v>
      </c>
      <c r="D431" s="3" t="str">
        <f>IFERROR(INDEX(Movimientos!$E$2:$E$1998,MATCH(A431&amp;"ENTRADA",Movimientos!$R$2:$R$1998,0)),"-")</f>
        <v>-</v>
      </c>
      <c r="E431" s="3" t="str">
        <f>IFERROR(INDEX(Movimientos!$F$2:$F$1998,MATCH(A431&amp;"ENTRADA",Movimientos!$R$2:$R$1998,0)),"-")</f>
        <v>-</v>
      </c>
      <c r="F431" s="3" t="str">
        <f>IFERROR(INDEX(Movimientos!$G$2:$G$1998,MATCH(A431&amp;"ENTRADA",Movimientos!$R$2:$R$1998,0)),"-")</f>
        <v>-</v>
      </c>
      <c r="G431" s="3" t="str">
        <f>IFERROR(INDEX(Movimientos!$L$2:$L$1998,MATCH(A431&amp;"ENTRADA",Movimientos!$R$2:$R$1998,0)),"-")</f>
        <v>-</v>
      </c>
      <c r="H431" s="19" t="str">
        <f>IFERROR(IF(INDEX(Movimientos!$M$2:$M$1998,MATCH(A431&amp;"ENTRADA",Movimientos!$R$2:$R$1998,0))=0,"S/D",INDEX(Movimientos!$M$2:$M$1998,MATCH(A431&amp;"ENTRADA",Movimientos!$R$2:$R$1998,0))),"S/D")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3"/>
        <v>SIN STOCK</v>
      </c>
    </row>
    <row r="432" spans="1:11" ht="14.25">
      <c r="A432" s="18" t="s">
        <v>2575</v>
      </c>
      <c r="B432" s="3" t="str">
        <f>IFERROR(INDEX(Movimientos!$C$2:$C$1998,MATCH(A432&amp;"ENTRADA",Movimientos!$R$2:$R$1998,0)),"-")</f>
        <v>-</v>
      </c>
      <c r="C432" s="3" t="str">
        <f>IFERROR(INDEX(Movimientos!$D$2:$D$1998,MATCH(A432&amp;"ENTRADA",Movimientos!$R$2:$R$1998,0)),"-")</f>
        <v>-</v>
      </c>
      <c r="D432" s="3" t="str">
        <f>IFERROR(INDEX(Movimientos!$E$2:$E$1998,MATCH(A432&amp;"ENTRADA",Movimientos!$R$2:$R$1998,0)),"-")</f>
        <v>-</v>
      </c>
      <c r="E432" s="3" t="str">
        <f>IFERROR(INDEX(Movimientos!$F$2:$F$1998,MATCH(A432&amp;"ENTRADA",Movimientos!$R$2:$R$1998,0)),"-")</f>
        <v>-</v>
      </c>
      <c r="F432" s="3" t="str">
        <f>IFERROR(INDEX(Movimientos!$G$2:$G$1998,MATCH(A432&amp;"ENTRADA",Movimientos!$R$2:$R$1998,0)),"-")</f>
        <v>-</v>
      </c>
      <c r="G432" s="3" t="str">
        <f>IFERROR(INDEX(Movimientos!$L$2:$L$1998,MATCH(A432&amp;"ENTRADA",Movimientos!$R$2:$R$1998,0)),"-")</f>
        <v>-</v>
      </c>
      <c r="H432" s="19" t="str">
        <f>IFERROR(IF(INDEX(Movimientos!$M$2:$M$1998,MATCH(A432&amp;"ENTRADA",Movimientos!$R$2:$R$1998,0))=0,"S/D",INDEX(Movimientos!$M$2:$M$1998,MATCH(A432&amp;"ENTRADA",Movimientos!$R$2:$R$1998,0))),"S/D")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3"/>
        <v>SIN STOCK</v>
      </c>
    </row>
    <row r="433" spans="1:11" ht="14.25">
      <c r="A433" s="18" t="s">
        <v>2576</v>
      </c>
      <c r="B433" s="3" t="str">
        <f>IFERROR(INDEX(Movimientos!$C$2:$C$1998,MATCH(A433&amp;"ENTRADA",Movimientos!$R$2:$R$1998,0)),"-")</f>
        <v>-</v>
      </c>
      <c r="C433" s="3" t="str">
        <f>IFERROR(INDEX(Movimientos!$D$2:$D$1998,MATCH(A433&amp;"ENTRADA",Movimientos!$R$2:$R$1998,0)),"-")</f>
        <v>-</v>
      </c>
      <c r="D433" s="3" t="str">
        <f>IFERROR(INDEX(Movimientos!$E$2:$E$1998,MATCH(A433&amp;"ENTRADA",Movimientos!$R$2:$R$1998,0)),"-")</f>
        <v>-</v>
      </c>
      <c r="E433" s="3" t="str">
        <f>IFERROR(INDEX(Movimientos!$F$2:$F$1998,MATCH(A433&amp;"ENTRADA",Movimientos!$R$2:$R$1998,0)),"-")</f>
        <v>-</v>
      </c>
      <c r="F433" s="3" t="str">
        <f>IFERROR(INDEX(Movimientos!$G$2:$G$1998,MATCH(A433&amp;"ENTRADA",Movimientos!$R$2:$R$1998,0)),"-")</f>
        <v>-</v>
      </c>
      <c r="G433" s="3" t="str">
        <f>IFERROR(INDEX(Movimientos!$L$2:$L$1998,MATCH(A433&amp;"ENTRADA",Movimientos!$R$2:$R$1998,0)),"-")</f>
        <v>-</v>
      </c>
      <c r="H433" s="19" t="str">
        <f>IFERROR(IF(INDEX(Movimientos!$M$2:$M$1998,MATCH(A433&amp;"ENTRADA",Movimientos!$R$2:$R$1998,0))=0,"S/D",INDEX(Movimientos!$M$2:$M$1998,MATCH(A433&amp;"ENTRADA",Movimientos!$R$2:$R$1998,0))),"S/D")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3"/>
        <v>SIN STOCK</v>
      </c>
    </row>
    <row r="434" spans="1:11" ht="14.25">
      <c r="A434" s="18" t="s">
        <v>2577</v>
      </c>
      <c r="B434" s="3" t="str">
        <f>IFERROR(INDEX(Movimientos!$C$2:$C$1998,MATCH(A434&amp;"ENTRADA",Movimientos!$R$2:$R$1998,0)),"-")</f>
        <v>-</v>
      </c>
      <c r="C434" s="3" t="str">
        <f>IFERROR(INDEX(Movimientos!$D$2:$D$1998,MATCH(A434&amp;"ENTRADA",Movimientos!$R$2:$R$1998,0)),"-")</f>
        <v>-</v>
      </c>
      <c r="D434" s="3" t="str">
        <f>IFERROR(INDEX(Movimientos!$E$2:$E$1998,MATCH(A434&amp;"ENTRADA",Movimientos!$R$2:$R$1998,0)),"-")</f>
        <v>-</v>
      </c>
      <c r="E434" s="3" t="str">
        <f>IFERROR(INDEX(Movimientos!$F$2:$F$1998,MATCH(A434&amp;"ENTRADA",Movimientos!$R$2:$R$1998,0)),"-")</f>
        <v>-</v>
      </c>
      <c r="F434" s="3" t="str">
        <f>IFERROR(INDEX(Movimientos!$G$2:$G$1998,MATCH(A434&amp;"ENTRADA",Movimientos!$R$2:$R$1998,0)),"-")</f>
        <v>-</v>
      </c>
      <c r="G434" s="3" t="str">
        <f>IFERROR(INDEX(Movimientos!$L$2:$L$1998,MATCH(A434&amp;"ENTRADA",Movimientos!$R$2:$R$1998,0)),"-")</f>
        <v>-</v>
      </c>
      <c r="H434" s="19" t="str">
        <f>IFERROR(IF(INDEX(Movimientos!$M$2:$M$1998,MATCH(A434&amp;"ENTRADA",Movimientos!$R$2:$R$1998,0))=0,"S/D",INDEX(Movimientos!$M$2:$M$1998,MATCH(A434&amp;"ENTRADA",Movimientos!$R$2:$R$1998,0))),"S/D")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3"/>
        <v>SIN STOCK</v>
      </c>
    </row>
    <row r="435" spans="1:11" ht="14.25">
      <c r="A435" s="18" t="s">
        <v>2578</v>
      </c>
      <c r="B435" s="3" t="str">
        <f>IFERROR(INDEX(Movimientos!$C$2:$C$1998,MATCH(A435&amp;"ENTRADA",Movimientos!$R$2:$R$1998,0)),"-")</f>
        <v>-</v>
      </c>
      <c r="C435" s="3" t="str">
        <f>IFERROR(INDEX(Movimientos!$D$2:$D$1998,MATCH(A435&amp;"ENTRADA",Movimientos!$R$2:$R$1998,0)),"-")</f>
        <v>-</v>
      </c>
      <c r="D435" s="3" t="str">
        <f>IFERROR(INDEX(Movimientos!$E$2:$E$1998,MATCH(A435&amp;"ENTRADA",Movimientos!$R$2:$R$1998,0)),"-")</f>
        <v>-</v>
      </c>
      <c r="E435" s="3" t="str">
        <f>IFERROR(INDEX(Movimientos!$F$2:$F$1998,MATCH(A435&amp;"ENTRADA",Movimientos!$R$2:$R$1998,0)),"-")</f>
        <v>-</v>
      </c>
      <c r="F435" s="3" t="str">
        <f>IFERROR(INDEX(Movimientos!$G$2:$G$1998,MATCH(A435&amp;"ENTRADA",Movimientos!$R$2:$R$1998,0)),"-")</f>
        <v>-</v>
      </c>
      <c r="G435" s="3" t="str">
        <f>IFERROR(INDEX(Movimientos!$L$2:$L$1998,MATCH(A435&amp;"ENTRADA",Movimientos!$R$2:$R$1998,0)),"-")</f>
        <v>-</v>
      </c>
      <c r="H435" s="19" t="str">
        <f>IFERROR(IF(INDEX(Movimientos!$M$2:$M$1998,MATCH(A435&amp;"ENTRADA",Movimientos!$R$2:$R$1998,0))=0,"S/D",INDEX(Movimientos!$M$2:$M$1998,MATCH(A435&amp;"ENTRADA",Movimientos!$R$2:$R$1998,0))),"S/D")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3"/>
        <v>SIN STOCK</v>
      </c>
    </row>
    <row r="436" spans="1:11" ht="14.25">
      <c r="A436" s="18" t="s">
        <v>2579</v>
      </c>
      <c r="B436" s="3" t="str">
        <f>IFERROR(INDEX(Movimientos!$C$2:$C$1998,MATCH(A436&amp;"ENTRADA",Movimientos!$R$2:$R$1998,0)),"-")</f>
        <v>-</v>
      </c>
      <c r="C436" s="3" t="str">
        <f>IFERROR(INDEX(Movimientos!$D$2:$D$1998,MATCH(A436&amp;"ENTRADA",Movimientos!$R$2:$R$1998,0)),"-")</f>
        <v>-</v>
      </c>
      <c r="D436" s="3" t="str">
        <f>IFERROR(INDEX(Movimientos!$E$2:$E$1998,MATCH(A436&amp;"ENTRADA",Movimientos!$R$2:$R$1998,0)),"-")</f>
        <v>-</v>
      </c>
      <c r="E436" s="3" t="str">
        <f>IFERROR(INDEX(Movimientos!$F$2:$F$1998,MATCH(A436&amp;"ENTRADA",Movimientos!$R$2:$R$1998,0)),"-")</f>
        <v>-</v>
      </c>
      <c r="F436" s="3" t="str">
        <f>IFERROR(INDEX(Movimientos!$G$2:$G$1998,MATCH(A436&amp;"ENTRADA",Movimientos!$R$2:$R$1998,0)),"-")</f>
        <v>-</v>
      </c>
      <c r="G436" s="3" t="str">
        <f>IFERROR(INDEX(Movimientos!$L$2:$L$1998,MATCH(A436&amp;"ENTRADA",Movimientos!$R$2:$R$1998,0)),"-")</f>
        <v>-</v>
      </c>
      <c r="H436" s="19" t="str">
        <f>IFERROR(IF(INDEX(Movimientos!$M$2:$M$1998,MATCH(A436&amp;"ENTRADA",Movimientos!$R$2:$R$1998,0))=0,"S/D",INDEX(Movimientos!$M$2:$M$1998,MATCH(A436&amp;"ENTRADA",Movimientos!$R$2:$R$1998,0))),"S/D")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3"/>
        <v>SIN STOCK</v>
      </c>
    </row>
    <row r="437" spans="1:11" ht="14.25">
      <c r="A437" s="18" t="s">
        <v>2580</v>
      </c>
      <c r="B437" s="3" t="str">
        <f>IFERROR(INDEX(Movimientos!$C$2:$C$1998,MATCH(A437&amp;"ENTRADA",Movimientos!$R$2:$R$1998,0)),"-")</f>
        <v>-</v>
      </c>
      <c r="C437" s="3" t="str">
        <f>IFERROR(INDEX(Movimientos!$D$2:$D$1998,MATCH(A437&amp;"ENTRADA",Movimientos!$R$2:$R$1998,0)),"-")</f>
        <v>-</v>
      </c>
      <c r="D437" s="3" t="str">
        <f>IFERROR(INDEX(Movimientos!$E$2:$E$1998,MATCH(A437&amp;"ENTRADA",Movimientos!$R$2:$R$1998,0)),"-")</f>
        <v>-</v>
      </c>
      <c r="E437" s="3" t="str">
        <f>IFERROR(INDEX(Movimientos!$F$2:$F$1998,MATCH(A437&amp;"ENTRADA",Movimientos!$R$2:$R$1998,0)),"-")</f>
        <v>-</v>
      </c>
      <c r="F437" s="3" t="str">
        <f>IFERROR(INDEX(Movimientos!$G$2:$G$1998,MATCH(A437&amp;"ENTRADA",Movimientos!$R$2:$R$1998,0)),"-")</f>
        <v>-</v>
      </c>
      <c r="G437" s="3" t="str">
        <f>IFERROR(INDEX(Movimientos!$L$2:$L$1998,MATCH(A437&amp;"ENTRADA",Movimientos!$R$2:$R$1998,0)),"-")</f>
        <v>-</v>
      </c>
      <c r="H437" s="19" t="str">
        <f>IFERROR(IF(INDEX(Movimientos!$M$2:$M$1998,MATCH(A437&amp;"ENTRADA",Movimientos!$R$2:$R$1998,0))=0,"S/D",INDEX(Movimientos!$M$2:$M$1998,MATCH(A437&amp;"ENTRADA",Movimientos!$R$2:$R$1998,0))),"S/D")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3"/>
        <v>SIN STOCK</v>
      </c>
    </row>
    <row r="438" spans="1:11" ht="14.25">
      <c r="A438" s="18" t="s">
        <v>2581</v>
      </c>
      <c r="B438" s="3" t="str">
        <f>IFERROR(INDEX(Movimientos!$C$2:$C$1998,MATCH(A438&amp;"ENTRADA",Movimientos!$R$2:$R$1998,0)),"-")</f>
        <v>-</v>
      </c>
      <c r="C438" s="3" t="str">
        <f>IFERROR(INDEX(Movimientos!$D$2:$D$1998,MATCH(A438&amp;"ENTRADA",Movimientos!$R$2:$R$1998,0)),"-")</f>
        <v>-</v>
      </c>
      <c r="D438" s="3" t="str">
        <f>IFERROR(INDEX(Movimientos!$E$2:$E$1998,MATCH(A438&amp;"ENTRADA",Movimientos!$R$2:$R$1998,0)),"-")</f>
        <v>-</v>
      </c>
      <c r="E438" s="3" t="str">
        <f>IFERROR(INDEX(Movimientos!$F$2:$F$1998,MATCH(A438&amp;"ENTRADA",Movimientos!$R$2:$R$1998,0)),"-")</f>
        <v>-</v>
      </c>
      <c r="F438" s="3" t="str">
        <f>IFERROR(INDEX(Movimientos!$G$2:$G$1998,MATCH(A438&amp;"ENTRADA",Movimientos!$R$2:$R$1998,0)),"-")</f>
        <v>-</v>
      </c>
      <c r="G438" s="3" t="str">
        <f>IFERROR(INDEX(Movimientos!$L$2:$L$1998,MATCH(A438&amp;"ENTRADA",Movimientos!$R$2:$R$1998,0)),"-")</f>
        <v>-</v>
      </c>
      <c r="H438" s="19" t="str">
        <f>IFERROR(IF(INDEX(Movimientos!$M$2:$M$1998,MATCH(A438&amp;"ENTRADA",Movimientos!$R$2:$R$1998,0))=0,"S/D",INDEX(Movimientos!$M$2:$M$1998,MATCH(A438&amp;"ENTRADA",Movimientos!$R$2:$R$1998,0))),"S/D")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3"/>
        <v>SIN STOCK</v>
      </c>
    </row>
    <row r="439" spans="1:11" ht="14.25">
      <c r="A439" s="18" t="s">
        <v>2582</v>
      </c>
      <c r="B439" s="3" t="str">
        <f>IFERROR(INDEX(Movimientos!$C$2:$C$1998,MATCH(A439&amp;"ENTRADA",Movimientos!$R$2:$R$1998,0)),"-")</f>
        <v>-</v>
      </c>
      <c r="C439" s="3" t="str">
        <f>IFERROR(INDEX(Movimientos!$D$2:$D$1998,MATCH(A439&amp;"ENTRADA",Movimientos!$R$2:$R$1998,0)),"-")</f>
        <v>-</v>
      </c>
      <c r="D439" s="3" t="str">
        <f>IFERROR(INDEX(Movimientos!$E$2:$E$1998,MATCH(A439&amp;"ENTRADA",Movimientos!$R$2:$R$1998,0)),"-")</f>
        <v>-</v>
      </c>
      <c r="E439" s="3" t="str">
        <f>IFERROR(INDEX(Movimientos!$F$2:$F$1998,MATCH(A439&amp;"ENTRADA",Movimientos!$R$2:$R$1998,0)),"-")</f>
        <v>-</v>
      </c>
      <c r="F439" s="3" t="str">
        <f>IFERROR(INDEX(Movimientos!$G$2:$G$1998,MATCH(A439&amp;"ENTRADA",Movimientos!$R$2:$R$1998,0)),"-")</f>
        <v>-</v>
      </c>
      <c r="G439" s="3" t="str">
        <f>IFERROR(INDEX(Movimientos!$L$2:$L$1998,MATCH(A439&amp;"ENTRADA",Movimientos!$R$2:$R$1998,0)),"-")</f>
        <v>-</v>
      </c>
      <c r="H439" s="19" t="str">
        <f>IFERROR(IF(INDEX(Movimientos!$M$2:$M$1998,MATCH(A439&amp;"ENTRADA",Movimientos!$R$2:$R$1998,0))=0,"S/D",INDEX(Movimientos!$M$2:$M$1998,MATCH(A439&amp;"ENTRADA",Movimientos!$R$2:$R$1998,0))),"S/D")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3"/>
        <v>SIN STOCK</v>
      </c>
    </row>
    <row r="440" spans="1:11" ht="14.25">
      <c r="A440" s="18" t="s">
        <v>2583</v>
      </c>
      <c r="B440" s="3" t="str">
        <f>IFERROR(INDEX(Movimientos!$C$2:$C$1998,MATCH(A440&amp;"ENTRADA",Movimientos!$R$2:$R$1998,0)),"-")</f>
        <v>-</v>
      </c>
      <c r="C440" s="3" t="str">
        <f>IFERROR(INDEX(Movimientos!$D$2:$D$1998,MATCH(A440&amp;"ENTRADA",Movimientos!$R$2:$R$1998,0)),"-")</f>
        <v>-</v>
      </c>
      <c r="D440" s="3" t="str">
        <f>IFERROR(INDEX(Movimientos!$E$2:$E$1998,MATCH(A440&amp;"ENTRADA",Movimientos!$R$2:$R$1998,0)),"-")</f>
        <v>-</v>
      </c>
      <c r="E440" s="3" t="str">
        <f>IFERROR(INDEX(Movimientos!$F$2:$F$1998,MATCH(A440&amp;"ENTRADA",Movimientos!$R$2:$R$1998,0)),"-")</f>
        <v>-</v>
      </c>
      <c r="F440" s="3" t="str">
        <f>IFERROR(INDEX(Movimientos!$G$2:$G$1998,MATCH(A440&amp;"ENTRADA",Movimientos!$R$2:$R$1998,0)),"-")</f>
        <v>-</v>
      </c>
      <c r="G440" s="3" t="str">
        <f>IFERROR(INDEX(Movimientos!$L$2:$L$1998,MATCH(A440&amp;"ENTRADA",Movimientos!$R$2:$R$1998,0)),"-")</f>
        <v>-</v>
      </c>
      <c r="H440" s="19" t="str">
        <f>IFERROR(IF(INDEX(Movimientos!$M$2:$M$1998,MATCH(A440&amp;"ENTRADA",Movimientos!$R$2:$R$1998,0))=0,"S/D",INDEX(Movimientos!$M$2:$M$1998,MATCH(A440&amp;"ENTRADA",Movimientos!$R$2:$R$1998,0))),"S/D")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3"/>
        <v>SIN STOCK</v>
      </c>
    </row>
    <row r="441" spans="1:11" ht="14.25">
      <c r="A441" s="18" t="s">
        <v>2584</v>
      </c>
      <c r="B441" s="3" t="str">
        <f>IFERROR(INDEX(Movimientos!$C$2:$C$1998,MATCH(A441&amp;"ENTRADA",Movimientos!$R$2:$R$1998,0)),"-")</f>
        <v>-</v>
      </c>
      <c r="C441" s="3" t="str">
        <f>IFERROR(INDEX(Movimientos!$D$2:$D$1998,MATCH(A441&amp;"ENTRADA",Movimientos!$R$2:$R$1998,0)),"-")</f>
        <v>-</v>
      </c>
      <c r="D441" s="3" t="str">
        <f>IFERROR(INDEX(Movimientos!$E$2:$E$1998,MATCH(A441&amp;"ENTRADA",Movimientos!$R$2:$R$1998,0)),"-")</f>
        <v>-</v>
      </c>
      <c r="E441" s="3" t="str">
        <f>IFERROR(INDEX(Movimientos!$F$2:$F$1998,MATCH(A441&amp;"ENTRADA",Movimientos!$R$2:$R$1998,0)),"-")</f>
        <v>-</v>
      </c>
      <c r="F441" s="3" t="str">
        <f>IFERROR(INDEX(Movimientos!$G$2:$G$1998,MATCH(A441&amp;"ENTRADA",Movimientos!$R$2:$R$1998,0)),"-")</f>
        <v>-</v>
      </c>
      <c r="G441" s="3" t="str">
        <f>IFERROR(INDEX(Movimientos!$L$2:$L$1998,MATCH(A441&amp;"ENTRADA",Movimientos!$R$2:$R$1998,0)),"-")</f>
        <v>-</v>
      </c>
      <c r="H441" s="19" t="str">
        <f>IFERROR(IF(INDEX(Movimientos!$M$2:$M$1998,MATCH(A441&amp;"ENTRADA",Movimientos!$R$2:$R$1998,0))=0,"S/D",INDEX(Movimientos!$M$2:$M$1998,MATCH(A441&amp;"ENTRADA",Movimientos!$R$2:$R$1998,0))),"S/D")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3"/>
        <v>SIN STOCK</v>
      </c>
    </row>
    <row r="442" spans="1:11" ht="14.25">
      <c r="A442" s="18" t="s">
        <v>2585</v>
      </c>
      <c r="B442" s="3" t="str">
        <f>IFERROR(INDEX(Movimientos!$C$2:$C$1998,MATCH(A442&amp;"ENTRADA",Movimientos!$R$2:$R$1998,0)),"-")</f>
        <v>-</v>
      </c>
      <c r="C442" s="3" t="str">
        <f>IFERROR(INDEX(Movimientos!$D$2:$D$1998,MATCH(A442&amp;"ENTRADA",Movimientos!$R$2:$R$1998,0)),"-")</f>
        <v>-</v>
      </c>
      <c r="D442" s="3" t="str">
        <f>IFERROR(INDEX(Movimientos!$E$2:$E$1998,MATCH(A442&amp;"ENTRADA",Movimientos!$R$2:$R$1998,0)),"-")</f>
        <v>-</v>
      </c>
      <c r="E442" s="3" t="str">
        <f>IFERROR(INDEX(Movimientos!$F$2:$F$1998,MATCH(A442&amp;"ENTRADA",Movimientos!$R$2:$R$1998,0)),"-")</f>
        <v>-</v>
      </c>
      <c r="F442" s="3" t="str">
        <f>IFERROR(INDEX(Movimientos!$G$2:$G$1998,MATCH(A442&amp;"ENTRADA",Movimientos!$R$2:$R$1998,0)),"-")</f>
        <v>-</v>
      </c>
      <c r="G442" s="3" t="str">
        <f>IFERROR(INDEX(Movimientos!$L$2:$L$1998,MATCH(A442&amp;"ENTRADA",Movimientos!$R$2:$R$1998,0)),"-")</f>
        <v>-</v>
      </c>
      <c r="H442" s="19" t="str">
        <f>IFERROR(IF(INDEX(Movimientos!$M$2:$M$1998,MATCH(A442&amp;"ENTRADA",Movimientos!$R$2:$R$1998,0))=0,"S/D",INDEX(Movimientos!$M$2:$M$1998,MATCH(A442&amp;"ENTRADA",Movimientos!$R$2:$R$1998,0))),"S/D")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3"/>
        <v>SIN STOCK</v>
      </c>
    </row>
    <row r="443" spans="1:11" ht="14.25">
      <c r="A443" s="18" t="s">
        <v>2586</v>
      </c>
      <c r="B443" s="3" t="str">
        <f>IFERROR(INDEX(Movimientos!$C$2:$C$1998,MATCH(A443&amp;"ENTRADA",Movimientos!$R$2:$R$1998,0)),"-")</f>
        <v>-</v>
      </c>
      <c r="C443" s="3" t="str">
        <f>IFERROR(INDEX(Movimientos!$D$2:$D$1998,MATCH(A443&amp;"ENTRADA",Movimientos!$R$2:$R$1998,0)),"-")</f>
        <v>-</v>
      </c>
      <c r="D443" s="3" t="str">
        <f>IFERROR(INDEX(Movimientos!$E$2:$E$1998,MATCH(A443&amp;"ENTRADA",Movimientos!$R$2:$R$1998,0)),"-")</f>
        <v>-</v>
      </c>
      <c r="E443" s="3" t="str">
        <f>IFERROR(INDEX(Movimientos!$F$2:$F$1998,MATCH(A443&amp;"ENTRADA",Movimientos!$R$2:$R$1998,0)),"-")</f>
        <v>-</v>
      </c>
      <c r="F443" s="3" t="str">
        <f>IFERROR(INDEX(Movimientos!$G$2:$G$1998,MATCH(A443&amp;"ENTRADA",Movimientos!$R$2:$R$1998,0)),"-")</f>
        <v>-</v>
      </c>
      <c r="G443" s="3" t="str">
        <f>IFERROR(INDEX(Movimientos!$L$2:$L$1998,MATCH(A443&amp;"ENTRADA",Movimientos!$R$2:$R$1998,0)),"-")</f>
        <v>-</v>
      </c>
      <c r="H443" s="19" t="str">
        <f>IFERROR(IF(INDEX(Movimientos!$M$2:$M$1998,MATCH(A443&amp;"ENTRADA",Movimientos!$R$2:$R$1998,0))=0,"S/D",INDEX(Movimientos!$M$2:$M$1998,MATCH(A443&amp;"ENTRADA",Movimientos!$R$2:$R$1998,0))),"S/D")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3"/>
        <v>SIN STOCK</v>
      </c>
    </row>
    <row r="444" spans="1:11" ht="14.25">
      <c r="A444" s="18" t="s">
        <v>2587</v>
      </c>
      <c r="B444" s="3" t="str">
        <f>IFERROR(INDEX(Movimientos!$C$2:$C$1998,MATCH(A444&amp;"ENTRADA",Movimientos!$R$2:$R$1998,0)),"-")</f>
        <v>-</v>
      </c>
      <c r="C444" s="3" t="str">
        <f>IFERROR(INDEX(Movimientos!$D$2:$D$1998,MATCH(A444&amp;"ENTRADA",Movimientos!$R$2:$R$1998,0)),"-")</f>
        <v>-</v>
      </c>
      <c r="D444" s="3" t="str">
        <f>IFERROR(INDEX(Movimientos!$E$2:$E$1998,MATCH(A444&amp;"ENTRADA",Movimientos!$R$2:$R$1998,0)),"-")</f>
        <v>-</v>
      </c>
      <c r="E444" s="3" t="str">
        <f>IFERROR(INDEX(Movimientos!$F$2:$F$1998,MATCH(A444&amp;"ENTRADA",Movimientos!$R$2:$R$1998,0)),"-")</f>
        <v>-</v>
      </c>
      <c r="F444" s="3" t="str">
        <f>IFERROR(INDEX(Movimientos!$G$2:$G$1998,MATCH(A444&amp;"ENTRADA",Movimientos!$R$2:$R$1998,0)),"-")</f>
        <v>-</v>
      </c>
      <c r="G444" s="3" t="str">
        <f>IFERROR(INDEX(Movimientos!$L$2:$L$1998,MATCH(A444&amp;"ENTRADA",Movimientos!$R$2:$R$1998,0)),"-")</f>
        <v>-</v>
      </c>
      <c r="H444" s="19" t="str">
        <f>IFERROR(IF(INDEX(Movimientos!$M$2:$M$1998,MATCH(A444&amp;"ENTRADA",Movimientos!$R$2:$R$1998,0))=0,"S/D",INDEX(Movimientos!$M$2:$M$1998,MATCH(A444&amp;"ENTRADA",Movimientos!$R$2:$R$1998,0))),"S/D")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3"/>
        <v>SIN STOCK</v>
      </c>
    </row>
    <row r="445" spans="1:11" ht="14.25">
      <c r="A445" s="18" t="s">
        <v>2588</v>
      </c>
      <c r="B445" s="3" t="str">
        <f>IFERROR(INDEX(Movimientos!$C$2:$C$1998,MATCH(A445&amp;"ENTRADA",Movimientos!$R$2:$R$1998,0)),"-")</f>
        <v>-</v>
      </c>
      <c r="C445" s="3" t="str">
        <f>IFERROR(INDEX(Movimientos!$D$2:$D$1998,MATCH(A445&amp;"ENTRADA",Movimientos!$R$2:$R$1998,0)),"-")</f>
        <v>-</v>
      </c>
      <c r="D445" s="3" t="str">
        <f>IFERROR(INDEX(Movimientos!$E$2:$E$1998,MATCH(A445&amp;"ENTRADA",Movimientos!$R$2:$R$1998,0)),"-")</f>
        <v>-</v>
      </c>
      <c r="E445" s="3" t="str">
        <f>IFERROR(INDEX(Movimientos!$F$2:$F$1998,MATCH(A445&amp;"ENTRADA",Movimientos!$R$2:$R$1998,0)),"-")</f>
        <v>-</v>
      </c>
      <c r="F445" s="3" t="str">
        <f>IFERROR(INDEX(Movimientos!$G$2:$G$1998,MATCH(A445&amp;"ENTRADA",Movimientos!$R$2:$R$1998,0)),"-")</f>
        <v>-</v>
      </c>
      <c r="G445" s="3" t="str">
        <f>IFERROR(INDEX(Movimientos!$L$2:$L$1998,MATCH(A445&amp;"ENTRADA",Movimientos!$R$2:$R$1998,0)),"-")</f>
        <v>-</v>
      </c>
      <c r="H445" s="19" t="str">
        <f>IFERROR(IF(INDEX(Movimientos!$M$2:$M$1998,MATCH(A445&amp;"ENTRADA",Movimientos!$R$2:$R$1998,0))=0,"S/D",INDEX(Movimientos!$M$2:$M$1998,MATCH(A445&amp;"ENTRADA",Movimientos!$R$2:$R$1998,0))),"S/D")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3"/>
        <v>SIN STOCK</v>
      </c>
    </row>
    <row r="446" spans="1:11" ht="14.25">
      <c r="A446" s="18" t="s">
        <v>2589</v>
      </c>
      <c r="B446" s="3" t="str">
        <f>IFERROR(INDEX(Movimientos!$C$2:$C$1998,MATCH(A446&amp;"ENTRADA",Movimientos!$R$2:$R$1998,0)),"-")</f>
        <v>-</v>
      </c>
      <c r="C446" s="3" t="str">
        <f>IFERROR(INDEX(Movimientos!$D$2:$D$1998,MATCH(A446&amp;"ENTRADA",Movimientos!$R$2:$R$1998,0)),"-")</f>
        <v>-</v>
      </c>
      <c r="D446" s="3" t="str">
        <f>IFERROR(INDEX(Movimientos!$E$2:$E$1998,MATCH(A446&amp;"ENTRADA",Movimientos!$R$2:$R$1998,0)),"-")</f>
        <v>-</v>
      </c>
      <c r="E446" s="3" t="str">
        <f>IFERROR(INDEX(Movimientos!$F$2:$F$1998,MATCH(A446&amp;"ENTRADA",Movimientos!$R$2:$R$1998,0)),"-")</f>
        <v>-</v>
      </c>
      <c r="F446" s="3" t="str">
        <f>IFERROR(INDEX(Movimientos!$G$2:$G$1998,MATCH(A446&amp;"ENTRADA",Movimientos!$R$2:$R$1998,0)),"-")</f>
        <v>-</v>
      </c>
      <c r="G446" s="3" t="str">
        <f>IFERROR(INDEX(Movimientos!$L$2:$L$1998,MATCH(A446&amp;"ENTRADA",Movimientos!$R$2:$R$1998,0)),"-")</f>
        <v>-</v>
      </c>
      <c r="H446" s="19" t="str">
        <f>IFERROR(IF(INDEX(Movimientos!$M$2:$M$1998,MATCH(A446&amp;"ENTRADA",Movimientos!$R$2:$R$1998,0))=0,"S/D",INDEX(Movimientos!$M$2:$M$1998,MATCH(A446&amp;"ENTRADA",Movimientos!$R$2:$R$1998,0))),"S/D")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3"/>
        <v>SIN STOCK</v>
      </c>
    </row>
    <row r="447" spans="1:11" ht="14.25">
      <c r="A447" s="18" t="s">
        <v>2590</v>
      </c>
      <c r="B447" s="3" t="str">
        <f>IFERROR(INDEX(Movimientos!$C$2:$C$1998,MATCH(A447&amp;"ENTRADA",Movimientos!$R$2:$R$1998,0)),"-")</f>
        <v>-</v>
      </c>
      <c r="C447" s="3" t="str">
        <f>IFERROR(INDEX(Movimientos!$D$2:$D$1998,MATCH(A447&amp;"ENTRADA",Movimientos!$R$2:$R$1998,0)),"-")</f>
        <v>-</v>
      </c>
      <c r="D447" s="3" t="str">
        <f>IFERROR(INDEX(Movimientos!$E$2:$E$1998,MATCH(A447&amp;"ENTRADA",Movimientos!$R$2:$R$1998,0)),"-")</f>
        <v>-</v>
      </c>
      <c r="E447" s="3" t="str">
        <f>IFERROR(INDEX(Movimientos!$F$2:$F$1998,MATCH(A447&amp;"ENTRADA",Movimientos!$R$2:$R$1998,0)),"-")</f>
        <v>-</v>
      </c>
      <c r="F447" s="3" t="str">
        <f>IFERROR(INDEX(Movimientos!$G$2:$G$1998,MATCH(A447&amp;"ENTRADA",Movimientos!$R$2:$R$1998,0)),"-")</f>
        <v>-</v>
      </c>
      <c r="G447" s="3" t="str">
        <f>IFERROR(INDEX(Movimientos!$L$2:$L$1998,MATCH(A447&amp;"ENTRADA",Movimientos!$R$2:$R$1998,0)),"-")</f>
        <v>-</v>
      </c>
      <c r="H447" s="19" t="str">
        <f>IFERROR(IF(INDEX(Movimientos!$M$2:$M$1998,MATCH(A447&amp;"ENTRADA",Movimientos!$R$2:$R$1998,0))=0,"S/D",INDEX(Movimientos!$M$2:$M$1998,MATCH(A447&amp;"ENTRADA",Movimientos!$R$2:$R$1998,0))),"S/D")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3"/>
        <v>SIN STOCK</v>
      </c>
    </row>
    <row r="448" spans="1:11" ht="14.25">
      <c r="A448" s="18" t="s">
        <v>2591</v>
      </c>
      <c r="B448" s="3" t="str">
        <f>IFERROR(INDEX(Movimientos!$C$2:$C$1998,MATCH(A448&amp;"ENTRADA",Movimientos!$R$2:$R$1998,0)),"-")</f>
        <v>-</v>
      </c>
      <c r="C448" s="3" t="str">
        <f>IFERROR(INDEX(Movimientos!$D$2:$D$1998,MATCH(A448&amp;"ENTRADA",Movimientos!$R$2:$R$1998,0)),"-")</f>
        <v>-</v>
      </c>
      <c r="D448" s="3" t="str">
        <f>IFERROR(INDEX(Movimientos!$E$2:$E$1998,MATCH(A448&amp;"ENTRADA",Movimientos!$R$2:$R$1998,0)),"-")</f>
        <v>-</v>
      </c>
      <c r="E448" s="3" t="str">
        <f>IFERROR(INDEX(Movimientos!$F$2:$F$1998,MATCH(A448&amp;"ENTRADA",Movimientos!$R$2:$R$1998,0)),"-")</f>
        <v>-</v>
      </c>
      <c r="F448" s="3" t="str">
        <f>IFERROR(INDEX(Movimientos!$G$2:$G$1998,MATCH(A448&amp;"ENTRADA",Movimientos!$R$2:$R$1998,0)),"-")</f>
        <v>-</v>
      </c>
      <c r="G448" s="3" t="str">
        <f>IFERROR(INDEX(Movimientos!$L$2:$L$1998,MATCH(A448&amp;"ENTRADA",Movimientos!$R$2:$R$1998,0)),"-")</f>
        <v>-</v>
      </c>
      <c r="H448" s="19" t="str">
        <f>IFERROR(IF(INDEX(Movimientos!$M$2:$M$1998,MATCH(A448&amp;"ENTRADA",Movimientos!$R$2:$R$1998,0))=0,"S/D",INDEX(Movimientos!$M$2:$M$1998,MATCH(A448&amp;"ENTRADA",Movimientos!$R$2:$R$1998,0))),"S/D")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ref="K448:K511" ca="1" si="15">IF(A448="","",IF(J448&lt;0.01,"SIN STOCK",IF(H448="S/D","OK",IF(H448&lt;TODAY(),"VENCIDO",IF(I448&gt;=180,"OK","PRÓXIMO A VENCER")))))</f>
        <v>SIN STOCK</v>
      </c>
    </row>
    <row r="449" spans="1:11" ht="14.25">
      <c r="A449" s="18" t="s">
        <v>2592</v>
      </c>
      <c r="B449" s="3" t="str">
        <f>IFERROR(INDEX(Movimientos!$C$2:$C$1998,MATCH(A449&amp;"ENTRADA",Movimientos!$R$2:$R$1998,0)),"-")</f>
        <v>-</v>
      </c>
      <c r="C449" s="3" t="str">
        <f>IFERROR(INDEX(Movimientos!$D$2:$D$1998,MATCH(A449&amp;"ENTRADA",Movimientos!$R$2:$R$1998,0)),"-")</f>
        <v>-</v>
      </c>
      <c r="D449" s="3" t="str">
        <f>IFERROR(INDEX(Movimientos!$E$2:$E$1998,MATCH(A449&amp;"ENTRADA",Movimientos!$R$2:$R$1998,0)),"-")</f>
        <v>-</v>
      </c>
      <c r="E449" s="3" t="str">
        <f>IFERROR(INDEX(Movimientos!$F$2:$F$1998,MATCH(A449&amp;"ENTRADA",Movimientos!$R$2:$R$1998,0)),"-")</f>
        <v>-</v>
      </c>
      <c r="F449" s="3" t="str">
        <f>IFERROR(INDEX(Movimientos!$G$2:$G$1998,MATCH(A449&amp;"ENTRADA",Movimientos!$R$2:$R$1998,0)),"-")</f>
        <v>-</v>
      </c>
      <c r="G449" s="3" t="str">
        <f>IFERROR(INDEX(Movimientos!$L$2:$L$1998,MATCH(A449&amp;"ENTRADA",Movimientos!$R$2:$R$1998,0)),"-")</f>
        <v>-</v>
      </c>
      <c r="H449" s="19" t="str">
        <f>IFERROR(IF(INDEX(Movimientos!$M$2:$M$1998,MATCH(A449&amp;"ENTRADA",Movimientos!$R$2:$R$1998,0))=0,"S/D",INDEX(Movimientos!$M$2:$M$1998,MATCH(A449&amp;"ENTRADA",Movimientos!$R$2:$R$1998,0))),"S/D")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SIN STOCK</v>
      </c>
    </row>
    <row r="450" spans="1:11" ht="14.25">
      <c r="A450" s="18" t="s">
        <v>2593</v>
      </c>
      <c r="B450" s="3" t="str">
        <f>IFERROR(INDEX(Movimientos!$C$2:$C$1998,MATCH(A450&amp;"ENTRADA",Movimientos!$R$2:$R$1998,0)),"-")</f>
        <v>-</v>
      </c>
      <c r="C450" s="3" t="str">
        <f>IFERROR(INDEX(Movimientos!$D$2:$D$1998,MATCH(A450&amp;"ENTRADA",Movimientos!$R$2:$R$1998,0)),"-")</f>
        <v>-</v>
      </c>
      <c r="D450" s="3" t="str">
        <f>IFERROR(INDEX(Movimientos!$E$2:$E$1998,MATCH(A450&amp;"ENTRADA",Movimientos!$R$2:$R$1998,0)),"-")</f>
        <v>-</v>
      </c>
      <c r="E450" s="3" t="str">
        <f>IFERROR(INDEX(Movimientos!$F$2:$F$1998,MATCH(A450&amp;"ENTRADA",Movimientos!$R$2:$R$1998,0)),"-")</f>
        <v>-</v>
      </c>
      <c r="F450" s="3" t="str">
        <f>IFERROR(INDEX(Movimientos!$G$2:$G$1998,MATCH(A450&amp;"ENTRADA",Movimientos!$R$2:$R$1998,0)),"-")</f>
        <v>-</v>
      </c>
      <c r="G450" s="3" t="str">
        <f>IFERROR(INDEX(Movimientos!$L$2:$L$1998,MATCH(A450&amp;"ENTRADA",Movimientos!$R$2:$R$1998,0)),"-")</f>
        <v>-</v>
      </c>
      <c r="H450" s="19" t="str">
        <f>IFERROR(IF(INDEX(Movimientos!$M$2:$M$1998,MATCH(A450&amp;"ENTRADA",Movimientos!$R$2:$R$1998,0))=0,"S/D",INDEX(Movimientos!$M$2:$M$1998,MATCH(A450&amp;"ENTRADA",Movimientos!$R$2:$R$1998,0))),"S/D")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SIN STOCK</v>
      </c>
    </row>
    <row r="451" spans="1:11" ht="14.25">
      <c r="A451" s="18" t="s">
        <v>2594</v>
      </c>
      <c r="B451" s="3" t="str">
        <f>IFERROR(INDEX(Movimientos!$C$2:$C$1998,MATCH(A451&amp;"ENTRADA",Movimientos!$R$2:$R$1998,0)),"-")</f>
        <v>-</v>
      </c>
      <c r="C451" s="3" t="str">
        <f>IFERROR(INDEX(Movimientos!$D$2:$D$1998,MATCH(A451&amp;"ENTRADA",Movimientos!$R$2:$R$1998,0)),"-")</f>
        <v>-</v>
      </c>
      <c r="D451" s="3" t="str">
        <f>IFERROR(INDEX(Movimientos!$E$2:$E$1998,MATCH(A451&amp;"ENTRADA",Movimientos!$R$2:$R$1998,0)),"-")</f>
        <v>-</v>
      </c>
      <c r="E451" s="3" t="str">
        <f>IFERROR(INDEX(Movimientos!$F$2:$F$1998,MATCH(A451&amp;"ENTRADA",Movimientos!$R$2:$R$1998,0)),"-")</f>
        <v>-</v>
      </c>
      <c r="F451" s="3" t="str">
        <f>IFERROR(INDEX(Movimientos!$G$2:$G$1998,MATCH(A451&amp;"ENTRADA",Movimientos!$R$2:$R$1998,0)),"-")</f>
        <v>-</v>
      </c>
      <c r="G451" s="3" t="str">
        <f>IFERROR(INDEX(Movimientos!$L$2:$L$1998,MATCH(A451&amp;"ENTRADA",Movimientos!$R$2:$R$1998,0)),"-")</f>
        <v>-</v>
      </c>
      <c r="H451" s="19" t="str">
        <f>IFERROR(IF(INDEX(Movimientos!$M$2:$M$1998,MATCH(A451&amp;"ENTRADA",Movimientos!$R$2:$R$1998,0))=0,"S/D",INDEX(Movimientos!$M$2:$M$1998,MATCH(A451&amp;"ENTRADA",Movimientos!$R$2:$R$1998,0))),"S/D")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SIN STOCK</v>
      </c>
    </row>
    <row r="452" spans="1:11" ht="14.25">
      <c r="A452" s="18" t="s">
        <v>2595</v>
      </c>
      <c r="B452" s="3" t="str">
        <f>IFERROR(INDEX(Movimientos!$C$2:$C$1998,MATCH(A452&amp;"ENTRADA",Movimientos!$R$2:$R$1998,0)),"-")</f>
        <v>-</v>
      </c>
      <c r="C452" s="3" t="str">
        <f>IFERROR(INDEX(Movimientos!$D$2:$D$1998,MATCH(A452&amp;"ENTRADA",Movimientos!$R$2:$R$1998,0)),"-")</f>
        <v>-</v>
      </c>
      <c r="D452" s="3" t="str">
        <f>IFERROR(INDEX(Movimientos!$E$2:$E$1998,MATCH(A452&amp;"ENTRADA",Movimientos!$R$2:$R$1998,0)),"-")</f>
        <v>-</v>
      </c>
      <c r="E452" s="3" t="str">
        <f>IFERROR(INDEX(Movimientos!$F$2:$F$1998,MATCH(A452&amp;"ENTRADA",Movimientos!$R$2:$R$1998,0)),"-")</f>
        <v>-</v>
      </c>
      <c r="F452" s="3" t="str">
        <f>IFERROR(INDEX(Movimientos!$G$2:$G$1998,MATCH(A452&amp;"ENTRADA",Movimientos!$R$2:$R$1998,0)),"-")</f>
        <v>-</v>
      </c>
      <c r="G452" s="3" t="str">
        <f>IFERROR(INDEX(Movimientos!$L$2:$L$1998,MATCH(A452&amp;"ENTRADA",Movimientos!$R$2:$R$1998,0)),"-")</f>
        <v>-</v>
      </c>
      <c r="H452" s="19" t="str">
        <f>IFERROR(IF(INDEX(Movimientos!$M$2:$M$1998,MATCH(A452&amp;"ENTRADA",Movimientos!$R$2:$R$1998,0))=0,"S/D",INDEX(Movimientos!$M$2:$M$1998,MATCH(A452&amp;"ENTRADA",Movimientos!$R$2:$R$1998,0))),"S/D")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SIN STOCK</v>
      </c>
    </row>
    <row r="453" spans="1:11" ht="14.25">
      <c r="A453" s="18" t="s">
        <v>2596</v>
      </c>
      <c r="B453" s="3" t="str">
        <f>IFERROR(INDEX(Movimientos!$C$2:$C$1998,MATCH(A453&amp;"ENTRADA",Movimientos!$R$2:$R$1998,0)),"-")</f>
        <v>-</v>
      </c>
      <c r="C453" s="3" t="str">
        <f>IFERROR(INDEX(Movimientos!$D$2:$D$1998,MATCH(A453&amp;"ENTRADA",Movimientos!$R$2:$R$1998,0)),"-")</f>
        <v>-</v>
      </c>
      <c r="D453" s="3" t="str">
        <f>IFERROR(INDEX(Movimientos!$E$2:$E$1998,MATCH(A453&amp;"ENTRADA",Movimientos!$R$2:$R$1998,0)),"-")</f>
        <v>-</v>
      </c>
      <c r="E453" s="3" t="str">
        <f>IFERROR(INDEX(Movimientos!$F$2:$F$1998,MATCH(A453&amp;"ENTRADA",Movimientos!$R$2:$R$1998,0)),"-")</f>
        <v>-</v>
      </c>
      <c r="F453" s="3" t="str">
        <f>IFERROR(INDEX(Movimientos!$G$2:$G$1998,MATCH(A453&amp;"ENTRADA",Movimientos!$R$2:$R$1998,0)),"-")</f>
        <v>-</v>
      </c>
      <c r="G453" s="3" t="str">
        <f>IFERROR(INDEX(Movimientos!$L$2:$L$1998,MATCH(A453&amp;"ENTRADA",Movimientos!$R$2:$R$1998,0)),"-")</f>
        <v>-</v>
      </c>
      <c r="H453" s="19" t="str">
        <f>IFERROR(IF(INDEX(Movimientos!$M$2:$M$1998,MATCH(A453&amp;"ENTRADA",Movimientos!$R$2:$R$1998,0))=0,"S/D",INDEX(Movimientos!$M$2:$M$1998,MATCH(A453&amp;"ENTRADA",Movimientos!$R$2:$R$1998,0))),"S/D")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SIN STOCK</v>
      </c>
    </row>
    <row r="454" spans="1:11" ht="14.25">
      <c r="A454" s="18" t="s">
        <v>2597</v>
      </c>
      <c r="B454" s="3" t="str">
        <f>IFERROR(INDEX(Movimientos!$C$2:$C$1998,MATCH(A454&amp;"ENTRADA",Movimientos!$R$2:$R$1998,0)),"-")</f>
        <v>-</v>
      </c>
      <c r="C454" s="3" t="str">
        <f>IFERROR(INDEX(Movimientos!$D$2:$D$1998,MATCH(A454&amp;"ENTRADA",Movimientos!$R$2:$R$1998,0)),"-")</f>
        <v>-</v>
      </c>
      <c r="D454" s="3" t="str">
        <f>IFERROR(INDEX(Movimientos!$E$2:$E$1998,MATCH(A454&amp;"ENTRADA",Movimientos!$R$2:$R$1998,0)),"-")</f>
        <v>-</v>
      </c>
      <c r="E454" s="3" t="str">
        <f>IFERROR(INDEX(Movimientos!$F$2:$F$1998,MATCH(A454&amp;"ENTRADA",Movimientos!$R$2:$R$1998,0)),"-")</f>
        <v>-</v>
      </c>
      <c r="F454" s="3" t="str">
        <f>IFERROR(INDEX(Movimientos!$G$2:$G$1998,MATCH(A454&amp;"ENTRADA",Movimientos!$R$2:$R$1998,0)),"-")</f>
        <v>-</v>
      </c>
      <c r="G454" s="3" t="str">
        <f>IFERROR(INDEX(Movimientos!$L$2:$L$1998,MATCH(A454&amp;"ENTRADA",Movimientos!$R$2:$R$1998,0)),"-")</f>
        <v>-</v>
      </c>
      <c r="H454" s="19" t="str">
        <f>IFERROR(IF(INDEX(Movimientos!$M$2:$M$1998,MATCH(A454&amp;"ENTRADA",Movimientos!$R$2:$R$1998,0))=0,"S/D",INDEX(Movimientos!$M$2:$M$1998,MATCH(A454&amp;"ENTRADA",Movimientos!$R$2:$R$1998,0))),"S/D")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SIN STOCK</v>
      </c>
    </row>
    <row r="455" spans="1:11" ht="14.25">
      <c r="A455" s="18" t="s">
        <v>2598</v>
      </c>
      <c r="B455" s="3" t="str">
        <f>IFERROR(INDEX(Movimientos!$C$2:$C$1998,MATCH(A455&amp;"ENTRADA",Movimientos!$R$2:$R$1998,0)),"-")</f>
        <v>-</v>
      </c>
      <c r="C455" s="3" t="str">
        <f>IFERROR(INDEX(Movimientos!$D$2:$D$1998,MATCH(A455&amp;"ENTRADA",Movimientos!$R$2:$R$1998,0)),"-")</f>
        <v>-</v>
      </c>
      <c r="D455" s="3" t="str">
        <f>IFERROR(INDEX(Movimientos!$E$2:$E$1998,MATCH(A455&amp;"ENTRADA",Movimientos!$R$2:$R$1998,0)),"-")</f>
        <v>-</v>
      </c>
      <c r="E455" s="3" t="str">
        <f>IFERROR(INDEX(Movimientos!$F$2:$F$1998,MATCH(A455&amp;"ENTRADA",Movimientos!$R$2:$R$1998,0)),"-")</f>
        <v>-</v>
      </c>
      <c r="F455" s="3" t="str">
        <f>IFERROR(INDEX(Movimientos!$G$2:$G$1998,MATCH(A455&amp;"ENTRADA",Movimientos!$R$2:$R$1998,0)),"-")</f>
        <v>-</v>
      </c>
      <c r="G455" s="3" t="str">
        <f>IFERROR(INDEX(Movimientos!$L$2:$L$1998,MATCH(A455&amp;"ENTRADA",Movimientos!$R$2:$R$1998,0)),"-")</f>
        <v>-</v>
      </c>
      <c r="H455" s="19" t="str">
        <f>IFERROR(IF(INDEX(Movimientos!$M$2:$M$1998,MATCH(A455&amp;"ENTRADA",Movimientos!$R$2:$R$1998,0))=0,"S/D",INDEX(Movimientos!$M$2:$M$1998,MATCH(A455&amp;"ENTRADA",Movimientos!$R$2:$R$1998,0))),"S/D")</f>
        <v>S/D</v>
      </c>
      <c r="I455" s="16" t="str">
        <f t="shared" ref="I455:I518" ca="1" si="16">IF(OR(A455="",H455="S/D"),"S/D",H455-TODAY())</f>
        <v>S/D</v>
      </c>
      <c r="J455" s="6">
        <f>IF(A455="","",SUMIFS(Movimientos!$K:$K,Movimientos!$H:$H,A455))</f>
        <v>0</v>
      </c>
      <c r="K455" s="14" t="str">
        <f t="shared" ca="1" si="15"/>
        <v>SIN STOCK</v>
      </c>
    </row>
    <row r="456" spans="1:11" ht="14.25">
      <c r="A456" s="18" t="s">
        <v>2599</v>
      </c>
      <c r="B456" s="3" t="str">
        <f>IFERROR(INDEX(Movimientos!$C$2:$C$1998,MATCH(A456&amp;"ENTRADA",Movimientos!$R$2:$R$1998,0)),"-")</f>
        <v>-</v>
      </c>
      <c r="C456" s="3" t="str">
        <f>IFERROR(INDEX(Movimientos!$D$2:$D$1998,MATCH(A456&amp;"ENTRADA",Movimientos!$R$2:$R$1998,0)),"-")</f>
        <v>-</v>
      </c>
      <c r="D456" s="3" t="str">
        <f>IFERROR(INDEX(Movimientos!$E$2:$E$1998,MATCH(A456&amp;"ENTRADA",Movimientos!$R$2:$R$1998,0)),"-")</f>
        <v>-</v>
      </c>
      <c r="E456" s="3" t="str">
        <f>IFERROR(INDEX(Movimientos!$F$2:$F$1998,MATCH(A456&amp;"ENTRADA",Movimientos!$R$2:$R$1998,0)),"-")</f>
        <v>-</v>
      </c>
      <c r="F456" s="3" t="str">
        <f>IFERROR(INDEX(Movimientos!$G$2:$G$1998,MATCH(A456&amp;"ENTRADA",Movimientos!$R$2:$R$1998,0)),"-")</f>
        <v>-</v>
      </c>
      <c r="G456" s="3" t="str">
        <f>IFERROR(INDEX(Movimientos!$L$2:$L$1998,MATCH(A456&amp;"ENTRADA",Movimientos!$R$2:$R$1998,0)),"-")</f>
        <v>-</v>
      </c>
      <c r="H456" s="19" t="str">
        <f>IFERROR(IF(INDEX(Movimientos!$M$2:$M$1998,MATCH(A456&amp;"ENTRADA",Movimientos!$R$2:$R$1998,0))=0,"S/D",INDEX(Movimientos!$M$2:$M$1998,MATCH(A456&amp;"ENTRADA",Movimientos!$R$2:$R$1998,0))),"S/D")</f>
        <v>S/D</v>
      </c>
      <c r="I456" s="16" t="str">
        <f t="shared" ca="1" si="16"/>
        <v>S/D</v>
      </c>
      <c r="J456" s="6">
        <f>IF(A456="","",SUMIFS(Movimientos!$K:$K,Movimientos!$H:$H,A456))</f>
        <v>0</v>
      </c>
      <c r="K456" s="14" t="str">
        <f t="shared" ca="1" si="15"/>
        <v>SIN STOCK</v>
      </c>
    </row>
    <row r="457" spans="1:11" ht="14.25">
      <c r="A457" s="18" t="s">
        <v>2600</v>
      </c>
      <c r="B457" s="3" t="str">
        <f>IFERROR(INDEX(Movimientos!$C$2:$C$1998,MATCH(A457&amp;"ENTRADA",Movimientos!$R$2:$R$1998,0)),"-")</f>
        <v>-</v>
      </c>
      <c r="C457" s="3" t="str">
        <f>IFERROR(INDEX(Movimientos!$D$2:$D$1998,MATCH(A457&amp;"ENTRADA",Movimientos!$R$2:$R$1998,0)),"-")</f>
        <v>-</v>
      </c>
      <c r="D457" s="3" t="str">
        <f>IFERROR(INDEX(Movimientos!$E$2:$E$1998,MATCH(A457&amp;"ENTRADA",Movimientos!$R$2:$R$1998,0)),"-")</f>
        <v>-</v>
      </c>
      <c r="E457" s="3" t="str">
        <f>IFERROR(INDEX(Movimientos!$F$2:$F$1998,MATCH(A457&amp;"ENTRADA",Movimientos!$R$2:$R$1998,0)),"-")</f>
        <v>-</v>
      </c>
      <c r="F457" s="3" t="str">
        <f>IFERROR(INDEX(Movimientos!$G$2:$G$1998,MATCH(A457&amp;"ENTRADA",Movimientos!$R$2:$R$1998,0)),"-")</f>
        <v>-</v>
      </c>
      <c r="G457" s="3" t="str">
        <f>IFERROR(INDEX(Movimientos!$L$2:$L$1998,MATCH(A457&amp;"ENTRADA",Movimientos!$R$2:$R$1998,0)),"-")</f>
        <v>-</v>
      </c>
      <c r="H457" s="19" t="str">
        <f>IFERROR(IF(INDEX(Movimientos!$M$2:$M$1998,MATCH(A457&amp;"ENTRADA",Movimientos!$R$2:$R$1998,0))=0,"S/D",INDEX(Movimientos!$M$2:$M$1998,MATCH(A457&amp;"ENTRADA",Movimientos!$R$2:$R$1998,0))),"S/D")</f>
        <v>S/D</v>
      </c>
      <c r="I457" s="16" t="str">
        <f t="shared" ca="1" si="16"/>
        <v>S/D</v>
      </c>
      <c r="J457" s="6">
        <f>IF(A457="","",SUMIFS(Movimientos!$K:$K,Movimientos!$H:$H,A457))</f>
        <v>0</v>
      </c>
      <c r="K457" s="14" t="str">
        <f t="shared" ca="1" si="15"/>
        <v>SIN STOCK</v>
      </c>
    </row>
    <row r="458" spans="1:11" ht="14.25">
      <c r="A458" s="18" t="s">
        <v>2601</v>
      </c>
      <c r="B458" s="3" t="str">
        <f>IFERROR(INDEX(Movimientos!$C$2:$C$1998,MATCH(A458&amp;"ENTRADA",Movimientos!$R$2:$R$1998,0)),"-")</f>
        <v>-</v>
      </c>
      <c r="C458" s="3" t="str">
        <f>IFERROR(INDEX(Movimientos!$D$2:$D$1998,MATCH(A458&amp;"ENTRADA",Movimientos!$R$2:$R$1998,0)),"-")</f>
        <v>-</v>
      </c>
      <c r="D458" s="3" t="str">
        <f>IFERROR(INDEX(Movimientos!$E$2:$E$1998,MATCH(A458&amp;"ENTRADA",Movimientos!$R$2:$R$1998,0)),"-")</f>
        <v>-</v>
      </c>
      <c r="E458" s="3" t="str">
        <f>IFERROR(INDEX(Movimientos!$F$2:$F$1998,MATCH(A458&amp;"ENTRADA",Movimientos!$R$2:$R$1998,0)),"-")</f>
        <v>-</v>
      </c>
      <c r="F458" s="3" t="str">
        <f>IFERROR(INDEX(Movimientos!$G$2:$G$1998,MATCH(A458&amp;"ENTRADA",Movimientos!$R$2:$R$1998,0)),"-")</f>
        <v>-</v>
      </c>
      <c r="G458" s="3" t="str">
        <f>IFERROR(INDEX(Movimientos!$L$2:$L$1998,MATCH(A458&amp;"ENTRADA",Movimientos!$R$2:$R$1998,0)),"-")</f>
        <v>-</v>
      </c>
      <c r="H458" s="19" t="str">
        <f>IFERROR(IF(INDEX(Movimientos!$M$2:$M$1998,MATCH(A458&amp;"ENTRADA",Movimientos!$R$2:$R$1998,0))=0,"S/D",INDEX(Movimientos!$M$2:$M$1998,MATCH(A458&amp;"ENTRADA",Movimientos!$R$2:$R$1998,0))),"S/D")</f>
        <v>S/D</v>
      </c>
      <c r="I458" s="16" t="str">
        <f t="shared" ca="1" si="16"/>
        <v>S/D</v>
      </c>
      <c r="J458" s="6">
        <f>IF(A458="","",SUMIFS(Movimientos!$K:$K,Movimientos!$H:$H,A458))</f>
        <v>0</v>
      </c>
      <c r="K458" s="14" t="str">
        <f t="shared" ca="1" si="15"/>
        <v>SIN STOCK</v>
      </c>
    </row>
    <row r="459" spans="1:11" ht="14.25">
      <c r="A459" s="18" t="s">
        <v>2602</v>
      </c>
      <c r="B459" s="3" t="str">
        <f>IFERROR(INDEX(Movimientos!$C$2:$C$1998,MATCH(A459&amp;"ENTRADA",Movimientos!$R$2:$R$1998,0)),"-")</f>
        <v>-</v>
      </c>
      <c r="C459" s="3" t="str">
        <f>IFERROR(INDEX(Movimientos!$D$2:$D$1998,MATCH(A459&amp;"ENTRADA",Movimientos!$R$2:$R$1998,0)),"-")</f>
        <v>-</v>
      </c>
      <c r="D459" s="3" t="str">
        <f>IFERROR(INDEX(Movimientos!$E$2:$E$1998,MATCH(A459&amp;"ENTRADA",Movimientos!$R$2:$R$1998,0)),"-")</f>
        <v>-</v>
      </c>
      <c r="E459" s="3" t="str">
        <f>IFERROR(INDEX(Movimientos!$F$2:$F$1998,MATCH(A459&amp;"ENTRADA",Movimientos!$R$2:$R$1998,0)),"-")</f>
        <v>-</v>
      </c>
      <c r="F459" s="3" t="str">
        <f>IFERROR(INDEX(Movimientos!$G$2:$G$1998,MATCH(A459&amp;"ENTRADA",Movimientos!$R$2:$R$1998,0)),"-")</f>
        <v>-</v>
      </c>
      <c r="G459" s="3" t="str">
        <f>IFERROR(INDEX(Movimientos!$L$2:$L$1998,MATCH(A459&amp;"ENTRADA",Movimientos!$R$2:$R$1998,0)),"-")</f>
        <v>-</v>
      </c>
      <c r="H459" s="19" t="str">
        <f>IFERROR(IF(INDEX(Movimientos!$M$2:$M$1998,MATCH(A459&amp;"ENTRADA",Movimientos!$R$2:$R$1998,0))=0,"S/D",INDEX(Movimientos!$M$2:$M$1998,MATCH(A459&amp;"ENTRADA",Movimientos!$R$2:$R$1998,0))),"S/D")</f>
        <v>S/D</v>
      </c>
      <c r="I459" s="16" t="str">
        <f t="shared" ca="1" si="16"/>
        <v>S/D</v>
      </c>
      <c r="J459" s="6">
        <f>IF(A459="","",SUMIFS(Movimientos!$K:$K,Movimientos!$H:$H,A459))</f>
        <v>0</v>
      </c>
      <c r="K459" s="14" t="str">
        <f t="shared" ca="1" si="15"/>
        <v>SIN STOCK</v>
      </c>
    </row>
    <row r="460" spans="1:11" ht="14.25">
      <c r="A460" s="18" t="s">
        <v>2603</v>
      </c>
      <c r="B460" s="3" t="str">
        <f>IFERROR(INDEX(Movimientos!$C$2:$C$1998,MATCH(A460&amp;"ENTRADA",Movimientos!$R$2:$R$1998,0)),"-")</f>
        <v>-</v>
      </c>
      <c r="C460" s="3" t="str">
        <f>IFERROR(INDEX(Movimientos!$D$2:$D$1998,MATCH(A460&amp;"ENTRADA",Movimientos!$R$2:$R$1998,0)),"-")</f>
        <v>-</v>
      </c>
      <c r="D460" s="3" t="str">
        <f>IFERROR(INDEX(Movimientos!$E$2:$E$1998,MATCH(A460&amp;"ENTRADA",Movimientos!$R$2:$R$1998,0)),"-")</f>
        <v>-</v>
      </c>
      <c r="E460" s="3" t="str">
        <f>IFERROR(INDEX(Movimientos!$F$2:$F$1998,MATCH(A460&amp;"ENTRADA",Movimientos!$R$2:$R$1998,0)),"-")</f>
        <v>-</v>
      </c>
      <c r="F460" s="3" t="str">
        <f>IFERROR(INDEX(Movimientos!$G$2:$G$1998,MATCH(A460&amp;"ENTRADA",Movimientos!$R$2:$R$1998,0)),"-")</f>
        <v>-</v>
      </c>
      <c r="G460" s="3" t="str">
        <f>IFERROR(INDEX(Movimientos!$L$2:$L$1998,MATCH(A460&amp;"ENTRADA",Movimientos!$R$2:$R$1998,0)),"-")</f>
        <v>-</v>
      </c>
      <c r="H460" s="19" t="str">
        <f>IFERROR(IF(INDEX(Movimientos!$M$2:$M$1998,MATCH(A460&amp;"ENTRADA",Movimientos!$R$2:$R$1998,0))=0,"S/D",INDEX(Movimientos!$M$2:$M$1998,MATCH(A460&amp;"ENTRADA",Movimientos!$R$2:$R$1998,0))),"S/D")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5"/>
        <v>SIN STOCK</v>
      </c>
    </row>
    <row r="461" spans="1:11" ht="14.25">
      <c r="A461" s="18" t="s">
        <v>2604</v>
      </c>
      <c r="B461" s="3" t="str">
        <f>IFERROR(INDEX(Movimientos!$C$2:$C$1998,MATCH(A461&amp;"ENTRADA",Movimientos!$R$2:$R$1998,0)),"-")</f>
        <v>-</v>
      </c>
      <c r="C461" s="3" t="str">
        <f>IFERROR(INDEX(Movimientos!$D$2:$D$1998,MATCH(A461&amp;"ENTRADA",Movimientos!$R$2:$R$1998,0)),"-")</f>
        <v>-</v>
      </c>
      <c r="D461" s="3" t="str">
        <f>IFERROR(INDEX(Movimientos!$E$2:$E$1998,MATCH(A461&amp;"ENTRADA",Movimientos!$R$2:$R$1998,0)),"-")</f>
        <v>-</v>
      </c>
      <c r="E461" s="3" t="str">
        <f>IFERROR(INDEX(Movimientos!$F$2:$F$1998,MATCH(A461&amp;"ENTRADA",Movimientos!$R$2:$R$1998,0)),"-")</f>
        <v>-</v>
      </c>
      <c r="F461" s="3" t="str">
        <f>IFERROR(INDEX(Movimientos!$G$2:$G$1998,MATCH(A461&amp;"ENTRADA",Movimientos!$R$2:$R$1998,0)),"-")</f>
        <v>-</v>
      </c>
      <c r="G461" s="3" t="str">
        <f>IFERROR(INDEX(Movimientos!$L$2:$L$1998,MATCH(A461&amp;"ENTRADA",Movimientos!$R$2:$R$1998,0)),"-")</f>
        <v>-</v>
      </c>
      <c r="H461" s="19" t="str">
        <f>IFERROR(IF(INDEX(Movimientos!$M$2:$M$1998,MATCH(A461&amp;"ENTRADA",Movimientos!$R$2:$R$1998,0))=0,"S/D",INDEX(Movimientos!$M$2:$M$1998,MATCH(A461&amp;"ENTRADA",Movimientos!$R$2:$R$1998,0))),"S/D")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5"/>
        <v>SIN STOCK</v>
      </c>
    </row>
    <row r="462" spans="1:11" ht="14.25">
      <c r="A462" s="18" t="s">
        <v>2605</v>
      </c>
      <c r="B462" s="3" t="str">
        <f>IFERROR(INDEX(Movimientos!$C$2:$C$1998,MATCH(A462&amp;"ENTRADA",Movimientos!$R$2:$R$1998,0)),"-")</f>
        <v>-</v>
      </c>
      <c r="C462" s="3" t="str">
        <f>IFERROR(INDEX(Movimientos!$D$2:$D$1998,MATCH(A462&amp;"ENTRADA",Movimientos!$R$2:$R$1998,0)),"-")</f>
        <v>-</v>
      </c>
      <c r="D462" s="3" t="str">
        <f>IFERROR(INDEX(Movimientos!$E$2:$E$1998,MATCH(A462&amp;"ENTRADA",Movimientos!$R$2:$R$1998,0)),"-")</f>
        <v>-</v>
      </c>
      <c r="E462" s="3" t="str">
        <f>IFERROR(INDEX(Movimientos!$F$2:$F$1998,MATCH(A462&amp;"ENTRADA",Movimientos!$R$2:$R$1998,0)),"-")</f>
        <v>-</v>
      </c>
      <c r="F462" s="3" t="str">
        <f>IFERROR(INDEX(Movimientos!$G$2:$G$1998,MATCH(A462&amp;"ENTRADA",Movimientos!$R$2:$R$1998,0)),"-")</f>
        <v>-</v>
      </c>
      <c r="G462" s="3" t="str">
        <f>IFERROR(INDEX(Movimientos!$L$2:$L$1998,MATCH(A462&amp;"ENTRADA",Movimientos!$R$2:$R$1998,0)),"-")</f>
        <v>-</v>
      </c>
      <c r="H462" s="19" t="str">
        <f>IFERROR(IF(INDEX(Movimientos!$M$2:$M$1998,MATCH(A462&amp;"ENTRADA",Movimientos!$R$2:$R$1998,0))=0,"S/D",INDEX(Movimientos!$M$2:$M$1998,MATCH(A462&amp;"ENTRADA",Movimientos!$R$2:$R$1998,0))),"S/D")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5"/>
        <v>SIN STOCK</v>
      </c>
    </row>
    <row r="463" spans="1:11" ht="14.25">
      <c r="A463" s="18" t="s">
        <v>2606</v>
      </c>
      <c r="B463" s="3" t="str">
        <f>IFERROR(INDEX(Movimientos!$C$2:$C$1998,MATCH(A463&amp;"ENTRADA",Movimientos!$R$2:$R$1998,0)),"-")</f>
        <v>-</v>
      </c>
      <c r="C463" s="3" t="str">
        <f>IFERROR(INDEX(Movimientos!$D$2:$D$1998,MATCH(A463&amp;"ENTRADA",Movimientos!$R$2:$R$1998,0)),"-")</f>
        <v>-</v>
      </c>
      <c r="D463" s="3" t="str">
        <f>IFERROR(INDEX(Movimientos!$E$2:$E$1998,MATCH(A463&amp;"ENTRADA",Movimientos!$R$2:$R$1998,0)),"-")</f>
        <v>-</v>
      </c>
      <c r="E463" s="3" t="str">
        <f>IFERROR(INDEX(Movimientos!$F$2:$F$1998,MATCH(A463&amp;"ENTRADA",Movimientos!$R$2:$R$1998,0)),"-")</f>
        <v>-</v>
      </c>
      <c r="F463" s="3" t="str">
        <f>IFERROR(INDEX(Movimientos!$G$2:$G$1998,MATCH(A463&amp;"ENTRADA",Movimientos!$R$2:$R$1998,0)),"-")</f>
        <v>-</v>
      </c>
      <c r="G463" s="3" t="str">
        <f>IFERROR(INDEX(Movimientos!$L$2:$L$1998,MATCH(A463&amp;"ENTRADA",Movimientos!$R$2:$R$1998,0)),"-")</f>
        <v>-</v>
      </c>
      <c r="H463" s="19" t="str">
        <f>IFERROR(IF(INDEX(Movimientos!$M$2:$M$1998,MATCH(A463&amp;"ENTRADA",Movimientos!$R$2:$R$1998,0))=0,"S/D",INDEX(Movimientos!$M$2:$M$1998,MATCH(A463&amp;"ENTRADA",Movimientos!$R$2:$R$1998,0))),"S/D")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5"/>
        <v>SIN STOCK</v>
      </c>
    </row>
    <row r="464" spans="1:11" ht="14.25">
      <c r="A464" s="18" t="s">
        <v>2607</v>
      </c>
      <c r="B464" s="3" t="str">
        <f>IFERROR(INDEX(Movimientos!$C$2:$C$1998,MATCH(A464&amp;"ENTRADA",Movimientos!$R$2:$R$1998,0)),"-")</f>
        <v>-</v>
      </c>
      <c r="C464" s="3" t="str">
        <f>IFERROR(INDEX(Movimientos!$D$2:$D$1998,MATCH(A464&amp;"ENTRADA",Movimientos!$R$2:$R$1998,0)),"-")</f>
        <v>-</v>
      </c>
      <c r="D464" s="3" t="str">
        <f>IFERROR(INDEX(Movimientos!$E$2:$E$1998,MATCH(A464&amp;"ENTRADA",Movimientos!$R$2:$R$1998,0)),"-")</f>
        <v>-</v>
      </c>
      <c r="E464" s="3" t="str">
        <f>IFERROR(INDEX(Movimientos!$F$2:$F$1998,MATCH(A464&amp;"ENTRADA",Movimientos!$R$2:$R$1998,0)),"-")</f>
        <v>-</v>
      </c>
      <c r="F464" s="3" t="str">
        <f>IFERROR(INDEX(Movimientos!$G$2:$G$1998,MATCH(A464&amp;"ENTRADA",Movimientos!$R$2:$R$1998,0)),"-")</f>
        <v>-</v>
      </c>
      <c r="G464" s="3" t="str">
        <f>IFERROR(INDEX(Movimientos!$L$2:$L$1998,MATCH(A464&amp;"ENTRADA",Movimientos!$R$2:$R$1998,0)),"-")</f>
        <v>-</v>
      </c>
      <c r="H464" s="19" t="str">
        <f>IFERROR(IF(INDEX(Movimientos!$M$2:$M$1998,MATCH(A464&amp;"ENTRADA",Movimientos!$R$2:$R$1998,0))=0,"S/D",INDEX(Movimientos!$M$2:$M$1998,MATCH(A464&amp;"ENTRADA",Movimientos!$R$2:$R$1998,0))),"S/D")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5"/>
        <v>SIN STOCK</v>
      </c>
    </row>
    <row r="465" spans="1:11" ht="14.25">
      <c r="A465" s="18" t="s">
        <v>2608</v>
      </c>
      <c r="B465" s="3" t="str">
        <f>IFERROR(INDEX(Movimientos!$C$2:$C$1998,MATCH(A465&amp;"ENTRADA",Movimientos!$R$2:$R$1998,0)),"-")</f>
        <v>-</v>
      </c>
      <c r="C465" s="3" t="str">
        <f>IFERROR(INDEX(Movimientos!$D$2:$D$1998,MATCH(A465&amp;"ENTRADA",Movimientos!$R$2:$R$1998,0)),"-")</f>
        <v>-</v>
      </c>
      <c r="D465" s="3" t="str">
        <f>IFERROR(INDEX(Movimientos!$E$2:$E$1998,MATCH(A465&amp;"ENTRADA",Movimientos!$R$2:$R$1998,0)),"-")</f>
        <v>-</v>
      </c>
      <c r="E465" s="3" t="str">
        <f>IFERROR(INDEX(Movimientos!$F$2:$F$1998,MATCH(A465&amp;"ENTRADA",Movimientos!$R$2:$R$1998,0)),"-")</f>
        <v>-</v>
      </c>
      <c r="F465" s="3" t="str">
        <f>IFERROR(INDEX(Movimientos!$G$2:$G$1998,MATCH(A465&amp;"ENTRADA",Movimientos!$R$2:$R$1998,0)),"-")</f>
        <v>-</v>
      </c>
      <c r="G465" s="3" t="str">
        <f>IFERROR(INDEX(Movimientos!$L$2:$L$1998,MATCH(A465&amp;"ENTRADA",Movimientos!$R$2:$R$1998,0)),"-")</f>
        <v>-</v>
      </c>
      <c r="H465" s="19" t="str">
        <f>IFERROR(IF(INDEX(Movimientos!$M$2:$M$1998,MATCH(A465&amp;"ENTRADA",Movimientos!$R$2:$R$1998,0))=0,"S/D",INDEX(Movimientos!$M$2:$M$1998,MATCH(A465&amp;"ENTRADA",Movimientos!$R$2:$R$1998,0))),"S/D")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5"/>
        <v>SIN STOCK</v>
      </c>
    </row>
    <row r="466" spans="1:11" ht="14.25">
      <c r="A466" s="18" t="s">
        <v>2609</v>
      </c>
      <c r="B466" s="3" t="str">
        <f>IFERROR(INDEX(Movimientos!$C$2:$C$1998,MATCH(A466&amp;"ENTRADA",Movimientos!$R$2:$R$1998,0)),"-")</f>
        <v>-</v>
      </c>
      <c r="C466" s="3" t="str">
        <f>IFERROR(INDEX(Movimientos!$D$2:$D$1998,MATCH(A466&amp;"ENTRADA",Movimientos!$R$2:$R$1998,0)),"-")</f>
        <v>-</v>
      </c>
      <c r="D466" s="3" t="str">
        <f>IFERROR(INDEX(Movimientos!$E$2:$E$1998,MATCH(A466&amp;"ENTRADA",Movimientos!$R$2:$R$1998,0)),"-")</f>
        <v>-</v>
      </c>
      <c r="E466" s="3" t="str">
        <f>IFERROR(INDEX(Movimientos!$F$2:$F$1998,MATCH(A466&amp;"ENTRADA",Movimientos!$R$2:$R$1998,0)),"-")</f>
        <v>-</v>
      </c>
      <c r="F466" s="3" t="str">
        <f>IFERROR(INDEX(Movimientos!$G$2:$G$1998,MATCH(A466&amp;"ENTRADA",Movimientos!$R$2:$R$1998,0)),"-")</f>
        <v>-</v>
      </c>
      <c r="G466" s="3" t="str">
        <f>IFERROR(INDEX(Movimientos!$L$2:$L$1998,MATCH(A466&amp;"ENTRADA",Movimientos!$R$2:$R$1998,0)),"-")</f>
        <v>-</v>
      </c>
      <c r="H466" s="19" t="str">
        <f>IFERROR(IF(INDEX(Movimientos!$M$2:$M$1998,MATCH(A466&amp;"ENTRADA",Movimientos!$R$2:$R$1998,0))=0,"S/D",INDEX(Movimientos!$M$2:$M$1998,MATCH(A466&amp;"ENTRADA",Movimientos!$R$2:$R$1998,0))),"S/D")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5"/>
        <v>SIN STOCK</v>
      </c>
    </row>
    <row r="467" spans="1:11" ht="14.25">
      <c r="A467" s="18" t="s">
        <v>2610</v>
      </c>
      <c r="B467" s="3" t="str">
        <f>IFERROR(INDEX(Movimientos!$C$2:$C$1998,MATCH(A467&amp;"ENTRADA",Movimientos!$R$2:$R$1998,0)),"-")</f>
        <v>-</v>
      </c>
      <c r="C467" s="3" t="str">
        <f>IFERROR(INDEX(Movimientos!$D$2:$D$1998,MATCH(A467&amp;"ENTRADA",Movimientos!$R$2:$R$1998,0)),"-")</f>
        <v>-</v>
      </c>
      <c r="D467" s="3" t="str">
        <f>IFERROR(INDEX(Movimientos!$E$2:$E$1998,MATCH(A467&amp;"ENTRADA",Movimientos!$R$2:$R$1998,0)),"-")</f>
        <v>-</v>
      </c>
      <c r="E467" s="3" t="str">
        <f>IFERROR(INDEX(Movimientos!$F$2:$F$1998,MATCH(A467&amp;"ENTRADA",Movimientos!$R$2:$R$1998,0)),"-")</f>
        <v>-</v>
      </c>
      <c r="F467" s="3" t="str">
        <f>IFERROR(INDEX(Movimientos!$G$2:$G$1998,MATCH(A467&amp;"ENTRADA",Movimientos!$R$2:$R$1998,0)),"-")</f>
        <v>-</v>
      </c>
      <c r="G467" s="3" t="str">
        <f>IFERROR(INDEX(Movimientos!$L$2:$L$1998,MATCH(A467&amp;"ENTRADA",Movimientos!$R$2:$R$1998,0)),"-")</f>
        <v>-</v>
      </c>
      <c r="H467" s="19" t="str">
        <f>IFERROR(IF(INDEX(Movimientos!$M$2:$M$1998,MATCH(A467&amp;"ENTRADA",Movimientos!$R$2:$R$1998,0))=0,"S/D",INDEX(Movimientos!$M$2:$M$1998,MATCH(A467&amp;"ENTRADA",Movimientos!$R$2:$R$1998,0))),"S/D")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5"/>
        <v>SIN STOCK</v>
      </c>
    </row>
    <row r="468" spans="1:11" ht="14.25">
      <c r="A468" s="18" t="s">
        <v>2611</v>
      </c>
      <c r="B468" s="3" t="str">
        <f>IFERROR(INDEX(Movimientos!$C$2:$C$1998,MATCH(A468&amp;"ENTRADA",Movimientos!$R$2:$R$1998,0)),"-")</f>
        <v>-</v>
      </c>
      <c r="C468" s="3" t="str">
        <f>IFERROR(INDEX(Movimientos!$D$2:$D$1998,MATCH(A468&amp;"ENTRADA",Movimientos!$R$2:$R$1998,0)),"-")</f>
        <v>-</v>
      </c>
      <c r="D468" s="3" t="str">
        <f>IFERROR(INDEX(Movimientos!$E$2:$E$1998,MATCH(A468&amp;"ENTRADA",Movimientos!$R$2:$R$1998,0)),"-")</f>
        <v>-</v>
      </c>
      <c r="E468" s="3" t="str">
        <f>IFERROR(INDEX(Movimientos!$F$2:$F$1998,MATCH(A468&amp;"ENTRADA",Movimientos!$R$2:$R$1998,0)),"-")</f>
        <v>-</v>
      </c>
      <c r="F468" s="3" t="str">
        <f>IFERROR(INDEX(Movimientos!$G$2:$G$1998,MATCH(A468&amp;"ENTRADA",Movimientos!$R$2:$R$1998,0)),"-")</f>
        <v>-</v>
      </c>
      <c r="G468" s="3" t="str">
        <f>IFERROR(INDEX(Movimientos!$L$2:$L$1998,MATCH(A468&amp;"ENTRADA",Movimientos!$R$2:$R$1998,0)),"-")</f>
        <v>-</v>
      </c>
      <c r="H468" s="19" t="str">
        <f>IFERROR(IF(INDEX(Movimientos!$M$2:$M$1998,MATCH(A468&amp;"ENTRADA",Movimientos!$R$2:$R$1998,0))=0,"S/D",INDEX(Movimientos!$M$2:$M$1998,MATCH(A468&amp;"ENTRADA",Movimientos!$R$2:$R$1998,0))),"S/D")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5"/>
        <v>SIN STOCK</v>
      </c>
    </row>
    <row r="469" spans="1:11" ht="14.25">
      <c r="A469" s="18" t="s">
        <v>2612</v>
      </c>
      <c r="B469" s="3" t="str">
        <f>IFERROR(INDEX(Movimientos!$C$2:$C$1998,MATCH(A469&amp;"ENTRADA",Movimientos!$R$2:$R$1998,0)),"-")</f>
        <v>-</v>
      </c>
      <c r="C469" s="3" t="str">
        <f>IFERROR(INDEX(Movimientos!$D$2:$D$1998,MATCH(A469&amp;"ENTRADA",Movimientos!$R$2:$R$1998,0)),"-")</f>
        <v>-</v>
      </c>
      <c r="D469" s="3" t="str">
        <f>IFERROR(INDEX(Movimientos!$E$2:$E$1998,MATCH(A469&amp;"ENTRADA",Movimientos!$R$2:$R$1998,0)),"-")</f>
        <v>-</v>
      </c>
      <c r="E469" s="3" t="str">
        <f>IFERROR(INDEX(Movimientos!$F$2:$F$1998,MATCH(A469&amp;"ENTRADA",Movimientos!$R$2:$R$1998,0)),"-")</f>
        <v>-</v>
      </c>
      <c r="F469" s="3" t="str">
        <f>IFERROR(INDEX(Movimientos!$G$2:$G$1998,MATCH(A469&amp;"ENTRADA",Movimientos!$R$2:$R$1998,0)),"-")</f>
        <v>-</v>
      </c>
      <c r="G469" s="3" t="str">
        <f>IFERROR(INDEX(Movimientos!$L$2:$L$1998,MATCH(A469&amp;"ENTRADA",Movimientos!$R$2:$R$1998,0)),"-")</f>
        <v>-</v>
      </c>
      <c r="H469" s="19" t="str">
        <f>IFERROR(IF(INDEX(Movimientos!$M$2:$M$1998,MATCH(A469&amp;"ENTRADA",Movimientos!$R$2:$R$1998,0))=0,"S/D",INDEX(Movimientos!$M$2:$M$1998,MATCH(A469&amp;"ENTRADA",Movimientos!$R$2:$R$1998,0))),"S/D")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5"/>
        <v>SIN STOCK</v>
      </c>
    </row>
    <row r="470" spans="1:11" ht="14.25">
      <c r="A470" s="18" t="s">
        <v>2613</v>
      </c>
      <c r="B470" s="3" t="str">
        <f>IFERROR(INDEX(Movimientos!$C$2:$C$1998,MATCH(A470&amp;"ENTRADA",Movimientos!$R$2:$R$1998,0)),"-")</f>
        <v>-</v>
      </c>
      <c r="C470" s="3" t="str">
        <f>IFERROR(INDEX(Movimientos!$D$2:$D$1998,MATCH(A470&amp;"ENTRADA",Movimientos!$R$2:$R$1998,0)),"-")</f>
        <v>-</v>
      </c>
      <c r="D470" s="3" t="str">
        <f>IFERROR(INDEX(Movimientos!$E$2:$E$1998,MATCH(A470&amp;"ENTRADA",Movimientos!$R$2:$R$1998,0)),"-")</f>
        <v>-</v>
      </c>
      <c r="E470" s="3" t="str">
        <f>IFERROR(INDEX(Movimientos!$F$2:$F$1998,MATCH(A470&amp;"ENTRADA",Movimientos!$R$2:$R$1998,0)),"-")</f>
        <v>-</v>
      </c>
      <c r="F470" s="3" t="str">
        <f>IFERROR(INDEX(Movimientos!$G$2:$G$1998,MATCH(A470&amp;"ENTRADA",Movimientos!$R$2:$R$1998,0)),"-")</f>
        <v>-</v>
      </c>
      <c r="G470" s="3" t="str">
        <f>IFERROR(INDEX(Movimientos!$L$2:$L$1998,MATCH(A470&amp;"ENTRADA",Movimientos!$R$2:$R$1998,0)),"-")</f>
        <v>-</v>
      </c>
      <c r="H470" s="19" t="str">
        <f>IFERROR(IF(INDEX(Movimientos!$M$2:$M$1998,MATCH(A470&amp;"ENTRADA",Movimientos!$R$2:$R$1998,0))=0,"S/D",INDEX(Movimientos!$M$2:$M$1998,MATCH(A470&amp;"ENTRADA",Movimientos!$R$2:$R$1998,0))),"S/D")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5"/>
        <v>SIN STOCK</v>
      </c>
    </row>
    <row r="471" spans="1:11" ht="14.25">
      <c r="A471" s="18" t="s">
        <v>2614</v>
      </c>
      <c r="B471" s="3" t="str">
        <f>IFERROR(INDEX(Movimientos!$C$2:$C$1998,MATCH(A471&amp;"ENTRADA",Movimientos!$R$2:$R$1998,0)),"-")</f>
        <v>-</v>
      </c>
      <c r="C471" s="3" t="str">
        <f>IFERROR(INDEX(Movimientos!$D$2:$D$1998,MATCH(A471&amp;"ENTRADA",Movimientos!$R$2:$R$1998,0)),"-")</f>
        <v>-</v>
      </c>
      <c r="D471" s="3" t="str">
        <f>IFERROR(INDEX(Movimientos!$E$2:$E$1998,MATCH(A471&amp;"ENTRADA",Movimientos!$R$2:$R$1998,0)),"-")</f>
        <v>-</v>
      </c>
      <c r="E471" s="3" t="str">
        <f>IFERROR(INDEX(Movimientos!$F$2:$F$1998,MATCH(A471&amp;"ENTRADA",Movimientos!$R$2:$R$1998,0)),"-")</f>
        <v>-</v>
      </c>
      <c r="F471" s="3" t="str">
        <f>IFERROR(INDEX(Movimientos!$G$2:$G$1998,MATCH(A471&amp;"ENTRADA",Movimientos!$R$2:$R$1998,0)),"-")</f>
        <v>-</v>
      </c>
      <c r="G471" s="3" t="str">
        <f>IFERROR(INDEX(Movimientos!$L$2:$L$1998,MATCH(A471&amp;"ENTRADA",Movimientos!$R$2:$R$1998,0)),"-")</f>
        <v>-</v>
      </c>
      <c r="H471" s="19" t="str">
        <f>IFERROR(IF(INDEX(Movimientos!$M$2:$M$1998,MATCH(A471&amp;"ENTRADA",Movimientos!$R$2:$R$1998,0))=0,"S/D",INDEX(Movimientos!$M$2:$M$1998,MATCH(A471&amp;"ENTRADA",Movimientos!$R$2:$R$1998,0))),"S/D")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5"/>
        <v>SIN STOCK</v>
      </c>
    </row>
    <row r="472" spans="1:11" ht="14.25">
      <c r="A472" s="18" t="s">
        <v>2615</v>
      </c>
      <c r="B472" s="3" t="str">
        <f>IFERROR(INDEX(Movimientos!$C$2:$C$1998,MATCH(A472&amp;"ENTRADA",Movimientos!$R$2:$R$1998,0)),"-")</f>
        <v>-</v>
      </c>
      <c r="C472" s="3" t="str">
        <f>IFERROR(INDEX(Movimientos!$D$2:$D$1998,MATCH(A472&amp;"ENTRADA",Movimientos!$R$2:$R$1998,0)),"-")</f>
        <v>-</v>
      </c>
      <c r="D472" s="3" t="str">
        <f>IFERROR(INDEX(Movimientos!$E$2:$E$1998,MATCH(A472&amp;"ENTRADA",Movimientos!$R$2:$R$1998,0)),"-")</f>
        <v>-</v>
      </c>
      <c r="E472" s="3" t="str">
        <f>IFERROR(INDEX(Movimientos!$F$2:$F$1998,MATCH(A472&amp;"ENTRADA",Movimientos!$R$2:$R$1998,0)),"-")</f>
        <v>-</v>
      </c>
      <c r="F472" s="3" t="str">
        <f>IFERROR(INDEX(Movimientos!$G$2:$G$1998,MATCH(A472&amp;"ENTRADA",Movimientos!$R$2:$R$1998,0)),"-")</f>
        <v>-</v>
      </c>
      <c r="G472" s="3" t="str">
        <f>IFERROR(INDEX(Movimientos!$L$2:$L$1998,MATCH(A472&amp;"ENTRADA",Movimientos!$R$2:$R$1998,0)),"-")</f>
        <v>-</v>
      </c>
      <c r="H472" s="19" t="str">
        <f>IFERROR(IF(INDEX(Movimientos!$M$2:$M$1998,MATCH(A472&amp;"ENTRADA",Movimientos!$R$2:$R$1998,0))=0,"S/D",INDEX(Movimientos!$M$2:$M$1998,MATCH(A472&amp;"ENTRADA",Movimientos!$R$2:$R$1998,0))),"S/D")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5"/>
        <v>SIN STOCK</v>
      </c>
    </row>
    <row r="473" spans="1:11" ht="14.25">
      <c r="A473" s="18" t="s">
        <v>2616</v>
      </c>
      <c r="B473" s="3" t="str">
        <f>IFERROR(INDEX(Movimientos!$C$2:$C$1998,MATCH(A473&amp;"ENTRADA",Movimientos!$R$2:$R$1998,0)),"-")</f>
        <v>-</v>
      </c>
      <c r="C473" s="3" t="str">
        <f>IFERROR(INDEX(Movimientos!$D$2:$D$1998,MATCH(A473&amp;"ENTRADA",Movimientos!$R$2:$R$1998,0)),"-")</f>
        <v>-</v>
      </c>
      <c r="D473" s="3" t="str">
        <f>IFERROR(INDEX(Movimientos!$E$2:$E$1998,MATCH(A473&amp;"ENTRADA",Movimientos!$R$2:$R$1998,0)),"-")</f>
        <v>-</v>
      </c>
      <c r="E473" s="3" t="str">
        <f>IFERROR(INDEX(Movimientos!$F$2:$F$1998,MATCH(A473&amp;"ENTRADA",Movimientos!$R$2:$R$1998,0)),"-")</f>
        <v>-</v>
      </c>
      <c r="F473" s="3" t="str">
        <f>IFERROR(INDEX(Movimientos!$G$2:$G$1998,MATCH(A473&amp;"ENTRADA",Movimientos!$R$2:$R$1998,0)),"-")</f>
        <v>-</v>
      </c>
      <c r="G473" s="3" t="str">
        <f>IFERROR(INDEX(Movimientos!$L$2:$L$1998,MATCH(A473&amp;"ENTRADA",Movimientos!$R$2:$R$1998,0)),"-")</f>
        <v>-</v>
      </c>
      <c r="H473" s="19" t="str">
        <f>IFERROR(IF(INDEX(Movimientos!$M$2:$M$1998,MATCH(A473&amp;"ENTRADA",Movimientos!$R$2:$R$1998,0))=0,"S/D",INDEX(Movimientos!$M$2:$M$1998,MATCH(A473&amp;"ENTRADA",Movimientos!$R$2:$R$1998,0))),"S/D")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5"/>
        <v>SIN STOCK</v>
      </c>
    </row>
    <row r="474" spans="1:11" ht="14.25">
      <c r="A474" s="18" t="s">
        <v>2617</v>
      </c>
      <c r="B474" s="3" t="str">
        <f>IFERROR(INDEX(Movimientos!$C$2:$C$1998,MATCH(A474&amp;"ENTRADA",Movimientos!$R$2:$R$1998,0)),"-")</f>
        <v>-</v>
      </c>
      <c r="C474" s="3" t="str">
        <f>IFERROR(INDEX(Movimientos!$D$2:$D$1998,MATCH(A474&amp;"ENTRADA",Movimientos!$R$2:$R$1998,0)),"-")</f>
        <v>-</v>
      </c>
      <c r="D474" s="3" t="str">
        <f>IFERROR(INDEX(Movimientos!$E$2:$E$1998,MATCH(A474&amp;"ENTRADA",Movimientos!$R$2:$R$1998,0)),"-")</f>
        <v>-</v>
      </c>
      <c r="E474" s="3" t="str">
        <f>IFERROR(INDEX(Movimientos!$F$2:$F$1998,MATCH(A474&amp;"ENTRADA",Movimientos!$R$2:$R$1998,0)),"-")</f>
        <v>-</v>
      </c>
      <c r="F474" s="3" t="str">
        <f>IFERROR(INDEX(Movimientos!$G$2:$G$1998,MATCH(A474&amp;"ENTRADA",Movimientos!$R$2:$R$1998,0)),"-")</f>
        <v>-</v>
      </c>
      <c r="G474" s="3" t="str">
        <f>IFERROR(INDEX(Movimientos!$L$2:$L$1998,MATCH(A474&amp;"ENTRADA",Movimientos!$R$2:$R$1998,0)),"-")</f>
        <v>-</v>
      </c>
      <c r="H474" s="19" t="str">
        <f>IFERROR(IF(INDEX(Movimientos!$M$2:$M$1998,MATCH(A474&amp;"ENTRADA",Movimientos!$R$2:$R$1998,0))=0,"S/D",INDEX(Movimientos!$M$2:$M$1998,MATCH(A474&amp;"ENTRADA",Movimientos!$R$2:$R$1998,0))),"S/D")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5"/>
        <v>SIN STOCK</v>
      </c>
    </row>
    <row r="475" spans="1:11" ht="14.25">
      <c r="A475" s="18" t="s">
        <v>2618</v>
      </c>
      <c r="B475" s="3" t="str">
        <f>IFERROR(INDEX(Movimientos!$C$2:$C$1998,MATCH(A475&amp;"ENTRADA",Movimientos!$R$2:$R$1998,0)),"-")</f>
        <v>-</v>
      </c>
      <c r="C475" s="3" t="str">
        <f>IFERROR(INDEX(Movimientos!$D$2:$D$1998,MATCH(A475&amp;"ENTRADA",Movimientos!$R$2:$R$1998,0)),"-")</f>
        <v>-</v>
      </c>
      <c r="D475" s="3" t="str">
        <f>IFERROR(INDEX(Movimientos!$E$2:$E$1998,MATCH(A475&amp;"ENTRADA",Movimientos!$R$2:$R$1998,0)),"-")</f>
        <v>-</v>
      </c>
      <c r="E475" s="3" t="str">
        <f>IFERROR(INDEX(Movimientos!$F$2:$F$1998,MATCH(A475&amp;"ENTRADA",Movimientos!$R$2:$R$1998,0)),"-")</f>
        <v>-</v>
      </c>
      <c r="F475" s="3" t="str">
        <f>IFERROR(INDEX(Movimientos!$G$2:$G$1998,MATCH(A475&amp;"ENTRADA",Movimientos!$R$2:$R$1998,0)),"-")</f>
        <v>-</v>
      </c>
      <c r="G475" s="3" t="str">
        <f>IFERROR(INDEX(Movimientos!$L$2:$L$1998,MATCH(A475&amp;"ENTRADA",Movimientos!$R$2:$R$1998,0)),"-")</f>
        <v>-</v>
      </c>
      <c r="H475" s="19" t="str">
        <f>IFERROR(IF(INDEX(Movimientos!$M$2:$M$1998,MATCH(A475&amp;"ENTRADA",Movimientos!$R$2:$R$1998,0))=0,"S/D",INDEX(Movimientos!$M$2:$M$1998,MATCH(A475&amp;"ENTRADA",Movimientos!$R$2:$R$1998,0))),"S/D")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5"/>
        <v>SIN STOCK</v>
      </c>
    </row>
    <row r="476" spans="1:11" ht="14.25">
      <c r="A476" s="18" t="s">
        <v>2619</v>
      </c>
      <c r="B476" s="3" t="str">
        <f>IFERROR(INDEX(Movimientos!$C$2:$C$1998,MATCH(A476&amp;"ENTRADA",Movimientos!$R$2:$R$1998,0)),"-")</f>
        <v>-</v>
      </c>
      <c r="C476" s="3" t="str">
        <f>IFERROR(INDEX(Movimientos!$D$2:$D$1998,MATCH(A476&amp;"ENTRADA",Movimientos!$R$2:$R$1998,0)),"-")</f>
        <v>-</v>
      </c>
      <c r="D476" s="3" t="str">
        <f>IFERROR(INDEX(Movimientos!$E$2:$E$1998,MATCH(A476&amp;"ENTRADA",Movimientos!$R$2:$R$1998,0)),"-")</f>
        <v>-</v>
      </c>
      <c r="E476" s="3" t="str">
        <f>IFERROR(INDEX(Movimientos!$F$2:$F$1998,MATCH(A476&amp;"ENTRADA",Movimientos!$R$2:$R$1998,0)),"-")</f>
        <v>-</v>
      </c>
      <c r="F476" s="3" t="str">
        <f>IFERROR(INDEX(Movimientos!$G$2:$G$1998,MATCH(A476&amp;"ENTRADA",Movimientos!$R$2:$R$1998,0)),"-")</f>
        <v>-</v>
      </c>
      <c r="G476" s="3" t="str">
        <f>IFERROR(INDEX(Movimientos!$L$2:$L$1998,MATCH(A476&amp;"ENTRADA",Movimientos!$R$2:$R$1998,0)),"-")</f>
        <v>-</v>
      </c>
      <c r="H476" s="19" t="str">
        <f>IFERROR(IF(INDEX(Movimientos!$M$2:$M$1998,MATCH(A476&amp;"ENTRADA",Movimientos!$R$2:$R$1998,0))=0,"S/D",INDEX(Movimientos!$M$2:$M$1998,MATCH(A476&amp;"ENTRADA",Movimientos!$R$2:$R$1998,0))),"S/D")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5"/>
        <v>SIN STOCK</v>
      </c>
    </row>
    <row r="477" spans="1:11" ht="14.25">
      <c r="A477" s="18" t="s">
        <v>2620</v>
      </c>
      <c r="B477" s="3" t="str">
        <f>IFERROR(INDEX(Movimientos!$C$2:$C$1998,MATCH(A477&amp;"ENTRADA",Movimientos!$R$2:$R$1998,0)),"-")</f>
        <v>-</v>
      </c>
      <c r="C477" s="3" t="str">
        <f>IFERROR(INDEX(Movimientos!$D$2:$D$1998,MATCH(A477&amp;"ENTRADA",Movimientos!$R$2:$R$1998,0)),"-")</f>
        <v>-</v>
      </c>
      <c r="D477" s="3" t="str">
        <f>IFERROR(INDEX(Movimientos!$E$2:$E$1998,MATCH(A477&amp;"ENTRADA",Movimientos!$R$2:$R$1998,0)),"-")</f>
        <v>-</v>
      </c>
      <c r="E477" s="3" t="str">
        <f>IFERROR(INDEX(Movimientos!$F$2:$F$1998,MATCH(A477&amp;"ENTRADA",Movimientos!$R$2:$R$1998,0)),"-")</f>
        <v>-</v>
      </c>
      <c r="F477" s="3" t="str">
        <f>IFERROR(INDEX(Movimientos!$G$2:$G$1998,MATCH(A477&amp;"ENTRADA",Movimientos!$R$2:$R$1998,0)),"-")</f>
        <v>-</v>
      </c>
      <c r="G477" s="3" t="str">
        <f>IFERROR(INDEX(Movimientos!$L$2:$L$1998,MATCH(A477&amp;"ENTRADA",Movimientos!$R$2:$R$1998,0)),"-")</f>
        <v>-</v>
      </c>
      <c r="H477" s="19" t="str">
        <f>IFERROR(IF(INDEX(Movimientos!$M$2:$M$1998,MATCH(A477&amp;"ENTRADA",Movimientos!$R$2:$R$1998,0))=0,"S/D",INDEX(Movimientos!$M$2:$M$1998,MATCH(A477&amp;"ENTRADA",Movimientos!$R$2:$R$1998,0))),"S/D")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5"/>
        <v>SIN STOCK</v>
      </c>
    </row>
    <row r="478" spans="1:11" ht="14.25">
      <c r="A478" s="18" t="s">
        <v>2621</v>
      </c>
      <c r="B478" s="3" t="str">
        <f>IFERROR(INDEX(Movimientos!$C$2:$C$1998,MATCH(A478&amp;"ENTRADA",Movimientos!$R$2:$R$1998,0)),"-")</f>
        <v>-</v>
      </c>
      <c r="C478" s="3" t="str">
        <f>IFERROR(INDEX(Movimientos!$D$2:$D$1998,MATCH(A478&amp;"ENTRADA",Movimientos!$R$2:$R$1998,0)),"-")</f>
        <v>-</v>
      </c>
      <c r="D478" s="3" t="str">
        <f>IFERROR(INDEX(Movimientos!$E$2:$E$1998,MATCH(A478&amp;"ENTRADA",Movimientos!$R$2:$R$1998,0)),"-")</f>
        <v>-</v>
      </c>
      <c r="E478" s="3" t="str">
        <f>IFERROR(INDEX(Movimientos!$F$2:$F$1998,MATCH(A478&amp;"ENTRADA",Movimientos!$R$2:$R$1998,0)),"-")</f>
        <v>-</v>
      </c>
      <c r="F478" s="3" t="str">
        <f>IFERROR(INDEX(Movimientos!$G$2:$G$1998,MATCH(A478&amp;"ENTRADA",Movimientos!$R$2:$R$1998,0)),"-")</f>
        <v>-</v>
      </c>
      <c r="G478" s="3" t="str">
        <f>IFERROR(INDEX(Movimientos!$L$2:$L$1998,MATCH(A478&amp;"ENTRADA",Movimientos!$R$2:$R$1998,0)),"-")</f>
        <v>-</v>
      </c>
      <c r="H478" s="19" t="str">
        <f>IFERROR(IF(INDEX(Movimientos!$M$2:$M$1998,MATCH(A478&amp;"ENTRADA",Movimientos!$R$2:$R$1998,0))=0,"S/D",INDEX(Movimientos!$M$2:$M$1998,MATCH(A478&amp;"ENTRADA",Movimientos!$R$2:$R$1998,0))),"S/D")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5"/>
        <v>SIN STOCK</v>
      </c>
    </row>
    <row r="479" spans="1:11" ht="14.25">
      <c r="A479" s="18" t="s">
        <v>2622</v>
      </c>
      <c r="B479" s="3" t="str">
        <f>IFERROR(INDEX(Movimientos!$C$2:$C$1998,MATCH(A479&amp;"ENTRADA",Movimientos!$R$2:$R$1998,0)),"-")</f>
        <v>-</v>
      </c>
      <c r="C479" s="3" t="str">
        <f>IFERROR(INDEX(Movimientos!$D$2:$D$1998,MATCH(A479&amp;"ENTRADA",Movimientos!$R$2:$R$1998,0)),"-")</f>
        <v>-</v>
      </c>
      <c r="D479" s="3" t="str">
        <f>IFERROR(INDEX(Movimientos!$E$2:$E$1998,MATCH(A479&amp;"ENTRADA",Movimientos!$R$2:$R$1998,0)),"-")</f>
        <v>-</v>
      </c>
      <c r="E479" s="3" t="str">
        <f>IFERROR(INDEX(Movimientos!$F$2:$F$1998,MATCH(A479&amp;"ENTRADA",Movimientos!$R$2:$R$1998,0)),"-")</f>
        <v>-</v>
      </c>
      <c r="F479" s="3" t="str">
        <f>IFERROR(INDEX(Movimientos!$G$2:$G$1998,MATCH(A479&amp;"ENTRADA",Movimientos!$R$2:$R$1998,0)),"-")</f>
        <v>-</v>
      </c>
      <c r="G479" s="3" t="str">
        <f>IFERROR(INDEX(Movimientos!$L$2:$L$1998,MATCH(A479&amp;"ENTRADA",Movimientos!$R$2:$R$1998,0)),"-")</f>
        <v>-</v>
      </c>
      <c r="H479" s="19" t="str">
        <f>IFERROR(IF(INDEX(Movimientos!$M$2:$M$1998,MATCH(A479&amp;"ENTRADA",Movimientos!$R$2:$R$1998,0))=0,"S/D",INDEX(Movimientos!$M$2:$M$1998,MATCH(A479&amp;"ENTRADA",Movimientos!$R$2:$R$1998,0))),"S/D")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5"/>
        <v>SIN STOCK</v>
      </c>
    </row>
    <row r="480" spans="1:11" ht="14.25">
      <c r="A480" s="18" t="s">
        <v>2623</v>
      </c>
      <c r="B480" s="3" t="str">
        <f>IFERROR(INDEX(Movimientos!$C$2:$C$1998,MATCH(A480&amp;"ENTRADA",Movimientos!$R$2:$R$1998,0)),"-")</f>
        <v>-</v>
      </c>
      <c r="C480" s="3" t="str">
        <f>IFERROR(INDEX(Movimientos!$D$2:$D$1998,MATCH(A480&amp;"ENTRADA",Movimientos!$R$2:$R$1998,0)),"-")</f>
        <v>-</v>
      </c>
      <c r="D480" s="3" t="str">
        <f>IFERROR(INDEX(Movimientos!$E$2:$E$1998,MATCH(A480&amp;"ENTRADA",Movimientos!$R$2:$R$1998,0)),"-")</f>
        <v>-</v>
      </c>
      <c r="E480" s="3" t="str">
        <f>IFERROR(INDEX(Movimientos!$F$2:$F$1998,MATCH(A480&amp;"ENTRADA",Movimientos!$R$2:$R$1998,0)),"-")</f>
        <v>-</v>
      </c>
      <c r="F480" s="3" t="str">
        <f>IFERROR(INDEX(Movimientos!$G$2:$G$1998,MATCH(A480&amp;"ENTRADA",Movimientos!$R$2:$R$1998,0)),"-")</f>
        <v>-</v>
      </c>
      <c r="G480" s="3" t="str">
        <f>IFERROR(INDEX(Movimientos!$L$2:$L$1998,MATCH(A480&amp;"ENTRADA",Movimientos!$R$2:$R$1998,0)),"-")</f>
        <v>-</v>
      </c>
      <c r="H480" s="19" t="str">
        <f>IFERROR(IF(INDEX(Movimientos!$M$2:$M$1998,MATCH(A480&amp;"ENTRADA",Movimientos!$R$2:$R$1998,0))=0,"S/D",INDEX(Movimientos!$M$2:$M$1998,MATCH(A480&amp;"ENTRADA",Movimientos!$R$2:$R$1998,0))),"S/D")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5"/>
        <v>SIN STOCK</v>
      </c>
    </row>
    <row r="481" spans="1:11" ht="14.25">
      <c r="A481" s="18" t="s">
        <v>2624</v>
      </c>
      <c r="B481" s="3" t="str">
        <f>IFERROR(INDEX(Movimientos!$C$2:$C$1998,MATCH(A481&amp;"ENTRADA",Movimientos!$R$2:$R$1998,0)),"-")</f>
        <v>-</v>
      </c>
      <c r="C481" s="3" t="str">
        <f>IFERROR(INDEX(Movimientos!$D$2:$D$1998,MATCH(A481&amp;"ENTRADA",Movimientos!$R$2:$R$1998,0)),"-")</f>
        <v>-</v>
      </c>
      <c r="D481" s="3" t="str">
        <f>IFERROR(INDEX(Movimientos!$E$2:$E$1998,MATCH(A481&amp;"ENTRADA",Movimientos!$R$2:$R$1998,0)),"-")</f>
        <v>-</v>
      </c>
      <c r="E481" s="3" t="str">
        <f>IFERROR(INDEX(Movimientos!$F$2:$F$1998,MATCH(A481&amp;"ENTRADA",Movimientos!$R$2:$R$1998,0)),"-")</f>
        <v>-</v>
      </c>
      <c r="F481" s="3" t="str">
        <f>IFERROR(INDEX(Movimientos!$G$2:$G$1998,MATCH(A481&amp;"ENTRADA",Movimientos!$R$2:$R$1998,0)),"-")</f>
        <v>-</v>
      </c>
      <c r="G481" s="3" t="str">
        <f>IFERROR(INDEX(Movimientos!$L$2:$L$1998,MATCH(A481&amp;"ENTRADA",Movimientos!$R$2:$R$1998,0)),"-")</f>
        <v>-</v>
      </c>
      <c r="H481" s="19" t="str">
        <f>IFERROR(IF(INDEX(Movimientos!$M$2:$M$1998,MATCH(A481&amp;"ENTRADA",Movimientos!$R$2:$R$1998,0))=0,"S/D",INDEX(Movimientos!$M$2:$M$1998,MATCH(A481&amp;"ENTRADA",Movimientos!$R$2:$R$1998,0))),"S/D")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5"/>
        <v>SIN STOCK</v>
      </c>
    </row>
    <row r="482" spans="1:11" ht="14.25">
      <c r="A482" s="18" t="s">
        <v>2625</v>
      </c>
      <c r="B482" s="3" t="str">
        <f>IFERROR(INDEX(Movimientos!$C$2:$C$1998,MATCH(A482&amp;"ENTRADA",Movimientos!$R$2:$R$1998,0)),"-")</f>
        <v>-</v>
      </c>
      <c r="C482" s="3" t="str">
        <f>IFERROR(INDEX(Movimientos!$D$2:$D$1998,MATCH(A482&amp;"ENTRADA",Movimientos!$R$2:$R$1998,0)),"-")</f>
        <v>-</v>
      </c>
      <c r="D482" s="3" t="str">
        <f>IFERROR(INDEX(Movimientos!$E$2:$E$1998,MATCH(A482&amp;"ENTRADA",Movimientos!$R$2:$R$1998,0)),"-")</f>
        <v>-</v>
      </c>
      <c r="E482" s="3" t="str">
        <f>IFERROR(INDEX(Movimientos!$F$2:$F$1998,MATCH(A482&amp;"ENTRADA",Movimientos!$R$2:$R$1998,0)),"-")</f>
        <v>-</v>
      </c>
      <c r="F482" s="3" t="str">
        <f>IFERROR(INDEX(Movimientos!$G$2:$G$1998,MATCH(A482&amp;"ENTRADA",Movimientos!$R$2:$R$1998,0)),"-")</f>
        <v>-</v>
      </c>
      <c r="G482" s="3" t="str">
        <f>IFERROR(INDEX(Movimientos!$L$2:$L$1998,MATCH(A482&amp;"ENTRADA",Movimientos!$R$2:$R$1998,0)),"-")</f>
        <v>-</v>
      </c>
      <c r="H482" s="19" t="str">
        <f>IFERROR(IF(INDEX(Movimientos!$M$2:$M$1998,MATCH(A482&amp;"ENTRADA",Movimientos!$R$2:$R$1998,0))=0,"S/D",INDEX(Movimientos!$M$2:$M$1998,MATCH(A482&amp;"ENTRADA",Movimientos!$R$2:$R$1998,0))),"S/D")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5"/>
        <v>SIN STOCK</v>
      </c>
    </row>
    <row r="483" spans="1:11" ht="14.25">
      <c r="A483" s="18" t="s">
        <v>2626</v>
      </c>
      <c r="B483" s="3" t="str">
        <f>IFERROR(INDEX(Movimientos!$C$2:$C$1998,MATCH(A483&amp;"ENTRADA",Movimientos!$R$2:$R$1998,0)),"-")</f>
        <v>-</v>
      </c>
      <c r="C483" s="3" t="str">
        <f>IFERROR(INDEX(Movimientos!$D$2:$D$1998,MATCH(A483&amp;"ENTRADA",Movimientos!$R$2:$R$1998,0)),"-")</f>
        <v>-</v>
      </c>
      <c r="D483" s="3" t="str">
        <f>IFERROR(INDEX(Movimientos!$E$2:$E$1998,MATCH(A483&amp;"ENTRADA",Movimientos!$R$2:$R$1998,0)),"-")</f>
        <v>-</v>
      </c>
      <c r="E483" s="3" t="str">
        <f>IFERROR(INDEX(Movimientos!$F$2:$F$1998,MATCH(A483&amp;"ENTRADA",Movimientos!$R$2:$R$1998,0)),"-")</f>
        <v>-</v>
      </c>
      <c r="F483" s="3" t="str">
        <f>IFERROR(INDEX(Movimientos!$G$2:$G$1998,MATCH(A483&amp;"ENTRADA",Movimientos!$R$2:$R$1998,0)),"-")</f>
        <v>-</v>
      </c>
      <c r="G483" s="3" t="str">
        <f>IFERROR(INDEX(Movimientos!$L$2:$L$1998,MATCH(A483&amp;"ENTRADA",Movimientos!$R$2:$R$1998,0)),"-")</f>
        <v>-</v>
      </c>
      <c r="H483" s="19" t="str">
        <f>IFERROR(IF(INDEX(Movimientos!$M$2:$M$1998,MATCH(A483&amp;"ENTRADA",Movimientos!$R$2:$R$1998,0))=0,"S/D",INDEX(Movimientos!$M$2:$M$1998,MATCH(A483&amp;"ENTRADA",Movimientos!$R$2:$R$1998,0))),"S/D")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5"/>
        <v>SIN STOCK</v>
      </c>
    </row>
    <row r="484" spans="1:11" ht="14.25">
      <c r="A484" s="18" t="s">
        <v>2627</v>
      </c>
      <c r="B484" s="3" t="str">
        <f>IFERROR(INDEX(Movimientos!$C$2:$C$1998,MATCH(A484&amp;"ENTRADA",Movimientos!$R$2:$R$1998,0)),"-")</f>
        <v>-</v>
      </c>
      <c r="C484" s="3" t="str">
        <f>IFERROR(INDEX(Movimientos!$D$2:$D$1998,MATCH(A484&amp;"ENTRADA",Movimientos!$R$2:$R$1998,0)),"-")</f>
        <v>-</v>
      </c>
      <c r="D484" s="3" t="str">
        <f>IFERROR(INDEX(Movimientos!$E$2:$E$1998,MATCH(A484&amp;"ENTRADA",Movimientos!$R$2:$R$1998,0)),"-")</f>
        <v>-</v>
      </c>
      <c r="E484" s="3" t="str">
        <f>IFERROR(INDEX(Movimientos!$F$2:$F$1998,MATCH(A484&amp;"ENTRADA",Movimientos!$R$2:$R$1998,0)),"-")</f>
        <v>-</v>
      </c>
      <c r="F484" s="3" t="str">
        <f>IFERROR(INDEX(Movimientos!$G$2:$G$1998,MATCH(A484&amp;"ENTRADA",Movimientos!$R$2:$R$1998,0)),"-")</f>
        <v>-</v>
      </c>
      <c r="G484" s="3" t="str">
        <f>IFERROR(INDEX(Movimientos!$L$2:$L$1998,MATCH(A484&amp;"ENTRADA",Movimientos!$R$2:$R$1998,0)),"-")</f>
        <v>-</v>
      </c>
      <c r="H484" s="19" t="str">
        <f>IFERROR(IF(INDEX(Movimientos!$M$2:$M$1998,MATCH(A484&amp;"ENTRADA",Movimientos!$R$2:$R$1998,0))=0,"S/D",INDEX(Movimientos!$M$2:$M$1998,MATCH(A484&amp;"ENTRADA",Movimientos!$R$2:$R$1998,0))),"S/D")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5"/>
        <v>SIN STOCK</v>
      </c>
    </row>
    <row r="485" spans="1:11" ht="14.25">
      <c r="A485" s="18" t="s">
        <v>2628</v>
      </c>
      <c r="B485" s="3" t="str">
        <f>IFERROR(INDEX(Movimientos!$C$2:$C$1998,MATCH(A485&amp;"ENTRADA",Movimientos!$R$2:$R$1998,0)),"-")</f>
        <v>-</v>
      </c>
      <c r="C485" s="3" t="str">
        <f>IFERROR(INDEX(Movimientos!$D$2:$D$1998,MATCH(A485&amp;"ENTRADA",Movimientos!$R$2:$R$1998,0)),"-")</f>
        <v>-</v>
      </c>
      <c r="D485" s="3" t="str">
        <f>IFERROR(INDEX(Movimientos!$E$2:$E$1998,MATCH(A485&amp;"ENTRADA",Movimientos!$R$2:$R$1998,0)),"-")</f>
        <v>-</v>
      </c>
      <c r="E485" s="3" t="str">
        <f>IFERROR(INDEX(Movimientos!$F$2:$F$1998,MATCH(A485&amp;"ENTRADA",Movimientos!$R$2:$R$1998,0)),"-")</f>
        <v>-</v>
      </c>
      <c r="F485" s="3" t="str">
        <f>IFERROR(INDEX(Movimientos!$G$2:$G$1998,MATCH(A485&amp;"ENTRADA",Movimientos!$R$2:$R$1998,0)),"-")</f>
        <v>-</v>
      </c>
      <c r="G485" s="3" t="str">
        <f>IFERROR(INDEX(Movimientos!$L$2:$L$1998,MATCH(A485&amp;"ENTRADA",Movimientos!$R$2:$R$1998,0)),"-")</f>
        <v>-</v>
      </c>
      <c r="H485" s="19" t="str">
        <f>IFERROR(IF(INDEX(Movimientos!$M$2:$M$1998,MATCH(A485&amp;"ENTRADA",Movimientos!$R$2:$R$1998,0))=0,"S/D",INDEX(Movimientos!$M$2:$M$1998,MATCH(A485&amp;"ENTRADA",Movimientos!$R$2:$R$1998,0))),"S/D")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5"/>
        <v>SIN STOCK</v>
      </c>
    </row>
    <row r="486" spans="1:11" ht="14.25">
      <c r="A486" s="18" t="s">
        <v>2629</v>
      </c>
      <c r="B486" s="3" t="str">
        <f>IFERROR(INDEX(Movimientos!$C$2:$C$1998,MATCH(A486&amp;"ENTRADA",Movimientos!$R$2:$R$1998,0)),"-")</f>
        <v>-</v>
      </c>
      <c r="C486" s="3" t="str">
        <f>IFERROR(INDEX(Movimientos!$D$2:$D$1998,MATCH(A486&amp;"ENTRADA",Movimientos!$R$2:$R$1998,0)),"-")</f>
        <v>-</v>
      </c>
      <c r="D486" s="3" t="str">
        <f>IFERROR(INDEX(Movimientos!$E$2:$E$1998,MATCH(A486&amp;"ENTRADA",Movimientos!$R$2:$R$1998,0)),"-")</f>
        <v>-</v>
      </c>
      <c r="E486" s="3" t="str">
        <f>IFERROR(INDEX(Movimientos!$F$2:$F$1998,MATCH(A486&amp;"ENTRADA",Movimientos!$R$2:$R$1998,0)),"-")</f>
        <v>-</v>
      </c>
      <c r="F486" s="3" t="str">
        <f>IFERROR(INDEX(Movimientos!$G$2:$G$1998,MATCH(A486&amp;"ENTRADA",Movimientos!$R$2:$R$1998,0)),"-")</f>
        <v>-</v>
      </c>
      <c r="G486" s="3" t="str">
        <f>IFERROR(INDEX(Movimientos!$L$2:$L$1998,MATCH(A486&amp;"ENTRADA",Movimientos!$R$2:$R$1998,0)),"-")</f>
        <v>-</v>
      </c>
      <c r="H486" s="19" t="str">
        <f>IFERROR(IF(INDEX(Movimientos!$M$2:$M$1998,MATCH(A486&amp;"ENTRADA",Movimientos!$R$2:$R$1998,0))=0,"S/D",INDEX(Movimientos!$M$2:$M$1998,MATCH(A486&amp;"ENTRADA",Movimientos!$R$2:$R$1998,0))),"S/D")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5"/>
        <v>SIN STOCK</v>
      </c>
    </row>
    <row r="487" spans="1:11" ht="14.25">
      <c r="A487" s="18" t="s">
        <v>2630</v>
      </c>
      <c r="B487" s="3" t="str">
        <f>IFERROR(INDEX(Movimientos!$C$2:$C$1998,MATCH(A487&amp;"ENTRADA",Movimientos!$R$2:$R$1998,0)),"-")</f>
        <v>-</v>
      </c>
      <c r="C487" s="3" t="str">
        <f>IFERROR(INDEX(Movimientos!$D$2:$D$1998,MATCH(A487&amp;"ENTRADA",Movimientos!$R$2:$R$1998,0)),"-")</f>
        <v>-</v>
      </c>
      <c r="D487" s="3" t="str">
        <f>IFERROR(INDEX(Movimientos!$E$2:$E$1998,MATCH(A487&amp;"ENTRADA",Movimientos!$R$2:$R$1998,0)),"-")</f>
        <v>-</v>
      </c>
      <c r="E487" s="3" t="str">
        <f>IFERROR(INDEX(Movimientos!$F$2:$F$1998,MATCH(A487&amp;"ENTRADA",Movimientos!$R$2:$R$1998,0)),"-")</f>
        <v>-</v>
      </c>
      <c r="F487" s="3" t="str">
        <f>IFERROR(INDEX(Movimientos!$G$2:$G$1998,MATCH(A487&amp;"ENTRADA",Movimientos!$R$2:$R$1998,0)),"-")</f>
        <v>-</v>
      </c>
      <c r="G487" s="3" t="str">
        <f>IFERROR(INDEX(Movimientos!$L$2:$L$1998,MATCH(A487&amp;"ENTRADA",Movimientos!$R$2:$R$1998,0)),"-")</f>
        <v>-</v>
      </c>
      <c r="H487" s="19" t="str">
        <f>IFERROR(IF(INDEX(Movimientos!$M$2:$M$1998,MATCH(A487&amp;"ENTRADA",Movimientos!$R$2:$R$1998,0))=0,"S/D",INDEX(Movimientos!$M$2:$M$1998,MATCH(A487&amp;"ENTRADA",Movimientos!$R$2:$R$1998,0))),"S/D")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5"/>
        <v>SIN STOCK</v>
      </c>
    </row>
    <row r="488" spans="1:11" ht="14.25">
      <c r="A488" s="18" t="s">
        <v>2631</v>
      </c>
      <c r="B488" s="3" t="str">
        <f>IFERROR(INDEX(Movimientos!$C$2:$C$1998,MATCH(A488&amp;"ENTRADA",Movimientos!$R$2:$R$1998,0)),"-")</f>
        <v>-</v>
      </c>
      <c r="C488" s="3" t="str">
        <f>IFERROR(INDEX(Movimientos!$D$2:$D$1998,MATCH(A488&amp;"ENTRADA",Movimientos!$R$2:$R$1998,0)),"-")</f>
        <v>-</v>
      </c>
      <c r="D488" s="3" t="str">
        <f>IFERROR(INDEX(Movimientos!$E$2:$E$1998,MATCH(A488&amp;"ENTRADA",Movimientos!$R$2:$R$1998,0)),"-")</f>
        <v>-</v>
      </c>
      <c r="E488" s="3" t="str">
        <f>IFERROR(INDEX(Movimientos!$F$2:$F$1998,MATCH(A488&amp;"ENTRADA",Movimientos!$R$2:$R$1998,0)),"-")</f>
        <v>-</v>
      </c>
      <c r="F488" s="3" t="str">
        <f>IFERROR(INDEX(Movimientos!$G$2:$G$1998,MATCH(A488&amp;"ENTRADA",Movimientos!$R$2:$R$1998,0)),"-")</f>
        <v>-</v>
      </c>
      <c r="G488" s="3" t="str">
        <f>IFERROR(INDEX(Movimientos!$L$2:$L$1998,MATCH(A488&amp;"ENTRADA",Movimientos!$R$2:$R$1998,0)),"-")</f>
        <v>-</v>
      </c>
      <c r="H488" s="19" t="str">
        <f>IFERROR(IF(INDEX(Movimientos!$M$2:$M$1998,MATCH(A488&amp;"ENTRADA",Movimientos!$R$2:$R$1998,0))=0,"S/D",INDEX(Movimientos!$M$2:$M$1998,MATCH(A488&amp;"ENTRADA",Movimientos!$R$2:$R$1998,0))),"S/D")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5"/>
        <v>SIN STOCK</v>
      </c>
    </row>
    <row r="489" spans="1:11" ht="14.25">
      <c r="A489" s="18" t="s">
        <v>2632</v>
      </c>
      <c r="B489" s="3" t="str">
        <f>IFERROR(INDEX(Movimientos!$C$2:$C$1998,MATCH(A489&amp;"ENTRADA",Movimientos!$R$2:$R$1998,0)),"-")</f>
        <v>-</v>
      </c>
      <c r="C489" s="3" t="str">
        <f>IFERROR(INDEX(Movimientos!$D$2:$D$1998,MATCH(A489&amp;"ENTRADA",Movimientos!$R$2:$R$1998,0)),"-")</f>
        <v>-</v>
      </c>
      <c r="D489" s="3" t="str">
        <f>IFERROR(INDEX(Movimientos!$E$2:$E$1998,MATCH(A489&amp;"ENTRADA",Movimientos!$R$2:$R$1998,0)),"-")</f>
        <v>-</v>
      </c>
      <c r="E489" s="3" t="str">
        <f>IFERROR(INDEX(Movimientos!$F$2:$F$1998,MATCH(A489&amp;"ENTRADA",Movimientos!$R$2:$R$1998,0)),"-")</f>
        <v>-</v>
      </c>
      <c r="F489" s="3" t="str">
        <f>IFERROR(INDEX(Movimientos!$G$2:$G$1998,MATCH(A489&amp;"ENTRADA",Movimientos!$R$2:$R$1998,0)),"-")</f>
        <v>-</v>
      </c>
      <c r="G489" s="3" t="str">
        <f>IFERROR(INDEX(Movimientos!$L$2:$L$1998,MATCH(A489&amp;"ENTRADA",Movimientos!$R$2:$R$1998,0)),"-")</f>
        <v>-</v>
      </c>
      <c r="H489" s="19" t="str">
        <f>IFERROR(IF(INDEX(Movimientos!$M$2:$M$1998,MATCH(A489&amp;"ENTRADA",Movimientos!$R$2:$R$1998,0))=0,"S/D",INDEX(Movimientos!$M$2:$M$1998,MATCH(A489&amp;"ENTRADA",Movimientos!$R$2:$R$1998,0))),"S/D")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5"/>
        <v>SIN STOCK</v>
      </c>
    </row>
    <row r="490" spans="1:11" ht="14.25">
      <c r="A490" s="18" t="s">
        <v>2633</v>
      </c>
      <c r="B490" s="3" t="str">
        <f>IFERROR(INDEX(Movimientos!$C$2:$C$1998,MATCH(A490&amp;"ENTRADA",Movimientos!$R$2:$R$1998,0)),"-")</f>
        <v>-</v>
      </c>
      <c r="C490" s="3" t="str">
        <f>IFERROR(INDEX(Movimientos!$D$2:$D$1998,MATCH(A490&amp;"ENTRADA",Movimientos!$R$2:$R$1998,0)),"-")</f>
        <v>-</v>
      </c>
      <c r="D490" s="3" t="str">
        <f>IFERROR(INDEX(Movimientos!$E$2:$E$1998,MATCH(A490&amp;"ENTRADA",Movimientos!$R$2:$R$1998,0)),"-")</f>
        <v>-</v>
      </c>
      <c r="E490" s="3" t="str">
        <f>IFERROR(INDEX(Movimientos!$F$2:$F$1998,MATCH(A490&amp;"ENTRADA",Movimientos!$R$2:$R$1998,0)),"-")</f>
        <v>-</v>
      </c>
      <c r="F490" s="3" t="str">
        <f>IFERROR(INDEX(Movimientos!$G$2:$G$1998,MATCH(A490&amp;"ENTRADA",Movimientos!$R$2:$R$1998,0)),"-")</f>
        <v>-</v>
      </c>
      <c r="G490" s="3" t="str">
        <f>IFERROR(INDEX(Movimientos!$L$2:$L$1998,MATCH(A490&amp;"ENTRADA",Movimientos!$R$2:$R$1998,0)),"-")</f>
        <v>-</v>
      </c>
      <c r="H490" s="19" t="str">
        <f>IFERROR(IF(INDEX(Movimientos!$M$2:$M$1998,MATCH(A490&amp;"ENTRADA",Movimientos!$R$2:$R$1998,0))=0,"S/D",INDEX(Movimientos!$M$2:$M$1998,MATCH(A490&amp;"ENTRADA",Movimientos!$R$2:$R$1998,0))),"S/D")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5"/>
        <v>SIN STOCK</v>
      </c>
    </row>
    <row r="491" spans="1:11" ht="14.25">
      <c r="A491" s="18" t="s">
        <v>2634</v>
      </c>
      <c r="B491" s="3" t="str">
        <f>IFERROR(INDEX(Movimientos!$C$2:$C$1998,MATCH(A491&amp;"ENTRADA",Movimientos!$R$2:$R$1998,0)),"-")</f>
        <v>-</v>
      </c>
      <c r="C491" s="3" t="str">
        <f>IFERROR(INDEX(Movimientos!$D$2:$D$1998,MATCH(A491&amp;"ENTRADA",Movimientos!$R$2:$R$1998,0)),"-")</f>
        <v>-</v>
      </c>
      <c r="D491" s="3" t="str">
        <f>IFERROR(INDEX(Movimientos!$E$2:$E$1998,MATCH(A491&amp;"ENTRADA",Movimientos!$R$2:$R$1998,0)),"-")</f>
        <v>-</v>
      </c>
      <c r="E491" s="3" t="str">
        <f>IFERROR(INDEX(Movimientos!$F$2:$F$1998,MATCH(A491&amp;"ENTRADA",Movimientos!$R$2:$R$1998,0)),"-")</f>
        <v>-</v>
      </c>
      <c r="F491" s="3" t="str">
        <f>IFERROR(INDEX(Movimientos!$G$2:$G$1998,MATCH(A491&amp;"ENTRADA",Movimientos!$R$2:$R$1998,0)),"-")</f>
        <v>-</v>
      </c>
      <c r="G491" s="3" t="str">
        <f>IFERROR(INDEX(Movimientos!$L$2:$L$1998,MATCH(A491&amp;"ENTRADA",Movimientos!$R$2:$R$1998,0)),"-")</f>
        <v>-</v>
      </c>
      <c r="H491" s="19" t="str">
        <f>IFERROR(IF(INDEX(Movimientos!$M$2:$M$1998,MATCH(A491&amp;"ENTRADA",Movimientos!$R$2:$R$1998,0))=0,"S/D",INDEX(Movimientos!$M$2:$M$1998,MATCH(A491&amp;"ENTRADA",Movimientos!$R$2:$R$1998,0))),"S/D")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5"/>
        <v>SIN STOCK</v>
      </c>
    </row>
    <row r="492" spans="1:11" ht="14.25">
      <c r="A492" s="18" t="s">
        <v>2635</v>
      </c>
      <c r="B492" s="3" t="str">
        <f>IFERROR(INDEX(Movimientos!$C$2:$C$1998,MATCH(A492&amp;"ENTRADA",Movimientos!$R$2:$R$1998,0)),"-")</f>
        <v>-</v>
      </c>
      <c r="C492" s="3" t="str">
        <f>IFERROR(INDEX(Movimientos!$D$2:$D$1998,MATCH(A492&amp;"ENTRADA",Movimientos!$R$2:$R$1998,0)),"-")</f>
        <v>-</v>
      </c>
      <c r="D492" s="3" t="str">
        <f>IFERROR(INDEX(Movimientos!$E$2:$E$1998,MATCH(A492&amp;"ENTRADA",Movimientos!$R$2:$R$1998,0)),"-")</f>
        <v>-</v>
      </c>
      <c r="E492" s="3" t="str">
        <f>IFERROR(INDEX(Movimientos!$F$2:$F$1998,MATCH(A492&amp;"ENTRADA",Movimientos!$R$2:$R$1998,0)),"-")</f>
        <v>-</v>
      </c>
      <c r="F492" s="3" t="str">
        <f>IFERROR(INDEX(Movimientos!$G$2:$G$1998,MATCH(A492&amp;"ENTRADA",Movimientos!$R$2:$R$1998,0)),"-")</f>
        <v>-</v>
      </c>
      <c r="G492" s="3" t="str">
        <f>IFERROR(INDEX(Movimientos!$L$2:$L$1998,MATCH(A492&amp;"ENTRADA",Movimientos!$R$2:$R$1998,0)),"-")</f>
        <v>-</v>
      </c>
      <c r="H492" s="19" t="str">
        <f>IFERROR(IF(INDEX(Movimientos!$M$2:$M$1998,MATCH(A492&amp;"ENTRADA",Movimientos!$R$2:$R$1998,0))=0,"S/D",INDEX(Movimientos!$M$2:$M$1998,MATCH(A492&amp;"ENTRADA",Movimientos!$R$2:$R$1998,0))),"S/D")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5"/>
        <v>SIN STOCK</v>
      </c>
    </row>
    <row r="493" spans="1:11" ht="14.25">
      <c r="A493" s="18" t="s">
        <v>2636</v>
      </c>
      <c r="B493" s="3" t="str">
        <f>IFERROR(INDEX(Movimientos!$C$2:$C$1998,MATCH(A493&amp;"ENTRADA",Movimientos!$R$2:$R$1998,0)),"-")</f>
        <v>-</v>
      </c>
      <c r="C493" s="3" t="str">
        <f>IFERROR(INDEX(Movimientos!$D$2:$D$1998,MATCH(A493&amp;"ENTRADA",Movimientos!$R$2:$R$1998,0)),"-")</f>
        <v>-</v>
      </c>
      <c r="D493" s="3" t="str">
        <f>IFERROR(INDEX(Movimientos!$E$2:$E$1998,MATCH(A493&amp;"ENTRADA",Movimientos!$R$2:$R$1998,0)),"-")</f>
        <v>-</v>
      </c>
      <c r="E493" s="3" t="str">
        <f>IFERROR(INDEX(Movimientos!$F$2:$F$1998,MATCH(A493&amp;"ENTRADA",Movimientos!$R$2:$R$1998,0)),"-")</f>
        <v>-</v>
      </c>
      <c r="F493" s="3" t="str">
        <f>IFERROR(INDEX(Movimientos!$G$2:$G$1998,MATCH(A493&amp;"ENTRADA",Movimientos!$R$2:$R$1998,0)),"-")</f>
        <v>-</v>
      </c>
      <c r="G493" s="3" t="str">
        <f>IFERROR(INDEX(Movimientos!$L$2:$L$1998,MATCH(A493&amp;"ENTRADA",Movimientos!$R$2:$R$1998,0)),"-")</f>
        <v>-</v>
      </c>
      <c r="H493" s="19" t="str">
        <f>IFERROR(IF(INDEX(Movimientos!$M$2:$M$1998,MATCH(A493&amp;"ENTRADA",Movimientos!$R$2:$R$1998,0))=0,"S/D",INDEX(Movimientos!$M$2:$M$1998,MATCH(A493&amp;"ENTRADA",Movimientos!$R$2:$R$1998,0))),"S/D")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5"/>
        <v>SIN STOCK</v>
      </c>
    </row>
    <row r="494" spans="1:11" ht="14.25">
      <c r="A494" s="18" t="s">
        <v>2637</v>
      </c>
      <c r="B494" s="3" t="str">
        <f>IFERROR(INDEX(Movimientos!$C$2:$C$1998,MATCH(A494&amp;"ENTRADA",Movimientos!$R$2:$R$1998,0)),"-")</f>
        <v>-</v>
      </c>
      <c r="C494" s="3" t="str">
        <f>IFERROR(INDEX(Movimientos!$D$2:$D$1998,MATCH(A494&amp;"ENTRADA",Movimientos!$R$2:$R$1998,0)),"-")</f>
        <v>-</v>
      </c>
      <c r="D494" s="3" t="str">
        <f>IFERROR(INDEX(Movimientos!$E$2:$E$1998,MATCH(A494&amp;"ENTRADA",Movimientos!$R$2:$R$1998,0)),"-")</f>
        <v>-</v>
      </c>
      <c r="E494" s="3" t="str">
        <f>IFERROR(INDEX(Movimientos!$F$2:$F$1998,MATCH(A494&amp;"ENTRADA",Movimientos!$R$2:$R$1998,0)),"-")</f>
        <v>-</v>
      </c>
      <c r="F494" s="3" t="str">
        <f>IFERROR(INDEX(Movimientos!$G$2:$G$1998,MATCH(A494&amp;"ENTRADA",Movimientos!$R$2:$R$1998,0)),"-")</f>
        <v>-</v>
      </c>
      <c r="G494" s="3" t="str">
        <f>IFERROR(INDEX(Movimientos!$L$2:$L$1998,MATCH(A494&amp;"ENTRADA",Movimientos!$R$2:$R$1998,0)),"-")</f>
        <v>-</v>
      </c>
      <c r="H494" s="19" t="str">
        <f>IFERROR(IF(INDEX(Movimientos!$M$2:$M$1998,MATCH(A494&amp;"ENTRADA",Movimientos!$R$2:$R$1998,0))=0,"S/D",INDEX(Movimientos!$M$2:$M$1998,MATCH(A494&amp;"ENTRADA",Movimientos!$R$2:$R$1998,0))),"S/D")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5"/>
        <v>SIN STOCK</v>
      </c>
    </row>
    <row r="495" spans="1:11" ht="14.25">
      <c r="A495" s="18" t="s">
        <v>2638</v>
      </c>
      <c r="B495" s="3" t="str">
        <f>IFERROR(INDEX(Movimientos!$C$2:$C$1998,MATCH(A495&amp;"ENTRADA",Movimientos!$R$2:$R$1998,0)),"-")</f>
        <v>-</v>
      </c>
      <c r="C495" s="3" t="str">
        <f>IFERROR(INDEX(Movimientos!$D$2:$D$1998,MATCH(A495&amp;"ENTRADA",Movimientos!$R$2:$R$1998,0)),"-")</f>
        <v>-</v>
      </c>
      <c r="D495" s="3" t="str">
        <f>IFERROR(INDEX(Movimientos!$E$2:$E$1998,MATCH(A495&amp;"ENTRADA",Movimientos!$R$2:$R$1998,0)),"-")</f>
        <v>-</v>
      </c>
      <c r="E495" s="3" t="str">
        <f>IFERROR(INDEX(Movimientos!$F$2:$F$1998,MATCH(A495&amp;"ENTRADA",Movimientos!$R$2:$R$1998,0)),"-")</f>
        <v>-</v>
      </c>
      <c r="F495" s="3" t="str">
        <f>IFERROR(INDEX(Movimientos!$G$2:$G$1998,MATCH(A495&amp;"ENTRADA",Movimientos!$R$2:$R$1998,0)),"-")</f>
        <v>-</v>
      </c>
      <c r="G495" s="3" t="str">
        <f>IFERROR(INDEX(Movimientos!$L$2:$L$1998,MATCH(A495&amp;"ENTRADA",Movimientos!$R$2:$R$1998,0)),"-")</f>
        <v>-</v>
      </c>
      <c r="H495" s="19" t="str">
        <f>IFERROR(IF(INDEX(Movimientos!$M$2:$M$1998,MATCH(A495&amp;"ENTRADA",Movimientos!$R$2:$R$1998,0))=0,"S/D",INDEX(Movimientos!$M$2:$M$1998,MATCH(A495&amp;"ENTRADA",Movimientos!$R$2:$R$1998,0))),"S/D")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5"/>
        <v>SIN STOCK</v>
      </c>
    </row>
    <row r="496" spans="1:11" ht="14.25">
      <c r="A496" s="18" t="s">
        <v>2639</v>
      </c>
      <c r="B496" s="3" t="str">
        <f>IFERROR(INDEX(Movimientos!$C$2:$C$1998,MATCH(A496&amp;"ENTRADA",Movimientos!$R$2:$R$1998,0)),"-")</f>
        <v>-</v>
      </c>
      <c r="C496" s="3" t="str">
        <f>IFERROR(INDEX(Movimientos!$D$2:$D$1998,MATCH(A496&amp;"ENTRADA",Movimientos!$R$2:$R$1998,0)),"-")</f>
        <v>-</v>
      </c>
      <c r="D496" s="3" t="str">
        <f>IFERROR(INDEX(Movimientos!$E$2:$E$1998,MATCH(A496&amp;"ENTRADA",Movimientos!$R$2:$R$1998,0)),"-")</f>
        <v>-</v>
      </c>
      <c r="E496" s="3" t="str">
        <f>IFERROR(INDEX(Movimientos!$F$2:$F$1998,MATCH(A496&amp;"ENTRADA",Movimientos!$R$2:$R$1998,0)),"-")</f>
        <v>-</v>
      </c>
      <c r="F496" s="3" t="str">
        <f>IFERROR(INDEX(Movimientos!$G$2:$G$1998,MATCH(A496&amp;"ENTRADA",Movimientos!$R$2:$R$1998,0)),"-")</f>
        <v>-</v>
      </c>
      <c r="G496" s="3" t="str">
        <f>IFERROR(INDEX(Movimientos!$L$2:$L$1998,MATCH(A496&amp;"ENTRADA",Movimientos!$R$2:$R$1998,0)),"-")</f>
        <v>-</v>
      </c>
      <c r="H496" s="19" t="str">
        <f>IFERROR(IF(INDEX(Movimientos!$M$2:$M$1998,MATCH(A496&amp;"ENTRADA",Movimientos!$R$2:$R$1998,0))=0,"S/D",INDEX(Movimientos!$M$2:$M$1998,MATCH(A496&amp;"ENTRADA",Movimientos!$R$2:$R$1998,0))),"S/D")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5"/>
        <v>SIN STOCK</v>
      </c>
    </row>
    <row r="497" spans="1:11" ht="14.25">
      <c r="A497" s="18" t="s">
        <v>2640</v>
      </c>
      <c r="B497" s="3" t="str">
        <f>IFERROR(INDEX(Movimientos!$C$2:$C$1998,MATCH(A497&amp;"ENTRADA",Movimientos!$R$2:$R$1998,0)),"-")</f>
        <v>-</v>
      </c>
      <c r="C497" s="3" t="str">
        <f>IFERROR(INDEX(Movimientos!$D$2:$D$1998,MATCH(A497&amp;"ENTRADA",Movimientos!$R$2:$R$1998,0)),"-")</f>
        <v>-</v>
      </c>
      <c r="D497" s="3" t="str">
        <f>IFERROR(INDEX(Movimientos!$E$2:$E$1998,MATCH(A497&amp;"ENTRADA",Movimientos!$R$2:$R$1998,0)),"-")</f>
        <v>-</v>
      </c>
      <c r="E497" s="3" t="str">
        <f>IFERROR(INDEX(Movimientos!$F$2:$F$1998,MATCH(A497&amp;"ENTRADA",Movimientos!$R$2:$R$1998,0)),"-")</f>
        <v>-</v>
      </c>
      <c r="F497" s="3" t="str">
        <f>IFERROR(INDEX(Movimientos!$G$2:$G$1998,MATCH(A497&amp;"ENTRADA",Movimientos!$R$2:$R$1998,0)),"-")</f>
        <v>-</v>
      </c>
      <c r="G497" s="3" t="str">
        <f>IFERROR(INDEX(Movimientos!$L$2:$L$1998,MATCH(A497&amp;"ENTRADA",Movimientos!$R$2:$R$1998,0)),"-")</f>
        <v>-</v>
      </c>
      <c r="H497" s="19" t="str">
        <f>IFERROR(IF(INDEX(Movimientos!$M$2:$M$1998,MATCH(A497&amp;"ENTRADA",Movimientos!$R$2:$R$1998,0))=0,"S/D",INDEX(Movimientos!$M$2:$M$1998,MATCH(A497&amp;"ENTRADA",Movimientos!$R$2:$R$1998,0))),"S/D")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5"/>
        <v>SIN STOCK</v>
      </c>
    </row>
    <row r="498" spans="1:11" ht="14.25">
      <c r="A498" s="18" t="s">
        <v>2641</v>
      </c>
      <c r="B498" s="3" t="str">
        <f>IFERROR(INDEX(Movimientos!$C$2:$C$1998,MATCH(A498&amp;"ENTRADA",Movimientos!$R$2:$R$1998,0)),"-")</f>
        <v>-</v>
      </c>
      <c r="C498" s="3" t="str">
        <f>IFERROR(INDEX(Movimientos!$D$2:$D$1998,MATCH(A498&amp;"ENTRADA",Movimientos!$R$2:$R$1998,0)),"-")</f>
        <v>-</v>
      </c>
      <c r="D498" s="3" t="str">
        <f>IFERROR(INDEX(Movimientos!$E$2:$E$1998,MATCH(A498&amp;"ENTRADA",Movimientos!$R$2:$R$1998,0)),"-")</f>
        <v>-</v>
      </c>
      <c r="E498" s="3" t="str">
        <f>IFERROR(INDEX(Movimientos!$F$2:$F$1998,MATCH(A498&amp;"ENTRADA",Movimientos!$R$2:$R$1998,0)),"-")</f>
        <v>-</v>
      </c>
      <c r="F498" s="3" t="str">
        <f>IFERROR(INDEX(Movimientos!$G$2:$G$1998,MATCH(A498&amp;"ENTRADA",Movimientos!$R$2:$R$1998,0)),"-")</f>
        <v>-</v>
      </c>
      <c r="G498" s="3" t="str">
        <f>IFERROR(INDEX(Movimientos!$L$2:$L$1998,MATCH(A498&amp;"ENTRADA",Movimientos!$R$2:$R$1998,0)),"-")</f>
        <v>-</v>
      </c>
      <c r="H498" s="19" t="str">
        <f>IFERROR(IF(INDEX(Movimientos!$M$2:$M$1998,MATCH(A498&amp;"ENTRADA",Movimientos!$R$2:$R$1998,0))=0,"S/D",INDEX(Movimientos!$M$2:$M$1998,MATCH(A498&amp;"ENTRADA",Movimientos!$R$2:$R$1998,0))),"S/D")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5"/>
        <v>SIN STOCK</v>
      </c>
    </row>
    <row r="499" spans="1:11" ht="14.25">
      <c r="A499" s="18" t="s">
        <v>2642</v>
      </c>
      <c r="B499" s="3" t="str">
        <f>IFERROR(INDEX(Movimientos!$C$2:$C$1998,MATCH(A499&amp;"ENTRADA",Movimientos!$R$2:$R$1998,0)),"-")</f>
        <v>-</v>
      </c>
      <c r="C499" s="3" t="str">
        <f>IFERROR(INDEX(Movimientos!$D$2:$D$1998,MATCH(A499&amp;"ENTRADA",Movimientos!$R$2:$R$1998,0)),"-")</f>
        <v>-</v>
      </c>
      <c r="D499" s="3" t="str">
        <f>IFERROR(INDEX(Movimientos!$E$2:$E$1998,MATCH(A499&amp;"ENTRADA",Movimientos!$R$2:$R$1998,0)),"-")</f>
        <v>-</v>
      </c>
      <c r="E499" s="3" t="str">
        <f>IFERROR(INDEX(Movimientos!$F$2:$F$1998,MATCH(A499&amp;"ENTRADA",Movimientos!$R$2:$R$1998,0)),"-")</f>
        <v>-</v>
      </c>
      <c r="F499" s="3" t="str">
        <f>IFERROR(INDEX(Movimientos!$G$2:$G$1998,MATCH(A499&amp;"ENTRADA",Movimientos!$R$2:$R$1998,0)),"-")</f>
        <v>-</v>
      </c>
      <c r="G499" s="3" t="str">
        <f>IFERROR(INDEX(Movimientos!$L$2:$L$1998,MATCH(A499&amp;"ENTRADA",Movimientos!$R$2:$R$1998,0)),"-")</f>
        <v>-</v>
      </c>
      <c r="H499" s="19" t="str">
        <f>IFERROR(IF(INDEX(Movimientos!$M$2:$M$1998,MATCH(A499&amp;"ENTRADA",Movimientos!$R$2:$R$1998,0))=0,"S/D",INDEX(Movimientos!$M$2:$M$1998,MATCH(A499&amp;"ENTRADA",Movimientos!$R$2:$R$1998,0))),"S/D")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5"/>
        <v>SIN STOCK</v>
      </c>
    </row>
    <row r="500" spans="1:11" ht="14.25">
      <c r="A500" s="18" t="s">
        <v>2643</v>
      </c>
      <c r="B500" s="3" t="str">
        <f>IFERROR(INDEX(Movimientos!$C$2:$C$1998,MATCH(A500&amp;"ENTRADA",Movimientos!$R$2:$R$1998,0)),"-")</f>
        <v>-</v>
      </c>
      <c r="C500" s="3" t="str">
        <f>IFERROR(INDEX(Movimientos!$D$2:$D$1998,MATCH(A500&amp;"ENTRADA",Movimientos!$R$2:$R$1998,0)),"-")</f>
        <v>-</v>
      </c>
      <c r="D500" s="3" t="str">
        <f>IFERROR(INDEX(Movimientos!$E$2:$E$1998,MATCH(A500&amp;"ENTRADA",Movimientos!$R$2:$R$1998,0)),"-")</f>
        <v>-</v>
      </c>
      <c r="E500" s="3" t="str">
        <f>IFERROR(INDEX(Movimientos!$F$2:$F$1998,MATCH(A500&amp;"ENTRADA",Movimientos!$R$2:$R$1998,0)),"-")</f>
        <v>-</v>
      </c>
      <c r="F500" s="3" t="str">
        <f>IFERROR(INDEX(Movimientos!$G$2:$G$1998,MATCH(A500&amp;"ENTRADA",Movimientos!$R$2:$R$1998,0)),"-")</f>
        <v>-</v>
      </c>
      <c r="G500" s="3" t="str">
        <f>IFERROR(INDEX(Movimientos!$L$2:$L$1998,MATCH(A500&amp;"ENTRADA",Movimientos!$R$2:$R$1998,0)),"-")</f>
        <v>-</v>
      </c>
      <c r="H500" s="19" t="str">
        <f>IFERROR(IF(INDEX(Movimientos!$M$2:$M$1998,MATCH(A500&amp;"ENTRADA",Movimientos!$R$2:$R$1998,0))=0,"S/D",INDEX(Movimientos!$M$2:$M$1998,MATCH(A500&amp;"ENTRADA",Movimientos!$R$2:$R$1998,0))),"S/D")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5"/>
        <v>SIN STOCK</v>
      </c>
    </row>
    <row r="501" spans="1:11" ht="14.25">
      <c r="A501" s="18" t="s">
        <v>2644</v>
      </c>
      <c r="B501" s="3" t="str">
        <f>IFERROR(INDEX(Movimientos!$C$2:$C$1998,MATCH(A501&amp;"ENTRADA",Movimientos!$R$2:$R$1998,0)),"-")</f>
        <v>-</v>
      </c>
      <c r="C501" s="3" t="str">
        <f>IFERROR(INDEX(Movimientos!$D$2:$D$1998,MATCH(A501&amp;"ENTRADA",Movimientos!$R$2:$R$1998,0)),"-")</f>
        <v>-</v>
      </c>
      <c r="D501" s="3" t="str">
        <f>IFERROR(INDEX(Movimientos!$E$2:$E$1998,MATCH(A501&amp;"ENTRADA",Movimientos!$R$2:$R$1998,0)),"-")</f>
        <v>-</v>
      </c>
      <c r="E501" s="3" t="str">
        <f>IFERROR(INDEX(Movimientos!$F$2:$F$1998,MATCH(A501&amp;"ENTRADA",Movimientos!$R$2:$R$1998,0)),"-")</f>
        <v>-</v>
      </c>
      <c r="F501" s="3" t="str">
        <f>IFERROR(INDEX(Movimientos!$G$2:$G$1998,MATCH(A501&amp;"ENTRADA",Movimientos!$R$2:$R$1998,0)),"-")</f>
        <v>-</v>
      </c>
      <c r="G501" s="3" t="str">
        <f>IFERROR(INDEX(Movimientos!$L$2:$L$1998,MATCH(A501&amp;"ENTRADA",Movimientos!$R$2:$R$1998,0)),"-")</f>
        <v>-</v>
      </c>
      <c r="H501" s="19" t="str">
        <f>IFERROR(IF(INDEX(Movimientos!$M$2:$M$1998,MATCH(A501&amp;"ENTRADA",Movimientos!$R$2:$R$1998,0))=0,"S/D",INDEX(Movimientos!$M$2:$M$1998,MATCH(A501&amp;"ENTRADA",Movimientos!$R$2:$R$1998,0))),"S/D")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5"/>
        <v>SIN STOCK</v>
      </c>
    </row>
    <row r="502" spans="1:11" ht="14.25">
      <c r="A502" s="18" t="s">
        <v>2645</v>
      </c>
      <c r="B502" s="3" t="str">
        <f>IFERROR(INDEX(Movimientos!$C$2:$C$1998,MATCH(A502&amp;"ENTRADA",Movimientos!$R$2:$R$1998,0)),"-")</f>
        <v>-</v>
      </c>
      <c r="C502" s="3" t="str">
        <f>IFERROR(INDEX(Movimientos!$D$2:$D$1998,MATCH(A502&amp;"ENTRADA",Movimientos!$R$2:$R$1998,0)),"-")</f>
        <v>-</v>
      </c>
      <c r="D502" s="3" t="str">
        <f>IFERROR(INDEX(Movimientos!$E$2:$E$1998,MATCH(A502&amp;"ENTRADA",Movimientos!$R$2:$R$1998,0)),"-")</f>
        <v>-</v>
      </c>
      <c r="E502" s="3" t="str">
        <f>IFERROR(INDEX(Movimientos!$F$2:$F$1998,MATCH(A502&amp;"ENTRADA",Movimientos!$R$2:$R$1998,0)),"-")</f>
        <v>-</v>
      </c>
      <c r="F502" s="3" t="str">
        <f>IFERROR(INDEX(Movimientos!$G$2:$G$1998,MATCH(A502&amp;"ENTRADA",Movimientos!$R$2:$R$1998,0)),"-")</f>
        <v>-</v>
      </c>
      <c r="G502" s="3" t="str">
        <f>IFERROR(INDEX(Movimientos!$L$2:$L$1998,MATCH(A502&amp;"ENTRADA",Movimientos!$R$2:$R$1998,0)),"-")</f>
        <v>-</v>
      </c>
      <c r="H502" s="19" t="str">
        <f>IFERROR(IF(INDEX(Movimientos!$M$2:$M$1998,MATCH(A502&amp;"ENTRADA",Movimientos!$R$2:$R$1998,0))=0,"S/D",INDEX(Movimientos!$M$2:$M$1998,MATCH(A502&amp;"ENTRADA",Movimientos!$R$2:$R$1998,0))),"S/D")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5"/>
        <v>SIN STOCK</v>
      </c>
    </row>
    <row r="503" spans="1:11" ht="14.25">
      <c r="A503" s="18" t="s">
        <v>2646</v>
      </c>
      <c r="B503" s="3" t="str">
        <f>IFERROR(INDEX(Movimientos!$C$2:$C$1998,MATCH(A503&amp;"ENTRADA",Movimientos!$R$2:$R$1998,0)),"-")</f>
        <v>-</v>
      </c>
      <c r="C503" s="3" t="str">
        <f>IFERROR(INDEX(Movimientos!$D$2:$D$1998,MATCH(A503&amp;"ENTRADA",Movimientos!$R$2:$R$1998,0)),"-")</f>
        <v>-</v>
      </c>
      <c r="D503" s="3" t="str">
        <f>IFERROR(INDEX(Movimientos!$E$2:$E$1998,MATCH(A503&amp;"ENTRADA",Movimientos!$R$2:$R$1998,0)),"-")</f>
        <v>-</v>
      </c>
      <c r="E503" s="3" t="str">
        <f>IFERROR(INDEX(Movimientos!$F$2:$F$1998,MATCH(A503&amp;"ENTRADA",Movimientos!$R$2:$R$1998,0)),"-")</f>
        <v>-</v>
      </c>
      <c r="F503" s="3" t="str">
        <f>IFERROR(INDEX(Movimientos!$G$2:$G$1998,MATCH(A503&amp;"ENTRADA",Movimientos!$R$2:$R$1998,0)),"-")</f>
        <v>-</v>
      </c>
      <c r="G503" s="3" t="str">
        <f>IFERROR(INDEX(Movimientos!$L$2:$L$1998,MATCH(A503&amp;"ENTRADA",Movimientos!$R$2:$R$1998,0)),"-")</f>
        <v>-</v>
      </c>
      <c r="H503" s="19" t="str">
        <f>IFERROR(IF(INDEX(Movimientos!$M$2:$M$1998,MATCH(A503&amp;"ENTRADA",Movimientos!$R$2:$R$1998,0))=0,"S/D",INDEX(Movimientos!$M$2:$M$1998,MATCH(A503&amp;"ENTRADA",Movimientos!$R$2:$R$1998,0))),"S/D")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5"/>
        <v>SIN STOCK</v>
      </c>
    </row>
    <row r="504" spans="1:11" ht="14.25">
      <c r="A504" s="18" t="s">
        <v>2647</v>
      </c>
      <c r="B504" s="3" t="str">
        <f>IFERROR(INDEX(Movimientos!$C$2:$C$1998,MATCH(A504&amp;"ENTRADA",Movimientos!$R$2:$R$1998,0)),"-")</f>
        <v>-</v>
      </c>
      <c r="C504" s="3" t="str">
        <f>IFERROR(INDEX(Movimientos!$D$2:$D$1998,MATCH(A504&amp;"ENTRADA",Movimientos!$R$2:$R$1998,0)),"-")</f>
        <v>-</v>
      </c>
      <c r="D504" s="3" t="str">
        <f>IFERROR(INDEX(Movimientos!$E$2:$E$1998,MATCH(A504&amp;"ENTRADA",Movimientos!$R$2:$R$1998,0)),"-")</f>
        <v>-</v>
      </c>
      <c r="E504" s="3" t="str">
        <f>IFERROR(INDEX(Movimientos!$F$2:$F$1998,MATCH(A504&amp;"ENTRADA",Movimientos!$R$2:$R$1998,0)),"-")</f>
        <v>-</v>
      </c>
      <c r="F504" s="3" t="str">
        <f>IFERROR(INDEX(Movimientos!$G$2:$G$1998,MATCH(A504&amp;"ENTRADA",Movimientos!$R$2:$R$1998,0)),"-")</f>
        <v>-</v>
      </c>
      <c r="G504" s="3" t="str">
        <f>IFERROR(INDEX(Movimientos!$L$2:$L$1998,MATCH(A504&amp;"ENTRADA",Movimientos!$R$2:$R$1998,0)),"-")</f>
        <v>-</v>
      </c>
      <c r="H504" s="19" t="str">
        <f>IFERROR(IF(INDEX(Movimientos!$M$2:$M$1998,MATCH(A504&amp;"ENTRADA",Movimientos!$R$2:$R$1998,0))=0,"S/D",INDEX(Movimientos!$M$2:$M$1998,MATCH(A504&amp;"ENTRADA",Movimientos!$R$2:$R$1998,0))),"S/D")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5"/>
        <v>SIN STOCK</v>
      </c>
    </row>
    <row r="505" spans="1:11" ht="14.25">
      <c r="A505" s="18" t="s">
        <v>2648</v>
      </c>
      <c r="B505" s="3" t="str">
        <f>IFERROR(INDEX(Movimientos!$C$2:$C$1998,MATCH(A505&amp;"ENTRADA",Movimientos!$R$2:$R$1998,0)),"-")</f>
        <v>-</v>
      </c>
      <c r="C505" s="3" t="str">
        <f>IFERROR(INDEX(Movimientos!$D$2:$D$1998,MATCH(A505&amp;"ENTRADA",Movimientos!$R$2:$R$1998,0)),"-")</f>
        <v>-</v>
      </c>
      <c r="D505" s="3" t="str">
        <f>IFERROR(INDEX(Movimientos!$E$2:$E$1998,MATCH(A505&amp;"ENTRADA",Movimientos!$R$2:$R$1998,0)),"-")</f>
        <v>-</v>
      </c>
      <c r="E505" s="3" t="str">
        <f>IFERROR(INDEX(Movimientos!$F$2:$F$1998,MATCH(A505&amp;"ENTRADA",Movimientos!$R$2:$R$1998,0)),"-")</f>
        <v>-</v>
      </c>
      <c r="F505" s="3" t="str">
        <f>IFERROR(INDEX(Movimientos!$G$2:$G$1998,MATCH(A505&amp;"ENTRADA",Movimientos!$R$2:$R$1998,0)),"-")</f>
        <v>-</v>
      </c>
      <c r="G505" s="3" t="str">
        <f>IFERROR(INDEX(Movimientos!$L$2:$L$1998,MATCH(A505&amp;"ENTRADA",Movimientos!$R$2:$R$1998,0)),"-")</f>
        <v>-</v>
      </c>
      <c r="H505" s="19" t="str">
        <f>IFERROR(IF(INDEX(Movimientos!$M$2:$M$1998,MATCH(A505&amp;"ENTRADA",Movimientos!$R$2:$R$1998,0))=0,"S/D",INDEX(Movimientos!$M$2:$M$1998,MATCH(A505&amp;"ENTRADA",Movimientos!$R$2:$R$1998,0))),"S/D")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5"/>
        <v>SIN STOCK</v>
      </c>
    </row>
    <row r="506" spans="1:11" ht="14.25">
      <c r="A506" s="18" t="s">
        <v>2649</v>
      </c>
      <c r="B506" s="3" t="str">
        <f>IFERROR(INDEX(Movimientos!$C$2:$C$1998,MATCH(A506&amp;"ENTRADA",Movimientos!$R$2:$R$1998,0)),"-")</f>
        <v>-</v>
      </c>
      <c r="C506" s="3" t="str">
        <f>IFERROR(INDEX(Movimientos!$D$2:$D$1998,MATCH(A506&amp;"ENTRADA",Movimientos!$R$2:$R$1998,0)),"-")</f>
        <v>-</v>
      </c>
      <c r="D506" s="3" t="str">
        <f>IFERROR(INDEX(Movimientos!$E$2:$E$1998,MATCH(A506&amp;"ENTRADA",Movimientos!$R$2:$R$1998,0)),"-")</f>
        <v>-</v>
      </c>
      <c r="E506" s="3" t="str">
        <f>IFERROR(INDEX(Movimientos!$F$2:$F$1998,MATCH(A506&amp;"ENTRADA",Movimientos!$R$2:$R$1998,0)),"-")</f>
        <v>-</v>
      </c>
      <c r="F506" s="3" t="str">
        <f>IFERROR(INDEX(Movimientos!$G$2:$G$1998,MATCH(A506&amp;"ENTRADA",Movimientos!$R$2:$R$1998,0)),"-")</f>
        <v>-</v>
      </c>
      <c r="G506" s="3" t="str">
        <f>IFERROR(INDEX(Movimientos!$L$2:$L$1998,MATCH(A506&amp;"ENTRADA",Movimientos!$R$2:$R$1998,0)),"-")</f>
        <v>-</v>
      </c>
      <c r="H506" s="19" t="str">
        <f>IFERROR(IF(INDEX(Movimientos!$M$2:$M$1998,MATCH(A506&amp;"ENTRADA",Movimientos!$R$2:$R$1998,0))=0,"S/D",INDEX(Movimientos!$M$2:$M$1998,MATCH(A506&amp;"ENTRADA",Movimientos!$R$2:$R$1998,0))),"S/D")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5"/>
        <v>SIN STOCK</v>
      </c>
    </row>
    <row r="507" spans="1:11" ht="14.25">
      <c r="A507" s="18" t="s">
        <v>2650</v>
      </c>
      <c r="B507" s="3" t="str">
        <f>IFERROR(INDEX(Movimientos!$C$2:$C$1998,MATCH(A507&amp;"ENTRADA",Movimientos!$R$2:$R$1998,0)),"-")</f>
        <v>-</v>
      </c>
      <c r="C507" s="3" t="str">
        <f>IFERROR(INDEX(Movimientos!$D$2:$D$1998,MATCH(A507&amp;"ENTRADA",Movimientos!$R$2:$R$1998,0)),"-")</f>
        <v>-</v>
      </c>
      <c r="D507" s="3" t="str">
        <f>IFERROR(INDEX(Movimientos!$E$2:$E$1998,MATCH(A507&amp;"ENTRADA",Movimientos!$R$2:$R$1998,0)),"-")</f>
        <v>-</v>
      </c>
      <c r="E507" s="3" t="str">
        <f>IFERROR(INDEX(Movimientos!$F$2:$F$1998,MATCH(A507&amp;"ENTRADA",Movimientos!$R$2:$R$1998,0)),"-")</f>
        <v>-</v>
      </c>
      <c r="F507" s="3" t="str">
        <f>IFERROR(INDEX(Movimientos!$G$2:$G$1998,MATCH(A507&amp;"ENTRADA",Movimientos!$R$2:$R$1998,0)),"-")</f>
        <v>-</v>
      </c>
      <c r="G507" s="3" t="str">
        <f>IFERROR(INDEX(Movimientos!$L$2:$L$1998,MATCH(A507&amp;"ENTRADA",Movimientos!$R$2:$R$1998,0)),"-")</f>
        <v>-</v>
      </c>
      <c r="H507" s="19" t="str">
        <f>IFERROR(IF(INDEX(Movimientos!$M$2:$M$1998,MATCH(A507&amp;"ENTRADA",Movimientos!$R$2:$R$1998,0))=0,"S/D",INDEX(Movimientos!$M$2:$M$1998,MATCH(A507&amp;"ENTRADA",Movimientos!$R$2:$R$1998,0))),"S/D")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5"/>
        <v>SIN STOCK</v>
      </c>
    </row>
    <row r="508" spans="1:11" ht="14.25">
      <c r="A508" s="18" t="s">
        <v>2651</v>
      </c>
      <c r="B508" s="3" t="str">
        <f>IFERROR(INDEX(Movimientos!$C$2:$C$1998,MATCH(A508&amp;"ENTRADA",Movimientos!$R$2:$R$1998,0)),"-")</f>
        <v>-</v>
      </c>
      <c r="C508" s="3" t="str">
        <f>IFERROR(INDEX(Movimientos!$D$2:$D$1998,MATCH(A508&amp;"ENTRADA",Movimientos!$R$2:$R$1998,0)),"-")</f>
        <v>-</v>
      </c>
      <c r="D508" s="3" t="str">
        <f>IFERROR(INDEX(Movimientos!$E$2:$E$1998,MATCH(A508&amp;"ENTRADA",Movimientos!$R$2:$R$1998,0)),"-")</f>
        <v>-</v>
      </c>
      <c r="E508" s="3" t="str">
        <f>IFERROR(INDEX(Movimientos!$F$2:$F$1998,MATCH(A508&amp;"ENTRADA",Movimientos!$R$2:$R$1998,0)),"-")</f>
        <v>-</v>
      </c>
      <c r="F508" s="3" t="str">
        <f>IFERROR(INDEX(Movimientos!$G$2:$G$1998,MATCH(A508&amp;"ENTRADA",Movimientos!$R$2:$R$1998,0)),"-")</f>
        <v>-</v>
      </c>
      <c r="G508" s="3" t="str">
        <f>IFERROR(INDEX(Movimientos!$L$2:$L$1998,MATCH(A508&amp;"ENTRADA",Movimientos!$R$2:$R$1998,0)),"-")</f>
        <v>-</v>
      </c>
      <c r="H508" s="19" t="str">
        <f>IFERROR(IF(INDEX(Movimientos!$M$2:$M$1998,MATCH(A508&amp;"ENTRADA",Movimientos!$R$2:$R$1998,0))=0,"S/D",INDEX(Movimientos!$M$2:$M$1998,MATCH(A508&amp;"ENTRADA",Movimientos!$R$2:$R$1998,0))),"S/D")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5"/>
        <v>SIN STOCK</v>
      </c>
    </row>
    <row r="509" spans="1:11" ht="14.25">
      <c r="A509" s="18" t="s">
        <v>2652</v>
      </c>
      <c r="B509" s="3" t="str">
        <f>IFERROR(INDEX(Movimientos!$C$2:$C$1998,MATCH(A509&amp;"ENTRADA",Movimientos!$R$2:$R$1998,0)),"-")</f>
        <v>-</v>
      </c>
      <c r="C509" s="3" t="str">
        <f>IFERROR(INDEX(Movimientos!$D$2:$D$1998,MATCH(A509&amp;"ENTRADA",Movimientos!$R$2:$R$1998,0)),"-")</f>
        <v>-</v>
      </c>
      <c r="D509" s="3" t="str">
        <f>IFERROR(INDEX(Movimientos!$E$2:$E$1998,MATCH(A509&amp;"ENTRADA",Movimientos!$R$2:$R$1998,0)),"-")</f>
        <v>-</v>
      </c>
      <c r="E509" s="3" t="str">
        <f>IFERROR(INDEX(Movimientos!$F$2:$F$1998,MATCH(A509&amp;"ENTRADA",Movimientos!$R$2:$R$1998,0)),"-")</f>
        <v>-</v>
      </c>
      <c r="F509" s="3" t="str">
        <f>IFERROR(INDEX(Movimientos!$G$2:$G$1998,MATCH(A509&amp;"ENTRADA",Movimientos!$R$2:$R$1998,0)),"-")</f>
        <v>-</v>
      </c>
      <c r="G509" s="3" t="str">
        <f>IFERROR(INDEX(Movimientos!$L$2:$L$1998,MATCH(A509&amp;"ENTRADA",Movimientos!$R$2:$R$1998,0)),"-")</f>
        <v>-</v>
      </c>
      <c r="H509" s="19" t="str">
        <f>IFERROR(IF(INDEX(Movimientos!$M$2:$M$1998,MATCH(A509&amp;"ENTRADA",Movimientos!$R$2:$R$1998,0))=0,"S/D",INDEX(Movimientos!$M$2:$M$1998,MATCH(A509&amp;"ENTRADA",Movimientos!$R$2:$R$1998,0))),"S/D")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5"/>
        <v>SIN STOCK</v>
      </c>
    </row>
    <row r="510" spans="1:11" ht="14.25">
      <c r="A510" s="18" t="s">
        <v>2653</v>
      </c>
      <c r="B510" s="3" t="str">
        <f>IFERROR(INDEX(Movimientos!$C$2:$C$1998,MATCH(A510&amp;"ENTRADA",Movimientos!$R$2:$R$1998,0)),"-")</f>
        <v>-</v>
      </c>
      <c r="C510" s="3" t="str">
        <f>IFERROR(INDEX(Movimientos!$D$2:$D$1998,MATCH(A510&amp;"ENTRADA",Movimientos!$R$2:$R$1998,0)),"-")</f>
        <v>-</v>
      </c>
      <c r="D510" s="3" t="str">
        <f>IFERROR(INDEX(Movimientos!$E$2:$E$1998,MATCH(A510&amp;"ENTRADA",Movimientos!$R$2:$R$1998,0)),"-")</f>
        <v>-</v>
      </c>
      <c r="E510" s="3" t="str">
        <f>IFERROR(INDEX(Movimientos!$F$2:$F$1998,MATCH(A510&amp;"ENTRADA",Movimientos!$R$2:$R$1998,0)),"-")</f>
        <v>-</v>
      </c>
      <c r="F510" s="3" t="str">
        <f>IFERROR(INDEX(Movimientos!$G$2:$G$1998,MATCH(A510&amp;"ENTRADA",Movimientos!$R$2:$R$1998,0)),"-")</f>
        <v>-</v>
      </c>
      <c r="G510" s="3" t="str">
        <f>IFERROR(INDEX(Movimientos!$L$2:$L$1998,MATCH(A510&amp;"ENTRADA",Movimientos!$R$2:$R$1998,0)),"-")</f>
        <v>-</v>
      </c>
      <c r="H510" s="19" t="str">
        <f>IFERROR(IF(INDEX(Movimientos!$M$2:$M$1998,MATCH(A510&amp;"ENTRADA",Movimientos!$R$2:$R$1998,0))=0,"S/D",INDEX(Movimientos!$M$2:$M$1998,MATCH(A510&amp;"ENTRADA",Movimientos!$R$2:$R$1998,0))),"S/D")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5"/>
        <v>SIN STOCK</v>
      </c>
    </row>
    <row r="511" spans="1:11" ht="14.25">
      <c r="A511" s="18" t="s">
        <v>2654</v>
      </c>
      <c r="B511" s="3" t="str">
        <f>IFERROR(INDEX(Movimientos!$C$2:$C$1998,MATCH(A511&amp;"ENTRADA",Movimientos!$R$2:$R$1998,0)),"-")</f>
        <v>-</v>
      </c>
      <c r="C511" s="3" t="str">
        <f>IFERROR(INDEX(Movimientos!$D$2:$D$1998,MATCH(A511&amp;"ENTRADA",Movimientos!$R$2:$R$1998,0)),"-")</f>
        <v>-</v>
      </c>
      <c r="D511" s="3" t="str">
        <f>IFERROR(INDEX(Movimientos!$E$2:$E$1998,MATCH(A511&amp;"ENTRADA",Movimientos!$R$2:$R$1998,0)),"-")</f>
        <v>-</v>
      </c>
      <c r="E511" s="3" t="str">
        <f>IFERROR(INDEX(Movimientos!$F$2:$F$1998,MATCH(A511&amp;"ENTRADA",Movimientos!$R$2:$R$1998,0)),"-")</f>
        <v>-</v>
      </c>
      <c r="F511" s="3" t="str">
        <f>IFERROR(INDEX(Movimientos!$G$2:$G$1998,MATCH(A511&amp;"ENTRADA",Movimientos!$R$2:$R$1998,0)),"-")</f>
        <v>-</v>
      </c>
      <c r="G511" s="3" t="str">
        <f>IFERROR(INDEX(Movimientos!$L$2:$L$1998,MATCH(A511&amp;"ENTRADA",Movimientos!$R$2:$R$1998,0)),"-")</f>
        <v>-</v>
      </c>
      <c r="H511" s="19" t="str">
        <f>IFERROR(IF(INDEX(Movimientos!$M$2:$M$1998,MATCH(A511&amp;"ENTRADA",Movimientos!$R$2:$R$1998,0))=0,"S/D",INDEX(Movimientos!$M$2:$M$1998,MATCH(A511&amp;"ENTRADA",Movimientos!$R$2:$R$1998,0))),"S/D")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5"/>
        <v>SIN STOCK</v>
      </c>
    </row>
    <row r="512" spans="1:11" ht="14.25">
      <c r="A512" s="18" t="s">
        <v>2655</v>
      </c>
      <c r="B512" s="3" t="str">
        <f>IFERROR(INDEX(Movimientos!$C$2:$C$1998,MATCH(A512&amp;"ENTRADA",Movimientos!$R$2:$R$1998,0)),"-")</f>
        <v>-</v>
      </c>
      <c r="C512" s="3" t="str">
        <f>IFERROR(INDEX(Movimientos!$D$2:$D$1998,MATCH(A512&amp;"ENTRADA",Movimientos!$R$2:$R$1998,0)),"-")</f>
        <v>-</v>
      </c>
      <c r="D512" s="3" t="str">
        <f>IFERROR(INDEX(Movimientos!$E$2:$E$1998,MATCH(A512&amp;"ENTRADA",Movimientos!$R$2:$R$1998,0)),"-")</f>
        <v>-</v>
      </c>
      <c r="E512" s="3" t="str">
        <f>IFERROR(INDEX(Movimientos!$F$2:$F$1998,MATCH(A512&amp;"ENTRADA",Movimientos!$R$2:$R$1998,0)),"-")</f>
        <v>-</v>
      </c>
      <c r="F512" s="3" t="str">
        <f>IFERROR(INDEX(Movimientos!$G$2:$G$1998,MATCH(A512&amp;"ENTRADA",Movimientos!$R$2:$R$1998,0)),"-")</f>
        <v>-</v>
      </c>
      <c r="G512" s="3" t="str">
        <f>IFERROR(INDEX(Movimientos!$L$2:$L$1998,MATCH(A512&amp;"ENTRADA",Movimientos!$R$2:$R$1998,0)),"-")</f>
        <v>-</v>
      </c>
      <c r="H512" s="19" t="str">
        <f>IFERROR(IF(INDEX(Movimientos!$M$2:$M$1998,MATCH(A512&amp;"ENTRADA",Movimientos!$R$2:$R$1998,0))=0,"S/D",INDEX(Movimientos!$M$2:$M$1998,MATCH(A512&amp;"ENTRADA",Movimientos!$R$2:$R$1998,0))),"S/D")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ref="K512:K575" ca="1" si="17">IF(A512="","",IF(J512&lt;0.01,"SIN STOCK",IF(H512="S/D","OK",IF(H512&lt;TODAY(),"VENCIDO",IF(I512&gt;=180,"OK","PRÓXIMO A VENCER")))))</f>
        <v>SIN STOCK</v>
      </c>
    </row>
    <row r="513" spans="1:11" ht="14.25">
      <c r="A513" s="18" t="s">
        <v>2656</v>
      </c>
      <c r="B513" s="3" t="str">
        <f>IFERROR(INDEX(Movimientos!$C$2:$C$1998,MATCH(A513&amp;"ENTRADA",Movimientos!$R$2:$R$1998,0)),"-")</f>
        <v>-</v>
      </c>
      <c r="C513" s="3" t="str">
        <f>IFERROR(INDEX(Movimientos!$D$2:$D$1998,MATCH(A513&amp;"ENTRADA",Movimientos!$R$2:$R$1998,0)),"-")</f>
        <v>-</v>
      </c>
      <c r="D513" s="3" t="str">
        <f>IFERROR(INDEX(Movimientos!$E$2:$E$1998,MATCH(A513&amp;"ENTRADA",Movimientos!$R$2:$R$1998,0)),"-")</f>
        <v>-</v>
      </c>
      <c r="E513" s="3" t="str">
        <f>IFERROR(INDEX(Movimientos!$F$2:$F$1998,MATCH(A513&amp;"ENTRADA",Movimientos!$R$2:$R$1998,0)),"-")</f>
        <v>-</v>
      </c>
      <c r="F513" s="3" t="str">
        <f>IFERROR(INDEX(Movimientos!$G$2:$G$1998,MATCH(A513&amp;"ENTRADA",Movimientos!$R$2:$R$1998,0)),"-")</f>
        <v>-</v>
      </c>
      <c r="G513" s="3" t="str">
        <f>IFERROR(INDEX(Movimientos!$L$2:$L$1998,MATCH(A513&amp;"ENTRADA",Movimientos!$R$2:$R$1998,0)),"-")</f>
        <v>-</v>
      </c>
      <c r="H513" s="19" t="str">
        <f>IFERROR(IF(INDEX(Movimientos!$M$2:$M$1998,MATCH(A513&amp;"ENTRADA",Movimientos!$R$2:$R$1998,0))=0,"S/D",INDEX(Movimientos!$M$2:$M$1998,MATCH(A513&amp;"ENTRADA",Movimientos!$R$2:$R$1998,0))),"S/D")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SIN STOCK</v>
      </c>
    </row>
    <row r="514" spans="1:11" ht="14.25">
      <c r="A514" s="18" t="s">
        <v>2657</v>
      </c>
      <c r="B514" s="3" t="str">
        <f>IFERROR(INDEX(Movimientos!$C$2:$C$1998,MATCH(A514&amp;"ENTRADA",Movimientos!$R$2:$R$1998,0)),"-")</f>
        <v>-</v>
      </c>
      <c r="C514" s="3" t="str">
        <f>IFERROR(INDEX(Movimientos!$D$2:$D$1998,MATCH(A514&amp;"ENTRADA",Movimientos!$R$2:$R$1998,0)),"-")</f>
        <v>-</v>
      </c>
      <c r="D514" s="3" t="str">
        <f>IFERROR(INDEX(Movimientos!$E$2:$E$1998,MATCH(A514&amp;"ENTRADA",Movimientos!$R$2:$R$1998,0)),"-")</f>
        <v>-</v>
      </c>
      <c r="E514" s="3" t="str">
        <f>IFERROR(INDEX(Movimientos!$F$2:$F$1998,MATCH(A514&amp;"ENTRADA",Movimientos!$R$2:$R$1998,0)),"-")</f>
        <v>-</v>
      </c>
      <c r="F514" s="3" t="str">
        <f>IFERROR(INDEX(Movimientos!$G$2:$G$1998,MATCH(A514&amp;"ENTRADA",Movimientos!$R$2:$R$1998,0)),"-")</f>
        <v>-</v>
      </c>
      <c r="G514" s="3" t="str">
        <f>IFERROR(INDEX(Movimientos!$L$2:$L$1998,MATCH(A514&amp;"ENTRADA",Movimientos!$R$2:$R$1998,0)),"-")</f>
        <v>-</v>
      </c>
      <c r="H514" s="19" t="str">
        <f>IFERROR(IF(INDEX(Movimientos!$M$2:$M$1998,MATCH(A514&amp;"ENTRADA",Movimientos!$R$2:$R$1998,0))=0,"S/D",INDEX(Movimientos!$M$2:$M$1998,MATCH(A514&amp;"ENTRADA",Movimientos!$R$2:$R$1998,0))),"S/D")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SIN STOCK</v>
      </c>
    </row>
    <row r="515" spans="1:11" ht="14.25">
      <c r="A515" s="18" t="s">
        <v>2658</v>
      </c>
      <c r="B515" s="3" t="str">
        <f>IFERROR(INDEX(Movimientos!$C$2:$C$1998,MATCH(A515&amp;"ENTRADA",Movimientos!$R$2:$R$1998,0)),"-")</f>
        <v>-</v>
      </c>
      <c r="C515" s="3" t="str">
        <f>IFERROR(INDEX(Movimientos!$D$2:$D$1998,MATCH(A515&amp;"ENTRADA",Movimientos!$R$2:$R$1998,0)),"-")</f>
        <v>-</v>
      </c>
      <c r="D515" s="3" t="str">
        <f>IFERROR(INDEX(Movimientos!$E$2:$E$1998,MATCH(A515&amp;"ENTRADA",Movimientos!$R$2:$R$1998,0)),"-")</f>
        <v>-</v>
      </c>
      <c r="E515" s="3" t="str">
        <f>IFERROR(INDEX(Movimientos!$F$2:$F$1998,MATCH(A515&amp;"ENTRADA",Movimientos!$R$2:$R$1998,0)),"-")</f>
        <v>-</v>
      </c>
      <c r="F515" s="3" t="str">
        <f>IFERROR(INDEX(Movimientos!$G$2:$G$1998,MATCH(A515&amp;"ENTRADA",Movimientos!$R$2:$R$1998,0)),"-")</f>
        <v>-</v>
      </c>
      <c r="G515" s="3" t="str">
        <f>IFERROR(INDEX(Movimientos!$L$2:$L$1998,MATCH(A515&amp;"ENTRADA",Movimientos!$R$2:$R$1998,0)),"-")</f>
        <v>-</v>
      </c>
      <c r="H515" s="19" t="str">
        <f>IFERROR(IF(INDEX(Movimientos!$M$2:$M$1998,MATCH(A515&amp;"ENTRADA",Movimientos!$R$2:$R$1998,0))=0,"S/D",INDEX(Movimientos!$M$2:$M$1998,MATCH(A515&amp;"ENTRADA",Movimientos!$R$2:$R$1998,0))),"S/D")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SIN STOCK</v>
      </c>
    </row>
    <row r="516" spans="1:11" ht="14.25">
      <c r="A516" s="18" t="s">
        <v>2659</v>
      </c>
      <c r="B516" s="3" t="str">
        <f>IFERROR(INDEX(Movimientos!$C$2:$C$1998,MATCH(A516&amp;"ENTRADA",Movimientos!$R$2:$R$1998,0)),"-")</f>
        <v>-</v>
      </c>
      <c r="C516" s="3" t="str">
        <f>IFERROR(INDEX(Movimientos!$D$2:$D$1998,MATCH(A516&amp;"ENTRADA",Movimientos!$R$2:$R$1998,0)),"-")</f>
        <v>-</v>
      </c>
      <c r="D516" s="3" t="str">
        <f>IFERROR(INDEX(Movimientos!$E$2:$E$1998,MATCH(A516&amp;"ENTRADA",Movimientos!$R$2:$R$1998,0)),"-")</f>
        <v>-</v>
      </c>
      <c r="E516" s="3" t="str">
        <f>IFERROR(INDEX(Movimientos!$F$2:$F$1998,MATCH(A516&amp;"ENTRADA",Movimientos!$R$2:$R$1998,0)),"-")</f>
        <v>-</v>
      </c>
      <c r="F516" s="3" t="str">
        <f>IFERROR(INDEX(Movimientos!$G$2:$G$1998,MATCH(A516&amp;"ENTRADA",Movimientos!$R$2:$R$1998,0)),"-")</f>
        <v>-</v>
      </c>
      <c r="G516" s="3" t="str">
        <f>IFERROR(INDEX(Movimientos!$L$2:$L$1998,MATCH(A516&amp;"ENTRADA",Movimientos!$R$2:$R$1998,0)),"-")</f>
        <v>-</v>
      </c>
      <c r="H516" s="19" t="str">
        <f>IFERROR(IF(INDEX(Movimientos!$M$2:$M$1998,MATCH(A516&amp;"ENTRADA",Movimientos!$R$2:$R$1998,0))=0,"S/D",INDEX(Movimientos!$M$2:$M$1998,MATCH(A516&amp;"ENTRADA",Movimientos!$R$2:$R$1998,0))),"S/D")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SIN STOCK</v>
      </c>
    </row>
    <row r="517" spans="1:11" ht="14.25">
      <c r="A517" s="18" t="s">
        <v>2660</v>
      </c>
      <c r="B517" s="3" t="str">
        <f>IFERROR(INDEX(Movimientos!$C$2:$C$1998,MATCH(A517&amp;"ENTRADA",Movimientos!$R$2:$R$1998,0)),"-")</f>
        <v>-</v>
      </c>
      <c r="C517" s="3" t="str">
        <f>IFERROR(INDEX(Movimientos!$D$2:$D$1998,MATCH(A517&amp;"ENTRADA",Movimientos!$R$2:$R$1998,0)),"-")</f>
        <v>-</v>
      </c>
      <c r="D517" s="3" t="str">
        <f>IFERROR(INDEX(Movimientos!$E$2:$E$1998,MATCH(A517&amp;"ENTRADA",Movimientos!$R$2:$R$1998,0)),"-")</f>
        <v>-</v>
      </c>
      <c r="E517" s="3" t="str">
        <f>IFERROR(INDEX(Movimientos!$F$2:$F$1998,MATCH(A517&amp;"ENTRADA",Movimientos!$R$2:$R$1998,0)),"-")</f>
        <v>-</v>
      </c>
      <c r="F517" s="3" t="str">
        <f>IFERROR(INDEX(Movimientos!$G$2:$G$1998,MATCH(A517&amp;"ENTRADA",Movimientos!$R$2:$R$1998,0)),"-")</f>
        <v>-</v>
      </c>
      <c r="G517" s="3" t="str">
        <f>IFERROR(INDEX(Movimientos!$L$2:$L$1998,MATCH(A517&amp;"ENTRADA",Movimientos!$R$2:$R$1998,0)),"-")</f>
        <v>-</v>
      </c>
      <c r="H517" s="19" t="str">
        <f>IFERROR(IF(INDEX(Movimientos!$M$2:$M$1998,MATCH(A517&amp;"ENTRADA",Movimientos!$R$2:$R$1998,0))=0,"S/D",INDEX(Movimientos!$M$2:$M$1998,MATCH(A517&amp;"ENTRADA",Movimientos!$R$2:$R$1998,0))),"S/D")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SIN STOCK</v>
      </c>
    </row>
    <row r="518" spans="1:11" ht="14.25">
      <c r="A518" s="18" t="s">
        <v>2661</v>
      </c>
      <c r="B518" s="3" t="str">
        <f>IFERROR(INDEX(Movimientos!$C$2:$C$1998,MATCH(A518&amp;"ENTRADA",Movimientos!$R$2:$R$1998,0)),"-")</f>
        <v>-</v>
      </c>
      <c r="C518" s="3" t="str">
        <f>IFERROR(INDEX(Movimientos!$D$2:$D$1998,MATCH(A518&amp;"ENTRADA",Movimientos!$R$2:$R$1998,0)),"-")</f>
        <v>-</v>
      </c>
      <c r="D518" s="3" t="str">
        <f>IFERROR(INDEX(Movimientos!$E$2:$E$1998,MATCH(A518&amp;"ENTRADA",Movimientos!$R$2:$R$1998,0)),"-")</f>
        <v>-</v>
      </c>
      <c r="E518" s="3" t="str">
        <f>IFERROR(INDEX(Movimientos!$F$2:$F$1998,MATCH(A518&amp;"ENTRADA",Movimientos!$R$2:$R$1998,0)),"-")</f>
        <v>-</v>
      </c>
      <c r="F518" s="3" t="str">
        <f>IFERROR(INDEX(Movimientos!$G$2:$G$1998,MATCH(A518&amp;"ENTRADA",Movimientos!$R$2:$R$1998,0)),"-")</f>
        <v>-</v>
      </c>
      <c r="G518" s="3" t="str">
        <f>IFERROR(INDEX(Movimientos!$L$2:$L$1998,MATCH(A518&amp;"ENTRADA",Movimientos!$R$2:$R$1998,0)),"-")</f>
        <v>-</v>
      </c>
      <c r="H518" s="19" t="str">
        <f>IFERROR(IF(INDEX(Movimientos!$M$2:$M$1998,MATCH(A518&amp;"ENTRADA",Movimientos!$R$2:$R$1998,0))=0,"S/D",INDEX(Movimientos!$M$2:$M$1998,MATCH(A518&amp;"ENTRADA",Movimientos!$R$2:$R$1998,0))),"S/D")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SIN STOCK</v>
      </c>
    </row>
    <row r="519" spans="1:11" ht="14.25">
      <c r="A519" s="18" t="s">
        <v>2662</v>
      </c>
      <c r="B519" s="3" t="str">
        <f>IFERROR(INDEX(Movimientos!$C$2:$C$1998,MATCH(A519&amp;"ENTRADA",Movimientos!$R$2:$R$1998,0)),"-")</f>
        <v>-</v>
      </c>
      <c r="C519" s="3" t="str">
        <f>IFERROR(INDEX(Movimientos!$D$2:$D$1998,MATCH(A519&amp;"ENTRADA",Movimientos!$R$2:$R$1998,0)),"-")</f>
        <v>-</v>
      </c>
      <c r="D519" s="3" t="str">
        <f>IFERROR(INDEX(Movimientos!$E$2:$E$1998,MATCH(A519&amp;"ENTRADA",Movimientos!$R$2:$R$1998,0)),"-")</f>
        <v>-</v>
      </c>
      <c r="E519" s="3" t="str">
        <f>IFERROR(INDEX(Movimientos!$F$2:$F$1998,MATCH(A519&amp;"ENTRADA",Movimientos!$R$2:$R$1998,0)),"-")</f>
        <v>-</v>
      </c>
      <c r="F519" s="3" t="str">
        <f>IFERROR(INDEX(Movimientos!$G$2:$G$1998,MATCH(A519&amp;"ENTRADA",Movimientos!$R$2:$R$1998,0)),"-")</f>
        <v>-</v>
      </c>
      <c r="G519" s="3" t="str">
        <f>IFERROR(INDEX(Movimientos!$L$2:$L$1998,MATCH(A519&amp;"ENTRADA",Movimientos!$R$2:$R$1998,0)),"-")</f>
        <v>-</v>
      </c>
      <c r="H519" s="19" t="str">
        <f>IFERROR(IF(INDEX(Movimientos!$M$2:$M$1998,MATCH(A519&amp;"ENTRADA",Movimientos!$R$2:$R$1998,0))=0,"S/D",INDEX(Movimientos!$M$2:$M$1998,MATCH(A519&amp;"ENTRADA",Movimientos!$R$2:$R$1998,0))),"S/D")</f>
        <v>S/D</v>
      </c>
      <c r="I519" s="16" t="str">
        <f t="shared" ref="I519:I582" ca="1" si="18">IF(OR(A519="",H519="S/D"),"S/D",H519-TODAY())</f>
        <v>S/D</v>
      </c>
      <c r="J519" s="6">
        <f>IF(A519="","",SUMIFS(Movimientos!$K:$K,Movimientos!$H:$H,A519))</f>
        <v>0</v>
      </c>
      <c r="K519" s="14" t="str">
        <f t="shared" ca="1" si="17"/>
        <v>SIN STOCK</v>
      </c>
    </row>
    <row r="520" spans="1:11" ht="14.25">
      <c r="A520" s="18" t="s">
        <v>2663</v>
      </c>
      <c r="B520" s="3" t="str">
        <f>IFERROR(INDEX(Movimientos!$C$2:$C$1998,MATCH(A520&amp;"ENTRADA",Movimientos!$R$2:$R$1998,0)),"-")</f>
        <v>-</v>
      </c>
      <c r="C520" s="3" t="str">
        <f>IFERROR(INDEX(Movimientos!$D$2:$D$1998,MATCH(A520&amp;"ENTRADA",Movimientos!$R$2:$R$1998,0)),"-")</f>
        <v>-</v>
      </c>
      <c r="D520" s="3" t="str">
        <f>IFERROR(INDEX(Movimientos!$E$2:$E$1998,MATCH(A520&amp;"ENTRADA",Movimientos!$R$2:$R$1998,0)),"-")</f>
        <v>-</v>
      </c>
      <c r="E520" s="3" t="str">
        <f>IFERROR(INDEX(Movimientos!$F$2:$F$1998,MATCH(A520&amp;"ENTRADA",Movimientos!$R$2:$R$1998,0)),"-")</f>
        <v>-</v>
      </c>
      <c r="F520" s="3" t="str">
        <f>IFERROR(INDEX(Movimientos!$G$2:$G$1998,MATCH(A520&amp;"ENTRADA",Movimientos!$R$2:$R$1998,0)),"-")</f>
        <v>-</v>
      </c>
      <c r="G520" s="3" t="str">
        <f>IFERROR(INDEX(Movimientos!$L$2:$L$1998,MATCH(A520&amp;"ENTRADA",Movimientos!$R$2:$R$1998,0)),"-")</f>
        <v>-</v>
      </c>
      <c r="H520" s="19" t="str">
        <f>IFERROR(IF(INDEX(Movimientos!$M$2:$M$1998,MATCH(A520&amp;"ENTRADA",Movimientos!$R$2:$R$1998,0))=0,"S/D",INDEX(Movimientos!$M$2:$M$1998,MATCH(A520&amp;"ENTRADA",Movimientos!$R$2:$R$1998,0))),"S/D")</f>
        <v>S/D</v>
      </c>
      <c r="I520" s="16" t="str">
        <f t="shared" ca="1" si="18"/>
        <v>S/D</v>
      </c>
      <c r="J520" s="6">
        <f>IF(A520="","",SUMIFS(Movimientos!$K:$K,Movimientos!$H:$H,A520))</f>
        <v>0</v>
      </c>
      <c r="K520" s="14" t="str">
        <f t="shared" ca="1" si="17"/>
        <v>SIN STOCK</v>
      </c>
    </row>
    <row r="521" spans="1:11" ht="14.25">
      <c r="A521" s="18" t="s">
        <v>2664</v>
      </c>
      <c r="B521" s="3" t="str">
        <f>IFERROR(INDEX(Movimientos!$C$2:$C$1998,MATCH(A521&amp;"ENTRADA",Movimientos!$R$2:$R$1998,0)),"-")</f>
        <v>-</v>
      </c>
      <c r="C521" s="3" t="str">
        <f>IFERROR(INDEX(Movimientos!$D$2:$D$1998,MATCH(A521&amp;"ENTRADA",Movimientos!$R$2:$R$1998,0)),"-")</f>
        <v>-</v>
      </c>
      <c r="D521" s="3" t="str">
        <f>IFERROR(INDEX(Movimientos!$E$2:$E$1998,MATCH(A521&amp;"ENTRADA",Movimientos!$R$2:$R$1998,0)),"-")</f>
        <v>-</v>
      </c>
      <c r="E521" s="3" t="str">
        <f>IFERROR(INDEX(Movimientos!$F$2:$F$1998,MATCH(A521&amp;"ENTRADA",Movimientos!$R$2:$R$1998,0)),"-")</f>
        <v>-</v>
      </c>
      <c r="F521" s="3" t="str">
        <f>IFERROR(INDEX(Movimientos!$G$2:$G$1998,MATCH(A521&amp;"ENTRADA",Movimientos!$R$2:$R$1998,0)),"-")</f>
        <v>-</v>
      </c>
      <c r="G521" s="3" t="str">
        <f>IFERROR(INDEX(Movimientos!$L$2:$L$1998,MATCH(A521&amp;"ENTRADA",Movimientos!$R$2:$R$1998,0)),"-")</f>
        <v>-</v>
      </c>
      <c r="H521" s="19" t="str">
        <f>IFERROR(IF(INDEX(Movimientos!$M$2:$M$1998,MATCH(A521&amp;"ENTRADA",Movimientos!$R$2:$R$1998,0))=0,"S/D",INDEX(Movimientos!$M$2:$M$1998,MATCH(A521&amp;"ENTRADA",Movimientos!$R$2:$R$1998,0))),"S/D")</f>
        <v>S/D</v>
      </c>
      <c r="I521" s="16" t="str">
        <f t="shared" ca="1" si="18"/>
        <v>S/D</v>
      </c>
      <c r="J521" s="6">
        <f>IF(A521="","",SUMIFS(Movimientos!$K:$K,Movimientos!$H:$H,A521))</f>
        <v>0</v>
      </c>
      <c r="K521" s="14" t="str">
        <f t="shared" ca="1" si="17"/>
        <v>SIN STOCK</v>
      </c>
    </row>
    <row r="522" spans="1:11" ht="14.25">
      <c r="A522" s="18" t="s">
        <v>2665</v>
      </c>
      <c r="B522" s="3" t="str">
        <f>IFERROR(INDEX(Movimientos!$C$2:$C$1998,MATCH(A522&amp;"ENTRADA",Movimientos!$R$2:$R$1998,0)),"-")</f>
        <v>-</v>
      </c>
      <c r="C522" s="3" t="str">
        <f>IFERROR(INDEX(Movimientos!$D$2:$D$1998,MATCH(A522&amp;"ENTRADA",Movimientos!$R$2:$R$1998,0)),"-")</f>
        <v>-</v>
      </c>
      <c r="D522" s="3" t="str">
        <f>IFERROR(INDEX(Movimientos!$E$2:$E$1998,MATCH(A522&amp;"ENTRADA",Movimientos!$R$2:$R$1998,0)),"-")</f>
        <v>-</v>
      </c>
      <c r="E522" s="3" t="str">
        <f>IFERROR(INDEX(Movimientos!$F$2:$F$1998,MATCH(A522&amp;"ENTRADA",Movimientos!$R$2:$R$1998,0)),"-")</f>
        <v>-</v>
      </c>
      <c r="F522" s="3" t="str">
        <f>IFERROR(INDEX(Movimientos!$G$2:$G$1998,MATCH(A522&amp;"ENTRADA",Movimientos!$R$2:$R$1998,0)),"-")</f>
        <v>-</v>
      </c>
      <c r="G522" s="3" t="str">
        <f>IFERROR(INDEX(Movimientos!$L$2:$L$1998,MATCH(A522&amp;"ENTRADA",Movimientos!$R$2:$R$1998,0)),"-")</f>
        <v>-</v>
      </c>
      <c r="H522" s="19" t="str">
        <f>IFERROR(IF(INDEX(Movimientos!$M$2:$M$1998,MATCH(A522&amp;"ENTRADA",Movimientos!$R$2:$R$1998,0))=0,"S/D",INDEX(Movimientos!$M$2:$M$1998,MATCH(A522&amp;"ENTRADA",Movimientos!$R$2:$R$1998,0))),"S/D")</f>
        <v>S/D</v>
      </c>
      <c r="I522" s="16" t="str">
        <f t="shared" ca="1" si="18"/>
        <v>S/D</v>
      </c>
      <c r="J522" s="6">
        <f>IF(A522="","",SUMIFS(Movimientos!$K:$K,Movimientos!$H:$H,A522))</f>
        <v>0</v>
      </c>
      <c r="K522" s="14" t="str">
        <f t="shared" ca="1" si="17"/>
        <v>SIN STOCK</v>
      </c>
    </row>
    <row r="523" spans="1:11" ht="14.25">
      <c r="A523" s="18" t="s">
        <v>2666</v>
      </c>
      <c r="B523" s="3" t="str">
        <f>IFERROR(INDEX(Movimientos!$C$2:$C$1998,MATCH(A523&amp;"ENTRADA",Movimientos!$R$2:$R$1998,0)),"-")</f>
        <v>-</v>
      </c>
      <c r="C523" s="3" t="str">
        <f>IFERROR(INDEX(Movimientos!$D$2:$D$1998,MATCH(A523&amp;"ENTRADA",Movimientos!$R$2:$R$1998,0)),"-")</f>
        <v>-</v>
      </c>
      <c r="D523" s="3" t="str">
        <f>IFERROR(INDEX(Movimientos!$E$2:$E$1998,MATCH(A523&amp;"ENTRADA",Movimientos!$R$2:$R$1998,0)),"-")</f>
        <v>-</v>
      </c>
      <c r="E523" s="3" t="str">
        <f>IFERROR(INDEX(Movimientos!$F$2:$F$1998,MATCH(A523&amp;"ENTRADA",Movimientos!$R$2:$R$1998,0)),"-")</f>
        <v>-</v>
      </c>
      <c r="F523" s="3" t="str">
        <f>IFERROR(INDEX(Movimientos!$G$2:$G$1998,MATCH(A523&amp;"ENTRADA",Movimientos!$R$2:$R$1998,0)),"-")</f>
        <v>-</v>
      </c>
      <c r="G523" s="3" t="str">
        <f>IFERROR(INDEX(Movimientos!$L$2:$L$1998,MATCH(A523&amp;"ENTRADA",Movimientos!$R$2:$R$1998,0)),"-")</f>
        <v>-</v>
      </c>
      <c r="H523" s="19" t="str">
        <f>IFERROR(IF(INDEX(Movimientos!$M$2:$M$1998,MATCH(A523&amp;"ENTRADA",Movimientos!$R$2:$R$1998,0))=0,"S/D",INDEX(Movimientos!$M$2:$M$1998,MATCH(A523&amp;"ENTRADA",Movimientos!$R$2:$R$1998,0))),"S/D")</f>
        <v>S/D</v>
      </c>
      <c r="I523" s="16" t="str">
        <f t="shared" ca="1" si="18"/>
        <v>S/D</v>
      </c>
      <c r="J523" s="6">
        <f>IF(A523="","",SUMIFS(Movimientos!$K:$K,Movimientos!$H:$H,A523))</f>
        <v>0</v>
      </c>
      <c r="K523" s="14" t="str">
        <f t="shared" ca="1" si="17"/>
        <v>SIN STOCK</v>
      </c>
    </row>
    <row r="524" spans="1:11" ht="14.25">
      <c r="A524" s="18" t="s">
        <v>2667</v>
      </c>
      <c r="B524" s="3" t="str">
        <f>IFERROR(INDEX(Movimientos!$C$2:$C$1998,MATCH(A524&amp;"ENTRADA",Movimientos!$R$2:$R$1998,0)),"-")</f>
        <v>-</v>
      </c>
      <c r="C524" s="3" t="str">
        <f>IFERROR(INDEX(Movimientos!$D$2:$D$1998,MATCH(A524&amp;"ENTRADA",Movimientos!$R$2:$R$1998,0)),"-")</f>
        <v>-</v>
      </c>
      <c r="D524" s="3" t="str">
        <f>IFERROR(INDEX(Movimientos!$E$2:$E$1998,MATCH(A524&amp;"ENTRADA",Movimientos!$R$2:$R$1998,0)),"-")</f>
        <v>-</v>
      </c>
      <c r="E524" s="3" t="str">
        <f>IFERROR(INDEX(Movimientos!$F$2:$F$1998,MATCH(A524&amp;"ENTRADA",Movimientos!$R$2:$R$1998,0)),"-")</f>
        <v>-</v>
      </c>
      <c r="F524" s="3" t="str">
        <f>IFERROR(INDEX(Movimientos!$G$2:$G$1998,MATCH(A524&amp;"ENTRADA",Movimientos!$R$2:$R$1998,0)),"-")</f>
        <v>-</v>
      </c>
      <c r="G524" s="3" t="str">
        <f>IFERROR(INDEX(Movimientos!$L$2:$L$1998,MATCH(A524&amp;"ENTRADA",Movimientos!$R$2:$R$1998,0)),"-")</f>
        <v>-</v>
      </c>
      <c r="H524" s="19" t="str">
        <f>IFERROR(IF(INDEX(Movimientos!$M$2:$M$1998,MATCH(A524&amp;"ENTRADA",Movimientos!$R$2:$R$1998,0))=0,"S/D",INDEX(Movimientos!$M$2:$M$1998,MATCH(A524&amp;"ENTRADA",Movimientos!$R$2:$R$1998,0))),"S/D")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7"/>
        <v>SIN STOCK</v>
      </c>
    </row>
    <row r="525" spans="1:11" ht="14.25">
      <c r="A525" s="18" t="s">
        <v>2668</v>
      </c>
      <c r="B525" s="3" t="str">
        <f>IFERROR(INDEX(Movimientos!$C$2:$C$1998,MATCH(A525&amp;"ENTRADA",Movimientos!$R$2:$R$1998,0)),"-")</f>
        <v>-</v>
      </c>
      <c r="C525" s="3" t="str">
        <f>IFERROR(INDEX(Movimientos!$D$2:$D$1998,MATCH(A525&amp;"ENTRADA",Movimientos!$R$2:$R$1998,0)),"-")</f>
        <v>-</v>
      </c>
      <c r="D525" s="3" t="str">
        <f>IFERROR(INDEX(Movimientos!$E$2:$E$1998,MATCH(A525&amp;"ENTRADA",Movimientos!$R$2:$R$1998,0)),"-")</f>
        <v>-</v>
      </c>
      <c r="E525" s="3" t="str">
        <f>IFERROR(INDEX(Movimientos!$F$2:$F$1998,MATCH(A525&amp;"ENTRADA",Movimientos!$R$2:$R$1998,0)),"-")</f>
        <v>-</v>
      </c>
      <c r="F525" s="3" t="str">
        <f>IFERROR(INDEX(Movimientos!$G$2:$G$1998,MATCH(A525&amp;"ENTRADA",Movimientos!$R$2:$R$1998,0)),"-")</f>
        <v>-</v>
      </c>
      <c r="G525" s="3" t="str">
        <f>IFERROR(INDEX(Movimientos!$L$2:$L$1998,MATCH(A525&amp;"ENTRADA",Movimientos!$R$2:$R$1998,0)),"-")</f>
        <v>-</v>
      </c>
      <c r="H525" s="19" t="str">
        <f>IFERROR(IF(INDEX(Movimientos!$M$2:$M$1998,MATCH(A525&amp;"ENTRADA",Movimientos!$R$2:$R$1998,0))=0,"S/D",INDEX(Movimientos!$M$2:$M$1998,MATCH(A525&amp;"ENTRADA",Movimientos!$R$2:$R$1998,0))),"S/D")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7"/>
        <v>SIN STOCK</v>
      </c>
    </row>
    <row r="526" spans="1:11" ht="14.25">
      <c r="A526" s="18" t="s">
        <v>2669</v>
      </c>
      <c r="B526" s="3" t="str">
        <f>IFERROR(INDEX(Movimientos!$C$2:$C$1998,MATCH(A526&amp;"ENTRADA",Movimientos!$R$2:$R$1998,0)),"-")</f>
        <v>-</v>
      </c>
      <c r="C526" s="3" t="str">
        <f>IFERROR(INDEX(Movimientos!$D$2:$D$1998,MATCH(A526&amp;"ENTRADA",Movimientos!$R$2:$R$1998,0)),"-")</f>
        <v>-</v>
      </c>
      <c r="D526" s="3" t="str">
        <f>IFERROR(INDEX(Movimientos!$E$2:$E$1998,MATCH(A526&amp;"ENTRADA",Movimientos!$R$2:$R$1998,0)),"-")</f>
        <v>-</v>
      </c>
      <c r="E526" s="3" t="str">
        <f>IFERROR(INDEX(Movimientos!$F$2:$F$1998,MATCH(A526&amp;"ENTRADA",Movimientos!$R$2:$R$1998,0)),"-")</f>
        <v>-</v>
      </c>
      <c r="F526" s="3" t="str">
        <f>IFERROR(INDEX(Movimientos!$G$2:$G$1998,MATCH(A526&amp;"ENTRADA",Movimientos!$R$2:$R$1998,0)),"-")</f>
        <v>-</v>
      </c>
      <c r="G526" s="3" t="str">
        <f>IFERROR(INDEX(Movimientos!$L$2:$L$1998,MATCH(A526&amp;"ENTRADA",Movimientos!$R$2:$R$1998,0)),"-")</f>
        <v>-</v>
      </c>
      <c r="H526" s="19" t="str">
        <f>IFERROR(IF(INDEX(Movimientos!$M$2:$M$1998,MATCH(A526&amp;"ENTRADA",Movimientos!$R$2:$R$1998,0))=0,"S/D",INDEX(Movimientos!$M$2:$M$1998,MATCH(A526&amp;"ENTRADA",Movimientos!$R$2:$R$1998,0))),"S/D")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7"/>
        <v>SIN STOCK</v>
      </c>
    </row>
    <row r="527" spans="1:11" ht="14.25">
      <c r="A527" s="18" t="s">
        <v>2670</v>
      </c>
      <c r="B527" s="3" t="str">
        <f>IFERROR(INDEX(Movimientos!$C$2:$C$1998,MATCH(A527&amp;"ENTRADA",Movimientos!$R$2:$R$1998,0)),"-")</f>
        <v>-</v>
      </c>
      <c r="C527" s="3" t="str">
        <f>IFERROR(INDEX(Movimientos!$D$2:$D$1998,MATCH(A527&amp;"ENTRADA",Movimientos!$R$2:$R$1998,0)),"-")</f>
        <v>-</v>
      </c>
      <c r="D527" s="3" t="str">
        <f>IFERROR(INDEX(Movimientos!$E$2:$E$1998,MATCH(A527&amp;"ENTRADA",Movimientos!$R$2:$R$1998,0)),"-")</f>
        <v>-</v>
      </c>
      <c r="E527" s="3" t="str">
        <f>IFERROR(INDEX(Movimientos!$F$2:$F$1998,MATCH(A527&amp;"ENTRADA",Movimientos!$R$2:$R$1998,0)),"-")</f>
        <v>-</v>
      </c>
      <c r="F527" s="3" t="str">
        <f>IFERROR(INDEX(Movimientos!$G$2:$G$1998,MATCH(A527&amp;"ENTRADA",Movimientos!$R$2:$R$1998,0)),"-")</f>
        <v>-</v>
      </c>
      <c r="G527" s="3" t="str">
        <f>IFERROR(INDEX(Movimientos!$L$2:$L$1998,MATCH(A527&amp;"ENTRADA",Movimientos!$R$2:$R$1998,0)),"-")</f>
        <v>-</v>
      </c>
      <c r="H527" s="19" t="str">
        <f>IFERROR(IF(INDEX(Movimientos!$M$2:$M$1998,MATCH(A527&amp;"ENTRADA",Movimientos!$R$2:$R$1998,0))=0,"S/D",INDEX(Movimientos!$M$2:$M$1998,MATCH(A527&amp;"ENTRADA",Movimientos!$R$2:$R$1998,0))),"S/D")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7"/>
        <v>SIN STOCK</v>
      </c>
    </row>
    <row r="528" spans="1:11" ht="14.25">
      <c r="A528" s="18" t="s">
        <v>2671</v>
      </c>
      <c r="B528" s="3" t="str">
        <f>IFERROR(INDEX(Movimientos!$C$2:$C$1998,MATCH(A528&amp;"ENTRADA",Movimientos!$R$2:$R$1998,0)),"-")</f>
        <v>-</v>
      </c>
      <c r="C528" s="3" t="str">
        <f>IFERROR(INDEX(Movimientos!$D$2:$D$1998,MATCH(A528&amp;"ENTRADA",Movimientos!$R$2:$R$1998,0)),"-")</f>
        <v>-</v>
      </c>
      <c r="D528" s="3" t="str">
        <f>IFERROR(INDEX(Movimientos!$E$2:$E$1998,MATCH(A528&amp;"ENTRADA",Movimientos!$R$2:$R$1998,0)),"-")</f>
        <v>-</v>
      </c>
      <c r="E528" s="3" t="str">
        <f>IFERROR(INDEX(Movimientos!$F$2:$F$1998,MATCH(A528&amp;"ENTRADA",Movimientos!$R$2:$R$1998,0)),"-")</f>
        <v>-</v>
      </c>
      <c r="F528" s="3" t="str">
        <f>IFERROR(INDEX(Movimientos!$G$2:$G$1998,MATCH(A528&amp;"ENTRADA",Movimientos!$R$2:$R$1998,0)),"-")</f>
        <v>-</v>
      </c>
      <c r="G528" s="3" t="str">
        <f>IFERROR(INDEX(Movimientos!$L$2:$L$1998,MATCH(A528&amp;"ENTRADA",Movimientos!$R$2:$R$1998,0)),"-")</f>
        <v>-</v>
      </c>
      <c r="H528" s="19" t="str">
        <f>IFERROR(IF(INDEX(Movimientos!$M$2:$M$1998,MATCH(A528&amp;"ENTRADA",Movimientos!$R$2:$R$1998,0))=0,"S/D",INDEX(Movimientos!$M$2:$M$1998,MATCH(A528&amp;"ENTRADA",Movimientos!$R$2:$R$1998,0))),"S/D")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7"/>
        <v>SIN STOCK</v>
      </c>
    </row>
    <row r="529" spans="1:11" ht="14.25">
      <c r="A529" s="18" t="s">
        <v>2672</v>
      </c>
      <c r="B529" s="3" t="str">
        <f>IFERROR(INDEX(Movimientos!$C$2:$C$1998,MATCH(A529&amp;"ENTRADA",Movimientos!$R$2:$R$1998,0)),"-")</f>
        <v>-</v>
      </c>
      <c r="C529" s="3" t="str">
        <f>IFERROR(INDEX(Movimientos!$D$2:$D$1998,MATCH(A529&amp;"ENTRADA",Movimientos!$R$2:$R$1998,0)),"-")</f>
        <v>-</v>
      </c>
      <c r="D529" s="3" t="str">
        <f>IFERROR(INDEX(Movimientos!$E$2:$E$1998,MATCH(A529&amp;"ENTRADA",Movimientos!$R$2:$R$1998,0)),"-")</f>
        <v>-</v>
      </c>
      <c r="E529" s="3" t="str">
        <f>IFERROR(INDEX(Movimientos!$F$2:$F$1998,MATCH(A529&amp;"ENTRADA",Movimientos!$R$2:$R$1998,0)),"-")</f>
        <v>-</v>
      </c>
      <c r="F529" s="3" t="str">
        <f>IFERROR(INDEX(Movimientos!$G$2:$G$1998,MATCH(A529&amp;"ENTRADA",Movimientos!$R$2:$R$1998,0)),"-")</f>
        <v>-</v>
      </c>
      <c r="G529" s="3" t="str">
        <f>IFERROR(INDEX(Movimientos!$L$2:$L$1998,MATCH(A529&amp;"ENTRADA",Movimientos!$R$2:$R$1998,0)),"-")</f>
        <v>-</v>
      </c>
      <c r="H529" s="19" t="str">
        <f>IFERROR(IF(INDEX(Movimientos!$M$2:$M$1998,MATCH(A529&amp;"ENTRADA",Movimientos!$R$2:$R$1998,0))=0,"S/D",INDEX(Movimientos!$M$2:$M$1998,MATCH(A529&amp;"ENTRADA",Movimientos!$R$2:$R$1998,0))),"S/D")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7"/>
        <v>SIN STOCK</v>
      </c>
    </row>
    <row r="530" spans="1:11" ht="14.25">
      <c r="A530" s="18" t="s">
        <v>2673</v>
      </c>
      <c r="B530" s="3" t="str">
        <f>IFERROR(INDEX(Movimientos!$C$2:$C$1998,MATCH(A530&amp;"ENTRADA",Movimientos!$R$2:$R$1998,0)),"-")</f>
        <v>-</v>
      </c>
      <c r="C530" s="3" t="str">
        <f>IFERROR(INDEX(Movimientos!$D$2:$D$1998,MATCH(A530&amp;"ENTRADA",Movimientos!$R$2:$R$1998,0)),"-")</f>
        <v>-</v>
      </c>
      <c r="D530" s="3" t="str">
        <f>IFERROR(INDEX(Movimientos!$E$2:$E$1998,MATCH(A530&amp;"ENTRADA",Movimientos!$R$2:$R$1998,0)),"-")</f>
        <v>-</v>
      </c>
      <c r="E530" s="3" t="str">
        <f>IFERROR(INDEX(Movimientos!$F$2:$F$1998,MATCH(A530&amp;"ENTRADA",Movimientos!$R$2:$R$1998,0)),"-")</f>
        <v>-</v>
      </c>
      <c r="F530" s="3" t="str">
        <f>IFERROR(INDEX(Movimientos!$G$2:$G$1998,MATCH(A530&amp;"ENTRADA",Movimientos!$R$2:$R$1998,0)),"-")</f>
        <v>-</v>
      </c>
      <c r="G530" s="3" t="str">
        <f>IFERROR(INDEX(Movimientos!$L$2:$L$1998,MATCH(A530&amp;"ENTRADA",Movimientos!$R$2:$R$1998,0)),"-")</f>
        <v>-</v>
      </c>
      <c r="H530" s="19" t="str">
        <f>IFERROR(IF(INDEX(Movimientos!$M$2:$M$1998,MATCH(A530&amp;"ENTRADA",Movimientos!$R$2:$R$1998,0))=0,"S/D",INDEX(Movimientos!$M$2:$M$1998,MATCH(A530&amp;"ENTRADA",Movimientos!$R$2:$R$1998,0))),"S/D")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7"/>
        <v>SIN STOCK</v>
      </c>
    </row>
    <row r="531" spans="1:11" ht="14.25">
      <c r="A531" s="18" t="s">
        <v>2674</v>
      </c>
      <c r="B531" s="3" t="str">
        <f>IFERROR(INDEX(Movimientos!$C$2:$C$1998,MATCH(A531&amp;"ENTRADA",Movimientos!$R$2:$R$1998,0)),"-")</f>
        <v>-</v>
      </c>
      <c r="C531" s="3" t="str">
        <f>IFERROR(INDEX(Movimientos!$D$2:$D$1998,MATCH(A531&amp;"ENTRADA",Movimientos!$R$2:$R$1998,0)),"-")</f>
        <v>-</v>
      </c>
      <c r="D531" s="3" t="str">
        <f>IFERROR(INDEX(Movimientos!$E$2:$E$1998,MATCH(A531&amp;"ENTRADA",Movimientos!$R$2:$R$1998,0)),"-")</f>
        <v>-</v>
      </c>
      <c r="E531" s="3" t="str">
        <f>IFERROR(INDEX(Movimientos!$F$2:$F$1998,MATCH(A531&amp;"ENTRADA",Movimientos!$R$2:$R$1998,0)),"-")</f>
        <v>-</v>
      </c>
      <c r="F531" s="3" t="str">
        <f>IFERROR(INDEX(Movimientos!$G$2:$G$1998,MATCH(A531&amp;"ENTRADA",Movimientos!$R$2:$R$1998,0)),"-")</f>
        <v>-</v>
      </c>
      <c r="G531" s="3" t="str">
        <f>IFERROR(INDEX(Movimientos!$L$2:$L$1998,MATCH(A531&amp;"ENTRADA",Movimientos!$R$2:$R$1998,0)),"-")</f>
        <v>-</v>
      </c>
      <c r="H531" s="19" t="str">
        <f>IFERROR(IF(INDEX(Movimientos!$M$2:$M$1998,MATCH(A531&amp;"ENTRADA",Movimientos!$R$2:$R$1998,0))=0,"S/D",INDEX(Movimientos!$M$2:$M$1998,MATCH(A531&amp;"ENTRADA",Movimientos!$R$2:$R$1998,0))),"S/D")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7"/>
        <v>SIN STOCK</v>
      </c>
    </row>
    <row r="532" spans="1:11" ht="14.25">
      <c r="A532" s="18" t="s">
        <v>2675</v>
      </c>
      <c r="B532" s="3" t="str">
        <f>IFERROR(INDEX(Movimientos!$C$2:$C$1998,MATCH(A532&amp;"ENTRADA",Movimientos!$R$2:$R$1998,0)),"-")</f>
        <v>-</v>
      </c>
      <c r="C532" s="3" t="str">
        <f>IFERROR(INDEX(Movimientos!$D$2:$D$1998,MATCH(A532&amp;"ENTRADA",Movimientos!$R$2:$R$1998,0)),"-")</f>
        <v>-</v>
      </c>
      <c r="D532" s="3" t="str">
        <f>IFERROR(INDEX(Movimientos!$E$2:$E$1998,MATCH(A532&amp;"ENTRADA",Movimientos!$R$2:$R$1998,0)),"-")</f>
        <v>-</v>
      </c>
      <c r="E532" s="3" t="str">
        <f>IFERROR(INDEX(Movimientos!$F$2:$F$1998,MATCH(A532&amp;"ENTRADA",Movimientos!$R$2:$R$1998,0)),"-")</f>
        <v>-</v>
      </c>
      <c r="F532" s="3" t="str">
        <f>IFERROR(INDEX(Movimientos!$G$2:$G$1998,MATCH(A532&amp;"ENTRADA",Movimientos!$R$2:$R$1998,0)),"-")</f>
        <v>-</v>
      </c>
      <c r="G532" s="3" t="str">
        <f>IFERROR(INDEX(Movimientos!$L$2:$L$1998,MATCH(A532&amp;"ENTRADA",Movimientos!$R$2:$R$1998,0)),"-")</f>
        <v>-</v>
      </c>
      <c r="H532" s="19" t="str">
        <f>IFERROR(IF(INDEX(Movimientos!$M$2:$M$1998,MATCH(A532&amp;"ENTRADA",Movimientos!$R$2:$R$1998,0))=0,"S/D",INDEX(Movimientos!$M$2:$M$1998,MATCH(A532&amp;"ENTRADA",Movimientos!$R$2:$R$1998,0))),"S/D")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7"/>
        <v>SIN STOCK</v>
      </c>
    </row>
    <row r="533" spans="1:11" ht="14.25">
      <c r="A533" s="18" t="s">
        <v>2676</v>
      </c>
      <c r="B533" s="3" t="str">
        <f>IFERROR(INDEX(Movimientos!$C$2:$C$1998,MATCH(A533&amp;"ENTRADA",Movimientos!$R$2:$R$1998,0)),"-")</f>
        <v>-</v>
      </c>
      <c r="C533" s="3" t="str">
        <f>IFERROR(INDEX(Movimientos!$D$2:$D$1998,MATCH(A533&amp;"ENTRADA",Movimientos!$R$2:$R$1998,0)),"-")</f>
        <v>-</v>
      </c>
      <c r="D533" s="3" t="str">
        <f>IFERROR(INDEX(Movimientos!$E$2:$E$1998,MATCH(A533&amp;"ENTRADA",Movimientos!$R$2:$R$1998,0)),"-")</f>
        <v>-</v>
      </c>
      <c r="E533" s="3" t="str">
        <f>IFERROR(INDEX(Movimientos!$F$2:$F$1998,MATCH(A533&amp;"ENTRADA",Movimientos!$R$2:$R$1998,0)),"-")</f>
        <v>-</v>
      </c>
      <c r="F533" s="3" t="str">
        <f>IFERROR(INDEX(Movimientos!$G$2:$G$1998,MATCH(A533&amp;"ENTRADA",Movimientos!$R$2:$R$1998,0)),"-")</f>
        <v>-</v>
      </c>
      <c r="G533" s="3" t="str">
        <f>IFERROR(INDEX(Movimientos!$L$2:$L$1998,MATCH(A533&amp;"ENTRADA",Movimientos!$R$2:$R$1998,0)),"-")</f>
        <v>-</v>
      </c>
      <c r="H533" s="19" t="str">
        <f>IFERROR(IF(INDEX(Movimientos!$M$2:$M$1998,MATCH(A533&amp;"ENTRADA",Movimientos!$R$2:$R$1998,0))=0,"S/D",INDEX(Movimientos!$M$2:$M$1998,MATCH(A533&amp;"ENTRADA",Movimientos!$R$2:$R$1998,0))),"S/D")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7"/>
        <v>SIN STOCK</v>
      </c>
    </row>
    <row r="534" spans="1:11" ht="14.25">
      <c r="A534" s="18" t="s">
        <v>2677</v>
      </c>
      <c r="B534" s="3" t="str">
        <f>IFERROR(INDEX(Movimientos!$C$2:$C$1998,MATCH(A534&amp;"ENTRADA",Movimientos!$R$2:$R$1998,0)),"-")</f>
        <v>-</v>
      </c>
      <c r="C534" s="3" t="str">
        <f>IFERROR(INDEX(Movimientos!$D$2:$D$1998,MATCH(A534&amp;"ENTRADA",Movimientos!$R$2:$R$1998,0)),"-")</f>
        <v>-</v>
      </c>
      <c r="D534" s="3" t="str">
        <f>IFERROR(INDEX(Movimientos!$E$2:$E$1998,MATCH(A534&amp;"ENTRADA",Movimientos!$R$2:$R$1998,0)),"-")</f>
        <v>-</v>
      </c>
      <c r="E534" s="3" t="str">
        <f>IFERROR(INDEX(Movimientos!$F$2:$F$1998,MATCH(A534&amp;"ENTRADA",Movimientos!$R$2:$R$1998,0)),"-")</f>
        <v>-</v>
      </c>
      <c r="F534" s="3" t="str">
        <f>IFERROR(INDEX(Movimientos!$G$2:$G$1998,MATCH(A534&amp;"ENTRADA",Movimientos!$R$2:$R$1998,0)),"-")</f>
        <v>-</v>
      </c>
      <c r="G534" s="3" t="str">
        <f>IFERROR(INDEX(Movimientos!$L$2:$L$1998,MATCH(A534&amp;"ENTRADA",Movimientos!$R$2:$R$1998,0)),"-")</f>
        <v>-</v>
      </c>
      <c r="H534" s="19" t="str">
        <f>IFERROR(IF(INDEX(Movimientos!$M$2:$M$1998,MATCH(A534&amp;"ENTRADA",Movimientos!$R$2:$R$1998,0))=0,"S/D",INDEX(Movimientos!$M$2:$M$1998,MATCH(A534&amp;"ENTRADA",Movimientos!$R$2:$R$1998,0))),"S/D")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7"/>
        <v>SIN STOCK</v>
      </c>
    </row>
    <row r="535" spans="1:11" ht="14.25">
      <c r="A535" s="18" t="s">
        <v>2678</v>
      </c>
      <c r="B535" s="3" t="str">
        <f>IFERROR(INDEX(Movimientos!$C$2:$C$1998,MATCH(A535&amp;"ENTRADA",Movimientos!$R$2:$R$1998,0)),"-")</f>
        <v>-</v>
      </c>
      <c r="C535" s="3" t="str">
        <f>IFERROR(INDEX(Movimientos!$D$2:$D$1998,MATCH(A535&amp;"ENTRADA",Movimientos!$R$2:$R$1998,0)),"-")</f>
        <v>-</v>
      </c>
      <c r="D535" s="3" t="str">
        <f>IFERROR(INDEX(Movimientos!$E$2:$E$1998,MATCH(A535&amp;"ENTRADA",Movimientos!$R$2:$R$1998,0)),"-")</f>
        <v>-</v>
      </c>
      <c r="E535" s="3" t="str">
        <f>IFERROR(INDEX(Movimientos!$F$2:$F$1998,MATCH(A535&amp;"ENTRADA",Movimientos!$R$2:$R$1998,0)),"-")</f>
        <v>-</v>
      </c>
      <c r="F535" s="3" t="str">
        <f>IFERROR(INDEX(Movimientos!$G$2:$G$1998,MATCH(A535&amp;"ENTRADA",Movimientos!$R$2:$R$1998,0)),"-")</f>
        <v>-</v>
      </c>
      <c r="G535" s="3" t="str">
        <f>IFERROR(INDEX(Movimientos!$L$2:$L$1998,MATCH(A535&amp;"ENTRADA",Movimientos!$R$2:$R$1998,0)),"-")</f>
        <v>-</v>
      </c>
      <c r="H535" s="19" t="str">
        <f>IFERROR(IF(INDEX(Movimientos!$M$2:$M$1998,MATCH(A535&amp;"ENTRADA",Movimientos!$R$2:$R$1998,0))=0,"S/D",INDEX(Movimientos!$M$2:$M$1998,MATCH(A535&amp;"ENTRADA",Movimientos!$R$2:$R$1998,0))),"S/D")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7"/>
        <v>SIN STOCK</v>
      </c>
    </row>
    <row r="536" spans="1:11" ht="14.25">
      <c r="A536" s="18" t="s">
        <v>2679</v>
      </c>
      <c r="B536" s="3" t="str">
        <f>IFERROR(INDEX(Movimientos!$C$2:$C$1998,MATCH(A536&amp;"ENTRADA",Movimientos!$R$2:$R$1998,0)),"-")</f>
        <v>-</v>
      </c>
      <c r="C536" s="3" t="str">
        <f>IFERROR(INDEX(Movimientos!$D$2:$D$1998,MATCH(A536&amp;"ENTRADA",Movimientos!$R$2:$R$1998,0)),"-")</f>
        <v>-</v>
      </c>
      <c r="D536" s="3" t="str">
        <f>IFERROR(INDEX(Movimientos!$E$2:$E$1998,MATCH(A536&amp;"ENTRADA",Movimientos!$R$2:$R$1998,0)),"-")</f>
        <v>-</v>
      </c>
      <c r="E536" s="3" t="str">
        <f>IFERROR(INDEX(Movimientos!$F$2:$F$1998,MATCH(A536&amp;"ENTRADA",Movimientos!$R$2:$R$1998,0)),"-")</f>
        <v>-</v>
      </c>
      <c r="F536" s="3" t="str">
        <f>IFERROR(INDEX(Movimientos!$G$2:$G$1998,MATCH(A536&amp;"ENTRADA",Movimientos!$R$2:$R$1998,0)),"-")</f>
        <v>-</v>
      </c>
      <c r="G536" s="3" t="str">
        <f>IFERROR(INDEX(Movimientos!$L$2:$L$1998,MATCH(A536&amp;"ENTRADA",Movimientos!$R$2:$R$1998,0)),"-")</f>
        <v>-</v>
      </c>
      <c r="H536" s="19" t="str">
        <f>IFERROR(IF(INDEX(Movimientos!$M$2:$M$1998,MATCH(A536&amp;"ENTRADA",Movimientos!$R$2:$R$1998,0))=0,"S/D",INDEX(Movimientos!$M$2:$M$1998,MATCH(A536&amp;"ENTRADA",Movimientos!$R$2:$R$1998,0))),"S/D")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7"/>
        <v>SIN STOCK</v>
      </c>
    </row>
    <row r="537" spans="1:11" ht="14.25">
      <c r="A537" s="18" t="s">
        <v>2680</v>
      </c>
      <c r="B537" s="3" t="str">
        <f>IFERROR(INDEX(Movimientos!$C$2:$C$1998,MATCH(A537&amp;"ENTRADA",Movimientos!$R$2:$R$1998,0)),"-")</f>
        <v>-</v>
      </c>
      <c r="C537" s="3" t="str">
        <f>IFERROR(INDEX(Movimientos!$D$2:$D$1998,MATCH(A537&amp;"ENTRADA",Movimientos!$R$2:$R$1998,0)),"-")</f>
        <v>-</v>
      </c>
      <c r="D537" s="3" t="str">
        <f>IFERROR(INDEX(Movimientos!$E$2:$E$1998,MATCH(A537&amp;"ENTRADA",Movimientos!$R$2:$R$1998,0)),"-")</f>
        <v>-</v>
      </c>
      <c r="E537" s="3" t="str">
        <f>IFERROR(INDEX(Movimientos!$F$2:$F$1998,MATCH(A537&amp;"ENTRADA",Movimientos!$R$2:$R$1998,0)),"-")</f>
        <v>-</v>
      </c>
      <c r="F537" s="3" t="str">
        <f>IFERROR(INDEX(Movimientos!$G$2:$G$1998,MATCH(A537&amp;"ENTRADA",Movimientos!$R$2:$R$1998,0)),"-")</f>
        <v>-</v>
      </c>
      <c r="G537" s="3" t="str">
        <f>IFERROR(INDEX(Movimientos!$L$2:$L$1998,MATCH(A537&amp;"ENTRADA",Movimientos!$R$2:$R$1998,0)),"-")</f>
        <v>-</v>
      </c>
      <c r="H537" s="19" t="str">
        <f>IFERROR(IF(INDEX(Movimientos!$M$2:$M$1998,MATCH(A537&amp;"ENTRADA",Movimientos!$R$2:$R$1998,0))=0,"S/D",INDEX(Movimientos!$M$2:$M$1998,MATCH(A537&amp;"ENTRADA",Movimientos!$R$2:$R$1998,0))),"S/D")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7"/>
        <v>SIN STOCK</v>
      </c>
    </row>
    <row r="538" spans="1:11" ht="14.25">
      <c r="A538" s="18" t="s">
        <v>2681</v>
      </c>
      <c r="B538" s="3" t="str">
        <f>IFERROR(INDEX(Movimientos!$C$2:$C$1998,MATCH(A538&amp;"ENTRADA",Movimientos!$R$2:$R$1998,0)),"-")</f>
        <v>-</v>
      </c>
      <c r="C538" s="3" t="str">
        <f>IFERROR(INDEX(Movimientos!$D$2:$D$1998,MATCH(A538&amp;"ENTRADA",Movimientos!$R$2:$R$1998,0)),"-")</f>
        <v>-</v>
      </c>
      <c r="D538" s="3" t="str">
        <f>IFERROR(INDEX(Movimientos!$E$2:$E$1998,MATCH(A538&amp;"ENTRADA",Movimientos!$R$2:$R$1998,0)),"-")</f>
        <v>-</v>
      </c>
      <c r="E538" s="3" t="str">
        <f>IFERROR(INDEX(Movimientos!$F$2:$F$1998,MATCH(A538&amp;"ENTRADA",Movimientos!$R$2:$R$1998,0)),"-")</f>
        <v>-</v>
      </c>
      <c r="F538" s="3" t="str">
        <f>IFERROR(INDEX(Movimientos!$G$2:$G$1998,MATCH(A538&amp;"ENTRADA",Movimientos!$R$2:$R$1998,0)),"-")</f>
        <v>-</v>
      </c>
      <c r="G538" s="3" t="str">
        <f>IFERROR(INDEX(Movimientos!$L$2:$L$1998,MATCH(A538&amp;"ENTRADA",Movimientos!$R$2:$R$1998,0)),"-")</f>
        <v>-</v>
      </c>
      <c r="H538" s="19" t="str">
        <f>IFERROR(IF(INDEX(Movimientos!$M$2:$M$1998,MATCH(A538&amp;"ENTRADA",Movimientos!$R$2:$R$1998,0))=0,"S/D",INDEX(Movimientos!$M$2:$M$1998,MATCH(A538&amp;"ENTRADA",Movimientos!$R$2:$R$1998,0))),"S/D")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7"/>
        <v>SIN STOCK</v>
      </c>
    </row>
    <row r="539" spans="1:11" ht="14.25">
      <c r="A539" s="18" t="s">
        <v>2682</v>
      </c>
      <c r="B539" s="3" t="str">
        <f>IFERROR(INDEX(Movimientos!$C$2:$C$1998,MATCH(A539&amp;"ENTRADA",Movimientos!$R$2:$R$1998,0)),"-")</f>
        <v>-</v>
      </c>
      <c r="C539" s="3" t="str">
        <f>IFERROR(INDEX(Movimientos!$D$2:$D$1998,MATCH(A539&amp;"ENTRADA",Movimientos!$R$2:$R$1998,0)),"-")</f>
        <v>-</v>
      </c>
      <c r="D539" s="3" t="str">
        <f>IFERROR(INDEX(Movimientos!$E$2:$E$1998,MATCH(A539&amp;"ENTRADA",Movimientos!$R$2:$R$1998,0)),"-")</f>
        <v>-</v>
      </c>
      <c r="E539" s="3" t="str">
        <f>IFERROR(INDEX(Movimientos!$F$2:$F$1998,MATCH(A539&amp;"ENTRADA",Movimientos!$R$2:$R$1998,0)),"-")</f>
        <v>-</v>
      </c>
      <c r="F539" s="3" t="str">
        <f>IFERROR(INDEX(Movimientos!$G$2:$G$1998,MATCH(A539&amp;"ENTRADA",Movimientos!$R$2:$R$1998,0)),"-")</f>
        <v>-</v>
      </c>
      <c r="G539" s="3" t="str">
        <f>IFERROR(INDEX(Movimientos!$L$2:$L$1998,MATCH(A539&amp;"ENTRADA",Movimientos!$R$2:$R$1998,0)),"-")</f>
        <v>-</v>
      </c>
      <c r="H539" s="19" t="str">
        <f>IFERROR(IF(INDEX(Movimientos!$M$2:$M$1998,MATCH(A539&amp;"ENTRADA",Movimientos!$R$2:$R$1998,0))=0,"S/D",INDEX(Movimientos!$M$2:$M$1998,MATCH(A539&amp;"ENTRADA",Movimientos!$R$2:$R$1998,0))),"S/D")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7"/>
        <v>SIN STOCK</v>
      </c>
    </row>
    <row r="540" spans="1:11" ht="14.25">
      <c r="A540" s="18" t="s">
        <v>2683</v>
      </c>
      <c r="B540" s="3" t="str">
        <f>IFERROR(INDEX(Movimientos!$C$2:$C$1998,MATCH(A540&amp;"ENTRADA",Movimientos!$R$2:$R$1998,0)),"-")</f>
        <v>-</v>
      </c>
      <c r="C540" s="3" t="str">
        <f>IFERROR(INDEX(Movimientos!$D$2:$D$1998,MATCH(A540&amp;"ENTRADA",Movimientos!$R$2:$R$1998,0)),"-")</f>
        <v>-</v>
      </c>
      <c r="D540" s="3" t="str">
        <f>IFERROR(INDEX(Movimientos!$E$2:$E$1998,MATCH(A540&amp;"ENTRADA",Movimientos!$R$2:$R$1998,0)),"-")</f>
        <v>-</v>
      </c>
      <c r="E540" s="3" t="str">
        <f>IFERROR(INDEX(Movimientos!$F$2:$F$1998,MATCH(A540&amp;"ENTRADA",Movimientos!$R$2:$R$1998,0)),"-")</f>
        <v>-</v>
      </c>
      <c r="F540" s="3" t="str">
        <f>IFERROR(INDEX(Movimientos!$G$2:$G$1998,MATCH(A540&amp;"ENTRADA",Movimientos!$R$2:$R$1998,0)),"-")</f>
        <v>-</v>
      </c>
      <c r="G540" s="3" t="str">
        <f>IFERROR(INDEX(Movimientos!$L$2:$L$1998,MATCH(A540&amp;"ENTRADA",Movimientos!$R$2:$R$1998,0)),"-")</f>
        <v>-</v>
      </c>
      <c r="H540" s="19" t="str">
        <f>IFERROR(IF(INDEX(Movimientos!$M$2:$M$1998,MATCH(A540&amp;"ENTRADA",Movimientos!$R$2:$R$1998,0))=0,"S/D",INDEX(Movimientos!$M$2:$M$1998,MATCH(A540&amp;"ENTRADA",Movimientos!$R$2:$R$1998,0))),"S/D")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7"/>
        <v>SIN STOCK</v>
      </c>
    </row>
    <row r="541" spans="1:11" ht="14.25">
      <c r="A541" s="18" t="s">
        <v>2684</v>
      </c>
      <c r="B541" s="3" t="str">
        <f>IFERROR(INDEX(Movimientos!$C$2:$C$1998,MATCH(A541&amp;"ENTRADA",Movimientos!$R$2:$R$1998,0)),"-")</f>
        <v>-</v>
      </c>
      <c r="C541" s="3" t="str">
        <f>IFERROR(INDEX(Movimientos!$D$2:$D$1998,MATCH(A541&amp;"ENTRADA",Movimientos!$R$2:$R$1998,0)),"-")</f>
        <v>-</v>
      </c>
      <c r="D541" s="3" t="str">
        <f>IFERROR(INDEX(Movimientos!$E$2:$E$1998,MATCH(A541&amp;"ENTRADA",Movimientos!$R$2:$R$1998,0)),"-")</f>
        <v>-</v>
      </c>
      <c r="E541" s="3" t="str">
        <f>IFERROR(INDEX(Movimientos!$F$2:$F$1998,MATCH(A541&amp;"ENTRADA",Movimientos!$R$2:$R$1998,0)),"-")</f>
        <v>-</v>
      </c>
      <c r="F541" s="3" t="str">
        <f>IFERROR(INDEX(Movimientos!$G$2:$G$1998,MATCH(A541&amp;"ENTRADA",Movimientos!$R$2:$R$1998,0)),"-")</f>
        <v>-</v>
      </c>
      <c r="G541" s="3" t="str">
        <f>IFERROR(INDEX(Movimientos!$L$2:$L$1998,MATCH(A541&amp;"ENTRADA",Movimientos!$R$2:$R$1998,0)),"-")</f>
        <v>-</v>
      </c>
      <c r="H541" s="19" t="str">
        <f>IFERROR(IF(INDEX(Movimientos!$M$2:$M$1998,MATCH(A541&amp;"ENTRADA",Movimientos!$R$2:$R$1998,0))=0,"S/D",INDEX(Movimientos!$M$2:$M$1998,MATCH(A541&amp;"ENTRADA",Movimientos!$R$2:$R$1998,0))),"S/D")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7"/>
        <v>SIN STOCK</v>
      </c>
    </row>
    <row r="542" spans="1:11" ht="14.25">
      <c r="A542" s="18" t="s">
        <v>2685</v>
      </c>
      <c r="B542" s="3" t="str">
        <f>IFERROR(INDEX(Movimientos!$C$2:$C$1998,MATCH(A542&amp;"ENTRADA",Movimientos!$R$2:$R$1998,0)),"-")</f>
        <v>-</v>
      </c>
      <c r="C542" s="3" t="str">
        <f>IFERROR(INDEX(Movimientos!$D$2:$D$1998,MATCH(A542&amp;"ENTRADA",Movimientos!$R$2:$R$1998,0)),"-")</f>
        <v>-</v>
      </c>
      <c r="D542" s="3" t="str">
        <f>IFERROR(INDEX(Movimientos!$E$2:$E$1998,MATCH(A542&amp;"ENTRADA",Movimientos!$R$2:$R$1998,0)),"-")</f>
        <v>-</v>
      </c>
      <c r="E542" s="3" t="str">
        <f>IFERROR(INDEX(Movimientos!$F$2:$F$1998,MATCH(A542&amp;"ENTRADA",Movimientos!$R$2:$R$1998,0)),"-")</f>
        <v>-</v>
      </c>
      <c r="F542" s="3" t="str">
        <f>IFERROR(INDEX(Movimientos!$G$2:$G$1998,MATCH(A542&amp;"ENTRADA",Movimientos!$R$2:$R$1998,0)),"-")</f>
        <v>-</v>
      </c>
      <c r="G542" s="3" t="str">
        <f>IFERROR(INDEX(Movimientos!$L$2:$L$1998,MATCH(A542&amp;"ENTRADA",Movimientos!$R$2:$R$1998,0)),"-")</f>
        <v>-</v>
      </c>
      <c r="H542" s="19" t="str">
        <f>IFERROR(IF(INDEX(Movimientos!$M$2:$M$1998,MATCH(A542&amp;"ENTRADA",Movimientos!$R$2:$R$1998,0))=0,"S/D",INDEX(Movimientos!$M$2:$M$1998,MATCH(A542&amp;"ENTRADA",Movimientos!$R$2:$R$1998,0))),"S/D")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7"/>
        <v>SIN STOCK</v>
      </c>
    </row>
    <row r="543" spans="1:11" ht="14.25">
      <c r="A543" s="18" t="s">
        <v>2686</v>
      </c>
      <c r="B543" s="3" t="str">
        <f>IFERROR(INDEX(Movimientos!$C$2:$C$1998,MATCH(A543&amp;"ENTRADA",Movimientos!$R$2:$R$1998,0)),"-")</f>
        <v>-</v>
      </c>
      <c r="C543" s="3" t="str">
        <f>IFERROR(INDEX(Movimientos!$D$2:$D$1998,MATCH(A543&amp;"ENTRADA",Movimientos!$R$2:$R$1998,0)),"-")</f>
        <v>-</v>
      </c>
      <c r="D543" s="3" t="str">
        <f>IFERROR(INDEX(Movimientos!$E$2:$E$1998,MATCH(A543&amp;"ENTRADA",Movimientos!$R$2:$R$1998,0)),"-")</f>
        <v>-</v>
      </c>
      <c r="E543" s="3" t="str">
        <f>IFERROR(INDEX(Movimientos!$F$2:$F$1998,MATCH(A543&amp;"ENTRADA",Movimientos!$R$2:$R$1998,0)),"-")</f>
        <v>-</v>
      </c>
      <c r="F543" s="3" t="str">
        <f>IFERROR(INDEX(Movimientos!$G$2:$G$1998,MATCH(A543&amp;"ENTRADA",Movimientos!$R$2:$R$1998,0)),"-")</f>
        <v>-</v>
      </c>
      <c r="G543" s="3" t="str">
        <f>IFERROR(INDEX(Movimientos!$L$2:$L$1998,MATCH(A543&amp;"ENTRADA",Movimientos!$R$2:$R$1998,0)),"-")</f>
        <v>-</v>
      </c>
      <c r="H543" s="19" t="str">
        <f>IFERROR(IF(INDEX(Movimientos!$M$2:$M$1998,MATCH(A543&amp;"ENTRADA",Movimientos!$R$2:$R$1998,0))=0,"S/D",INDEX(Movimientos!$M$2:$M$1998,MATCH(A543&amp;"ENTRADA",Movimientos!$R$2:$R$1998,0))),"S/D")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7"/>
        <v>SIN STOCK</v>
      </c>
    </row>
    <row r="544" spans="1:11" ht="14.25">
      <c r="A544" s="18" t="s">
        <v>2687</v>
      </c>
      <c r="B544" s="3" t="str">
        <f>IFERROR(INDEX(Movimientos!$C$2:$C$1998,MATCH(A544&amp;"ENTRADA",Movimientos!$R$2:$R$1998,0)),"-")</f>
        <v>-</v>
      </c>
      <c r="C544" s="3" t="str">
        <f>IFERROR(INDEX(Movimientos!$D$2:$D$1998,MATCH(A544&amp;"ENTRADA",Movimientos!$R$2:$R$1998,0)),"-")</f>
        <v>-</v>
      </c>
      <c r="D544" s="3" t="str">
        <f>IFERROR(INDEX(Movimientos!$E$2:$E$1998,MATCH(A544&amp;"ENTRADA",Movimientos!$R$2:$R$1998,0)),"-")</f>
        <v>-</v>
      </c>
      <c r="E544" s="3" t="str">
        <f>IFERROR(INDEX(Movimientos!$F$2:$F$1998,MATCH(A544&amp;"ENTRADA",Movimientos!$R$2:$R$1998,0)),"-")</f>
        <v>-</v>
      </c>
      <c r="F544" s="3" t="str">
        <f>IFERROR(INDEX(Movimientos!$G$2:$G$1998,MATCH(A544&amp;"ENTRADA",Movimientos!$R$2:$R$1998,0)),"-")</f>
        <v>-</v>
      </c>
      <c r="G544" s="3" t="str">
        <f>IFERROR(INDEX(Movimientos!$L$2:$L$1998,MATCH(A544&amp;"ENTRADA",Movimientos!$R$2:$R$1998,0)),"-")</f>
        <v>-</v>
      </c>
      <c r="H544" s="19" t="str">
        <f>IFERROR(IF(INDEX(Movimientos!$M$2:$M$1998,MATCH(A544&amp;"ENTRADA",Movimientos!$R$2:$R$1998,0))=0,"S/D",INDEX(Movimientos!$M$2:$M$1998,MATCH(A544&amp;"ENTRADA",Movimientos!$R$2:$R$1998,0))),"S/D")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7"/>
        <v>SIN STOCK</v>
      </c>
    </row>
    <row r="545" spans="1:11" ht="14.25">
      <c r="A545" s="18" t="s">
        <v>2688</v>
      </c>
      <c r="B545" s="3" t="str">
        <f>IFERROR(INDEX(Movimientos!$C$2:$C$1998,MATCH(A545&amp;"ENTRADA",Movimientos!$R$2:$R$1998,0)),"-")</f>
        <v>-</v>
      </c>
      <c r="C545" s="3" t="str">
        <f>IFERROR(INDEX(Movimientos!$D$2:$D$1998,MATCH(A545&amp;"ENTRADA",Movimientos!$R$2:$R$1998,0)),"-")</f>
        <v>-</v>
      </c>
      <c r="D545" s="3" t="str">
        <f>IFERROR(INDEX(Movimientos!$E$2:$E$1998,MATCH(A545&amp;"ENTRADA",Movimientos!$R$2:$R$1998,0)),"-")</f>
        <v>-</v>
      </c>
      <c r="E545" s="3" t="str">
        <f>IFERROR(INDEX(Movimientos!$F$2:$F$1998,MATCH(A545&amp;"ENTRADA",Movimientos!$R$2:$R$1998,0)),"-")</f>
        <v>-</v>
      </c>
      <c r="F545" s="3" t="str">
        <f>IFERROR(INDEX(Movimientos!$G$2:$G$1998,MATCH(A545&amp;"ENTRADA",Movimientos!$R$2:$R$1998,0)),"-")</f>
        <v>-</v>
      </c>
      <c r="G545" s="3" t="str">
        <f>IFERROR(INDEX(Movimientos!$L$2:$L$1998,MATCH(A545&amp;"ENTRADA",Movimientos!$R$2:$R$1998,0)),"-")</f>
        <v>-</v>
      </c>
      <c r="H545" s="19" t="str">
        <f>IFERROR(IF(INDEX(Movimientos!$M$2:$M$1998,MATCH(A545&amp;"ENTRADA",Movimientos!$R$2:$R$1998,0))=0,"S/D",INDEX(Movimientos!$M$2:$M$1998,MATCH(A545&amp;"ENTRADA",Movimientos!$R$2:$R$1998,0))),"S/D")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7"/>
        <v>SIN STOCK</v>
      </c>
    </row>
    <row r="546" spans="1:11" ht="14.25">
      <c r="A546" s="18" t="s">
        <v>2689</v>
      </c>
      <c r="B546" s="3" t="str">
        <f>IFERROR(INDEX(Movimientos!$C$2:$C$1998,MATCH(A546&amp;"ENTRADA",Movimientos!$R$2:$R$1998,0)),"-")</f>
        <v>-</v>
      </c>
      <c r="C546" s="3" t="str">
        <f>IFERROR(INDEX(Movimientos!$D$2:$D$1998,MATCH(A546&amp;"ENTRADA",Movimientos!$R$2:$R$1998,0)),"-")</f>
        <v>-</v>
      </c>
      <c r="D546" s="3" t="str">
        <f>IFERROR(INDEX(Movimientos!$E$2:$E$1998,MATCH(A546&amp;"ENTRADA",Movimientos!$R$2:$R$1998,0)),"-")</f>
        <v>-</v>
      </c>
      <c r="E546" s="3" t="str">
        <f>IFERROR(INDEX(Movimientos!$F$2:$F$1998,MATCH(A546&amp;"ENTRADA",Movimientos!$R$2:$R$1998,0)),"-")</f>
        <v>-</v>
      </c>
      <c r="F546" s="3" t="str">
        <f>IFERROR(INDEX(Movimientos!$G$2:$G$1998,MATCH(A546&amp;"ENTRADA",Movimientos!$R$2:$R$1998,0)),"-")</f>
        <v>-</v>
      </c>
      <c r="G546" s="3" t="str">
        <f>IFERROR(INDEX(Movimientos!$L$2:$L$1998,MATCH(A546&amp;"ENTRADA",Movimientos!$R$2:$R$1998,0)),"-")</f>
        <v>-</v>
      </c>
      <c r="H546" s="19" t="str">
        <f>IFERROR(IF(INDEX(Movimientos!$M$2:$M$1998,MATCH(A546&amp;"ENTRADA",Movimientos!$R$2:$R$1998,0))=0,"S/D",INDEX(Movimientos!$M$2:$M$1998,MATCH(A546&amp;"ENTRADA",Movimientos!$R$2:$R$1998,0))),"S/D")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7"/>
        <v>SIN STOCK</v>
      </c>
    </row>
    <row r="547" spans="1:11" ht="14.25">
      <c r="A547" s="18" t="s">
        <v>2690</v>
      </c>
      <c r="B547" s="3" t="str">
        <f>IFERROR(INDEX(Movimientos!$C$2:$C$1998,MATCH(A547&amp;"ENTRADA",Movimientos!$R$2:$R$1998,0)),"-")</f>
        <v>-</v>
      </c>
      <c r="C547" s="3" t="str">
        <f>IFERROR(INDEX(Movimientos!$D$2:$D$1998,MATCH(A547&amp;"ENTRADA",Movimientos!$R$2:$R$1998,0)),"-")</f>
        <v>-</v>
      </c>
      <c r="D547" s="3" t="str">
        <f>IFERROR(INDEX(Movimientos!$E$2:$E$1998,MATCH(A547&amp;"ENTRADA",Movimientos!$R$2:$R$1998,0)),"-")</f>
        <v>-</v>
      </c>
      <c r="E547" s="3" t="str">
        <f>IFERROR(INDEX(Movimientos!$F$2:$F$1998,MATCH(A547&amp;"ENTRADA",Movimientos!$R$2:$R$1998,0)),"-")</f>
        <v>-</v>
      </c>
      <c r="F547" s="3" t="str">
        <f>IFERROR(INDEX(Movimientos!$G$2:$G$1998,MATCH(A547&amp;"ENTRADA",Movimientos!$R$2:$R$1998,0)),"-")</f>
        <v>-</v>
      </c>
      <c r="G547" s="3" t="str">
        <f>IFERROR(INDEX(Movimientos!$L$2:$L$1998,MATCH(A547&amp;"ENTRADA",Movimientos!$R$2:$R$1998,0)),"-")</f>
        <v>-</v>
      </c>
      <c r="H547" s="19" t="str">
        <f>IFERROR(IF(INDEX(Movimientos!$M$2:$M$1998,MATCH(A547&amp;"ENTRADA",Movimientos!$R$2:$R$1998,0))=0,"S/D",INDEX(Movimientos!$M$2:$M$1998,MATCH(A547&amp;"ENTRADA",Movimientos!$R$2:$R$1998,0))),"S/D")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7"/>
        <v>SIN STOCK</v>
      </c>
    </row>
    <row r="548" spans="1:11" ht="14.25">
      <c r="A548" s="18" t="s">
        <v>2691</v>
      </c>
      <c r="B548" s="3" t="str">
        <f>IFERROR(INDEX(Movimientos!$C$2:$C$1998,MATCH(A548&amp;"ENTRADA",Movimientos!$R$2:$R$1998,0)),"-")</f>
        <v>-</v>
      </c>
      <c r="C548" s="3" t="str">
        <f>IFERROR(INDEX(Movimientos!$D$2:$D$1998,MATCH(A548&amp;"ENTRADA",Movimientos!$R$2:$R$1998,0)),"-")</f>
        <v>-</v>
      </c>
      <c r="D548" s="3" t="str">
        <f>IFERROR(INDEX(Movimientos!$E$2:$E$1998,MATCH(A548&amp;"ENTRADA",Movimientos!$R$2:$R$1998,0)),"-")</f>
        <v>-</v>
      </c>
      <c r="E548" s="3" t="str">
        <f>IFERROR(INDEX(Movimientos!$F$2:$F$1998,MATCH(A548&amp;"ENTRADA",Movimientos!$R$2:$R$1998,0)),"-")</f>
        <v>-</v>
      </c>
      <c r="F548" s="3" t="str">
        <f>IFERROR(INDEX(Movimientos!$G$2:$G$1998,MATCH(A548&amp;"ENTRADA",Movimientos!$R$2:$R$1998,0)),"-")</f>
        <v>-</v>
      </c>
      <c r="G548" s="3" t="str">
        <f>IFERROR(INDEX(Movimientos!$L$2:$L$1998,MATCH(A548&amp;"ENTRADA",Movimientos!$R$2:$R$1998,0)),"-")</f>
        <v>-</v>
      </c>
      <c r="H548" s="19" t="str">
        <f>IFERROR(IF(INDEX(Movimientos!$M$2:$M$1998,MATCH(A548&amp;"ENTRADA",Movimientos!$R$2:$R$1998,0))=0,"S/D",INDEX(Movimientos!$M$2:$M$1998,MATCH(A548&amp;"ENTRADA",Movimientos!$R$2:$R$1998,0))),"S/D")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7"/>
        <v>SIN STOCK</v>
      </c>
    </row>
    <row r="549" spans="1:11" ht="14.25">
      <c r="A549" s="18" t="s">
        <v>2692</v>
      </c>
      <c r="B549" s="3" t="str">
        <f>IFERROR(INDEX(Movimientos!$C$2:$C$1998,MATCH(A549&amp;"ENTRADA",Movimientos!$R$2:$R$1998,0)),"-")</f>
        <v>-</v>
      </c>
      <c r="C549" s="3" t="str">
        <f>IFERROR(INDEX(Movimientos!$D$2:$D$1998,MATCH(A549&amp;"ENTRADA",Movimientos!$R$2:$R$1998,0)),"-")</f>
        <v>-</v>
      </c>
      <c r="D549" s="3" t="str">
        <f>IFERROR(INDEX(Movimientos!$E$2:$E$1998,MATCH(A549&amp;"ENTRADA",Movimientos!$R$2:$R$1998,0)),"-")</f>
        <v>-</v>
      </c>
      <c r="E549" s="3" t="str">
        <f>IFERROR(INDEX(Movimientos!$F$2:$F$1998,MATCH(A549&amp;"ENTRADA",Movimientos!$R$2:$R$1998,0)),"-")</f>
        <v>-</v>
      </c>
      <c r="F549" s="3" t="str">
        <f>IFERROR(INDEX(Movimientos!$G$2:$G$1998,MATCH(A549&amp;"ENTRADA",Movimientos!$R$2:$R$1998,0)),"-")</f>
        <v>-</v>
      </c>
      <c r="G549" s="3" t="str">
        <f>IFERROR(INDEX(Movimientos!$L$2:$L$1998,MATCH(A549&amp;"ENTRADA",Movimientos!$R$2:$R$1998,0)),"-")</f>
        <v>-</v>
      </c>
      <c r="H549" s="19" t="str">
        <f>IFERROR(IF(INDEX(Movimientos!$M$2:$M$1998,MATCH(A549&amp;"ENTRADA",Movimientos!$R$2:$R$1998,0))=0,"S/D",INDEX(Movimientos!$M$2:$M$1998,MATCH(A549&amp;"ENTRADA",Movimientos!$R$2:$R$1998,0))),"S/D")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7"/>
        <v>SIN STOCK</v>
      </c>
    </row>
    <row r="550" spans="1:11" ht="14.25">
      <c r="A550" s="18" t="s">
        <v>2693</v>
      </c>
      <c r="B550" s="3" t="str">
        <f>IFERROR(INDEX(Movimientos!$C$2:$C$1998,MATCH(A550&amp;"ENTRADA",Movimientos!$R$2:$R$1998,0)),"-")</f>
        <v>-</v>
      </c>
      <c r="C550" s="3" t="str">
        <f>IFERROR(INDEX(Movimientos!$D$2:$D$1998,MATCH(A550&amp;"ENTRADA",Movimientos!$R$2:$R$1998,0)),"-")</f>
        <v>-</v>
      </c>
      <c r="D550" s="3" t="str">
        <f>IFERROR(INDEX(Movimientos!$E$2:$E$1998,MATCH(A550&amp;"ENTRADA",Movimientos!$R$2:$R$1998,0)),"-")</f>
        <v>-</v>
      </c>
      <c r="E550" s="3" t="str">
        <f>IFERROR(INDEX(Movimientos!$F$2:$F$1998,MATCH(A550&amp;"ENTRADA",Movimientos!$R$2:$R$1998,0)),"-")</f>
        <v>-</v>
      </c>
      <c r="F550" s="3" t="str">
        <f>IFERROR(INDEX(Movimientos!$G$2:$G$1998,MATCH(A550&amp;"ENTRADA",Movimientos!$R$2:$R$1998,0)),"-")</f>
        <v>-</v>
      </c>
      <c r="G550" s="3" t="str">
        <f>IFERROR(INDEX(Movimientos!$L$2:$L$1998,MATCH(A550&amp;"ENTRADA",Movimientos!$R$2:$R$1998,0)),"-")</f>
        <v>-</v>
      </c>
      <c r="H550" s="19" t="str">
        <f>IFERROR(IF(INDEX(Movimientos!$M$2:$M$1998,MATCH(A550&amp;"ENTRADA",Movimientos!$R$2:$R$1998,0))=0,"S/D",INDEX(Movimientos!$M$2:$M$1998,MATCH(A550&amp;"ENTRADA",Movimientos!$R$2:$R$1998,0))),"S/D")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7"/>
        <v>SIN STOCK</v>
      </c>
    </row>
    <row r="551" spans="1:11" ht="14.25">
      <c r="A551" s="18" t="s">
        <v>2694</v>
      </c>
      <c r="B551" s="3" t="str">
        <f>IFERROR(INDEX(Movimientos!$C$2:$C$1998,MATCH(A551&amp;"ENTRADA",Movimientos!$R$2:$R$1998,0)),"-")</f>
        <v>-</v>
      </c>
      <c r="C551" s="3" t="str">
        <f>IFERROR(INDEX(Movimientos!$D$2:$D$1998,MATCH(A551&amp;"ENTRADA",Movimientos!$R$2:$R$1998,0)),"-")</f>
        <v>-</v>
      </c>
      <c r="D551" s="3" t="str">
        <f>IFERROR(INDEX(Movimientos!$E$2:$E$1998,MATCH(A551&amp;"ENTRADA",Movimientos!$R$2:$R$1998,0)),"-")</f>
        <v>-</v>
      </c>
      <c r="E551" s="3" t="str">
        <f>IFERROR(INDEX(Movimientos!$F$2:$F$1998,MATCH(A551&amp;"ENTRADA",Movimientos!$R$2:$R$1998,0)),"-")</f>
        <v>-</v>
      </c>
      <c r="F551" s="3" t="str">
        <f>IFERROR(INDEX(Movimientos!$G$2:$G$1998,MATCH(A551&amp;"ENTRADA",Movimientos!$R$2:$R$1998,0)),"-")</f>
        <v>-</v>
      </c>
      <c r="G551" s="3" t="str">
        <f>IFERROR(INDEX(Movimientos!$L$2:$L$1998,MATCH(A551&amp;"ENTRADA",Movimientos!$R$2:$R$1998,0)),"-")</f>
        <v>-</v>
      </c>
      <c r="H551" s="19" t="str">
        <f>IFERROR(IF(INDEX(Movimientos!$M$2:$M$1998,MATCH(A551&amp;"ENTRADA",Movimientos!$R$2:$R$1998,0))=0,"S/D",INDEX(Movimientos!$M$2:$M$1998,MATCH(A551&amp;"ENTRADA",Movimientos!$R$2:$R$1998,0))),"S/D")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7"/>
        <v>SIN STOCK</v>
      </c>
    </row>
    <row r="552" spans="1:11" ht="14.25">
      <c r="A552" s="18" t="s">
        <v>2695</v>
      </c>
      <c r="B552" s="3" t="str">
        <f>IFERROR(INDEX(Movimientos!$C$2:$C$1998,MATCH(A552&amp;"ENTRADA",Movimientos!$R$2:$R$1998,0)),"-")</f>
        <v>-</v>
      </c>
      <c r="C552" s="3" t="str">
        <f>IFERROR(INDEX(Movimientos!$D$2:$D$1998,MATCH(A552&amp;"ENTRADA",Movimientos!$R$2:$R$1998,0)),"-")</f>
        <v>-</v>
      </c>
      <c r="D552" s="3" t="str">
        <f>IFERROR(INDEX(Movimientos!$E$2:$E$1998,MATCH(A552&amp;"ENTRADA",Movimientos!$R$2:$R$1998,0)),"-")</f>
        <v>-</v>
      </c>
      <c r="E552" s="3" t="str">
        <f>IFERROR(INDEX(Movimientos!$F$2:$F$1998,MATCH(A552&amp;"ENTRADA",Movimientos!$R$2:$R$1998,0)),"-")</f>
        <v>-</v>
      </c>
      <c r="F552" s="3" t="str">
        <f>IFERROR(INDEX(Movimientos!$G$2:$G$1998,MATCH(A552&amp;"ENTRADA",Movimientos!$R$2:$R$1998,0)),"-")</f>
        <v>-</v>
      </c>
      <c r="G552" s="3" t="str">
        <f>IFERROR(INDEX(Movimientos!$L$2:$L$1998,MATCH(A552&amp;"ENTRADA",Movimientos!$R$2:$R$1998,0)),"-")</f>
        <v>-</v>
      </c>
      <c r="H552" s="19" t="str">
        <f>IFERROR(IF(INDEX(Movimientos!$M$2:$M$1998,MATCH(A552&amp;"ENTRADA",Movimientos!$R$2:$R$1998,0))=0,"S/D",INDEX(Movimientos!$M$2:$M$1998,MATCH(A552&amp;"ENTRADA",Movimientos!$R$2:$R$1998,0))),"S/D")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7"/>
        <v>SIN STOCK</v>
      </c>
    </row>
    <row r="553" spans="1:11" ht="14.25">
      <c r="A553" s="18" t="s">
        <v>2696</v>
      </c>
      <c r="B553" s="3" t="str">
        <f>IFERROR(INDEX(Movimientos!$C$2:$C$1998,MATCH(A553&amp;"ENTRADA",Movimientos!$R$2:$R$1998,0)),"-")</f>
        <v>-</v>
      </c>
      <c r="C553" s="3" t="str">
        <f>IFERROR(INDEX(Movimientos!$D$2:$D$1998,MATCH(A553&amp;"ENTRADA",Movimientos!$R$2:$R$1998,0)),"-")</f>
        <v>-</v>
      </c>
      <c r="D553" s="3" t="str">
        <f>IFERROR(INDEX(Movimientos!$E$2:$E$1998,MATCH(A553&amp;"ENTRADA",Movimientos!$R$2:$R$1998,0)),"-")</f>
        <v>-</v>
      </c>
      <c r="E553" s="3" t="str">
        <f>IFERROR(INDEX(Movimientos!$F$2:$F$1998,MATCH(A553&amp;"ENTRADA",Movimientos!$R$2:$R$1998,0)),"-")</f>
        <v>-</v>
      </c>
      <c r="F553" s="3" t="str">
        <f>IFERROR(INDEX(Movimientos!$G$2:$G$1998,MATCH(A553&amp;"ENTRADA",Movimientos!$R$2:$R$1998,0)),"-")</f>
        <v>-</v>
      </c>
      <c r="G553" s="3" t="str">
        <f>IFERROR(INDEX(Movimientos!$L$2:$L$1998,MATCH(A553&amp;"ENTRADA",Movimientos!$R$2:$R$1998,0)),"-")</f>
        <v>-</v>
      </c>
      <c r="H553" s="19" t="str">
        <f>IFERROR(IF(INDEX(Movimientos!$M$2:$M$1998,MATCH(A553&amp;"ENTRADA",Movimientos!$R$2:$R$1998,0))=0,"S/D",INDEX(Movimientos!$M$2:$M$1998,MATCH(A553&amp;"ENTRADA",Movimientos!$R$2:$R$1998,0))),"S/D")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7"/>
        <v>SIN STOCK</v>
      </c>
    </row>
    <row r="554" spans="1:11" ht="14.25">
      <c r="A554" s="18" t="s">
        <v>2697</v>
      </c>
      <c r="B554" s="3" t="str">
        <f>IFERROR(INDEX(Movimientos!$C$2:$C$1998,MATCH(A554&amp;"ENTRADA",Movimientos!$R$2:$R$1998,0)),"-")</f>
        <v>-</v>
      </c>
      <c r="C554" s="3" t="str">
        <f>IFERROR(INDEX(Movimientos!$D$2:$D$1998,MATCH(A554&amp;"ENTRADA",Movimientos!$R$2:$R$1998,0)),"-")</f>
        <v>-</v>
      </c>
      <c r="D554" s="3" t="str">
        <f>IFERROR(INDEX(Movimientos!$E$2:$E$1998,MATCH(A554&amp;"ENTRADA",Movimientos!$R$2:$R$1998,0)),"-")</f>
        <v>-</v>
      </c>
      <c r="E554" s="3" t="str">
        <f>IFERROR(INDEX(Movimientos!$F$2:$F$1998,MATCH(A554&amp;"ENTRADA",Movimientos!$R$2:$R$1998,0)),"-")</f>
        <v>-</v>
      </c>
      <c r="F554" s="3" t="str">
        <f>IFERROR(INDEX(Movimientos!$G$2:$G$1998,MATCH(A554&amp;"ENTRADA",Movimientos!$R$2:$R$1998,0)),"-")</f>
        <v>-</v>
      </c>
      <c r="G554" s="3" t="str">
        <f>IFERROR(INDEX(Movimientos!$L$2:$L$1998,MATCH(A554&amp;"ENTRADA",Movimientos!$R$2:$R$1998,0)),"-")</f>
        <v>-</v>
      </c>
      <c r="H554" s="19" t="str">
        <f>IFERROR(IF(INDEX(Movimientos!$M$2:$M$1998,MATCH(A554&amp;"ENTRADA",Movimientos!$R$2:$R$1998,0))=0,"S/D",INDEX(Movimientos!$M$2:$M$1998,MATCH(A554&amp;"ENTRADA",Movimientos!$R$2:$R$1998,0))),"S/D")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7"/>
        <v>SIN STOCK</v>
      </c>
    </row>
    <row r="555" spans="1:11" ht="14.25">
      <c r="A555" s="18" t="s">
        <v>2698</v>
      </c>
      <c r="B555" s="3" t="str">
        <f>IFERROR(INDEX(Movimientos!$C$2:$C$1998,MATCH(A555&amp;"ENTRADA",Movimientos!$R$2:$R$1998,0)),"-")</f>
        <v>-</v>
      </c>
      <c r="C555" s="3" t="str">
        <f>IFERROR(INDEX(Movimientos!$D$2:$D$1998,MATCH(A555&amp;"ENTRADA",Movimientos!$R$2:$R$1998,0)),"-")</f>
        <v>-</v>
      </c>
      <c r="D555" s="3" t="str">
        <f>IFERROR(INDEX(Movimientos!$E$2:$E$1998,MATCH(A555&amp;"ENTRADA",Movimientos!$R$2:$R$1998,0)),"-")</f>
        <v>-</v>
      </c>
      <c r="E555" s="3" t="str">
        <f>IFERROR(INDEX(Movimientos!$F$2:$F$1998,MATCH(A555&amp;"ENTRADA",Movimientos!$R$2:$R$1998,0)),"-")</f>
        <v>-</v>
      </c>
      <c r="F555" s="3" t="str">
        <f>IFERROR(INDEX(Movimientos!$G$2:$G$1998,MATCH(A555&amp;"ENTRADA",Movimientos!$R$2:$R$1998,0)),"-")</f>
        <v>-</v>
      </c>
      <c r="G555" s="3" t="str">
        <f>IFERROR(INDEX(Movimientos!$L$2:$L$1998,MATCH(A555&amp;"ENTRADA",Movimientos!$R$2:$R$1998,0)),"-")</f>
        <v>-</v>
      </c>
      <c r="H555" s="19" t="str">
        <f>IFERROR(IF(INDEX(Movimientos!$M$2:$M$1998,MATCH(A555&amp;"ENTRADA",Movimientos!$R$2:$R$1998,0))=0,"S/D",INDEX(Movimientos!$M$2:$M$1998,MATCH(A555&amp;"ENTRADA",Movimientos!$R$2:$R$1998,0))),"S/D")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7"/>
        <v>SIN STOCK</v>
      </c>
    </row>
    <row r="556" spans="1:11" ht="14.25">
      <c r="A556" s="18" t="s">
        <v>2699</v>
      </c>
      <c r="B556" s="3" t="str">
        <f>IFERROR(INDEX(Movimientos!$C$2:$C$1998,MATCH(A556&amp;"ENTRADA",Movimientos!$R$2:$R$1998,0)),"-")</f>
        <v>-</v>
      </c>
      <c r="C556" s="3" t="str">
        <f>IFERROR(INDEX(Movimientos!$D$2:$D$1998,MATCH(A556&amp;"ENTRADA",Movimientos!$R$2:$R$1998,0)),"-")</f>
        <v>-</v>
      </c>
      <c r="D556" s="3" t="str">
        <f>IFERROR(INDEX(Movimientos!$E$2:$E$1998,MATCH(A556&amp;"ENTRADA",Movimientos!$R$2:$R$1998,0)),"-")</f>
        <v>-</v>
      </c>
      <c r="E556" s="3" t="str">
        <f>IFERROR(INDEX(Movimientos!$F$2:$F$1998,MATCH(A556&amp;"ENTRADA",Movimientos!$R$2:$R$1998,0)),"-")</f>
        <v>-</v>
      </c>
      <c r="F556" s="3" t="str">
        <f>IFERROR(INDEX(Movimientos!$G$2:$G$1998,MATCH(A556&amp;"ENTRADA",Movimientos!$R$2:$R$1998,0)),"-")</f>
        <v>-</v>
      </c>
      <c r="G556" s="3" t="str">
        <f>IFERROR(INDEX(Movimientos!$L$2:$L$1998,MATCH(A556&amp;"ENTRADA",Movimientos!$R$2:$R$1998,0)),"-")</f>
        <v>-</v>
      </c>
      <c r="H556" s="19" t="str">
        <f>IFERROR(IF(INDEX(Movimientos!$M$2:$M$1998,MATCH(A556&amp;"ENTRADA",Movimientos!$R$2:$R$1998,0))=0,"S/D",INDEX(Movimientos!$M$2:$M$1998,MATCH(A556&amp;"ENTRADA",Movimientos!$R$2:$R$1998,0))),"S/D")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7"/>
        <v>SIN STOCK</v>
      </c>
    </row>
    <row r="557" spans="1:11" ht="14.25">
      <c r="A557" s="18" t="s">
        <v>2700</v>
      </c>
      <c r="B557" s="3" t="str">
        <f>IFERROR(INDEX(Movimientos!$C$2:$C$1998,MATCH(A557&amp;"ENTRADA",Movimientos!$R$2:$R$1998,0)),"-")</f>
        <v>-</v>
      </c>
      <c r="C557" s="3" t="str">
        <f>IFERROR(INDEX(Movimientos!$D$2:$D$1998,MATCH(A557&amp;"ENTRADA",Movimientos!$R$2:$R$1998,0)),"-")</f>
        <v>-</v>
      </c>
      <c r="D557" s="3" t="str">
        <f>IFERROR(INDEX(Movimientos!$E$2:$E$1998,MATCH(A557&amp;"ENTRADA",Movimientos!$R$2:$R$1998,0)),"-")</f>
        <v>-</v>
      </c>
      <c r="E557" s="3" t="str">
        <f>IFERROR(INDEX(Movimientos!$F$2:$F$1998,MATCH(A557&amp;"ENTRADA",Movimientos!$R$2:$R$1998,0)),"-")</f>
        <v>-</v>
      </c>
      <c r="F557" s="3" t="str">
        <f>IFERROR(INDEX(Movimientos!$G$2:$G$1998,MATCH(A557&amp;"ENTRADA",Movimientos!$R$2:$R$1998,0)),"-")</f>
        <v>-</v>
      </c>
      <c r="G557" s="3" t="str">
        <f>IFERROR(INDEX(Movimientos!$L$2:$L$1998,MATCH(A557&amp;"ENTRADA",Movimientos!$R$2:$R$1998,0)),"-")</f>
        <v>-</v>
      </c>
      <c r="H557" s="19" t="str">
        <f>IFERROR(IF(INDEX(Movimientos!$M$2:$M$1998,MATCH(A557&amp;"ENTRADA",Movimientos!$R$2:$R$1998,0))=0,"S/D",INDEX(Movimientos!$M$2:$M$1998,MATCH(A557&amp;"ENTRADA",Movimientos!$R$2:$R$1998,0))),"S/D")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7"/>
        <v>SIN STOCK</v>
      </c>
    </row>
    <row r="558" spans="1:11" ht="14.25">
      <c r="A558" s="18" t="s">
        <v>2701</v>
      </c>
      <c r="B558" s="3" t="str">
        <f>IFERROR(INDEX(Movimientos!$C$2:$C$1998,MATCH(A558&amp;"ENTRADA",Movimientos!$R$2:$R$1998,0)),"-")</f>
        <v>-</v>
      </c>
      <c r="C558" s="3" t="str">
        <f>IFERROR(INDEX(Movimientos!$D$2:$D$1998,MATCH(A558&amp;"ENTRADA",Movimientos!$R$2:$R$1998,0)),"-")</f>
        <v>-</v>
      </c>
      <c r="D558" s="3" t="str">
        <f>IFERROR(INDEX(Movimientos!$E$2:$E$1998,MATCH(A558&amp;"ENTRADA",Movimientos!$R$2:$R$1998,0)),"-")</f>
        <v>-</v>
      </c>
      <c r="E558" s="3" t="str">
        <f>IFERROR(INDEX(Movimientos!$F$2:$F$1998,MATCH(A558&amp;"ENTRADA",Movimientos!$R$2:$R$1998,0)),"-")</f>
        <v>-</v>
      </c>
      <c r="F558" s="3" t="str">
        <f>IFERROR(INDEX(Movimientos!$G$2:$G$1998,MATCH(A558&amp;"ENTRADA",Movimientos!$R$2:$R$1998,0)),"-")</f>
        <v>-</v>
      </c>
      <c r="G558" s="3" t="str">
        <f>IFERROR(INDEX(Movimientos!$L$2:$L$1998,MATCH(A558&amp;"ENTRADA",Movimientos!$R$2:$R$1998,0)),"-")</f>
        <v>-</v>
      </c>
      <c r="H558" s="19" t="str">
        <f>IFERROR(IF(INDEX(Movimientos!$M$2:$M$1998,MATCH(A558&amp;"ENTRADA",Movimientos!$R$2:$R$1998,0))=0,"S/D",INDEX(Movimientos!$M$2:$M$1998,MATCH(A558&amp;"ENTRADA",Movimientos!$R$2:$R$1998,0))),"S/D")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7"/>
        <v>SIN STOCK</v>
      </c>
    </row>
    <row r="559" spans="1:11" ht="14.25">
      <c r="A559" s="18" t="s">
        <v>2702</v>
      </c>
      <c r="B559" s="3" t="str">
        <f>IFERROR(INDEX(Movimientos!$C$2:$C$1998,MATCH(A559&amp;"ENTRADA",Movimientos!$R$2:$R$1998,0)),"-")</f>
        <v>-</v>
      </c>
      <c r="C559" s="3" t="str">
        <f>IFERROR(INDEX(Movimientos!$D$2:$D$1998,MATCH(A559&amp;"ENTRADA",Movimientos!$R$2:$R$1998,0)),"-")</f>
        <v>-</v>
      </c>
      <c r="D559" s="3" t="str">
        <f>IFERROR(INDEX(Movimientos!$E$2:$E$1998,MATCH(A559&amp;"ENTRADA",Movimientos!$R$2:$R$1998,0)),"-")</f>
        <v>-</v>
      </c>
      <c r="E559" s="3" t="str">
        <f>IFERROR(INDEX(Movimientos!$F$2:$F$1998,MATCH(A559&amp;"ENTRADA",Movimientos!$R$2:$R$1998,0)),"-")</f>
        <v>-</v>
      </c>
      <c r="F559" s="3" t="str">
        <f>IFERROR(INDEX(Movimientos!$G$2:$G$1998,MATCH(A559&amp;"ENTRADA",Movimientos!$R$2:$R$1998,0)),"-")</f>
        <v>-</v>
      </c>
      <c r="G559" s="3" t="str">
        <f>IFERROR(INDEX(Movimientos!$L$2:$L$1998,MATCH(A559&amp;"ENTRADA",Movimientos!$R$2:$R$1998,0)),"-")</f>
        <v>-</v>
      </c>
      <c r="H559" s="19" t="str">
        <f>IFERROR(IF(INDEX(Movimientos!$M$2:$M$1998,MATCH(A559&amp;"ENTRADA",Movimientos!$R$2:$R$1998,0))=0,"S/D",INDEX(Movimientos!$M$2:$M$1998,MATCH(A559&amp;"ENTRADA",Movimientos!$R$2:$R$1998,0))),"S/D")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7"/>
        <v>SIN STOCK</v>
      </c>
    </row>
    <row r="560" spans="1:11" ht="14.25">
      <c r="A560" s="18" t="s">
        <v>2703</v>
      </c>
      <c r="B560" s="3" t="str">
        <f>IFERROR(INDEX(Movimientos!$C$2:$C$1998,MATCH(A560&amp;"ENTRADA",Movimientos!$R$2:$R$1998,0)),"-")</f>
        <v>-</v>
      </c>
      <c r="C560" s="3" t="str">
        <f>IFERROR(INDEX(Movimientos!$D$2:$D$1998,MATCH(A560&amp;"ENTRADA",Movimientos!$R$2:$R$1998,0)),"-")</f>
        <v>-</v>
      </c>
      <c r="D560" s="3" t="str">
        <f>IFERROR(INDEX(Movimientos!$E$2:$E$1998,MATCH(A560&amp;"ENTRADA",Movimientos!$R$2:$R$1998,0)),"-")</f>
        <v>-</v>
      </c>
      <c r="E560" s="3" t="str">
        <f>IFERROR(INDEX(Movimientos!$F$2:$F$1998,MATCH(A560&amp;"ENTRADA",Movimientos!$R$2:$R$1998,0)),"-")</f>
        <v>-</v>
      </c>
      <c r="F560" s="3" t="str">
        <f>IFERROR(INDEX(Movimientos!$G$2:$G$1998,MATCH(A560&amp;"ENTRADA",Movimientos!$R$2:$R$1998,0)),"-")</f>
        <v>-</v>
      </c>
      <c r="G560" s="3" t="str">
        <f>IFERROR(INDEX(Movimientos!$L$2:$L$1998,MATCH(A560&amp;"ENTRADA",Movimientos!$R$2:$R$1998,0)),"-")</f>
        <v>-</v>
      </c>
      <c r="H560" s="19" t="str">
        <f>IFERROR(IF(INDEX(Movimientos!$M$2:$M$1998,MATCH(A560&amp;"ENTRADA",Movimientos!$R$2:$R$1998,0))=0,"S/D",INDEX(Movimientos!$M$2:$M$1998,MATCH(A560&amp;"ENTRADA",Movimientos!$R$2:$R$1998,0))),"S/D")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7"/>
        <v>SIN STOCK</v>
      </c>
    </row>
    <row r="561" spans="1:11" ht="14.25">
      <c r="A561" s="18" t="s">
        <v>2704</v>
      </c>
      <c r="B561" s="3" t="str">
        <f>IFERROR(INDEX(Movimientos!$C$2:$C$1998,MATCH(A561&amp;"ENTRADA",Movimientos!$R$2:$R$1998,0)),"-")</f>
        <v>-</v>
      </c>
      <c r="C561" s="3" t="str">
        <f>IFERROR(INDEX(Movimientos!$D$2:$D$1998,MATCH(A561&amp;"ENTRADA",Movimientos!$R$2:$R$1998,0)),"-")</f>
        <v>-</v>
      </c>
      <c r="D561" s="3" t="str">
        <f>IFERROR(INDEX(Movimientos!$E$2:$E$1998,MATCH(A561&amp;"ENTRADA",Movimientos!$R$2:$R$1998,0)),"-")</f>
        <v>-</v>
      </c>
      <c r="E561" s="3" t="str">
        <f>IFERROR(INDEX(Movimientos!$F$2:$F$1998,MATCH(A561&amp;"ENTRADA",Movimientos!$R$2:$R$1998,0)),"-")</f>
        <v>-</v>
      </c>
      <c r="F561" s="3" t="str">
        <f>IFERROR(INDEX(Movimientos!$G$2:$G$1998,MATCH(A561&amp;"ENTRADA",Movimientos!$R$2:$R$1998,0)),"-")</f>
        <v>-</v>
      </c>
      <c r="G561" s="3" t="str">
        <f>IFERROR(INDEX(Movimientos!$L$2:$L$1998,MATCH(A561&amp;"ENTRADA",Movimientos!$R$2:$R$1998,0)),"-")</f>
        <v>-</v>
      </c>
      <c r="H561" s="19" t="str">
        <f>IFERROR(IF(INDEX(Movimientos!$M$2:$M$1998,MATCH(A561&amp;"ENTRADA",Movimientos!$R$2:$R$1998,0))=0,"S/D",INDEX(Movimientos!$M$2:$M$1998,MATCH(A561&amp;"ENTRADA",Movimientos!$R$2:$R$1998,0))),"S/D")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7"/>
        <v>SIN STOCK</v>
      </c>
    </row>
    <row r="562" spans="1:11" ht="14.25">
      <c r="A562" s="18" t="s">
        <v>2705</v>
      </c>
      <c r="B562" s="3" t="str">
        <f>IFERROR(INDEX(Movimientos!$C$2:$C$1998,MATCH(A562&amp;"ENTRADA",Movimientos!$R$2:$R$1998,0)),"-")</f>
        <v>-</v>
      </c>
      <c r="C562" s="3" t="str">
        <f>IFERROR(INDEX(Movimientos!$D$2:$D$1998,MATCH(A562&amp;"ENTRADA",Movimientos!$R$2:$R$1998,0)),"-")</f>
        <v>-</v>
      </c>
      <c r="D562" s="3" t="str">
        <f>IFERROR(INDEX(Movimientos!$E$2:$E$1998,MATCH(A562&amp;"ENTRADA",Movimientos!$R$2:$R$1998,0)),"-")</f>
        <v>-</v>
      </c>
      <c r="E562" s="3" t="str">
        <f>IFERROR(INDEX(Movimientos!$F$2:$F$1998,MATCH(A562&amp;"ENTRADA",Movimientos!$R$2:$R$1998,0)),"-")</f>
        <v>-</v>
      </c>
      <c r="F562" s="3" t="str">
        <f>IFERROR(INDEX(Movimientos!$G$2:$G$1998,MATCH(A562&amp;"ENTRADA",Movimientos!$R$2:$R$1998,0)),"-")</f>
        <v>-</v>
      </c>
      <c r="G562" s="3" t="str">
        <f>IFERROR(INDEX(Movimientos!$L$2:$L$1998,MATCH(A562&amp;"ENTRADA",Movimientos!$R$2:$R$1998,0)),"-")</f>
        <v>-</v>
      </c>
      <c r="H562" s="19" t="str">
        <f>IFERROR(IF(INDEX(Movimientos!$M$2:$M$1998,MATCH(A562&amp;"ENTRADA",Movimientos!$R$2:$R$1998,0))=0,"S/D",INDEX(Movimientos!$M$2:$M$1998,MATCH(A562&amp;"ENTRADA",Movimientos!$R$2:$R$1998,0))),"S/D")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7"/>
        <v>SIN STOCK</v>
      </c>
    </row>
    <row r="563" spans="1:11" ht="14.25">
      <c r="A563" s="18" t="s">
        <v>2706</v>
      </c>
      <c r="B563" s="3" t="str">
        <f>IFERROR(INDEX(Movimientos!$C$2:$C$1998,MATCH(A563&amp;"ENTRADA",Movimientos!$R$2:$R$1998,0)),"-")</f>
        <v>-</v>
      </c>
      <c r="C563" s="3" t="str">
        <f>IFERROR(INDEX(Movimientos!$D$2:$D$1998,MATCH(A563&amp;"ENTRADA",Movimientos!$R$2:$R$1998,0)),"-")</f>
        <v>-</v>
      </c>
      <c r="D563" s="3" t="str">
        <f>IFERROR(INDEX(Movimientos!$E$2:$E$1998,MATCH(A563&amp;"ENTRADA",Movimientos!$R$2:$R$1998,0)),"-")</f>
        <v>-</v>
      </c>
      <c r="E563" s="3" t="str">
        <f>IFERROR(INDEX(Movimientos!$F$2:$F$1998,MATCH(A563&amp;"ENTRADA",Movimientos!$R$2:$R$1998,0)),"-")</f>
        <v>-</v>
      </c>
      <c r="F563" s="3" t="str">
        <f>IFERROR(INDEX(Movimientos!$G$2:$G$1998,MATCH(A563&amp;"ENTRADA",Movimientos!$R$2:$R$1998,0)),"-")</f>
        <v>-</v>
      </c>
      <c r="G563" s="3" t="str">
        <f>IFERROR(INDEX(Movimientos!$L$2:$L$1998,MATCH(A563&amp;"ENTRADA",Movimientos!$R$2:$R$1998,0)),"-")</f>
        <v>-</v>
      </c>
      <c r="H563" s="19" t="str">
        <f>IFERROR(IF(INDEX(Movimientos!$M$2:$M$1998,MATCH(A563&amp;"ENTRADA",Movimientos!$R$2:$R$1998,0))=0,"S/D",INDEX(Movimientos!$M$2:$M$1998,MATCH(A563&amp;"ENTRADA",Movimientos!$R$2:$R$1998,0))),"S/D")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7"/>
        <v>SIN STOCK</v>
      </c>
    </row>
    <row r="564" spans="1:11" ht="14.25">
      <c r="A564" s="18" t="s">
        <v>2707</v>
      </c>
      <c r="B564" s="3" t="str">
        <f>IFERROR(INDEX(Movimientos!$C$2:$C$1998,MATCH(A564&amp;"ENTRADA",Movimientos!$R$2:$R$1998,0)),"-")</f>
        <v>-</v>
      </c>
      <c r="C564" s="3" t="str">
        <f>IFERROR(INDEX(Movimientos!$D$2:$D$1998,MATCH(A564&amp;"ENTRADA",Movimientos!$R$2:$R$1998,0)),"-")</f>
        <v>-</v>
      </c>
      <c r="D564" s="3" t="str">
        <f>IFERROR(INDEX(Movimientos!$E$2:$E$1998,MATCH(A564&amp;"ENTRADA",Movimientos!$R$2:$R$1998,0)),"-")</f>
        <v>-</v>
      </c>
      <c r="E564" s="3" t="str">
        <f>IFERROR(INDEX(Movimientos!$F$2:$F$1998,MATCH(A564&amp;"ENTRADA",Movimientos!$R$2:$R$1998,0)),"-")</f>
        <v>-</v>
      </c>
      <c r="F564" s="3" t="str">
        <f>IFERROR(INDEX(Movimientos!$G$2:$G$1998,MATCH(A564&amp;"ENTRADA",Movimientos!$R$2:$R$1998,0)),"-")</f>
        <v>-</v>
      </c>
      <c r="G564" s="3" t="str">
        <f>IFERROR(INDEX(Movimientos!$L$2:$L$1998,MATCH(A564&amp;"ENTRADA",Movimientos!$R$2:$R$1998,0)),"-")</f>
        <v>-</v>
      </c>
      <c r="H564" s="19" t="str">
        <f>IFERROR(IF(INDEX(Movimientos!$M$2:$M$1998,MATCH(A564&amp;"ENTRADA",Movimientos!$R$2:$R$1998,0))=0,"S/D",INDEX(Movimientos!$M$2:$M$1998,MATCH(A564&amp;"ENTRADA",Movimientos!$R$2:$R$1998,0))),"S/D")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7"/>
        <v>SIN STOCK</v>
      </c>
    </row>
    <row r="565" spans="1:11" ht="14.25">
      <c r="A565" s="18" t="s">
        <v>2708</v>
      </c>
      <c r="B565" s="3" t="str">
        <f>IFERROR(INDEX(Movimientos!$C$2:$C$1998,MATCH(A565&amp;"ENTRADA",Movimientos!$R$2:$R$1998,0)),"-")</f>
        <v>-</v>
      </c>
      <c r="C565" s="3" t="str">
        <f>IFERROR(INDEX(Movimientos!$D$2:$D$1998,MATCH(A565&amp;"ENTRADA",Movimientos!$R$2:$R$1998,0)),"-")</f>
        <v>-</v>
      </c>
      <c r="D565" s="3" t="str">
        <f>IFERROR(INDEX(Movimientos!$E$2:$E$1998,MATCH(A565&amp;"ENTRADA",Movimientos!$R$2:$R$1998,0)),"-")</f>
        <v>-</v>
      </c>
      <c r="E565" s="3" t="str">
        <f>IFERROR(INDEX(Movimientos!$F$2:$F$1998,MATCH(A565&amp;"ENTRADA",Movimientos!$R$2:$R$1998,0)),"-")</f>
        <v>-</v>
      </c>
      <c r="F565" s="3" t="str">
        <f>IFERROR(INDEX(Movimientos!$G$2:$G$1998,MATCH(A565&amp;"ENTRADA",Movimientos!$R$2:$R$1998,0)),"-")</f>
        <v>-</v>
      </c>
      <c r="G565" s="3" t="str">
        <f>IFERROR(INDEX(Movimientos!$L$2:$L$1998,MATCH(A565&amp;"ENTRADA",Movimientos!$R$2:$R$1998,0)),"-")</f>
        <v>-</v>
      </c>
      <c r="H565" s="19" t="str">
        <f>IFERROR(IF(INDEX(Movimientos!$M$2:$M$1998,MATCH(A565&amp;"ENTRADA",Movimientos!$R$2:$R$1998,0))=0,"S/D",INDEX(Movimientos!$M$2:$M$1998,MATCH(A565&amp;"ENTRADA",Movimientos!$R$2:$R$1998,0))),"S/D")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7"/>
        <v>SIN STOCK</v>
      </c>
    </row>
    <row r="566" spans="1:11" ht="14.25">
      <c r="A566" s="18" t="s">
        <v>2709</v>
      </c>
      <c r="B566" s="3" t="str">
        <f>IFERROR(INDEX(Movimientos!$C$2:$C$1998,MATCH(A566&amp;"ENTRADA",Movimientos!$R$2:$R$1998,0)),"-")</f>
        <v>-</v>
      </c>
      <c r="C566" s="3" t="str">
        <f>IFERROR(INDEX(Movimientos!$D$2:$D$1998,MATCH(A566&amp;"ENTRADA",Movimientos!$R$2:$R$1998,0)),"-")</f>
        <v>-</v>
      </c>
      <c r="D566" s="3" t="str">
        <f>IFERROR(INDEX(Movimientos!$E$2:$E$1998,MATCH(A566&amp;"ENTRADA",Movimientos!$R$2:$R$1998,0)),"-")</f>
        <v>-</v>
      </c>
      <c r="E566" s="3" t="str">
        <f>IFERROR(INDEX(Movimientos!$F$2:$F$1998,MATCH(A566&amp;"ENTRADA",Movimientos!$R$2:$R$1998,0)),"-")</f>
        <v>-</v>
      </c>
      <c r="F566" s="3" t="str">
        <f>IFERROR(INDEX(Movimientos!$G$2:$G$1998,MATCH(A566&amp;"ENTRADA",Movimientos!$R$2:$R$1998,0)),"-")</f>
        <v>-</v>
      </c>
      <c r="G566" s="3" t="str">
        <f>IFERROR(INDEX(Movimientos!$L$2:$L$1998,MATCH(A566&amp;"ENTRADA",Movimientos!$R$2:$R$1998,0)),"-")</f>
        <v>-</v>
      </c>
      <c r="H566" s="19" t="str">
        <f>IFERROR(IF(INDEX(Movimientos!$M$2:$M$1998,MATCH(A566&amp;"ENTRADA",Movimientos!$R$2:$R$1998,0))=0,"S/D",INDEX(Movimientos!$M$2:$M$1998,MATCH(A566&amp;"ENTRADA",Movimientos!$R$2:$R$1998,0))),"S/D")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7"/>
        <v>SIN STOCK</v>
      </c>
    </row>
    <row r="567" spans="1:11" ht="14.25">
      <c r="A567" s="18" t="s">
        <v>2710</v>
      </c>
      <c r="B567" s="3" t="str">
        <f>IFERROR(INDEX(Movimientos!$C$2:$C$1998,MATCH(A567&amp;"ENTRADA",Movimientos!$R$2:$R$1998,0)),"-")</f>
        <v>-</v>
      </c>
      <c r="C567" s="3" t="str">
        <f>IFERROR(INDEX(Movimientos!$D$2:$D$1998,MATCH(A567&amp;"ENTRADA",Movimientos!$R$2:$R$1998,0)),"-")</f>
        <v>-</v>
      </c>
      <c r="D567" s="3" t="str">
        <f>IFERROR(INDEX(Movimientos!$E$2:$E$1998,MATCH(A567&amp;"ENTRADA",Movimientos!$R$2:$R$1998,0)),"-")</f>
        <v>-</v>
      </c>
      <c r="E567" s="3" t="str">
        <f>IFERROR(INDEX(Movimientos!$F$2:$F$1998,MATCH(A567&amp;"ENTRADA",Movimientos!$R$2:$R$1998,0)),"-")</f>
        <v>-</v>
      </c>
      <c r="F567" s="3" t="str">
        <f>IFERROR(INDEX(Movimientos!$G$2:$G$1998,MATCH(A567&amp;"ENTRADA",Movimientos!$R$2:$R$1998,0)),"-")</f>
        <v>-</v>
      </c>
      <c r="G567" s="3" t="str">
        <f>IFERROR(INDEX(Movimientos!$L$2:$L$1998,MATCH(A567&amp;"ENTRADA",Movimientos!$R$2:$R$1998,0)),"-")</f>
        <v>-</v>
      </c>
      <c r="H567" s="19" t="str">
        <f>IFERROR(IF(INDEX(Movimientos!$M$2:$M$1998,MATCH(A567&amp;"ENTRADA",Movimientos!$R$2:$R$1998,0))=0,"S/D",INDEX(Movimientos!$M$2:$M$1998,MATCH(A567&amp;"ENTRADA",Movimientos!$R$2:$R$1998,0))),"S/D")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7"/>
        <v>SIN STOCK</v>
      </c>
    </row>
    <row r="568" spans="1:11" ht="14.25">
      <c r="A568" s="18" t="s">
        <v>2711</v>
      </c>
      <c r="B568" s="3" t="str">
        <f>IFERROR(INDEX(Movimientos!$C$2:$C$1998,MATCH(A568&amp;"ENTRADA",Movimientos!$R$2:$R$1998,0)),"-")</f>
        <v>-</v>
      </c>
      <c r="C568" s="3" t="str">
        <f>IFERROR(INDEX(Movimientos!$D$2:$D$1998,MATCH(A568&amp;"ENTRADA",Movimientos!$R$2:$R$1998,0)),"-")</f>
        <v>-</v>
      </c>
      <c r="D568" s="3" t="str">
        <f>IFERROR(INDEX(Movimientos!$E$2:$E$1998,MATCH(A568&amp;"ENTRADA",Movimientos!$R$2:$R$1998,0)),"-")</f>
        <v>-</v>
      </c>
      <c r="E568" s="3" t="str">
        <f>IFERROR(INDEX(Movimientos!$F$2:$F$1998,MATCH(A568&amp;"ENTRADA",Movimientos!$R$2:$R$1998,0)),"-")</f>
        <v>-</v>
      </c>
      <c r="F568" s="3" t="str">
        <f>IFERROR(INDEX(Movimientos!$G$2:$G$1998,MATCH(A568&amp;"ENTRADA",Movimientos!$R$2:$R$1998,0)),"-")</f>
        <v>-</v>
      </c>
      <c r="G568" s="3" t="str">
        <f>IFERROR(INDEX(Movimientos!$L$2:$L$1998,MATCH(A568&amp;"ENTRADA",Movimientos!$R$2:$R$1998,0)),"-")</f>
        <v>-</v>
      </c>
      <c r="H568" s="19" t="str">
        <f>IFERROR(IF(INDEX(Movimientos!$M$2:$M$1998,MATCH(A568&amp;"ENTRADA",Movimientos!$R$2:$R$1998,0))=0,"S/D",INDEX(Movimientos!$M$2:$M$1998,MATCH(A568&amp;"ENTRADA",Movimientos!$R$2:$R$1998,0))),"S/D")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7"/>
        <v>SIN STOCK</v>
      </c>
    </row>
    <row r="569" spans="1:11" ht="14.25">
      <c r="A569" s="18" t="s">
        <v>2712</v>
      </c>
      <c r="B569" s="3" t="str">
        <f>IFERROR(INDEX(Movimientos!$C$2:$C$1998,MATCH(A569&amp;"ENTRADA",Movimientos!$R$2:$R$1998,0)),"-")</f>
        <v>-</v>
      </c>
      <c r="C569" s="3" t="str">
        <f>IFERROR(INDEX(Movimientos!$D$2:$D$1998,MATCH(A569&amp;"ENTRADA",Movimientos!$R$2:$R$1998,0)),"-")</f>
        <v>-</v>
      </c>
      <c r="D569" s="3" t="str">
        <f>IFERROR(INDEX(Movimientos!$E$2:$E$1998,MATCH(A569&amp;"ENTRADA",Movimientos!$R$2:$R$1998,0)),"-")</f>
        <v>-</v>
      </c>
      <c r="E569" s="3" t="str">
        <f>IFERROR(INDEX(Movimientos!$F$2:$F$1998,MATCH(A569&amp;"ENTRADA",Movimientos!$R$2:$R$1998,0)),"-")</f>
        <v>-</v>
      </c>
      <c r="F569" s="3" t="str">
        <f>IFERROR(INDEX(Movimientos!$G$2:$G$1998,MATCH(A569&amp;"ENTRADA",Movimientos!$R$2:$R$1998,0)),"-")</f>
        <v>-</v>
      </c>
      <c r="G569" s="3" t="str">
        <f>IFERROR(INDEX(Movimientos!$L$2:$L$1998,MATCH(A569&amp;"ENTRADA",Movimientos!$R$2:$R$1998,0)),"-")</f>
        <v>-</v>
      </c>
      <c r="H569" s="19" t="str">
        <f>IFERROR(IF(INDEX(Movimientos!$M$2:$M$1998,MATCH(A569&amp;"ENTRADA",Movimientos!$R$2:$R$1998,0))=0,"S/D",INDEX(Movimientos!$M$2:$M$1998,MATCH(A569&amp;"ENTRADA",Movimientos!$R$2:$R$1998,0))),"S/D")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7"/>
        <v>SIN STOCK</v>
      </c>
    </row>
    <row r="570" spans="1:11" ht="14.25">
      <c r="A570" s="18" t="s">
        <v>2713</v>
      </c>
      <c r="B570" s="3" t="str">
        <f>IFERROR(INDEX(Movimientos!$C$2:$C$1998,MATCH(A570&amp;"ENTRADA",Movimientos!$R$2:$R$1998,0)),"-")</f>
        <v>-</v>
      </c>
      <c r="C570" s="3" t="str">
        <f>IFERROR(INDEX(Movimientos!$D$2:$D$1998,MATCH(A570&amp;"ENTRADA",Movimientos!$R$2:$R$1998,0)),"-")</f>
        <v>-</v>
      </c>
      <c r="D570" s="3" t="str">
        <f>IFERROR(INDEX(Movimientos!$E$2:$E$1998,MATCH(A570&amp;"ENTRADA",Movimientos!$R$2:$R$1998,0)),"-")</f>
        <v>-</v>
      </c>
      <c r="E570" s="3" t="str">
        <f>IFERROR(INDEX(Movimientos!$F$2:$F$1998,MATCH(A570&amp;"ENTRADA",Movimientos!$R$2:$R$1998,0)),"-")</f>
        <v>-</v>
      </c>
      <c r="F570" s="3" t="str">
        <f>IFERROR(INDEX(Movimientos!$G$2:$G$1998,MATCH(A570&amp;"ENTRADA",Movimientos!$R$2:$R$1998,0)),"-")</f>
        <v>-</v>
      </c>
      <c r="G570" s="3" t="str">
        <f>IFERROR(INDEX(Movimientos!$L$2:$L$1998,MATCH(A570&amp;"ENTRADA",Movimientos!$R$2:$R$1998,0)),"-")</f>
        <v>-</v>
      </c>
      <c r="H570" s="19" t="str">
        <f>IFERROR(IF(INDEX(Movimientos!$M$2:$M$1998,MATCH(A570&amp;"ENTRADA",Movimientos!$R$2:$R$1998,0))=0,"S/D",INDEX(Movimientos!$M$2:$M$1998,MATCH(A570&amp;"ENTRADA",Movimientos!$R$2:$R$1998,0))),"S/D")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7"/>
        <v>SIN STOCK</v>
      </c>
    </row>
    <row r="571" spans="1:11" ht="14.25">
      <c r="A571" s="18" t="s">
        <v>2714</v>
      </c>
      <c r="B571" s="3" t="str">
        <f>IFERROR(INDEX(Movimientos!$C$2:$C$1998,MATCH(A571&amp;"ENTRADA",Movimientos!$R$2:$R$1998,0)),"-")</f>
        <v>-</v>
      </c>
      <c r="C571" s="3" t="str">
        <f>IFERROR(INDEX(Movimientos!$D$2:$D$1998,MATCH(A571&amp;"ENTRADA",Movimientos!$R$2:$R$1998,0)),"-")</f>
        <v>-</v>
      </c>
      <c r="D571" s="3" t="str">
        <f>IFERROR(INDEX(Movimientos!$E$2:$E$1998,MATCH(A571&amp;"ENTRADA",Movimientos!$R$2:$R$1998,0)),"-")</f>
        <v>-</v>
      </c>
      <c r="E571" s="3" t="str">
        <f>IFERROR(INDEX(Movimientos!$F$2:$F$1998,MATCH(A571&amp;"ENTRADA",Movimientos!$R$2:$R$1998,0)),"-")</f>
        <v>-</v>
      </c>
      <c r="F571" s="3" t="str">
        <f>IFERROR(INDEX(Movimientos!$G$2:$G$1998,MATCH(A571&amp;"ENTRADA",Movimientos!$R$2:$R$1998,0)),"-")</f>
        <v>-</v>
      </c>
      <c r="G571" s="3" t="str">
        <f>IFERROR(INDEX(Movimientos!$L$2:$L$1998,MATCH(A571&amp;"ENTRADA",Movimientos!$R$2:$R$1998,0)),"-")</f>
        <v>-</v>
      </c>
      <c r="H571" s="19" t="str">
        <f>IFERROR(IF(INDEX(Movimientos!$M$2:$M$1998,MATCH(A571&amp;"ENTRADA",Movimientos!$R$2:$R$1998,0))=0,"S/D",INDEX(Movimientos!$M$2:$M$1998,MATCH(A571&amp;"ENTRADA",Movimientos!$R$2:$R$1998,0))),"S/D")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7"/>
        <v>SIN STOCK</v>
      </c>
    </row>
    <row r="572" spans="1:11" ht="14.25">
      <c r="A572" s="18" t="s">
        <v>2715</v>
      </c>
      <c r="B572" s="3" t="str">
        <f>IFERROR(INDEX(Movimientos!$C$2:$C$1998,MATCH(A572&amp;"ENTRADA",Movimientos!$R$2:$R$1998,0)),"-")</f>
        <v>-</v>
      </c>
      <c r="C572" s="3" t="str">
        <f>IFERROR(INDEX(Movimientos!$D$2:$D$1998,MATCH(A572&amp;"ENTRADA",Movimientos!$R$2:$R$1998,0)),"-")</f>
        <v>-</v>
      </c>
      <c r="D572" s="3" t="str">
        <f>IFERROR(INDEX(Movimientos!$E$2:$E$1998,MATCH(A572&amp;"ENTRADA",Movimientos!$R$2:$R$1998,0)),"-")</f>
        <v>-</v>
      </c>
      <c r="E572" s="3" t="str">
        <f>IFERROR(INDEX(Movimientos!$F$2:$F$1998,MATCH(A572&amp;"ENTRADA",Movimientos!$R$2:$R$1998,0)),"-")</f>
        <v>-</v>
      </c>
      <c r="F572" s="3" t="str">
        <f>IFERROR(INDEX(Movimientos!$G$2:$G$1998,MATCH(A572&amp;"ENTRADA",Movimientos!$R$2:$R$1998,0)),"-")</f>
        <v>-</v>
      </c>
      <c r="G572" s="3" t="str">
        <f>IFERROR(INDEX(Movimientos!$L$2:$L$1998,MATCH(A572&amp;"ENTRADA",Movimientos!$R$2:$R$1998,0)),"-")</f>
        <v>-</v>
      </c>
      <c r="H572" s="19" t="str">
        <f>IFERROR(IF(INDEX(Movimientos!$M$2:$M$1998,MATCH(A572&amp;"ENTRADA",Movimientos!$R$2:$R$1998,0))=0,"S/D",INDEX(Movimientos!$M$2:$M$1998,MATCH(A572&amp;"ENTRADA",Movimientos!$R$2:$R$1998,0))),"S/D")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7"/>
        <v>SIN STOCK</v>
      </c>
    </row>
    <row r="573" spans="1:11" ht="14.25">
      <c r="A573" s="18" t="s">
        <v>2716</v>
      </c>
      <c r="B573" s="3" t="str">
        <f>IFERROR(INDEX(Movimientos!$C$2:$C$1998,MATCH(A573&amp;"ENTRADA",Movimientos!$R$2:$R$1998,0)),"-")</f>
        <v>-</v>
      </c>
      <c r="C573" s="3" t="str">
        <f>IFERROR(INDEX(Movimientos!$D$2:$D$1998,MATCH(A573&amp;"ENTRADA",Movimientos!$R$2:$R$1998,0)),"-")</f>
        <v>-</v>
      </c>
      <c r="D573" s="3" t="str">
        <f>IFERROR(INDEX(Movimientos!$E$2:$E$1998,MATCH(A573&amp;"ENTRADA",Movimientos!$R$2:$R$1998,0)),"-")</f>
        <v>-</v>
      </c>
      <c r="E573" s="3" t="str">
        <f>IFERROR(INDEX(Movimientos!$F$2:$F$1998,MATCH(A573&amp;"ENTRADA",Movimientos!$R$2:$R$1998,0)),"-")</f>
        <v>-</v>
      </c>
      <c r="F573" s="3" t="str">
        <f>IFERROR(INDEX(Movimientos!$G$2:$G$1998,MATCH(A573&amp;"ENTRADA",Movimientos!$R$2:$R$1998,0)),"-")</f>
        <v>-</v>
      </c>
      <c r="G573" s="3" t="str">
        <f>IFERROR(INDEX(Movimientos!$L$2:$L$1998,MATCH(A573&amp;"ENTRADA",Movimientos!$R$2:$R$1998,0)),"-")</f>
        <v>-</v>
      </c>
      <c r="H573" s="19" t="str">
        <f>IFERROR(IF(INDEX(Movimientos!$M$2:$M$1998,MATCH(A573&amp;"ENTRADA",Movimientos!$R$2:$R$1998,0))=0,"S/D",INDEX(Movimientos!$M$2:$M$1998,MATCH(A573&amp;"ENTRADA",Movimientos!$R$2:$R$1998,0))),"S/D")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7"/>
        <v>SIN STOCK</v>
      </c>
    </row>
    <row r="574" spans="1:11" ht="14.25">
      <c r="A574" s="18" t="s">
        <v>2717</v>
      </c>
      <c r="B574" s="3" t="str">
        <f>IFERROR(INDEX(Movimientos!$C$2:$C$1998,MATCH(A574&amp;"ENTRADA",Movimientos!$R$2:$R$1998,0)),"-")</f>
        <v>-</v>
      </c>
      <c r="C574" s="3" t="str">
        <f>IFERROR(INDEX(Movimientos!$D$2:$D$1998,MATCH(A574&amp;"ENTRADA",Movimientos!$R$2:$R$1998,0)),"-")</f>
        <v>-</v>
      </c>
      <c r="D574" s="3" t="str">
        <f>IFERROR(INDEX(Movimientos!$E$2:$E$1998,MATCH(A574&amp;"ENTRADA",Movimientos!$R$2:$R$1998,0)),"-")</f>
        <v>-</v>
      </c>
      <c r="E574" s="3" t="str">
        <f>IFERROR(INDEX(Movimientos!$F$2:$F$1998,MATCH(A574&amp;"ENTRADA",Movimientos!$R$2:$R$1998,0)),"-")</f>
        <v>-</v>
      </c>
      <c r="F574" s="3" t="str">
        <f>IFERROR(INDEX(Movimientos!$G$2:$G$1998,MATCH(A574&amp;"ENTRADA",Movimientos!$R$2:$R$1998,0)),"-")</f>
        <v>-</v>
      </c>
      <c r="G574" s="3" t="str">
        <f>IFERROR(INDEX(Movimientos!$L$2:$L$1998,MATCH(A574&amp;"ENTRADA",Movimientos!$R$2:$R$1998,0)),"-")</f>
        <v>-</v>
      </c>
      <c r="H574" s="19" t="str">
        <f>IFERROR(IF(INDEX(Movimientos!$M$2:$M$1998,MATCH(A574&amp;"ENTRADA",Movimientos!$R$2:$R$1998,0))=0,"S/D",INDEX(Movimientos!$M$2:$M$1998,MATCH(A574&amp;"ENTRADA",Movimientos!$R$2:$R$1998,0))),"S/D")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7"/>
        <v>SIN STOCK</v>
      </c>
    </row>
    <row r="575" spans="1:11" ht="14.25">
      <c r="A575" s="18" t="s">
        <v>2718</v>
      </c>
      <c r="B575" s="3" t="str">
        <f>IFERROR(INDEX(Movimientos!$C$2:$C$1998,MATCH(A575&amp;"ENTRADA",Movimientos!$R$2:$R$1998,0)),"-")</f>
        <v>-</v>
      </c>
      <c r="C575" s="3" t="str">
        <f>IFERROR(INDEX(Movimientos!$D$2:$D$1998,MATCH(A575&amp;"ENTRADA",Movimientos!$R$2:$R$1998,0)),"-")</f>
        <v>-</v>
      </c>
      <c r="D575" s="3" t="str">
        <f>IFERROR(INDEX(Movimientos!$E$2:$E$1998,MATCH(A575&amp;"ENTRADA",Movimientos!$R$2:$R$1998,0)),"-")</f>
        <v>-</v>
      </c>
      <c r="E575" s="3" t="str">
        <f>IFERROR(INDEX(Movimientos!$F$2:$F$1998,MATCH(A575&amp;"ENTRADA",Movimientos!$R$2:$R$1998,0)),"-")</f>
        <v>-</v>
      </c>
      <c r="F575" s="3" t="str">
        <f>IFERROR(INDEX(Movimientos!$G$2:$G$1998,MATCH(A575&amp;"ENTRADA",Movimientos!$R$2:$R$1998,0)),"-")</f>
        <v>-</v>
      </c>
      <c r="G575" s="3" t="str">
        <f>IFERROR(INDEX(Movimientos!$L$2:$L$1998,MATCH(A575&amp;"ENTRADA",Movimientos!$R$2:$R$1998,0)),"-")</f>
        <v>-</v>
      </c>
      <c r="H575" s="19" t="str">
        <f>IFERROR(IF(INDEX(Movimientos!$M$2:$M$1998,MATCH(A575&amp;"ENTRADA",Movimientos!$R$2:$R$1998,0))=0,"S/D",INDEX(Movimientos!$M$2:$M$1998,MATCH(A575&amp;"ENTRADA",Movimientos!$R$2:$R$1998,0))),"S/D")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7"/>
        <v>SIN STOCK</v>
      </c>
    </row>
    <row r="576" spans="1:11" ht="14.25">
      <c r="A576" s="18" t="s">
        <v>2719</v>
      </c>
      <c r="B576" s="3" t="str">
        <f>IFERROR(INDEX(Movimientos!$C$2:$C$1998,MATCH(A576&amp;"ENTRADA",Movimientos!$R$2:$R$1998,0)),"-")</f>
        <v>-</v>
      </c>
      <c r="C576" s="3" t="str">
        <f>IFERROR(INDEX(Movimientos!$D$2:$D$1998,MATCH(A576&amp;"ENTRADA",Movimientos!$R$2:$R$1998,0)),"-")</f>
        <v>-</v>
      </c>
      <c r="D576" s="3" t="str">
        <f>IFERROR(INDEX(Movimientos!$E$2:$E$1998,MATCH(A576&amp;"ENTRADA",Movimientos!$R$2:$R$1998,0)),"-")</f>
        <v>-</v>
      </c>
      <c r="E576" s="3" t="str">
        <f>IFERROR(INDEX(Movimientos!$F$2:$F$1998,MATCH(A576&amp;"ENTRADA",Movimientos!$R$2:$R$1998,0)),"-")</f>
        <v>-</v>
      </c>
      <c r="F576" s="3" t="str">
        <f>IFERROR(INDEX(Movimientos!$G$2:$G$1998,MATCH(A576&amp;"ENTRADA",Movimientos!$R$2:$R$1998,0)),"-")</f>
        <v>-</v>
      </c>
      <c r="G576" s="3" t="str">
        <f>IFERROR(INDEX(Movimientos!$L$2:$L$1998,MATCH(A576&amp;"ENTRADA",Movimientos!$R$2:$R$1998,0)),"-")</f>
        <v>-</v>
      </c>
      <c r="H576" s="19" t="str">
        <f>IFERROR(IF(INDEX(Movimientos!$M$2:$M$1998,MATCH(A576&amp;"ENTRADA",Movimientos!$R$2:$R$1998,0))=0,"S/D",INDEX(Movimientos!$M$2:$M$1998,MATCH(A576&amp;"ENTRADA",Movimientos!$R$2:$R$1998,0))),"S/D")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ref="K576:K639" ca="1" si="19">IF(A576="","",IF(J576&lt;0.01,"SIN STOCK",IF(H576="S/D","OK",IF(H576&lt;TODAY(),"VENCIDO",IF(I576&gt;=180,"OK","PRÓXIMO A VENCER")))))</f>
        <v>SIN STOCK</v>
      </c>
    </row>
    <row r="577" spans="1:11" ht="14.25">
      <c r="A577" s="18" t="s">
        <v>2720</v>
      </c>
      <c r="B577" s="3" t="str">
        <f>IFERROR(INDEX(Movimientos!$C$2:$C$1998,MATCH(A577&amp;"ENTRADA",Movimientos!$R$2:$R$1998,0)),"-")</f>
        <v>-</v>
      </c>
      <c r="C577" s="3" t="str">
        <f>IFERROR(INDEX(Movimientos!$D$2:$D$1998,MATCH(A577&amp;"ENTRADA",Movimientos!$R$2:$R$1998,0)),"-")</f>
        <v>-</v>
      </c>
      <c r="D577" s="3" t="str">
        <f>IFERROR(INDEX(Movimientos!$E$2:$E$1998,MATCH(A577&amp;"ENTRADA",Movimientos!$R$2:$R$1998,0)),"-")</f>
        <v>-</v>
      </c>
      <c r="E577" s="3" t="str">
        <f>IFERROR(INDEX(Movimientos!$F$2:$F$1998,MATCH(A577&amp;"ENTRADA",Movimientos!$R$2:$R$1998,0)),"-")</f>
        <v>-</v>
      </c>
      <c r="F577" s="3" t="str">
        <f>IFERROR(INDEX(Movimientos!$G$2:$G$1998,MATCH(A577&amp;"ENTRADA",Movimientos!$R$2:$R$1998,0)),"-")</f>
        <v>-</v>
      </c>
      <c r="G577" s="3" t="str">
        <f>IFERROR(INDEX(Movimientos!$L$2:$L$1998,MATCH(A577&amp;"ENTRADA",Movimientos!$R$2:$R$1998,0)),"-")</f>
        <v>-</v>
      </c>
      <c r="H577" s="19" t="str">
        <f>IFERROR(IF(INDEX(Movimientos!$M$2:$M$1998,MATCH(A577&amp;"ENTRADA",Movimientos!$R$2:$R$1998,0))=0,"S/D",INDEX(Movimientos!$M$2:$M$1998,MATCH(A577&amp;"ENTRADA",Movimientos!$R$2:$R$1998,0))),"S/D")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SIN STOCK</v>
      </c>
    </row>
    <row r="578" spans="1:11" ht="14.25">
      <c r="A578" s="18" t="s">
        <v>2721</v>
      </c>
      <c r="B578" s="3" t="str">
        <f>IFERROR(INDEX(Movimientos!$C$2:$C$1998,MATCH(A578&amp;"ENTRADA",Movimientos!$R$2:$R$1998,0)),"-")</f>
        <v>-</v>
      </c>
      <c r="C578" s="3" t="str">
        <f>IFERROR(INDEX(Movimientos!$D$2:$D$1998,MATCH(A578&amp;"ENTRADA",Movimientos!$R$2:$R$1998,0)),"-")</f>
        <v>-</v>
      </c>
      <c r="D578" s="3" t="str">
        <f>IFERROR(INDEX(Movimientos!$E$2:$E$1998,MATCH(A578&amp;"ENTRADA",Movimientos!$R$2:$R$1998,0)),"-")</f>
        <v>-</v>
      </c>
      <c r="E578" s="3" t="str">
        <f>IFERROR(INDEX(Movimientos!$F$2:$F$1998,MATCH(A578&amp;"ENTRADA",Movimientos!$R$2:$R$1998,0)),"-")</f>
        <v>-</v>
      </c>
      <c r="F578" s="3" t="str">
        <f>IFERROR(INDEX(Movimientos!$G$2:$G$1998,MATCH(A578&amp;"ENTRADA",Movimientos!$R$2:$R$1998,0)),"-")</f>
        <v>-</v>
      </c>
      <c r="G578" s="3" t="str">
        <f>IFERROR(INDEX(Movimientos!$L$2:$L$1998,MATCH(A578&amp;"ENTRADA",Movimientos!$R$2:$R$1998,0)),"-")</f>
        <v>-</v>
      </c>
      <c r="H578" s="19" t="str">
        <f>IFERROR(IF(INDEX(Movimientos!$M$2:$M$1998,MATCH(A578&amp;"ENTRADA",Movimientos!$R$2:$R$1998,0))=0,"S/D",INDEX(Movimientos!$M$2:$M$1998,MATCH(A578&amp;"ENTRADA",Movimientos!$R$2:$R$1998,0))),"S/D")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SIN STOCK</v>
      </c>
    </row>
    <row r="579" spans="1:11" ht="14.25">
      <c r="A579" s="18" t="s">
        <v>2722</v>
      </c>
      <c r="B579" s="3" t="str">
        <f>IFERROR(INDEX(Movimientos!$C$2:$C$1998,MATCH(A579&amp;"ENTRADA",Movimientos!$R$2:$R$1998,0)),"-")</f>
        <v>-</v>
      </c>
      <c r="C579" s="3" t="str">
        <f>IFERROR(INDEX(Movimientos!$D$2:$D$1998,MATCH(A579&amp;"ENTRADA",Movimientos!$R$2:$R$1998,0)),"-")</f>
        <v>-</v>
      </c>
      <c r="D579" s="3" t="str">
        <f>IFERROR(INDEX(Movimientos!$E$2:$E$1998,MATCH(A579&amp;"ENTRADA",Movimientos!$R$2:$R$1998,0)),"-")</f>
        <v>-</v>
      </c>
      <c r="E579" s="3" t="str">
        <f>IFERROR(INDEX(Movimientos!$F$2:$F$1998,MATCH(A579&amp;"ENTRADA",Movimientos!$R$2:$R$1998,0)),"-")</f>
        <v>-</v>
      </c>
      <c r="F579" s="3" t="str">
        <f>IFERROR(INDEX(Movimientos!$G$2:$G$1998,MATCH(A579&amp;"ENTRADA",Movimientos!$R$2:$R$1998,0)),"-")</f>
        <v>-</v>
      </c>
      <c r="G579" s="3" t="str">
        <f>IFERROR(INDEX(Movimientos!$L$2:$L$1998,MATCH(A579&amp;"ENTRADA",Movimientos!$R$2:$R$1998,0)),"-")</f>
        <v>-</v>
      </c>
      <c r="H579" s="19" t="str">
        <f>IFERROR(IF(INDEX(Movimientos!$M$2:$M$1998,MATCH(A579&amp;"ENTRADA",Movimientos!$R$2:$R$1998,0))=0,"S/D",INDEX(Movimientos!$M$2:$M$1998,MATCH(A579&amp;"ENTRADA",Movimientos!$R$2:$R$1998,0))),"S/D")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SIN STOCK</v>
      </c>
    </row>
    <row r="580" spans="1:11" ht="14.25">
      <c r="A580" s="18" t="s">
        <v>2723</v>
      </c>
      <c r="B580" s="3" t="str">
        <f>IFERROR(INDEX(Movimientos!$C$2:$C$1998,MATCH(A580&amp;"ENTRADA",Movimientos!$R$2:$R$1998,0)),"-")</f>
        <v>-</v>
      </c>
      <c r="C580" s="3" t="str">
        <f>IFERROR(INDEX(Movimientos!$D$2:$D$1998,MATCH(A580&amp;"ENTRADA",Movimientos!$R$2:$R$1998,0)),"-")</f>
        <v>-</v>
      </c>
      <c r="D580" s="3" t="str">
        <f>IFERROR(INDEX(Movimientos!$E$2:$E$1998,MATCH(A580&amp;"ENTRADA",Movimientos!$R$2:$R$1998,0)),"-")</f>
        <v>-</v>
      </c>
      <c r="E580" s="3" t="str">
        <f>IFERROR(INDEX(Movimientos!$F$2:$F$1998,MATCH(A580&amp;"ENTRADA",Movimientos!$R$2:$R$1998,0)),"-")</f>
        <v>-</v>
      </c>
      <c r="F580" s="3" t="str">
        <f>IFERROR(INDEX(Movimientos!$G$2:$G$1998,MATCH(A580&amp;"ENTRADA",Movimientos!$R$2:$R$1998,0)),"-")</f>
        <v>-</v>
      </c>
      <c r="G580" s="3" t="str">
        <f>IFERROR(INDEX(Movimientos!$L$2:$L$1998,MATCH(A580&amp;"ENTRADA",Movimientos!$R$2:$R$1998,0)),"-")</f>
        <v>-</v>
      </c>
      <c r="H580" s="19" t="str">
        <f>IFERROR(IF(INDEX(Movimientos!$M$2:$M$1998,MATCH(A580&amp;"ENTRADA",Movimientos!$R$2:$R$1998,0))=0,"S/D",INDEX(Movimientos!$M$2:$M$1998,MATCH(A580&amp;"ENTRADA",Movimientos!$R$2:$R$1998,0))),"S/D")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SIN STOCK</v>
      </c>
    </row>
    <row r="581" spans="1:11" ht="14.25">
      <c r="A581" s="18" t="s">
        <v>2724</v>
      </c>
      <c r="B581" s="3" t="str">
        <f>IFERROR(INDEX(Movimientos!$C$2:$C$1998,MATCH(A581&amp;"ENTRADA",Movimientos!$R$2:$R$1998,0)),"-")</f>
        <v>-</v>
      </c>
      <c r="C581" s="3" t="str">
        <f>IFERROR(INDEX(Movimientos!$D$2:$D$1998,MATCH(A581&amp;"ENTRADA",Movimientos!$R$2:$R$1998,0)),"-")</f>
        <v>-</v>
      </c>
      <c r="D581" s="3" t="str">
        <f>IFERROR(INDEX(Movimientos!$E$2:$E$1998,MATCH(A581&amp;"ENTRADA",Movimientos!$R$2:$R$1998,0)),"-")</f>
        <v>-</v>
      </c>
      <c r="E581" s="3" t="str">
        <f>IFERROR(INDEX(Movimientos!$F$2:$F$1998,MATCH(A581&amp;"ENTRADA",Movimientos!$R$2:$R$1998,0)),"-")</f>
        <v>-</v>
      </c>
      <c r="F581" s="3" t="str">
        <f>IFERROR(INDEX(Movimientos!$G$2:$G$1998,MATCH(A581&amp;"ENTRADA",Movimientos!$R$2:$R$1998,0)),"-")</f>
        <v>-</v>
      </c>
      <c r="G581" s="3" t="str">
        <f>IFERROR(INDEX(Movimientos!$L$2:$L$1998,MATCH(A581&amp;"ENTRADA",Movimientos!$R$2:$R$1998,0)),"-")</f>
        <v>-</v>
      </c>
      <c r="H581" s="19" t="str">
        <f>IFERROR(IF(INDEX(Movimientos!$M$2:$M$1998,MATCH(A581&amp;"ENTRADA",Movimientos!$R$2:$R$1998,0))=0,"S/D",INDEX(Movimientos!$M$2:$M$1998,MATCH(A581&amp;"ENTRADA",Movimientos!$R$2:$R$1998,0))),"S/D")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SIN STOCK</v>
      </c>
    </row>
    <row r="582" spans="1:11" ht="14.25">
      <c r="A582" s="18" t="s">
        <v>2725</v>
      </c>
      <c r="B582" s="3" t="str">
        <f>IFERROR(INDEX(Movimientos!$C$2:$C$1998,MATCH(A582&amp;"ENTRADA",Movimientos!$R$2:$R$1998,0)),"-")</f>
        <v>-</v>
      </c>
      <c r="C582" s="3" t="str">
        <f>IFERROR(INDEX(Movimientos!$D$2:$D$1998,MATCH(A582&amp;"ENTRADA",Movimientos!$R$2:$R$1998,0)),"-")</f>
        <v>-</v>
      </c>
      <c r="D582" s="3" t="str">
        <f>IFERROR(INDEX(Movimientos!$E$2:$E$1998,MATCH(A582&amp;"ENTRADA",Movimientos!$R$2:$R$1998,0)),"-")</f>
        <v>-</v>
      </c>
      <c r="E582" s="3" t="str">
        <f>IFERROR(INDEX(Movimientos!$F$2:$F$1998,MATCH(A582&amp;"ENTRADA",Movimientos!$R$2:$R$1998,0)),"-")</f>
        <v>-</v>
      </c>
      <c r="F582" s="3" t="str">
        <f>IFERROR(INDEX(Movimientos!$G$2:$G$1998,MATCH(A582&amp;"ENTRADA",Movimientos!$R$2:$R$1998,0)),"-")</f>
        <v>-</v>
      </c>
      <c r="G582" s="3" t="str">
        <f>IFERROR(INDEX(Movimientos!$L$2:$L$1998,MATCH(A582&amp;"ENTRADA",Movimientos!$R$2:$R$1998,0)),"-")</f>
        <v>-</v>
      </c>
      <c r="H582" s="19" t="str">
        <f>IFERROR(IF(INDEX(Movimientos!$M$2:$M$1998,MATCH(A582&amp;"ENTRADA",Movimientos!$R$2:$R$1998,0))=0,"S/D",INDEX(Movimientos!$M$2:$M$1998,MATCH(A582&amp;"ENTRADA",Movimientos!$R$2:$R$1998,0))),"S/D")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SIN STOCK</v>
      </c>
    </row>
    <row r="583" spans="1:11" ht="14.25">
      <c r="A583" s="18" t="s">
        <v>2726</v>
      </c>
      <c r="B583" s="3" t="str">
        <f>IFERROR(INDEX(Movimientos!$C$2:$C$1998,MATCH(A583&amp;"ENTRADA",Movimientos!$R$2:$R$1998,0)),"-")</f>
        <v>-</v>
      </c>
      <c r="C583" s="3" t="str">
        <f>IFERROR(INDEX(Movimientos!$D$2:$D$1998,MATCH(A583&amp;"ENTRADA",Movimientos!$R$2:$R$1998,0)),"-")</f>
        <v>-</v>
      </c>
      <c r="D583" s="3" t="str">
        <f>IFERROR(INDEX(Movimientos!$E$2:$E$1998,MATCH(A583&amp;"ENTRADA",Movimientos!$R$2:$R$1998,0)),"-")</f>
        <v>-</v>
      </c>
      <c r="E583" s="3" t="str">
        <f>IFERROR(INDEX(Movimientos!$F$2:$F$1998,MATCH(A583&amp;"ENTRADA",Movimientos!$R$2:$R$1998,0)),"-")</f>
        <v>-</v>
      </c>
      <c r="F583" s="3" t="str">
        <f>IFERROR(INDEX(Movimientos!$G$2:$G$1998,MATCH(A583&amp;"ENTRADA",Movimientos!$R$2:$R$1998,0)),"-")</f>
        <v>-</v>
      </c>
      <c r="G583" s="3" t="str">
        <f>IFERROR(INDEX(Movimientos!$L$2:$L$1998,MATCH(A583&amp;"ENTRADA",Movimientos!$R$2:$R$1998,0)),"-")</f>
        <v>-</v>
      </c>
      <c r="H583" s="19" t="str">
        <f>IFERROR(IF(INDEX(Movimientos!$M$2:$M$1998,MATCH(A583&amp;"ENTRADA",Movimientos!$R$2:$R$1998,0))=0,"S/D",INDEX(Movimientos!$M$2:$M$1998,MATCH(A583&amp;"ENTRADA",Movimientos!$R$2:$R$1998,0))),"S/D")</f>
        <v>S/D</v>
      </c>
      <c r="I583" s="16" t="str">
        <f t="shared" ref="I583:I646" ca="1" si="20">IF(OR(A583="",H583="S/D"),"S/D",H583-TODAY())</f>
        <v>S/D</v>
      </c>
      <c r="J583" s="6">
        <f>IF(A583="","",SUMIFS(Movimientos!$K:$K,Movimientos!$H:$H,A583))</f>
        <v>0</v>
      </c>
      <c r="K583" s="14" t="str">
        <f t="shared" ca="1" si="19"/>
        <v>SIN STOCK</v>
      </c>
    </row>
    <row r="584" spans="1:11" ht="14.25">
      <c r="A584" s="18" t="s">
        <v>2727</v>
      </c>
      <c r="B584" s="3" t="str">
        <f>IFERROR(INDEX(Movimientos!$C$2:$C$1998,MATCH(A584&amp;"ENTRADA",Movimientos!$R$2:$R$1998,0)),"-")</f>
        <v>-</v>
      </c>
      <c r="C584" s="3" t="str">
        <f>IFERROR(INDEX(Movimientos!$D$2:$D$1998,MATCH(A584&amp;"ENTRADA",Movimientos!$R$2:$R$1998,0)),"-")</f>
        <v>-</v>
      </c>
      <c r="D584" s="3" t="str">
        <f>IFERROR(INDEX(Movimientos!$E$2:$E$1998,MATCH(A584&amp;"ENTRADA",Movimientos!$R$2:$R$1998,0)),"-")</f>
        <v>-</v>
      </c>
      <c r="E584" s="3" t="str">
        <f>IFERROR(INDEX(Movimientos!$F$2:$F$1998,MATCH(A584&amp;"ENTRADA",Movimientos!$R$2:$R$1998,0)),"-")</f>
        <v>-</v>
      </c>
      <c r="F584" s="3" t="str">
        <f>IFERROR(INDEX(Movimientos!$G$2:$G$1998,MATCH(A584&amp;"ENTRADA",Movimientos!$R$2:$R$1998,0)),"-")</f>
        <v>-</v>
      </c>
      <c r="G584" s="3" t="str">
        <f>IFERROR(INDEX(Movimientos!$L$2:$L$1998,MATCH(A584&amp;"ENTRADA",Movimientos!$R$2:$R$1998,0)),"-")</f>
        <v>-</v>
      </c>
      <c r="H584" s="19" t="str">
        <f>IFERROR(IF(INDEX(Movimientos!$M$2:$M$1998,MATCH(A584&amp;"ENTRADA",Movimientos!$R$2:$R$1998,0))=0,"S/D",INDEX(Movimientos!$M$2:$M$1998,MATCH(A584&amp;"ENTRADA",Movimientos!$R$2:$R$1998,0))),"S/D")</f>
        <v>S/D</v>
      </c>
      <c r="I584" s="16" t="str">
        <f t="shared" ca="1" si="20"/>
        <v>S/D</v>
      </c>
      <c r="J584" s="6">
        <f>IF(A584="","",SUMIFS(Movimientos!$K:$K,Movimientos!$H:$H,A584))</f>
        <v>0</v>
      </c>
      <c r="K584" s="14" t="str">
        <f t="shared" ca="1" si="19"/>
        <v>SIN STOCK</v>
      </c>
    </row>
    <row r="585" spans="1:11" ht="14.25">
      <c r="A585" s="18" t="s">
        <v>2728</v>
      </c>
      <c r="B585" s="3" t="str">
        <f>IFERROR(INDEX(Movimientos!$C$2:$C$1998,MATCH(A585&amp;"ENTRADA",Movimientos!$R$2:$R$1998,0)),"-")</f>
        <v>-</v>
      </c>
      <c r="C585" s="3" t="str">
        <f>IFERROR(INDEX(Movimientos!$D$2:$D$1998,MATCH(A585&amp;"ENTRADA",Movimientos!$R$2:$R$1998,0)),"-")</f>
        <v>-</v>
      </c>
      <c r="D585" s="3" t="str">
        <f>IFERROR(INDEX(Movimientos!$E$2:$E$1998,MATCH(A585&amp;"ENTRADA",Movimientos!$R$2:$R$1998,0)),"-")</f>
        <v>-</v>
      </c>
      <c r="E585" s="3" t="str">
        <f>IFERROR(INDEX(Movimientos!$F$2:$F$1998,MATCH(A585&amp;"ENTRADA",Movimientos!$R$2:$R$1998,0)),"-")</f>
        <v>-</v>
      </c>
      <c r="F585" s="3" t="str">
        <f>IFERROR(INDEX(Movimientos!$G$2:$G$1998,MATCH(A585&amp;"ENTRADA",Movimientos!$R$2:$R$1998,0)),"-")</f>
        <v>-</v>
      </c>
      <c r="G585" s="3" t="str">
        <f>IFERROR(INDEX(Movimientos!$L$2:$L$1998,MATCH(A585&amp;"ENTRADA",Movimientos!$R$2:$R$1998,0)),"-")</f>
        <v>-</v>
      </c>
      <c r="H585" s="19" t="str">
        <f>IFERROR(IF(INDEX(Movimientos!$M$2:$M$1998,MATCH(A585&amp;"ENTRADA",Movimientos!$R$2:$R$1998,0))=0,"S/D",INDEX(Movimientos!$M$2:$M$1998,MATCH(A585&amp;"ENTRADA",Movimientos!$R$2:$R$1998,0))),"S/D")</f>
        <v>S/D</v>
      </c>
      <c r="I585" s="16" t="str">
        <f t="shared" ca="1" si="20"/>
        <v>S/D</v>
      </c>
      <c r="J585" s="6">
        <f>IF(A585="","",SUMIFS(Movimientos!$K:$K,Movimientos!$H:$H,A585))</f>
        <v>0</v>
      </c>
      <c r="K585" s="14" t="str">
        <f t="shared" ca="1" si="19"/>
        <v>SIN STOCK</v>
      </c>
    </row>
    <row r="586" spans="1:11" ht="14.25">
      <c r="A586" s="18" t="s">
        <v>2729</v>
      </c>
      <c r="B586" s="3" t="str">
        <f>IFERROR(INDEX(Movimientos!$C$2:$C$1998,MATCH(A586&amp;"ENTRADA",Movimientos!$R$2:$R$1998,0)),"-")</f>
        <v>-</v>
      </c>
      <c r="C586" s="3" t="str">
        <f>IFERROR(INDEX(Movimientos!$D$2:$D$1998,MATCH(A586&amp;"ENTRADA",Movimientos!$R$2:$R$1998,0)),"-")</f>
        <v>-</v>
      </c>
      <c r="D586" s="3" t="str">
        <f>IFERROR(INDEX(Movimientos!$E$2:$E$1998,MATCH(A586&amp;"ENTRADA",Movimientos!$R$2:$R$1998,0)),"-")</f>
        <v>-</v>
      </c>
      <c r="E586" s="3" t="str">
        <f>IFERROR(INDEX(Movimientos!$F$2:$F$1998,MATCH(A586&amp;"ENTRADA",Movimientos!$R$2:$R$1998,0)),"-")</f>
        <v>-</v>
      </c>
      <c r="F586" s="3" t="str">
        <f>IFERROR(INDEX(Movimientos!$G$2:$G$1998,MATCH(A586&amp;"ENTRADA",Movimientos!$R$2:$R$1998,0)),"-")</f>
        <v>-</v>
      </c>
      <c r="G586" s="3" t="str">
        <f>IFERROR(INDEX(Movimientos!$L$2:$L$1998,MATCH(A586&amp;"ENTRADA",Movimientos!$R$2:$R$1998,0)),"-")</f>
        <v>-</v>
      </c>
      <c r="H586" s="19" t="str">
        <f>IFERROR(IF(INDEX(Movimientos!$M$2:$M$1998,MATCH(A586&amp;"ENTRADA",Movimientos!$R$2:$R$1998,0))=0,"S/D",INDEX(Movimientos!$M$2:$M$1998,MATCH(A586&amp;"ENTRADA",Movimientos!$R$2:$R$1998,0))),"S/D")</f>
        <v>S/D</v>
      </c>
      <c r="I586" s="16" t="str">
        <f t="shared" ca="1" si="20"/>
        <v>S/D</v>
      </c>
      <c r="J586" s="6">
        <f>IF(A586="","",SUMIFS(Movimientos!$K:$K,Movimientos!$H:$H,A586))</f>
        <v>0</v>
      </c>
      <c r="K586" s="14" t="str">
        <f t="shared" ca="1" si="19"/>
        <v>SIN STOCK</v>
      </c>
    </row>
    <row r="587" spans="1:11" ht="14.25">
      <c r="A587" s="18" t="s">
        <v>2730</v>
      </c>
      <c r="B587" s="3" t="str">
        <f>IFERROR(INDEX(Movimientos!$C$2:$C$1998,MATCH(A587&amp;"ENTRADA",Movimientos!$R$2:$R$1998,0)),"-")</f>
        <v>-</v>
      </c>
      <c r="C587" s="3" t="str">
        <f>IFERROR(INDEX(Movimientos!$D$2:$D$1998,MATCH(A587&amp;"ENTRADA",Movimientos!$R$2:$R$1998,0)),"-")</f>
        <v>-</v>
      </c>
      <c r="D587" s="3" t="str">
        <f>IFERROR(INDEX(Movimientos!$E$2:$E$1998,MATCH(A587&amp;"ENTRADA",Movimientos!$R$2:$R$1998,0)),"-")</f>
        <v>-</v>
      </c>
      <c r="E587" s="3" t="str">
        <f>IFERROR(INDEX(Movimientos!$F$2:$F$1998,MATCH(A587&amp;"ENTRADA",Movimientos!$R$2:$R$1998,0)),"-")</f>
        <v>-</v>
      </c>
      <c r="F587" s="3" t="str">
        <f>IFERROR(INDEX(Movimientos!$G$2:$G$1998,MATCH(A587&amp;"ENTRADA",Movimientos!$R$2:$R$1998,0)),"-")</f>
        <v>-</v>
      </c>
      <c r="G587" s="3" t="str">
        <f>IFERROR(INDEX(Movimientos!$L$2:$L$1998,MATCH(A587&amp;"ENTRADA",Movimientos!$R$2:$R$1998,0)),"-")</f>
        <v>-</v>
      </c>
      <c r="H587" s="19" t="str">
        <f>IFERROR(IF(INDEX(Movimientos!$M$2:$M$1998,MATCH(A587&amp;"ENTRADA",Movimientos!$R$2:$R$1998,0))=0,"S/D",INDEX(Movimientos!$M$2:$M$1998,MATCH(A587&amp;"ENTRADA",Movimientos!$R$2:$R$1998,0))),"S/D")</f>
        <v>S/D</v>
      </c>
      <c r="I587" s="16" t="str">
        <f t="shared" ca="1" si="20"/>
        <v>S/D</v>
      </c>
      <c r="J587" s="6">
        <f>IF(A587="","",SUMIFS(Movimientos!$K:$K,Movimientos!$H:$H,A587))</f>
        <v>0</v>
      </c>
      <c r="K587" s="14" t="str">
        <f t="shared" ca="1" si="19"/>
        <v>SIN STOCK</v>
      </c>
    </row>
    <row r="588" spans="1:11" ht="14.25">
      <c r="A588" s="18" t="s">
        <v>2731</v>
      </c>
      <c r="B588" s="3" t="str">
        <f>IFERROR(INDEX(Movimientos!$C$2:$C$1998,MATCH(A588&amp;"ENTRADA",Movimientos!$R$2:$R$1998,0)),"-")</f>
        <v>-</v>
      </c>
      <c r="C588" s="3" t="str">
        <f>IFERROR(INDEX(Movimientos!$D$2:$D$1998,MATCH(A588&amp;"ENTRADA",Movimientos!$R$2:$R$1998,0)),"-")</f>
        <v>-</v>
      </c>
      <c r="D588" s="3" t="str">
        <f>IFERROR(INDEX(Movimientos!$E$2:$E$1998,MATCH(A588&amp;"ENTRADA",Movimientos!$R$2:$R$1998,0)),"-")</f>
        <v>-</v>
      </c>
      <c r="E588" s="3" t="str">
        <f>IFERROR(INDEX(Movimientos!$F$2:$F$1998,MATCH(A588&amp;"ENTRADA",Movimientos!$R$2:$R$1998,0)),"-")</f>
        <v>-</v>
      </c>
      <c r="F588" s="3" t="str">
        <f>IFERROR(INDEX(Movimientos!$G$2:$G$1998,MATCH(A588&amp;"ENTRADA",Movimientos!$R$2:$R$1998,0)),"-")</f>
        <v>-</v>
      </c>
      <c r="G588" s="3" t="str">
        <f>IFERROR(INDEX(Movimientos!$L$2:$L$1998,MATCH(A588&amp;"ENTRADA",Movimientos!$R$2:$R$1998,0)),"-")</f>
        <v>-</v>
      </c>
      <c r="H588" s="19" t="str">
        <f>IFERROR(IF(INDEX(Movimientos!$M$2:$M$1998,MATCH(A588&amp;"ENTRADA",Movimientos!$R$2:$R$1998,0))=0,"S/D",INDEX(Movimientos!$M$2:$M$1998,MATCH(A588&amp;"ENTRADA",Movimientos!$R$2:$R$1998,0))),"S/D")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19"/>
        <v>SIN STOCK</v>
      </c>
    </row>
    <row r="589" spans="1:11" ht="14.25">
      <c r="A589" s="18" t="s">
        <v>2732</v>
      </c>
      <c r="B589" s="3" t="str">
        <f>IFERROR(INDEX(Movimientos!$C$2:$C$1998,MATCH(A589&amp;"ENTRADA",Movimientos!$R$2:$R$1998,0)),"-")</f>
        <v>-</v>
      </c>
      <c r="C589" s="3" t="str">
        <f>IFERROR(INDEX(Movimientos!$D$2:$D$1998,MATCH(A589&amp;"ENTRADA",Movimientos!$R$2:$R$1998,0)),"-")</f>
        <v>-</v>
      </c>
      <c r="D589" s="3" t="str">
        <f>IFERROR(INDEX(Movimientos!$E$2:$E$1998,MATCH(A589&amp;"ENTRADA",Movimientos!$R$2:$R$1998,0)),"-")</f>
        <v>-</v>
      </c>
      <c r="E589" s="3" t="str">
        <f>IFERROR(INDEX(Movimientos!$F$2:$F$1998,MATCH(A589&amp;"ENTRADA",Movimientos!$R$2:$R$1998,0)),"-")</f>
        <v>-</v>
      </c>
      <c r="F589" s="3" t="str">
        <f>IFERROR(INDEX(Movimientos!$G$2:$G$1998,MATCH(A589&amp;"ENTRADA",Movimientos!$R$2:$R$1998,0)),"-")</f>
        <v>-</v>
      </c>
      <c r="G589" s="3" t="str">
        <f>IFERROR(INDEX(Movimientos!$L$2:$L$1998,MATCH(A589&amp;"ENTRADA",Movimientos!$R$2:$R$1998,0)),"-")</f>
        <v>-</v>
      </c>
      <c r="H589" s="19" t="str">
        <f>IFERROR(IF(INDEX(Movimientos!$M$2:$M$1998,MATCH(A589&amp;"ENTRADA",Movimientos!$R$2:$R$1998,0))=0,"S/D",INDEX(Movimientos!$M$2:$M$1998,MATCH(A589&amp;"ENTRADA",Movimientos!$R$2:$R$1998,0))),"S/D")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19"/>
        <v>SIN STOCK</v>
      </c>
    </row>
    <row r="590" spans="1:11" ht="14.25">
      <c r="A590" s="18" t="s">
        <v>2733</v>
      </c>
      <c r="B590" s="3" t="str">
        <f>IFERROR(INDEX(Movimientos!$C$2:$C$1998,MATCH(A590&amp;"ENTRADA",Movimientos!$R$2:$R$1998,0)),"-")</f>
        <v>-</v>
      </c>
      <c r="C590" s="3" t="str">
        <f>IFERROR(INDEX(Movimientos!$D$2:$D$1998,MATCH(A590&amp;"ENTRADA",Movimientos!$R$2:$R$1998,0)),"-")</f>
        <v>-</v>
      </c>
      <c r="D590" s="3" t="str">
        <f>IFERROR(INDEX(Movimientos!$E$2:$E$1998,MATCH(A590&amp;"ENTRADA",Movimientos!$R$2:$R$1998,0)),"-")</f>
        <v>-</v>
      </c>
      <c r="E590" s="3" t="str">
        <f>IFERROR(INDEX(Movimientos!$F$2:$F$1998,MATCH(A590&amp;"ENTRADA",Movimientos!$R$2:$R$1998,0)),"-")</f>
        <v>-</v>
      </c>
      <c r="F590" s="3" t="str">
        <f>IFERROR(INDEX(Movimientos!$G$2:$G$1998,MATCH(A590&amp;"ENTRADA",Movimientos!$R$2:$R$1998,0)),"-")</f>
        <v>-</v>
      </c>
      <c r="G590" s="3" t="str">
        <f>IFERROR(INDEX(Movimientos!$L$2:$L$1998,MATCH(A590&amp;"ENTRADA",Movimientos!$R$2:$R$1998,0)),"-")</f>
        <v>-</v>
      </c>
      <c r="H590" s="19" t="str">
        <f>IFERROR(IF(INDEX(Movimientos!$M$2:$M$1998,MATCH(A590&amp;"ENTRADA",Movimientos!$R$2:$R$1998,0))=0,"S/D",INDEX(Movimientos!$M$2:$M$1998,MATCH(A590&amp;"ENTRADA",Movimientos!$R$2:$R$1998,0))),"S/D")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19"/>
        <v>SIN STOCK</v>
      </c>
    </row>
    <row r="591" spans="1:11" ht="14.25">
      <c r="A591" s="18" t="s">
        <v>2734</v>
      </c>
      <c r="B591" s="3" t="str">
        <f>IFERROR(INDEX(Movimientos!$C$2:$C$1998,MATCH(A591&amp;"ENTRADA",Movimientos!$R$2:$R$1998,0)),"-")</f>
        <v>-</v>
      </c>
      <c r="C591" s="3" t="str">
        <f>IFERROR(INDEX(Movimientos!$D$2:$D$1998,MATCH(A591&amp;"ENTRADA",Movimientos!$R$2:$R$1998,0)),"-")</f>
        <v>-</v>
      </c>
      <c r="D591" s="3" t="str">
        <f>IFERROR(INDEX(Movimientos!$E$2:$E$1998,MATCH(A591&amp;"ENTRADA",Movimientos!$R$2:$R$1998,0)),"-")</f>
        <v>-</v>
      </c>
      <c r="E591" s="3" t="str">
        <f>IFERROR(INDEX(Movimientos!$F$2:$F$1998,MATCH(A591&amp;"ENTRADA",Movimientos!$R$2:$R$1998,0)),"-")</f>
        <v>-</v>
      </c>
      <c r="F591" s="3" t="str">
        <f>IFERROR(INDEX(Movimientos!$G$2:$G$1998,MATCH(A591&amp;"ENTRADA",Movimientos!$R$2:$R$1998,0)),"-")</f>
        <v>-</v>
      </c>
      <c r="G591" s="3" t="str">
        <f>IFERROR(INDEX(Movimientos!$L$2:$L$1998,MATCH(A591&amp;"ENTRADA",Movimientos!$R$2:$R$1998,0)),"-")</f>
        <v>-</v>
      </c>
      <c r="H591" s="19" t="str">
        <f>IFERROR(IF(INDEX(Movimientos!$M$2:$M$1998,MATCH(A591&amp;"ENTRADA",Movimientos!$R$2:$R$1998,0))=0,"S/D",INDEX(Movimientos!$M$2:$M$1998,MATCH(A591&amp;"ENTRADA",Movimientos!$R$2:$R$1998,0))),"S/D")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19"/>
        <v>SIN STOCK</v>
      </c>
    </row>
    <row r="592" spans="1:11" ht="14.25">
      <c r="A592" s="18" t="s">
        <v>2735</v>
      </c>
      <c r="B592" s="3" t="str">
        <f>IFERROR(INDEX(Movimientos!$C$2:$C$1998,MATCH(A592&amp;"ENTRADA",Movimientos!$R$2:$R$1998,0)),"-")</f>
        <v>-</v>
      </c>
      <c r="C592" s="3" t="str">
        <f>IFERROR(INDEX(Movimientos!$D$2:$D$1998,MATCH(A592&amp;"ENTRADA",Movimientos!$R$2:$R$1998,0)),"-")</f>
        <v>-</v>
      </c>
      <c r="D592" s="3" t="str">
        <f>IFERROR(INDEX(Movimientos!$E$2:$E$1998,MATCH(A592&amp;"ENTRADA",Movimientos!$R$2:$R$1998,0)),"-")</f>
        <v>-</v>
      </c>
      <c r="E592" s="3" t="str">
        <f>IFERROR(INDEX(Movimientos!$F$2:$F$1998,MATCH(A592&amp;"ENTRADA",Movimientos!$R$2:$R$1998,0)),"-")</f>
        <v>-</v>
      </c>
      <c r="F592" s="3" t="str">
        <f>IFERROR(INDEX(Movimientos!$G$2:$G$1998,MATCH(A592&amp;"ENTRADA",Movimientos!$R$2:$R$1998,0)),"-")</f>
        <v>-</v>
      </c>
      <c r="G592" s="3" t="str">
        <f>IFERROR(INDEX(Movimientos!$L$2:$L$1998,MATCH(A592&amp;"ENTRADA",Movimientos!$R$2:$R$1998,0)),"-")</f>
        <v>-</v>
      </c>
      <c r="H592" s="19" t="str">
        <f>IFERROR(IF(INDEX(Movimientos!$M$2:$M$1998,MATCH(A592&amp;"ENTRADA",Movimientos!$R$2:$R$1998,0))=0,"S/D",INDEX(Movimientos!$M$2:$M$1998,MATCH(A592&amp;"ENTRADA",Movimientos!$R$2:$R$1998,0))),"S/D")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19"/>
        <v>SIN STOCK</v>
      </c>
    </row>
    <row r="593" spans="1:11" ht="14.25">
      <c r="A593" s="18" t="s">
        <v>2736</v>
      </c>
      <c r="B593" s="3" t="str">
        <f>IFERROR(INDEX(Movimientos!$C$2:$C$1998,MATCH(A593&amp;"ENTRADA",Movimientos!$R$2:$R$1998,0)),"-")</f>
        <v>-</v>
      </c>
      <c r="C593" s="3" t="str">
        <f>IFERROR(INDEX(Movimientos!$D$2:$D$1998,MATCH(A593&amp;"ENTRADA",Movimientos!$R$2:$R$1998,0)),"-")</f>
        <v>-</v>
      </c>
      <c r="D593" s="3" t="str">
        <f>IFERROR(INDEX(Movimientos!$E$2:$E$1998,MATCH(A593&amp;"ENTRADA",Movimientos!$R$2:$R$1998,0)),"-")</f>
        <v>-</v>
      </c>
      <c r="E593" s="3" t="str">
        <f>IFERROR(INDEX(Movimientos!$F$2:$F$1998,MATCH(A593&amp;"ENTRADA",Movimientos!$R$2:$R$1998,0)),"-")</f>
        <v>-</v>
      </c>
      <c r="F593" s="3" t="str">
        <f>IFERROR(INDEX(Movimientos!$G$2:$G$1998,MATCH(A593&amp;"ENTRADA",Movimientos!$R$2:$R$1998,0)),"-")</f>
        <v>-</v>
      </c>
      <c r="G593" s="3" t="str">
        <f>IFERROR(INDEX(Movimientos!$L$2:$L$1998,MATCH(A593&amp;"ENTRADA",Movimientos!$R$2:$R$1998,0)),"-")</f>
        <v>-</v>
      </c>
      <c r="H593" s="19" t="str">
        <f>IFERROR(IF(INDEX(Movimientos!$M$2:$M$1998,MATCH(A593&amp;"ENTRADA",Movimientos!$R$2:$R$1998,0))=0,"S/D",INDEX(Movimientos!$M$2:$M$1998,MATCH(A593&amp;"ENTRADA",Movimientos!$R$2:$R$1998,0))),"S/D")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19"/>
        <v>SIN STOCK</v>
      </c>
    </row>
    <row r="594" spans="1:11" ht="14.25">
      <c r="A594" s="18" t="s">
        <v>2737</v>
      </c>
      <c r="B594" s="3" t="str">
        <f>IFERROR(INDEX(Movimientos!$C$2:$C$1998,MATCH(A594&amp;"ENTRADA",Movimientos!$R$2:$R$1998,0)),"-")</f>
        <v>-</v>
      </c>
      <c r="C594" s="3" t="str">
        <f>IFERROR(INDEX(Movimientos!$D$2:$D$1998,MATCH(A594&amp;"ENTRADA",Movimientos!$R$2:$R$1998,0)),"-")</f>
        <v>-</v>
      </c>
      <c r="D594" s="3" t="str">
        <f>IFERROR(INDEX(Movimientos!$E$2:$E$1998,MATCH(A594&amp;"ENTRADA",Movimientos!$R$2:$R$1998,0)),"-")</f>
        <v>-</v>
      </c>
      <c r="E594" s="3" t="str">
        <f>IFERROR(INDEX(Movimientos!$F$2:$F$1998,MATCH(A594&amp;"ENTRADA",Movimientos!$R$2:$R$1998,0)),"-")</f>
        <v>-</v>
      </c>
      <c r="F594" s="3" t="str">
        <f>IFERROR(INDEX(Movimientos!$G$2:$G$1998,MATCH(A594&amp;"ENTRADA",Movimientos!$R$2:$R$1998,0)),"-")</f>
        <v>-</v>
      </c>
      <c r="G594" s="3" t="str">
        <f>IFERROR(INDEX(Movimientos!$L$2:$L$1998,MATCH(A594&amp;"ENTRADA",Movimientos!$R$2:$R$1998,0)),"-")</f>
        <v>-</v>
      </c>
      <c r="H594" s="19" t="str">
        <f>IFERROR(IF(INDEX(Movimientos!$M$2:$M$1998,MATCH(A594&amp;"ENTRADA",Movimientos!$R$2:$R$1998,0))=0,"S/D",INDEX(Movimientos!$M$2:$M$1998,MATCH(A594&amp;"ENTRADA",Movimientos!$R$2:$R$1998,0))),"S/D")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19"/>
        <v>SIN STOCK</v>
      </c>
    </row>
    <row r="595" spans="1:11" ht="14.25">
      <c r="A595" s="18" t="s">
        <v>2738</v>
      </c>
      <c r="B595" s="3" t="str">
        <f>IFERROR(INDEX(Movimientos!$C$2:$C$1998,MATCH(A595&amp;"ENTRADA",Movimientos!$R$2:$R$1998,0)),"-")</f>
        <v>-</v>
      </c>
      <c r="C595" s="3" t="str">
        <f>IFERROR(INDEX(Movimientos!$D$2:$D$1998,MATCH(A595&amp;"ENTRADA",Movimientos!$R$2:$R$1998,0)),"-")</f>
        <v>-</v>
      </c>
      <c r="D595" s="3" t="str">
        <f>IFERROR(INDEX(Movimientos!$E$2:$E$1998,MATCH(A595&amp;"ENTRADA",Movimientos!$R$2:$R$1998,0)),"-")</f>
        <v>-</v>
      </c>
      <c r="E595" s="3" t="str">
        <f>IFERROR(INDEX(Movimientos!$F$2:$F$1998,MATCH(A595&amp;"ENTRADA",Movimientos!$R$2:$R$1998,0)),"-")</f>
        <v>-</v>
      </c>
      <c r="F595" s="3" t="str">
        <f>IFERROR(INDEX(Movimientos!$G$2:$G$1998,MATCH(A595&amp;"ENTRADA",Movimientos!$R$2:$R$1998,0)),"-")</f>
        <v>-</v>
      </c>
      <c r="G595" s="3" t="str">
        <f>IFERROR(INDEX(Movimientos!$L$2:$L$1998,MATCH(A595&amp;"ENTRADA",Movimientos!$R$2:$R$1998,0)),"-")</f>
        <v>-</v>
      </c>
      <c r="H595" s="19" t="str">
        <f>IFERROR(IF(INDEX(Movimientos!$M$2:$M$1998,MATCH(A595&amp;"ENTRADA",Movimientos!$R$2:$R$1998,0))=0,"S/D",INDEX(Movimientos!$M$2:$M$1998,MATCH(A595&amp;"ENTRADA",Movimientos!$R$2:$R$1998,0))),"S/D")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19"/>
        <v>SIN STOCK</v>
      </c>
    </row>
    <row r="596" spans="1:11" ht="14.25">
      <c r="A596" s="18" t="s">
        <v>2739</v>
      </c>
      <c r="B596" s="3" t="str">
        <f>IFERROR(INDEX(Movimientos!$C$2:$C$1998,MATCH(A596&amp;"ENTRADA",Movimientos!$R$2:$R$1998,0)),"-")</f>
        <v>-</v>
      </c>
      <c r="C596" s="3" t="str">
        <f>IFERROR(INDEX(Movimientos!$D$2:$D$1998,MATCH(A596&amp;"ENTRADA",Movimientos!$R$2:$R$1998,0)),"-")</f>
        <v>-</v>
      </c>
      <c r="D596" s="3" t="str">
        <f>IFERROR(INDEX(Movimientos!$E$2:$E$1998,MATCH(A596&amp;"ENTRADA",Movimientos!$R$2:$R$1998,0)),"-")</f>
        <v>-</v>
      </c>
      <c r="E596" s="3" t="str">
        <f>IFERROR(INDEX(Movimientos!$F$2:$F$1998,MATCH(A596&amp;"ENTRADA",Movimientos!$R$2:$R$1998,0)),"-")</f>
        <v>-</v>
      </c>
      <c r="F596" s="3" t="str">
        <f>IFERROR(INDEX(Movimientos!$G$2:$G$1998,MATCH(A596&amp;"ENTRADA",Movimientos!$R$2:$R$1998,0)),"-")</f>
        <v>-</v>
      </c>
      <c r="G596" s="3" t="str">
        <f>IFERROR(INDEX(Movimientos!$L$2:$L$1998,MATCH(A596&amp;"ENTRADA",Movimientos!$R$2:$R$1998,0)),"-")</f>
        <v>-</v>
      </c>
      <c r="H596" s="19" t="str">
        <f>IFERROR(IF(INDEX(Movimientos!$M$2:$M$1998,MATCH(A596&amp;"ENTRADA",Movimientos!$R$2:$R$1998,0))=0,"S/D",INDEX(Movimientos!$M$2:$M$1998,MATCH(A596&amp;"ENTRADA",Movimientos!$R$2:$R$1998,0))),"S/D")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19"/>
        <v>SIN STOCK</v>
      </c>
    </row>
    <row r="597" spans="1:11" ht="14.25">
      <c r="A597" s="18" t="s">
        <v>2740</v>
      </c>
      <c r="B597" s="3" t="str">
        <f>IFERROR(INDEX(Movimientos!$C$2:$C$1998,MATCH(A597&amp;"ENTRADA",Movimientos!$R$2:$R$1998,0)),"-")</f>
        <v>-</v>
      </c>
      <c r="C597" s="3" t="str">
        <f>IFERROR(INDEX(Movimientos!$D$2:$D$1998,MATCH(A597&amp;"ENTRADA",Movimientos!$R$2:$R$1998,0)),"-")</f>
        <v>-</v>
      </c>
      <c r="D597" s="3" t="str">
        <f>IFERROR(INDEX(Movimientos!$E$2:$E$1998,MATCH(A597&amp;"ENTRADA",Movimientos!$R$2:$R$1998,0)),"-")</f>
        <v>-</v>
      </c>
      <c r="E597" s="3" t="str">
        <f>IFERROR(INDEX(Movimientos!$F$2:$F$1998,MATCH(A597&amp;"ENTRADA",Movimientos!$R$2:$R$1998,0)),"-")</f>
        <v>-</v>
      </c>
      <c r="F597" s="3" t="str">
        <f>IFERROR(INDEX(Movimientos!$G$2:$G$1998,MATCH(A597&amp;"ENTRADA",Movimientos!$R$2:$R$1998,0)),"-")</f>
        <v>-</v>
      </c>
      <c r="G597" s="3" t="str">
        <f>IFERROR(INDEX(Movimientos!$L$2:$L$1998,MATCH(A597&amp;"ENTRADA",Movimientos!$R$2:$R$1998,0)),"-")</f>
        <v>-</v>
      </c>
      <c r="H597" s="19" t="str">
        <f>IFERROR(IF(INDEX(Movimientos!$M$2:$M$1998,MATCH(A597&amp;"ENTRADA",Movimientos!$R$2:$R$1998,0))=0,"S/D",INDEX(Movimientos!$M$2:$M$1998,MATCH(A597&amp;"ENTRADA",Movimientos!$R$2:$R$1998,0))),"S/D")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19"/>
        <v>SIN STOCK</v>
      </c>
    </row>
    <row r="598" spans="1:11" ht="14.25">
      <c r="A598" s="18" t="s">
        <v>2741</v>
      </c>
      <c r="B598" s="3" t="str">
        <f>IFERROR(INDEX(Movimientos!$C$2:$C$1998,MATCH(A598&amp;"ENTRADA",Movimientos!$R$2:$R$1998,0)),"-")</f>
        <v>-</v>
      </c>
      <c r="C598" s="3" t="str">
        <f>IFERROR(INDEX(Movimientos!$D$2:$D$1998,MATCH(A598&amp;"ENTRADA",Movimientos!$R$2:$R$1998,0)),"-")</f>
        <v>-</v>
      </c>
      <c r="D598" s="3" t="str">
        <f>IFERROR(INDEX(Movimientos!$E$2:$E$1998,MATCH(A598&amp;"ENTRADA",Movimientos!$R$2:$R$1998,0)),"-")</f>
        <v>-</v>
      </c>
      <c r="E598" s="3" t="str">
        <f>IFERROR(INDEX(Movimientos!$F$2:$F$1998,MATCH(A598&amp;"ENTRADA",Movimientos!$R$2:$R$1998,0)),"-")</f>
        <v>-</v>
      </c>
      <c r="F598" s="3" t="str">
        <f>IFERROR(INDEX(Movimientos!$G$2:$G$1998,MATCH(A598&amp;"ENTRADA",Movimientos!$R$2:$R$1998,0)),"-")</f>
        <v>-</v>
      </c>
      <c r="G598" s="3" t="str">
        <f>IFERROR(INDEX(Movimientos!$L$2:$L$1998,MATCH(A598&amp;"ENTRADA",Movimientos!$R$2:$R$1998,0)),"-")</f>
        <v>-</v>
      </c>
      <c r="H598" s="19" t="str">
        <f>IFERROR(IF(INDEX(Movimientos!$M$2:$M$1998,MATCH(A598&amp;"ENTRADA",Movimientos!$R$2:$R$1998,0))=0,"S/D",INDEX(Movimientos!$M$2:$M$1998,MATCH(A598&amp;"ENTRADA",Movimientos!$R$2:$R$1998,0))),"S/D")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19"/>
        <v>SIN STOCK</v>
      </c>
    </row>
    <row r="599" spans="1:11" ht="14.25">
      <c r="A599" s="18" t="s">
        <v>2742</v>
      </c>
      <c r="B599" s="3" t="str">
        <f>IFERROR(INDEX(Movimientos!$C$2:$C$1998,MATCH(A599&amp;"ENTRADA",Movimientos!$R$2:$R$1998,0)),"-")</f>
        <v>-</v>
      </c>
      <c r="C599" s="3" t="str">
        <f>IFERROR(INDEX(Movimientos!$D$2:$D$1998,MATCH(A599&amp;"ENTRADA",Movimientos!$R$2:$R$1998,0)),"-")</f>
        <v>-</v>
      </c>
      <c r="D599" s="3" t="str">
        <f>IFERROR(INDEX(Movimientos!$E$2:$E$1998,MATCH(A599&amp;"ENTRADA",Movimientos!$R$2:$R$1998,0)),"-")</f>
        <v>-</v>
      </c>
      <c r="E599" s="3" t="str">
        <f>IFERROR(INDEX(Movimientos!$F$2:$F$1998,MATCH(A599&amp;"ENTRADA",Movimientos!$R$2:$R$1998,0)),"-")</f>
        <v>-</v>
      </c>
      <c r="F599" s="3" t="str">
        <f>IFERROR(INDEX(Movimientos!$G$2:$G$1998,MATCH(A599&amp;"ENTRADA",Movimientos!$R$2:$R$1998,0)),"-")</f>
        <v>-</v>
      </c>
      <c r="G599" s="3" t="str">
        <f>IFERROR(INDEX(Movimientos!$L$2:$L$1998,MATCH(A599&amp;"ENTRADA",Movimientos!$R$2:$R$1998,0)),"-")</f>
        <v>-</v>
      </c>
      <c r="H599" s="19" t="str">
        <f>IFERROR(IF(INDEX(Movimientos!$M$2:$M$1998,MATCH(A599&amp;"ENTRADA",Movimientos!$R$2:$R$1998,0))=0,"S/D",INDEX(Movimientos!$M$2:$M$1998,MATCH(A599&amp;"ENTRADA",Movimientos!$R$2:$R$1998,0))),"S/D")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19"/>
        <v>SIN STOCK</v>
      </c>
    </row>
    <row r="600" spans="1:11" ht="14.25">
      <c r="A600" s="18" t="s">
        <v>2743</v>
      </c>
      <c r="B600" s="3" t="str">
        <f>IFERROR(INDEX(Movimientos!$C$2:$C$1998,MATCH(A600&amp;"ENTRADA",Movimientos!$R$2:$R$1998,0)),"-")</f>
        <v>-</v>
      </c>
      <c r="C600" s="3" t="str">
        <f>IFERROR(INDEX(Movimientos!$D$2:$D$1998,MATCH(A600&amp;"ENTRADA",Movimientos!$R$2:$R$1998,0)),"-")</f>
        <v>-</v>
      </c>
      <c r="D600" s="3" t="str">
        <f>IFERROR(INDEX(Movimientos!$E$2:$E$1998,MATCH(A600&amp;"ENTRADA",Movimientos!$R$2:$R$1998,0)),"-")</f>
        <v>-</v>
      </c>
      <c r="E600" s="3" t="str">
        <f>IFERROR(INDEX(Movimientos!$F$2:$F$1998,MATCH(A600&amp;"ENTRADA",Movimientos!$R$2:$R$1998,0)),"-")</f>
        <v>-</v>
      </c>
      <c r="F600" s="3" t="str">
        <f>IFERROR(INDEX(Movimientos!$G$2:$G$1998,MATCH(A600&amp;"ENTRADA",Movimientos!$R$2:$R$1998,0)),"-")</f>
        <v>-</v>
      </c>
      <c r="G600" s="3" t="str">
        <f>IFERROR(INDEX(Movimientos!$L$2:$L$1998,MATCH(A600&amp;"ENTRADA",Movimientos!$R$2:$R$1998,0)),"-")</f>
        <v>-</v>
      </c>
      <c r="H600" s="19" t="str">
        <f>IFERROR(IF(INDEX(Movimientos!$M$2:$M$1998,MATCH(A600&amp;"ENTRADA",Movimientos!$R$2:$R$1998,0))=0,"S/D",INDEX(Movimientos!$M$2:$M$1998,MATCH(A600&amp;"ENTRADA",Movimientos!$R$2:$R$1998,0))),"S/D")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19"/>
        <v>SIN STOCK</v>
      </c>
    </row>
    <row r="601" spans="1:11" ht="14.25">
      <c r="A601" s="18" t="s">
        <v>2744</v>
      </c>
      <c r="B601" s="3" t="str">
        <f>IFERROR(INDEX(Movimientos!$C$2:$C$1998,MATCH(A601&amp;"ENTRADA",Movimientos!$R$2:$R$1998,0)),"-")</f>
        <v>-</v>
      </c>
      <c r="C601" s="3" t="str">
        <f>IFERROR(INDEX(Movimientos!$D$2:$D$1998,MATCH(A601&amp;"ENTRADA",Movimientos!$R$2:$R$1998,0)),"-")</f>
        <v>-</v>
      </c>
      <c r="D601" s="3" t="str">
        <f>IFERROR(INDEX(Movimientos!$E$2:$E$1998,MATCH(A601&amp;"ENTRADA",Movimientos!$R$2:$R$1998,0)),"-")</f>
        <v>-</v>
      </c>
      <c r="E601" s="3" t="str">
        <f>IFERROR(INDEX(Movimientos!$F$2:$F$1998,MATCH(A601&amp;"ENTRADA",Movimientos!$R$2:$R$1998,0)),"-")</f>
        <v>-</v>
      </c>
      <c r="F601" s="3" t="str">
        <f>IFERROR(INDEX(Movimientos!$G$2:$G$1998,MATCH(A601&amp;"ENTRADA",Movimientos!$R$2:$R$1998,0)),"-")</f>
        <v>-</v>
      </c>
      <c r="G601" s="3" t="str">
        <f>IFERROR(INDEX(Movimientos!$L$2:$L$1998,MATCH(A601&amp;"ENTRADA",Movimientos!$R$2:$R$1998,0)),"-")</f>
        <v>-</v>
      </c>
      <c r="H601" s="19" t="str">
        <f>IFERROR(IF(INDEX(Movimientos!$M$2:$M$1998,MATCH(A601&amp;"ENTRADA",Movimientos!$R$2:$R$1998,0))=0,"S/D",INDEX(Movimientos!$M$2:$M$1998,MATCH(A601&amp;"ENTRADA",Movimientos!$R$2:$R$1998,0))),"S/D")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19"/>
        <v>SIN STOCK</v>
      </c>
    </row>
    <row r="602" spans="1:11" ht="14.25">
      <c r="A602" s="18" t="s">
        <v>2745</v>
      </c>
      <c r="B602" s="3" t="str">
        <f>IFERROR(INDEX(Movimientos!$C$2:$C$1998,MATCH(A602&amp;"ENTRADA",Movimientos!$R$2:$R$1998,0)),"-")</f>
        <v>-</v>
      </c>
      <c r="C602" s="3" t="str">
        <f>IFERROR(INDEX(Movimientos!$D$2:$D$1998,MATCH(A602&amp;"ENTRADA",Movimientos!$R$2:$R$1998,0)),"-")</f>
        <v>-</v>
      </c>
      <c r="D602" s="3" t="str">
        <f>IFERROR(INDEX(Movimientos!$E$2:$E$1998,MATCH(A602&amp;"ENTRADA",Movimientos!$R$2:$R$1998,0)),"-")</f>
        <v>-</v>
      </c>
      <c r="E602" s="3" t="str">
        <f>IFERROR(INDEX(Movimientos!$F$2:$F$1998,MATCH(A602&amp;"ENTRADA",Movimientos!$R$2:$R$1998,0)),"-")</f>
        <v>-</v>
      </c>
      <c r="F602" s="3" t="str">
        <f>IFERROR(INDEX(Movimientos!$G$2:$G$1998,MATCH(A602&amp;"ENTRADA",Movimientos!$R$2:$R$1998,0)),"-")</f>
        <v>-</v>
      </c>
      <c r="G602" s="3" t="str">
        <f>IFERROR(INDEX(Movimientos!$L$2:$L$1998,MATCH(A602&amp;"ENTRADA",Movimientos!$R$2:$R$1998,0)),"-")</f>
        <v>-</v>
      </c>
      <c r="H602" s="19" t="str">
        <f>IFERROR(IF(INDEX(Movimientos!$M$2:$M$1998,MATCH(A602&amp;"ENTRADA",Movimientos!$R$2:$R$1998,0))=0,"S/D",INDEX(Movimientos!$M$2:$M$1998,MATCH(A602&amp;"ENTRADA",Movimientos!$R$2:$R$1998,0))),"S/D")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19"/>
        <v>SIN STOCK</v>
      </c>
    </row>
    <row r="603" spans="1:11" ht="14.25">
      <c r="A603" s="18" t="s">
        <v>2746</v>
      </c>
      <c r="B603" s="3" t="str">
        <f>IFERROR(INDEX(Movimientos!$C$2:$C$1998,MATCH(A603&amp;"ENTRADA",Movimientos!$R$2:$R$1998,0)),"-")</f>
        <v>-</v>
      </c>
      <c r="C603" s="3" t="str">
        <f>IFERROR(INDEX(Movimientos!$D$2:$D$1998,MATCH(A603&amp;"ENTRADA",Movimientos!$R$2:$R$1998,0)),"-")</f>
        <v>-</v>
      </c>
      <c r="D603" s="3" t="str">
        <f>IFERROR(INDEX(Movimientos!$E$2:$E$1998,MATCH(A603&amp;"ENTRADA",Movimientos!$R$2:$R$1998,0)),"-")</f>
        <v>-</v>
      </c>
      <c r="E603" s="3" t="str">
        <f>IFERROR(INDEX(Movimientos!$F$2:$F$1998,MATCH(A603&amp;"ENTRADA",Movimientos!$R$2:$R$1998,0)),"-")</f>
        <v>-</v>
      </c>
      <c r="F603" s="3" t="str">
        <f>IFERROR(INDEX(Movimientos!$G$2:$G$1998,MATCH(A603&amp;"ENTRADA",Movimientos!$R$2:$R$1998,0)),"-")</f>
        <v>-</v>
      </c>
      <c r="G603" s="3" t="str">
        <f>IFERROR(INDEX(Movimientos!$L$2:$L$1998,MATCH(A603&amp;"ENTRADA",Movimientos!$R$2:$R$1998,0)),"-")</f>
        <v>-</v>
      </c>
      <c r="H603" s="19" t="str">
        <f>IFERROR(IF(INDEX(Movimientos!$M$2:$M$1998,MATCH(A603&amp;"ENTRADA",Movimientos!$R$2:$R$1998,0))=0,"S/D",INDEX(Movimientos!$M$2:$M$1998,MATCH(A603&amp;"ENTRADA",Movimientos!$R$2:$R$1998,0))),"S/D")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19"/>
        <v>SIN STOCK</v>
      </c>
    </row>
    <row r="604" spans="1:11" ht="14.25">
      <c r="A604" s="18" t="s">
        <v>2747</v>
      </c>
      <c r="B604" s="3" t="str">
        <f>IFERROR(INDEX(Movimientos!$C$2:$C$1998,MATCH(A604&amp;"ENTRADA",Movimientos!$R$2:$R$1998,0)),"-")</f>
        <v>-</v>
      </c>
      <c r="C604" s="3" t="str">
        <f>IFERROR(INDEX(Movimientos!$D$2:$D$1998,MATCH(A604&amp;"ENTRADA",Movimientos!$R$2:$R$1998,0)),"-")</f>
        <v>-</v>
      </c>
      <c r="D604" s="3" t="str">
        <f>IFERROR(INDEX(Movimientos!$E$2:$E$1998,MATCH(A604&amp;"ENTRADA",Movimientos!$R$2:$R$1998,0)),"-")</f>
        <v>-</v>
      </c>
      <c r="E604" s="3" t="str">
        <f>IFERROR(INDEX(Movimientos!$F$2:$F$1998,MATCH(A604&amp;"ENTRADA",Movimientos!$R$2:$R$1998,0)),"-")</f>
        <v>-</v>
      </c>
      <c r="F604" s="3" t="str">
        <f>IFERROR(INDEX(Movimientos!$G$2:$G$1998,MATCH(A604&amp;"ENTRADA",Movimientos!$R$2:$R$1998,0)),"-")</f>
        <v>-</v>
      </c>
      <c r="G604" s="3" t="str">
        <f>IFERROR(INDEX(Movimientos!$L$2:$L$1998,MATCH(A604&amp;"ENTRADA",Movimientos!$R$2:$R$1998,0)),"-")</f>
        <v>-</v>
      </c>
      <c r="H604" s="19" t="str">
        <f>IFERROR(IF(INDEX(Movimientos!$M$2:$M$1998,MATCH(A604&amp;"ENTRADA",Movimientos!$R$2:$R$1998,0))=0,"S/D",INDEX(Movimientos!$M$2:$M$1998,MATCH(A604&amp;"ENTRADA",Movimientos!$R$2:$R$1998,0))),"S/D")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19"/>
        <v>SIN STOCK</v>
      </c>
    </row>
    <row r="605" spans="1:11" ht="14.25">
      <c r="A605" s="18" t="s">
        <v>2748</v>
      </c>
      <c r="B605" s="3" t="str">
        <f>IFERROR(INDEX(Movimientos!$C$2:$C$1998,MATCH(A605&amp;"ENTRADA",Movimientos!$R$2:$R$1998,0)),"-")</f>
        <v>-</v>
      </c>
      <c r="C605" s="3" t="str">
        <f>IFERROR(INDEX(Movimientos!$D$2:$D$1998,MATCH(A605&amp;"ENTRADA",Movimientos!$R$2:$R$1998,0)),"-")</f>
        <v>-</v>
      </c>
      <c r="D605" s="3" t="str">
        <f>IFERROR(INDEX(Movimientos!$E$2:$E$1998,MATCH(A605&amp;"ENTRADA",Movimientos!$R$2:$R$1998,0)),"-")</f>
        <v>-</v>
      </c>
      <c r="E605" s="3" t="str">
        <f>IFERROR(INDEX(Movimientos!$F$2:$F$1998,MATCH(A605&amp;"ENTRADA",Movimientos!$R$2:$R$1998,0)),"-")</f>
        <v>-</v>
      </c>
      <c r="F605" s="3" t="str">
        <f>IFERROR(INDEX(Movimientos!$G$2:$G$1998,MATCH(A605&amp;"ENTRADA",Movimientos!$R$2:$R$1998,0)),"-")</f>
        <v>-</v>
      </c>
      <c r="G605" s="3" t="str">
        <f>IFERROR(INDEX(Movimientos!$L$2:$L$1998,MATCH(A605&amp;"ENTRADA",Movimientos!$R$2:$R$1998,0)),"-")</f>
        <v>-</v>
      </c>
      <c r="H605" s="19" t="str">
        <f>IFERROR(IF(INDEX(Movimientos!$M$2:$M$1998,MATCH(A605&amp;"ENTRADA",Movimientos!$R$2:$R$1998,0))=0,"S/D",INDEX(Movimientos!$M$2:$M$1998,MATCH(A605&amp;"ENTRADA",Movimientos!$R$2:$R$1998,0))),"S/D")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19"/>
        <v>SIN STOCK</v>
      </c>
    </row>
    <row r="606" spans="1:11" ht="14.25">
      <c r="A606" s="18" t="s">
        <v>2749</v>
      </c>
      <c r="B606" s="3" t="str">
        <f>IFERROR(INDEX(Movimientos!$C$2:$C$1998,MATCH(A606&amp;"ENTRADA",Movimientos!$R$2:$R$1998,0)),"-")</f>
        <v>-</v>
      </c>
      <c r="C606" s="3" t="str">
        <f>IFERROR(INDEX(Movimientos!$D$2:$D$1998,MATCH(A606&amp;"ENTRADA",Movimientos!$R$2:$R$1998,0)),"-")</f>
        <v>-</v>
      </c>
      <c r="D606" s="3" t="str">
        <f>IFERROR(INDEX(Movimientos!$E$2:$E$1998,MATCH(A606&amp;"ENTRADA",Movimientos!$R$2:$R$1998,0)),"-")</f>
        <v>-</v>
      </c>
      <c r="E606" s="3" t="str">
        <f>IFERROR(INDEX(Movimientos!$F$2:$F$1998,MATCH(A606&amp;"ENTRADA",Movimientos!$R$2:$R$1998,0)),"-")</f>
        <v>-</v>
      </c>
      <c r="F606" s="3" t="str">
        <f>IFERROR(INDEX(Movimientos!$G$2:$G$1998,MATCH(A606&amp;"ENTRADA",Movimientos!$R$2:$R$1998,0)),"-")</f>
        <v>-</v>
      </c>
      <c r="G606" s="3" t="str">
        <f>IFERROR(INDEX(Movimientos!$L$2:$L$1998,MATCH(A606&amp;"ENTRADA",Movimientos!$R$2:$R$1998,0)),"-")</f>
        <v>-</v>
      </c>
      <c r="H606" s="19" t="str">
        <f>IFERROR(IF(INDEX(Movimientos!$M$2:$M$1998,MATCH(A606&amp;"ENTRADA",Movimientos!$R$2:$R$1998,0))=0,"S/D",INDEX(Movimientos!$M$2:$M$1998,MATCH(A606&amp;"ENTRADA",Movimientos!$R$2:$R$1998,0))),"S/D")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19"/>
        <v>SIN STOCK</v>
      </c>
    </row>
    <row r="607" spans="1:11" ht="14.25">
      <c r="A607" s="18" t="s">
        <v>2750</v>
      </c>
      <c r="B607" s="3" t="str">
        <f>IFERROR(INDEX(Movimientos!$C$2:$C$1998,MATCH(A607&amp;"ENTRADA",Movimientos!$R$2:$R$1998,0)),"-")</f>
        <v>-</v>
      </c>
      <c r="C607" s="3" t="str">
        <f>IFERROR(INDEX(Movimientos!$D$2:$D$1998,MATCH(A607&amp;"ENTRADA",Movimientos!$R$2:$R$1998,0)),"-")</f>
        <v>-</v>
      </c>
      <c r="D607" s="3" t="str">
        <f>IFERROR(INDEX(Movimientos!$E$2:$E$1998,MATCH(A607&amp;"ENTRADA",Movimientos!$R$2:$R$1998,0)),"-")</f>
        <v>-</v>
      </c>
      <c r="E607" s="3" t="str">
        <f>IFERROR(INDEX(Movimientos!$F$2:$F$1998,MATCH(A607&amp;"ENTRADA",Movimientos!$R$2:$R$1998,0)),"-")</f>
        <v>-</v>
      </c>
      <c r="F607" s="3" t="str">
        <f>IFERROR(INDEX(Movimientos!$G$2:$G$1998,MATCH(A607&amp;"ENTRADA",Movimientos!$R$2:$R$1998,0)),"-")</f>
        <v>-</v>
      </c>
      <c r="G607" s="3" t="str">
        <f>IFERROR(INDEX(Movimientos!$L$2:$L$1998,MATCH(A607&amp;"ENTRADA",Movimientos!$R$2:$R$1998,0)),"-")</f>
        <v>-</v>
      </c>
      <c r="H607" s="19" t="str">
        <f>IFERROR(IF(INDEX(Movimientos!$M$2:$M$1998,MATCH(A607&amp;"ENTRADA",Movimientos!$R$2:$R$1998,0))=0,"S/D",INDEX(Movimientos!$M$2:$M$1998,MATCH(A607&amp;"ENTRADA",Movimientos!$R$2:$R$1998,0))),"S/D")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19"/>
        <v>SIN STOCK</v>
      </c>
    </row>
    <row r="608" spans="1:11" ht="14.25">
      <c r="A608" s="18" t="s">
        <v>2751</v>
      </c>
      <c r="B608" s="3" t="str">
        <f>IFERROR(INDEX(Movimientos!$C$2:$C$1998,MATCH(A608&amp;"ENTRADA",Movimientos!$R$2:$R$1998,0)),"-")</f>
        <v>-</v>
      </c>
      <c r="C608" s="3" t="str">
        <f>IFERROR(INDEX(Movimientos!$D$2:$D$1998,MATCH(A608&amp;"ENTRADA",Movimientos!$R$2:$R$1998,0)),"-")</f>
        <v>-</v>
      </c>
      <c r="D608" s="3" t="str">
        <f>IFERROR(INDEX(Movimientos!$E$2:$E$1998,MATCH(A608&amp;"ENTRADA",Movimientos!$R$2:$R$1998,0)),"-")</f>
        <v>-</v>
      </c>
      <c r="E608" s="3" t="str">
        <f>IFERROR(INDEX(Movimientos!$F$2:$F$1998,MATCH(A608&amp;"ENTRADA",Movimientos!$R$2:$R$1998,0)),"-")</f>
        <v>-</v>
      </c>
      <c r="F608" s="3" t="str">
        <f>IFERROR(INDEX(Movimientos!$G$2:$G$1998,MATCH(A608&amp;"ENTRADA",Movimientos!$R$2:$R$1998,0)),"-")</f>
        <v>-</v>
      </c>
      <c r="G608" s="3" t="str">
        <f>IFERROR(INDEX(Movimientos!$L$2:$L$1998,MATCH(A608&amp;"ENTRADA",Movimientos!$R$2:$R$1998,0)),"-")</f>
        <v>-</v>
      </c>
      <c r="H608" s="19" t="str">
        <f>IFERROR(IF(INDEX(Movimientos!$M$2:$M$1998,MATCH(A608&amp;"ENTRADA",Movimientos!$R$2:$R$1998,0))=0,"S/D",INDEX(Movimientos!$M$2:$M$1998,MATCH(A608&amp;"ENTRADA",Movimientos!$R$2:$R$1998,0))),"S/D")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19"/>
        <v>SIN STOCK</v>
      </c>
    </row>
    <row r="609" spans="1:11" ht="14.25">
      <c r="A609" s="18" t="s">
        <v>2752</v>
      </c>
      <c r="B609" s="3" t="str">
        <f>IFERROR(INDEX(Movimientos!$C$2:$C$1998,MATCH(A609&amp;"ENTRADA",Movimientos!$R$2:$R$1998,0)),"-")</f>
        <v>-</v>
      </c>
      <c r="C609" s="3" t="str">
        <f>IFERROR(INDEX(Movimientos!$D$2:$D$1998,MATCH(A609&amp;"ENTRADA",Movimientos!$R$2:$R$1998,0)),"-")</f>
        <v>-</v>
      </c>
      <c r="D609" s="3" t="str">
        <f>IFERROR(INDEX(Movimientos!$E$2:$E$1998,MATCH(A609&amp;"ENTRADA",Movimientos!$R$2:$R$1998,0)),"-")</f>
        <v>-</v>
      </c>
      <c r="E609" s="3" t="str">
        <f>IFERROR(INDEX(Movimientos!$F$2:$F$1998,MATCH(A609&amp;"ENTRADA",Movimientos!$R$2:$R$1998,0)),"-")</f>
        <v>-</v>
      </c>
      <c r="F609" s="3" t="str">
        <f>IFERROR(INDEX(Movimientos!$G$2:$G$1998,MATCH(A609&amp;"ENTRADA",Movimientos!$R$2:$R$1998,0)),"-")</f>
        <v>-</v>
      </c>
      <c r="G609" s="3" t="str">
        <f>IFERROR(INDEX(Movimientos!$L$2:$L$1998,MATCH(A609&amp;"ENTRADA",Movimientos!$R$2:$R$1998,0)),"-")</f>
        <v>-</v>
      </c>
      <c r="H609" s="19" t="str">
        <f>IFERROR(IF(INDEX(Movimientos!$M$2:$M$1998,MATCH(A609&amp;"ENTRADA",Movimientos!$R$2:$R$1998,0))=0,"S/D",INDEX(Movimientos!$M$2:$M$1998,MATCH(A609&amp;"ENTRADA",Movimientos!$R$2:$R$1998,0))),"S/D")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19"/>
        <v>SIN STOCK</v>
      </c>
    </row>
    <row r="610" spans="1:11" ht="14.25">
      <c r="A610" s="18" t="s">
        <v>2753</v>
      </c>
      <c r="B610" s="3" t="str">
        <f>IFERROR(INDEX(Movimientos!$C$2:$C$1998,MATCH(A610&amp;"ENTRADA",Movimientos!$R$2:$R$1998,0)),"-")</f>
        <v>-</v>
      </c>
      <c r="C610" s="3" t="str">
        <f>IFERROR(INDEX(Movimientos!$D$2:$D$1998,MATCH(A610&amp;"ENTRADA",Movimientos!$R$2:$R$1998,0)),"-")</f>
        <v>-</v>
      </c>
      <c r="D610" s="3" t="str">
        <f>IFERROR(INDEX(Movimientos!$E$2:$E$1998,MATCH(A610&amp;"ENTRADA",Movimientos!$R$2:$R$1998,0)),"-")</f>
        <v>-</v>
      </c>
      <c r="E610" s="3" t="str">
        <f>IFERROR(INDEX(Movimientos!$F$2:$F$1998,MATCH(A610&amp;"ENTRADA",Movimientos!$R$2:$R$1998,0)),"-")</f>
        <v>-</v>
      </c>
      <c r="F610" s="3" t="str">
        <f>IFERROR(INDEX(Movimientos!$G$2:$G$1998,MATCH(A610&amp;"ENTRADA",Movimientos!$R$2:$R$1998,0)),"-")</f>
        <v>-</v>
      </c>
      <c r="G610" s="3" t="str">
        <f>IFERROR(INDEX(Movimientos!$L$2:$L$1998,MATCH(A610&amp;"ENTRADA",Movimientos!$R$2:$R$1998,0)),"-")</f>
        <v>-</v>
      </c>
      <c r="H610" s="19" t="str">
        <f>IFERROR(IF(INDEX(Movimientos!$M$2:$M$1998,MATCH(A610&amp;"ENTRADA",Movimientos!$R$2:$R$1998,0))=0,"S/D",INDEX(Movimientos!$M$2:$M$1998,MATCH(A610&amp;"ENTRADA",Movimientos!$R$2:$R$1998,0))),"S/D")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19"/>
        <v>SIN STOCK</v>
      </c>
    </row>
    <row r="611" spans="1:11" ht="14.25">
      <c r="A611" s="18" t="s">
        <v>2754</v>
      </c>
      <c r="B611" s="3" t="str">
        <f>IFERROR(INDEX(Movimientos!$C$2:$C$1998,MATCH(A611&amp;"ENTRADA",Movimientos!$R$2:$R$1998,0)),"-")</f>
        <v>-</v>
      </c>
      <c r="C611" s="3" t="str">
        <f>IFERROR(INDEX(Movimientos!$D$2:$D$1998,MATCH(A611&amp;"ENTRADA",Movimientos!$R$2:$R$1998,0)),"-")</f>
        <v>-</v>
      </c>
      <c r="D611" s="3" t="str">
        <f>IFERROR(INDEX(Movimientos!$E$2:$E$1998,MATCH(A611&amp;"ENTRADA",Movimientos!$R$2:$R$1998,0)),"-")</f>
        <v>-</v>
      </c>
      <c r="E611" s="3" t="str">
        <f>IFERROR(INDEX(Movimientos!$F$2:$F$1998,MATCH(A611&amp;"ENTRADA",Movimientos!$R$2:$R$1998,0)),"-")</f>
        <v>-</v>
      </c>
      <c r="F611" s="3" t="str">
        <f>IFERROR(INDEX(Movimientos!$G$2:$G$1998,MATCH(A611&amp;"ENTRADA",Movimientos!$R$2:$R$1998,0)),"-")</f>
        <v>-</v>
      </c>
      <c r="G611" s="3" t="str">
        <f>IFERROR(INDEX(Movimientos!$L$2:$L$1998,MATCH(A611&amp;"ENTRADA",Movimientos!$R$2:$R$1998,0)),"-")</f>
        <v>-</v>
      </c>
      <c r="H611" s="19" t="str">
        <f>IFERROR(IF(INDEX(Movimientos!$M$2:$M$1998,MATCH(A611&amp;"ENTRADA",Movimientos!$R$2:$R$1998,0))=0,"S/D",INDEX(Movimientos!$M$2:$M$1998,MATCH(A611&amp;"ENTRADA",Movimientos!$R$2:$R$1998,0))),"S/D")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19"/>
        <v>SIN STOCK</v>
      </c>
    </row>
    <row r="612" spans="1:11" ht="14.25">
      <c r="A612" s="18" t="s">
        <v>2755</v>
      </c>
      <c r="B612" s="3" t="str">
        <f>IFERROR(INDEX(Movimientos!$C$2:$C$1998,MATCH(A612&amp;"ENTRADA",Movimientos!$R$2:$R$1998,0)),"-")</f>
        <v>-</v>
      </c>
      <c r="C612" s="3" t="str">
        <f>IFERROR(INDEX(Movimientos!$D$2:$D$1998,MATCH(A612&amp;"ENTRADA",Movimientos!$R$2:$R$1998,0)),"-")</f>
        <v>-</v>
      </c>
      <c r="D612" s="3" t="str">
        <f>IFERROR(INDEX(Movimientos!$E$2:$E$1998,MATCH(A612&amp;"ENTRADA",Movimientos!$R$2:$R$1998,0)),"-")</f>
        <v>-</v>
      </c>
      <c r="E612" s="3" t="str">
        <f>IFERROR(INDEX(Movimientos!$F$2:$F$1998,MATCH(A612&amp;"ENTRADA",Movimientos!$R$2:$R$1998,0)),"-")</f>
        <v>-</v>
      </c>
      <c r="F612" s="3" t="str">
        <f>IFERROR(INDEX(Movimientos!$G$2:$G$1998,MATCH(A612&amp;"ENTRADA",Movimientos!$R$2:$R$1998,0)),"-")</f>
        <v>-</v>
      </c>
      <c r="G612" s="3" t="str">
        <f>IFERROR(INDEX(Movimientos!$L$2:$L$1998,MATCH(A612&amp;"ENTRADA",Movimientos!$R$2:$R$1998,0)),"-")</f>
        <v>-</v>
      </c>
      <c r="H612" s="19" t="str">
        <f>IFERROR(IF(INDEX(Movimientos!$M$2:$M$1998,MATCH(A612&amp;"ENTRADA",Movimientos!$R$2:$R$1998,0))=0,"S/D",INDEX(Movimientos!$M$2:$M$1998,MATCH(A612&amp;"ENTRADA",Movimientos!$R$2:$R$1998,0))),"S/D")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19"/>
        <v>SIN STOCK</v>
      </c>
    </row>
    <row r="613" spans="1:11" ht="14.25">
      <c r="A613" s="18" t="s">
        <v>2756</v>
      </c>
      <c r="B613" s="3" t="str">
        <f>IFERROR(INDEX(Movimientos!$C$2:$C$1998,MATCH(A613&amp;"ENTRADA",Movimientos!$R$2:$R$1998,0)),"-")</f>
        <v>-</v>
      </c>
      <c r="C613" s="3" t="str">
        <f>IFERROR(INDEX(Movimientos!$D$2:$D$1998,MATCH(A613&amp;"ENTRADA",Movimientos!$R$2:$R$1998,0)),"-")</f>
        <v>-</v>
      </c>
      <c r="D613" s="3" t="str">
        <f>IFERROR(INDEX(Movimientos!$E$2:$E$1998,MATCH(A613&amp;"ENTRADA",Movimientos!$R$2:$R$1998,0)),"-")</f>
        <v>-</v>
      </c>
      <c r="E613" s="3" t="str">
        <f>IFERROR(INDEX(Movimientos!$F$2:$F$1998,MATCH(A613&amp;"ENTRADA",Movimientos!$R$2:$R$1998,0)),"-")</f>
        <v>-</v>
      </c>
      <c r="F613" s="3" t="str">
        <f>IFERROR(INDEX(Movimientos!$G$2:$G$1998,MATCH(A613&amp;"ENTRADA",Movimientos!$R$2:$R$1998,0)),"-")</f>
        <v>-</v>
      </c>
      <c r="G613" s="3" t="str">
        <f>IFERROR(INDEX(Movimientos!$L$2:$L$1998,MATCH(A613&amp;"ENTRADA",Movimientos!$R$2:$R$1998,0)),"-")</f>
        <v>-</v>
      </c>
      <c r="H613" s="19" t="str">
        <f>IFERROR(IF(INDEX(Movimientos!$M$2:$M$1998,MATCH(A613&amp;"ENTRADA",Movimientos!$R$2:$R$1998,0))=0,"S/D",INDEX(Movimientos!$M$2:$M$1998,MATCH(A613&amp;"ENTRADA",Movimientos!$R$2:$R$1998,0))),"S/D")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19"/>
        <v>SIN STOCK</v>
      </c>
    </row>
    <row r="614" spans="1:11" ht="14.25">
      <c r="A614" s="18" t="s">
        <v>2757</v>
      </c>
      <c r="B614" s="3" t="str">
        <f>IFERROR(INDEX(Movimientos!$C$2:$C$1998,MATCH(A614&amp;"ENTRADA",Movimientos!$R$2:$R$1998,0)),"-")</f>
        <v>-</v>
      </c>
      <c r="C614" s="3" t="str">
        <f>IFERROR(INDEX(Movimientos!$D$2:$D$1998,MATCH(A614&amp;"ENTRADA",Movimientos!$R$2:$R$1998,0)),"-")</f>
        <v>-</v>
      </c>
      <c r="D614" s="3" t="str">
        <f>IFERROR(INDEX(Movimientos!$E$2:$E$1998,MATCH(A614&amp;"ENTRADA",Movimientos!$R$2:$R$1998,0)),"-")</f>
        <v>-</v>
      </c>
      <c r="E614" s="3" t="str">
        <f>IFERROR(INDEX(Movimientos!$F$2:$F$1998,MATCH(A614&amp;"ENTRADA",Movimientos!$R$2:$R$1998,0)),"-")</f>
        <v>-</v>
      </c>
      <c r="F614" s="3" t="str">
        <f>IFERROR(INDEX(Movimientos!$G$2:$G$1998,MATCH(A614&amp;"ENTRADA",Movimientos!$R$2:$R$1998,0)),"-")</f>
        <v>-</v>
      </c>
      <c r="G614" s="3" t="str">
        <f>IFERROR(INDEX(Movimientos!$L$2:$L$1998,MATCH(A614&amp;"ENTRADA",Movimientos!$R$2:$R$1998,0)),"-")</f>
        <v>-</v>
      </c>
      <c r="H614" s="19" t="str">
        <f>IFERROR(IF(INDEX(Movimientos!$M$2:$M$1998,MATCH(A614&amp;"ENTRADA",Movimientos!$R$2:$R$1998,0))=0,"S/D",INDEX(Movimientos!$M$2:$M$1998,MATCH(A614&amp;"ENTRADA",Movimientos!$R$2:$R$1998,0))),"S/D")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19"/>
        <v>SIN STOCK</v>
      </c>
    </row>
    <row r="615" spans="1:11" ht="14.25">
      <c r="A615" s="18" t="s">
        <v>2758</v>
      </c>
      <c r="B615" s="3" t="str">
        <f>IFERROR(INDEX(Movimientos!$C$2:$C$1998,MATCH(A615&amp;"ENTRADA",Movimientos!$R$2:$R$1998,0)),"-")</f>
        <v>-</v>
      </c>
      <c r="C615" s="3" t="str">
        <f>IFERROR(INDEX(Movimientos!$D$2:$D$1998,MATCH(A615&amp;"ENTRADA",Movimientos!$R$2:$R$1998,0)),"-")</f>
        <v>-</v>
      </c>
      <c r="D615" s="3" t="str">
        <f>IFERROR(INDEX(Movimientos!$E$2:$E$1998,MATCH(A615&amp;"ENTRADA",Movimientos!$R$2:$R$1998,0)),"-")</f>
        <v>-</v>
      </c>
      <c r="E615" s="3" t="str">
        <f>IFERROR(INDEX(Movimientos!$F$2:$F$1998,MATCH(A615&amp;"ENTRADA",Movimientos!$R$2:$R$1998,0)),"-")</f>
        <v>-</v>
      </c>
      <c r="F615" s="3" t="str">
        <f>IFERROR(INDEX(Movimientos!$G$2:$G$1998,MATCH(A615&amp;"ENTRADA",Movimientos!$R$2:$R$1998,0)),"-")</f>
        <v>-</v>
      </c>
      <c r="G615" s="3" t="str">
        <f>IFERROR(INDEX(Movimientos!$L$2:$L$1998,MATCH(A615&amp;"ENTRADA",Movimientos!$R$2:$R$1998,0)),"-")</f>
        <v>-</v>
      </c>
      <c r="H615" s="19" t="str">
        <f>IFERROR(IF(INDEX(Movimientos!$M$2:$M$1998,MATCH(A615&amp;"ENTRADA",Movimientos!$R$2:$R$1998,0))=0,"S/D",INDEX(Movimientos!$M$2:$M$1998,MATCH(A615&amp;"ENTRADA",Movimientos!$R$2:$R$1998,0))),"S/D")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19"/>
        <v>SIN STOCK</v>
      </c>
    </row>
    <row r="616" spans="1:11" ht="14.25">
      <c r="A616" s="18" t="s">
        <v>2759</v>
      </c>
      <c r="B616" s="3" t="str">
        <f>IFERROR(INDEX(Movimientos!$C$2:$C$1998,MATCH(A616&amp;"ENTRADA",Movimientos!$R$2:$R$1998,0)),"-")</f>
        <v>-</v>
      </c>
      <c r="C616" s="3" t="str">
        <f>IFERROR(INDEX(Movimientos!$D$2:$D$1998,MATCH(A616&amp;"ENTRADA",Movimientos!$R$2:$R$1998,0)),"-")</f>
        <v>-</v>
      </c>
      <c r="D616" s="3" t="str">
        <f>IFERROR(INDEX(Movimientos!$E$2:$E$1998,MATCH(A616&amp;"ENTRADA",Movimientos!$R$2:$R$1998,0)),"-")</f>
        <v>-</v>
      </c>
      <c r="E616" s="3" t="str">
        <f>IFERROR(INDEX(Movimientos!$F$2:$F$1998,MATCH(A616&amp;"ENTRADA",Movimientos!$R$2:$R$1998,0)),"-")</f>
        <v>-</v>
      </c>
      <c r="F616" s="3" t="str">
        <f>IFERROR(INDEX(Movimientos!$G$2:$G$1998,MATCH(A616&amp;"ENTRADA",Movimientos!$R$2:$R$1998,0)),"-")</f>
        <v>-</v>
      </c>
      <c r="G616" s="3" t="str">
        <f>IFERROR(INDEX(Movimientos!$L$2:$L$1998,MATCH(A616&amp;"ENTRADA",Movimientos!$R$2:$R$1998,0)),"-")</f>
        <v>-</v>
      </c>
      <c r="H616" s="19" t="str">
        <f>IFERROR(IF(INDEX(Movimientos!$M$2:$M$1998,MATCH(A616&amp;"ENTRADA",Movimientos!$R$2:$R$1998,0))=0,"S/D",INDEX(Movimientos!$M$2:$M$1998,MATCH(A616&amp;"ENTRADA",Movimientos!$R$2:$R$1998,0))),"S/D")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19"/>
        <v>SIN STOCK</v>
      </c>
    </row>
    <row r="617" spans="1:11" ht="14.25">
      <c r="A617" s="18" t="s">
        <v>2760</v>
      </c>
      <c r="B617" s="3" t="str">
        <f>IFERROR(INDEX(Movimientos!$C$2:$C$1998,MATCH(A617&amp;"ENTRADA",Movimientos!$R$2:$R$1998,0)),"-")</f>
        <v>-</v>
      </c>
      <c r="C617" s="3" t="str">
        <f>IFERROR(INDEX(Movimientos!$D$2:$D$1998,MATCH(A617&amp;"ENTRADA",Movimientos!$R$2:$R$1998,0)),"-")</f>
        <v>-</v>
      </c>
      <c r="D617" s="3" t="str">
        <f>IFERROR(INDEX(Movimientos!$E$2:$E$1998,MATCH(A617&amp;"ENTRADA",Movimientos!$R$2:$R$1998,0)),"-")</f>
        <v>-</v>
      </c>
      <c r="E617" s="3" t="str">
        <f>IFERROR(INDEX(Movimientos!$F$2:$F$1998,MATCH(A617&amp;"ENTRADA",Movimientos!$R$2:$R$1998,0)),"-")</f>
        <v>-</v>
      </c>
      <c r="F617" s="3" t="str">
        <f>IFERROR(INDEX(Movimientos!$G$2:$G$1998,MATCH(A617&amp;"ENTRADA",Movimientos!$R$2:$R$1998,0)),"-")</f>
        <v>-</v>
      </c>
      <c r="G617" s="3" t="str">
        <f>IFERROR(INDEX(Movimientos!$L$2:$L$1998,MATCH(A617&amp;"ENTRADA",Movimientos!$R$2:$R$1998,0)),"-")</f>
        <v>-</v>
      </c>
      <c r="H617" s="19" t="str">
        <f>IFERROR(IF(INDEX(Movimientos!$M$2:$M$1998,MATCH(A617&amp;"ENTRADA",Movimientos!$R$2:$R$1998,0))=0,"S/D",INDEX(Movimientos!$M$2:$M$1998,MATCH(A617&amp;"ENTRADA",Movimientos!$R$2:$R$1998,0))),"S/D")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19"/>
        <v>SIN STOCK</v>
      </c>
    </row>
    <row r="618" spans="1:11" ht="14.25">
      <c r="A618" s="18" t="s">
        <v>2761</v>
      </c>
      <c r="B618" s="3" t="str">
        <f>IFERROR(INDEX(Movimientos!$C$2:$C$1998,MATCH(A618&amp;"ENTRADA",Movimientos!$R$2:$R$1998,0)),"-")</f>
        <v>-</v>
      </c>
      <c r="C618" s="3" t="str">
        <f>IFERROR(INDEX(Movimientos!$D$2:$D$1998,MATCH(A618&amp;"ENTRADA",Movimientos!$R$2:$R$1998,0)),"-")</f>
        <v>-</v>
      </c>
      <c r="D618" s="3" t="str">
        <f>IFERROR(INDEX(Movimientos!$E$2:$E$1998,MATCH(A618&amp;"ENTRADA",Movimientos!$R$2:$R$1998,0)),"-")</f>
        <v>-</v>
      </c>
      <c r="E618" s="3" t="str">
        <f>IFERROR(INDEX(Movimientos!$F$2:$F$1998,MATCH(A618&amp;"ENTRADA",Movimientos!$R$2:$R$1998,0)),"-")</f>
        <v>-</v>
      </c>
      <c r="F618" s="3" t="str">
        <f>IFERROR(INDEX(Movimientos!$G$2:$G$1998,MATCH(A618&amp;"ENTRADA",Movimientos!$R$2:$R$1998,0)),"-")</f>
        <v>-</v>
      </c>
      <c r="G618" s="3" t="str">
        <f>IFERROR(INDEX(Movimientos!$L$2:$L$1998,MATCH(A618&amp;"ENTRADA",Movimientos!$R$2:$R$1998,0)),"-")</f>
        <v>-</v>
      </c>
      <c r="H618" s="19" t="str">
        <f>IFERROR(IF(INDEX(Movimientos!$M$2:$M$1998,MATCH(A618&amp;"ENTRADA",Movimientos!$R$2:$R$1998,0))=0,"S/D",INDEX(Movimientos!$M$2:$M$1998,MATCH(A618&amp;"ENTRADA",Movimientos!$R$2:$R$1998,0))),"S/D")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19"/>
        <v>SIN STOCK</v>
      </c>
    </row>
    <row r="619" spans="1:11" ht="14.25">
      <c r="A619" s="18" t="s">
        <v>2762</v>
      </c>
      <c r="B619" s="3" t="str">
        <f>IFERROR(INDEX(Movimientos!$C$2:$C$1998,MATCH(A619&amp;"ENTRADA",Movimientos!$R$2:$R$1998,0)),"-")</f>
        <v>-</v>
      </c>
      <c r="C619" s="3" t="str">
        <f>IFERROR(INDEX(Movimientos!$D$2:$D$1998,MATCH(A619&amp;"ENTRADA",Movimientos!$R$2:$R$1998,0)),"-")</f>
        <v>-</v>
      </c>
      <c r="D619" s="3" t="str">
        <f>IFERROR(INDEX(Movimientos!$E$2:$E$1998,MATCH(A619&amp;"ENTRADA",Movimientos!$R$2:$R$1998,0)),"-")</f>
        <v>-</v>
      </c>
      <c r="E619" s="3" t="str">
        <f>IFERROR(INDEX(Movimientos!$F$2:$F$1998,MATCH(A619&amp;"ENTRADA",Movimientos!$R$2:$R$1998,0)),"-")</f>
        <v>-</v>
      </c>
      <c r="F619" s="3" t="str">
        <f>IFERROR(INDEX(Movimientos!$G$2:$G$1998,MATCH(A619&amp;"ENTRADA",Movimientos!$R$2:$R$1998,0)),"-")</f>
        <v>-</v>
      </c>
      <c r="G619" s="3" t="str">
        <f>IFERROR(INDEX(Movimientos!$L$2:$L$1998,MATCH(A619&amp;"ENTRADA",Movimientos!$R$2:$R$1998,0)),"-")</f>
        <v>-</v>
      </c>
      <c r="H619" s="19" t="str">
        <f>IFERROR(IF(INDEX(Movimientos!$M$2:$M$1998,MATCH(A619&amp;"ENTRADA",Movimientos!$R$2:$R$1998,0))=0,"S/D",INDEX(Movimientos!$M$2:$M$1998,MATCH(A619&amp;"ENTRADA",Movimientos!$R$2:$R$1998,0))),"S/D")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19"/>
        <v>SIN STOCK</v>
      </c>
    </row>
    <row r="620" spans="1:11" ht="14.25">
      <c r="A620" s="18" t="s">
        <v>2763</v>
      </c>
      <c r="B620" s="3" t="str">
        <f>IFERROR(INDEX(Movimientos!$C$2:$C$1998,MATCH(A620&amp;"ENTRADA",Movimientos!$R$2:$R$1998,0)),"-")</f>
        <v>-</v>
      </c>
      <c r="C620" s="3" t="str">
        <f>IFERROR(INDEX(Movimientos!$D$2:$D$1998,MATCH(A620&amp;"ENTRADA",Movimientos!$R$2:$R$1998,0)),"-")</f>
        <v>-</v>
      </c>
      <c r="D620" s="3" t="str">
        <f>IFERROR(INDEX(Movimientos!$E$2:$E$1998,MATCH(A620&amp;"ENTRADA",Movimientos!$R$2:$R$1998,0)),"-")</f>
        <v>-</v>
      </c>
      <c r="E620" s="3" t="str">
        <f>IFERROR(INDEX(Movimientos!$F$2:$F$1998,MATCH(A620&amp;"ENTRADA",Movimientos!$R$2:$R$1998,0)),"-")</f>
        <v>-</v>
      </c>
      <c r="F620" s="3" t="str">
        <f>IFERROR(INDEX(Movimientos!$G$2:$G$1998,MATCH(A620&amp;"ENTRADA",Movimientos!$R$2:$R$1998,0)),"-")</f>
        <v>-</v>
      </c>
      <c r="G620" s="3" t="str">
        <f>IFERROR(INDEX(Movimientos!$L$2:$L$1998,MATCH(A620&amp;"ENTRADA",Movimientos!$R$2:$R$1998,0)),"-")</f>
        <v>-</v>
      </c>
      <c r="H620" s="19" t="str">
        <f>IFERROR(IF(INDEX(Movimientos!$M$2:$M$1998,MATCH(A620&amp;"ENTRADA",Movimientos!$R$2:$R$1998,0))=0,"S/D",INDEX(Movimientos!$M$2:$M$1998,MATCH(A620&amp;"ENTRADA",Movimientos!$R$2:$R$1998,0))),"S/D")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19"/>
        <v>SIN STOCK</v>
      </c>
    </row>
    <row r="621" spans="1:11" ht="14.25">
      <c r="A621" s="18" t="s">
        <v>2764</v>
      </c>
      <c r="B621" s="3" t="str">
        <f>IFERROR(INDEX(Movimientos!$C$2:$C$1998,MATCH(A621&amp;"ENTRADA",Movimientos!$R$2:$R$1998,0)),"-")</f>
        <v>-</v>
      </c>
      <c r="C621" s="3" t="str">
        <f>IFERROR(INDEX(Movimientos!$D$2:$D$1998,MATCH(A621&amp;"ENTRADA",Movimientos!$R$2:$R$1998,0)),"-")</f>
        <v>-</v>
      </c>
      <c r="D621" s="3" t="str">
        <f>IFERROR(INDEX(Movimientos!$E$2:$E$1998,MATCH(A621&amp;"ENTRADA",Movimientos!$R$2:$R$1998,0)),"-")</f>
        <v>-</v>
      </c>
      <c r="E621" s="3" t="str">
        <f>IFERROR(INDEX(Movimientos!$F$2:$F$1998,MATCH(A621&amp;"ENTRADA",Movimientos!$R$2:$R$1998,0)),"-")</f>
        <v>-</v>
      </c>
      <c r="F621" s="3" t="str">
        <f>IFERROR(INDEX(Movimientos!$G$2:$G$1998,MATCH(A621&amp;"ENTRADA",Movimientos!$R$2:$R$1998,0)),"-")</f>
        <v>-</v>
      </c>
      <c r="G621" s="3" t="str">
        <f>IFERROR(INDEX(Movimientos!$L$2:$L$1998,MATCH(A621&amp;"ENTRADA",Movimientos!$R$2:$R$1998,0)),"-")</f>
        <v>-</v>
      </c>
      <c r="H621" s="19" t="str">
        <f>IFERROR(IF(INDEX(Movimientos!$M$2:$M$1998,MATCH(A621&amp;"ENTRADA",Movimientos!$R$2:$R$1998,0))=0,"S/D",INDEX(Movimientos!$M$2:$M$1998,MATCH(A621&amp;"ENTRADA",Movimientos!$R$2:$R$1998,0))),"S/D")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19"/>
        <v>SIN STOCK</v>
      </c>
    </row>
    <row r="622" spans="1:11" ht="14.25">
      <c r="A622" s="18" t="s">
        <v>2765</v>
      </c>
      <c r="B622" s="3" t="str">
        <f>IFERROR(INDEX(Movimientos!$C$2:$C$1998,MATCH(A622&amp;"ENTRADA",Movimientos!$R$2:$R$1998,0)),"-")</f>
        <v>-</v>
      </c>
      <c r="C622" s="3" t="str">
        <f>IFERROR(INDEX(Movimientos!$D$2:$D$1998,MATCH(A622&amp;"ENTRADA",Movimientos!$R$2:$R$1998,0)),"-")</f>
        <v>-</v>
      </c>
      <c r="D622" s="3" t="str">
        <f>IFERROR(INDEX(Movimientos!$E$2:$E$1998,MATCH(A622&amp;"ENTRADA",Movimientos!$R$2:$R$1998,0)),"-")</f>
        <v>-</v>
      </c>
      <c r="E622" s="3" t="str">
        <f>IFERROR(INDEX(Movimientos!$F$2:$F$1998,MATCH(A622&amp;"ENTRADA",Movimientos!$R$2:$R$1998,0)),"-")</f>
        <v>-</v>
      </c>
      <c r="F622" s="3" t="str">
        <f>IFERROR(INDEX(Movimientos!$G$2:$G$1998,MATCH(A622&amp;"ENTRADA",Movimientos!$R$2:$R$1998,0)),"-")</f>
        <v>-</v>
      </c>
      <c r="G622" s="3" t="str">
        <f>IFERROR(INDEX(Movimientos!$L$2:$L$1998,MATCH(A622&amp;"ENTRADA",Movimientos!$R$2:$R$1998,0)),"-")</f>
        <v>-</v>
      </c>
      <c r="H622" s="19" t="str">
        <f>IFERROR(IF(INDEX(Movimientos!$M$2:$M$1998,MATCH(A622&amp;"ENTRADA",Movimientos!$R$2:$R$1998,0))=0,"S/D",INDEX(Movimientos!$M$2:$M$1998,MATCH(A622&amp;"ENTRADA",Movimientos!$R$2:$R$1998,0))),"S/D")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19"/>
        <v>SIN STOCK</v>
      </c>
    </row>
    <row r="623" spans="1:11" ht="14.25">
      <c r="A623" s="18" t="s">
        <v>2766</v>
      </c>
      <c r="B623" s="3" t="str">
        <f>IFERROR(INDEX(Movimientos!$C$2:$C$1998,MATCH(A623&amp;"ENTRADA",Movimientos!$R$2:$R$1998,0)),"-")</f>
        <v>-</v>
      </c>
      <c r="C623" s="3" t="str">
        <f>IFERROR(INDEX(Movimientos!$D$2:$D$1998,MATCH(A623&amp;"ENTRADA",Movimientos!$R$2:$R$1998,0)),"-")</f>
        <v>-</v>
      </c>
      <c r="D623" s="3" t="str">
        <f>IFERROR(INDEX(Movimientos!$E$2:$E$1998,MATCH(A623&amp;"ENTRADA",Movimientos!$R$2:$R$1998,0)),"-")</f>
        <v>-</v>
      </c>
      <c r="E623" s="3" t="str">
        <f>IFERROR(INDEX(Movimientos!$F$2:$F$1998,MATCH(A623&amp;"ENTRADA",Movimientos!$R$2:$R$1998,0)),"-")</f>
        <v>-</v>
      </c>
      <c r="F623" s="3" t="str">
        <f>IFERROR(INDEX(Movimientos!$G$2:$G$1998,MATCH(A623&amp;"ENTRADA",Movimientos!$R$2:$R$1998,0)),"-")</f>
        <v>-</v>
      </c>
      <c r="G623" s="3" t="str">
        <f>IFERROR(INDEX(Movimientos!$L$2:$L$1998,MATCH(A623&amp;"ENTRADA",Movimientos!$R$2:$R$1998,0)),"-")</f>
        <v>-</v>
      </c>
      <c r="H623" s="19" t="str">
        <f>IFERROR(IF(INDEX(Movimientos!$M$2:$M$1998,MATCH(A623&amp;"ENTRADA",Movimientos!$R$2:$R$1998,0))=0,"S/D",INDEX(Movimientos!$M$2:$M$1998,MATCH(A623&amp;"ENTRADA",Movimientos!$R$2:$R$1998,0))),"S/D")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19"/>
        <v>SIN STOCK</v>
      </c>
    </row>
    <row r="624" spans="1:11" ht="14.25">
      <c r="A624" s="18" t="s">
        <v>2767</v>
      </c>
      <c r="B624" s="3" t="str">
        <f>IFERROR(INDEX(Movimientos!$C$2:$C$1998,MATCH(A624&amp;"ENTRADA",Movimientos!$R$2:$R$1998,0)),"-")</f>
        <v>-</v>
      </c>
      <c r="C624" s="3" t="str">
        <f>IFERROR(INDEX(Movimientos!$D$2:$D$1998,MATCH(A624&amp;"ENTRADA",Movimientos!$R$2:$R$1998,0)),"-")</f>
        <v>-</v>
      </c>
      <c r="D624" s="3" t="str">
        <f>IFERROR(INDEX(Movimientos!$E$2:$E$1998,MATCH(A624&amp;"ENTRADA",Movimientos!$R$2:$R$1998,0)),"-")</f>
        <v>-</v>
      </c>
      <c r="E624" s="3" t="str">
        <f>IFERROR(INDEX(Movimientos!$F$2:$F$1998,MATCH(A624&amp;"ENTRADA",Movimientos!$R$2:$R$1998,0)),"-")</f>
        <v>-</v>
      </c>
      <c r="F624" s="3" t="str">
        <f>IFERROR(INDEX(Movimientos!$G$2:$G$1998,MATCH(A624&amp;"ENTRADA",Movimientos!$R$2:$R$1998,0)),"-")</f>
        <v>-</v>
      </c>
      <c r="G624" s="3" t="str">
        <f>IFERROR(INDEX(Movimientos!$L$2:$L$1998,MATCH(A624&amp;"ENTRADA",Movimientos!$R$2:$R$1998,0)),"-")</f>
        <v>-</v>
      </c>
      <c r="H624" s="19" t="str">
        <f>IFERROR(IF(INDEX(Movimientos!$M$2:$M$1998,MATCH(A624&amp;"ENTRADA",Movimientos!$R$2:$R$1998,0))=0,"S/D",INDEX(Movimientos!$M$2:$M$1998,MATCH(A624&amp;"ENTRADA",Movimientos!$R$2:$R$1998,0))),"S/D")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19"/>
        <v>SIN STOCK</v>
      </c>
    </row>
    <row r="625" spans="1:11" ht="14.25">
      <c r="A625" s="18" t="s">
        <v>2768</v>
      </c>
      <c r="B625" s="3" t="str">
        <f>IFERROR(INDEX(Movimientos!$C$2:$C$1998,MATCH(A625&amp;"ENTRADA",Movimientos!$R$2:$R$1998,0)),"-")</f>
        <v>-</v>
      </c>
      <c r="C625" s="3" t="str">
        <f>IFERROR(INDEX(Movimientos!$D$2:$D$1998,MATCH(A625&amp;"ENTRADA",Movimientos!$R$2:$R$1998,0)),"-")</f>
        <v>-</v>
      </c>
      <c r="D625" s="3" t="str">
        <f>IFERROR(INDEX(Movimientos!$E$2:$E$1998,MATCH(A625&amp;"ENTRADA",Movimientos!$R$2:$R$1998,0)),"-")</f>
        <v>-</v>
      </c>
      <c r="E625" s="3" t="str">
        <f>IFERROR(INDEX(Movimientos!$F$2:$F$1998,MATCH(A625&amp;"ENTRADA",Movimientos!$R$2:$R$1998,0)),"-")</f>
        <v>-</v>
      </c>
      <c r="F625" s="3" t="str">
        <f>IFERROR(INDEX(Movimientos!$G$2:$G$1998,MATCH(A625&amp;"ENTRADA",Movimientos!$R$2:$R$1998,0)),"-")</f>
        <v>-</v>
      </c>
      <c r="G625" s="3" t="str">
        <f>IFERROR(INDEX(Movimientos!$L$2:$L$1998,MATCH(A625&amp;"ENTRADA",Movimientos!$R$2:$R$1998,0)),"-")</f>
        <v>-</v>
      </c>
      <c r="H625" s="19" t="str">
        <f>IFERROR(IF(INDEX(Movimientos!$M$2:$M$1998,MATCH(A625&amp;"ENTRADA",Movimientos!$R$2:$R$1998,0))=0,"S/D",INDEX(Movimientos!$M$2:$M$1998,MATCH(A625&amp;"ENTRADA",Movimientos!$R$2:$R$1998,0))),"S/D")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19"/>
        <v>SIN STOCK</v>
      </c>
    </row>
    <row r="626" spans="1:11" ht="14.25">
      <c r="A626" s="18" t="s">
        <v>2769</v>
      </c>
      <c r="B626" s="3" t="str">
        <f>IFERROR(INDEX(Movimientos!$C$2:$C$1998,MATCH(A626&amp;"ENTRADA",Movimientos!$R$2:$R$1998,0)),"-")</f>
        <v>-</v>
      </c>
      <c r="C626" s="3" t="str">
        <f>IFERROR(INDEX(Movimientos!$D$2:$D$1998,MATCH(A626&amp;"ENTRADA",Movimientos!$R$2:$R$1998,0)),"-")</f>
        <v>-</v>
      </c>
      <c r="D626" s="3" t="str">
        <f>IFERROR(INDEX(Movimientos!$E$2:$E$1998,MATCH(A626&amp;"ENTRADA",Movimientos!$R$2:$R$1998,0)),"-")</f>
        <v>-</v>
      </c>
      <c r="E626" s="3" t="str">
        <f>IFERROR(INDEX(Movimientos!$F$2:$F$1998,MATCH(A626&amp;"ENTRADA",Movimientos!$R$2:$R$1998,0)),"-")</f>
        <v>-</v>
      </c>
      <c r="F626" s="3" t="str">
        <f>IFERROR(INDEX(Movimientos!$G$2:$G$1998,MATCH(A626&amp;"ENTRADA",Movimientos!$R$2:$R$1998,0)),"-")</f>
        <v>-</v>
      </c>
      <c r="G626" s="3" t="str">
        <f>IFERROR(INDEX(Movimientos!$L$2:$L$1998,MATCH(A626&amp;"ENTRADA",Movimientos!$R$2:$R$1998,0)),"-")</f>
        <v>-</v>
      </c>
      <c r="H626" s="19" t="str">
        <f>IFERROR(IF(INDEX(Movimientos!$M$2:$M$1998,MATCH(A626&amp;"ENTRADA",Movimientos!$R$2:$R$1998,0))=0,"S/D",INDEX(Movimientos!$M$2:$M$1998,MATCH(A626&amp;"ENTRADA",Movimientos!$R$2:$R$1998,0))),"S/D")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19"/>
        <v>SIN STOCK</v>
      </c>
    </row>
    <row r="627" spans="1:11" ht="14.25">
      <c r="A627" s="18" t="s">
        <v>2770</v>
      </c>
      <c r="B627" s="3" t="str">
        <f>IFERROR(INDEX(Movimientos!$C$2:$C$1998,MATCH(A627&amp;"ENTRADA",Movimientos!$R$2:$R$1998,0)),"-")</f>
        <v>-</v>
      </c>
      <c r="C627" s="3" t="str">
        <f>IFERROR(INDEX(Movimientos!$D$2:$D$1998,MATCH(A627&amp;"ENTRADA",Movimientos!$R$2:$R$1998,0)),"-")</f>
        <v>-</v>
      </c>
      <c r="D627" s="3" t="str">
        <f>IFERROR(INDEX(Movimientos!$E$2:$E$1998,MATCH(A627&amp;"ENTRADA",Movimientos!$R$2:$R$1998,0)),"-")</f>
        <v>-</v>
      </c>
      <c r="E627" s="3" t="str">
        <f>IFERROR(INDEX(Movimientos!$F$2:$F$1998,MATCH(A627&amp;"ENTRADA",Movimientos!$R$2:$R$1998,0)),"-")</f>
        <v>-</v>
      </c>
      <c r="F627" s="3" t="str">
        <f>IFERROR(INDEX(Movimientos!$G$2:$G$1998,MATCH(A627&amp;"ENTRADA",Movimientos!$R$2:$R$1998,0)),"-")</f>
        <v>-</v>
      </c>
      <c r="G627" s="3" t="str">
        <f>IFERROR(INDEX(Movimientos!$L$2:$L$1998,MATCH(A627&amp;"ENTRADA",Movimientos!$R$2:$R$1998,0)),"-")</f>
        <v>-</v>
      </c>
      <c r="H627" s="19" t="str">
        <f>IFERROR(IF(INDEX(Movimientos!$M$2:$M$1998,MATCH(A627&amp;"ENTRADA",Movimientos!$R$2:$R$1998,0))=0,"S/D",INDEX(Movimientos!$M$2:$M$1998,MATCH(A627&amp;"ENTRADA",Movimientos!$R$2:$R$1998,0))),"S/D")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19"/>
        <v>SIN STOCK</v>
      </c>
    </row>
    <row r="628" spans="1:11" ht="14.25">
      <c r="A628" s="18" t="s">
        <v>2771</v>
      </c>
      <c r="B628" s="3" t="str">
        <f>IFERROR(INDEX(Movimientos!$C$2:$C$1998,MATCH(A628&amp;"ENTRADA",Movimientos!$R$2:$R$1998,0)),"-")</f>
        <v>-</v>
      </c>
      <c r="C628" s="3" t="str">
        <f>IFERROR(INDEX(Movimientos!$D$2:$D$1998,MATCH(A628&amp;"ENTRADA",Movimientos!$R$2:$R$1998,0)),"-")</f>
        <v>-</v>
      </c>
      <c r="D628" s="3" t="str">
        <f>IFERROR(INDEX(Movimientos!$E$2:$E$1998,MATCH(A628&amp;"ENTRADA",Movimientos!$R$2:$R$1998,0)),"-")</f>
        <v>-</v>
      </c>
      <c r="E628" s="3" t="str">
        <f>IFERROR(INDEX(Movimientos!$F$2:$F$1998,MATCH(A628&amp;"ENTRADA",Movimientos!$R$2:$R$1998,0)),"-")</f>
        <v>-</v>
      </c>
      <c r="F628" s="3" t="str">
        <f>IFERROR(INDEX(Movimientos!$G$2:$G$1998,MATCH(A628&amp;"ENTRADA",Movimientos!$R$2:$R$1998,0)),"-")</f>
        <v>-</v>
      </c>
      <c r="G628" s="3" t="str">
        <f>IFERROR(INDEX(Movimientos!$L$2:$L$1998,MATCH(A628&amp;"ENTRADA",Movimientos!$R$2:$R$1998,0)),"-")</f>
        <v>-</v>
      </c>
      <c r="H628" s="19" t="str">
        <f>IFERROR(IF(INDEX(Movimientos!$M$2:$M$1998,MATCH(A628&amp;"ENTRADA",Movimientos!$R$2:$R$1998,0))=0,"S/D",INDEX(Movimientos!$M$2:$M$1998,MATCH(A628&amp;"ENTRADA",Movimientos!$R$2:$R$1998,0))),"S/D")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19"/>
        <v>SIN STOCK</v>
      </c>
    </row>
    <row r="629" spans="1:11" ht="14.25">
      <c r="A629" s="18" t="s">
        <v>2772</v>
      </c>
      <c r="B629" s="3" t="str">
        <f>IFERROR(INDEX(Movimientos!$C$2:$C$1998,MATCH(A629&amp;"ENTRADA",Movimientos!$R$2:$R$1998,0)),"-")</f>
        <v>-</v>
      </c>
      <c r="C629" s="3" t="str">
        <f>IFERROR(INDEX(Movimientos!$D$2:$D$1998,MATCH(A629&amp;"ENTRADA",Movimientos!$R$2:$R$1998,0)),"-")</f>
        <v>-</v>
      </c>
      <c r="D629" s="3" t="str">
        <f>IFERROR(INDEX(Movimientos!$E$2:$E$1998,MATCH(A629&amp;"ENTRADA",Movimientos!$R$2:$R$1998,0)),"-")</f>
        <v>-</v>
      </c>
      <c r="E629" s="3" t="str">
        <f>IFERROR(INDEX(Movimientos!$F$2:$F$1998,MATCH(A629&amp;"ENTRADA",Movimientos!$R$2:$R$1998,0)),"-")</f>
        <v>-</v>
      </c>
      <c r="F629" s="3" t="str">
        <f>IFERROR(INDEX(Movimientos!$G$2:$G$1998,MATCH(A629&amp;"ENTRADA",Movimientos!$R$2:$R$1998,0)),"-")</f>
        <v>-</v>
      </c>
      <c r="G629" s="3" t="str">
        <f>IFERROR(INDEX(Movimientos!$L$2:$L$1998,MATCH(A629&amp;"ENTRADA",Movimientos!$R$2:$R$1998,0)),"-")</f>
        <v>-</v>
      </c>
      <c r="H629" s="19" t="str">
        <f>IFERROR(IF(INDEX(Movimientos!$M$2:$M$1998,MATCH(A629&amp;"ENTRADA",Movimientos!$R$2:$R$1998,0))=0,"S/D",INDEX(Movimientos!$M$2:$M$1998,MATCH(A629&amp;"ENTRADA",Movimientos!$R$2:$R$1998,0))),"S/D")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19"/>
        <v>SIN STOCK</v>
      </c>
    </row>
    <row r="630" spans="1:11" ht="14.25">
      <c r="A630" s="18" t="s">
        <v>2773</v>
      </c>
      <c r="B630" s="3" t="str">
        <f>IFERROR(INDEX(Movimientos!$C$2:$C$1998,MATCH(A630&amp;"ENTRADA",Movimientos!$R$2:$R$1998,0)),"-")</f>
        <v>-</v>
      </c>
      <c r="C630" s="3" t="str">
        <f>IFERROR(INDEX(Movimientos!$D$2:$D$1998,MATCH(A630&amp;"ENTRADA",Movimientos!$R$2:$R$1998,0)),"-")</f>
        <v>-</v>
      </c>
      <c r="D630" s="3" t="str">
        <f>IFERROR(INDEX(Movimientos!$E$2:$E$1998,MATCH(A630&amp;"ENTRADA",Movimientos!$R$2:$R$1998,0)),"-")</f>
        <v>-</v>
      </c>
      <c r="E630" s="3" t="str">
        <f>IFERROR(INDEX(Movimientos!$F$2:$F$1998,MATCH(A630&amp;"ENTRADA",Movimientos!$R$2:$R$1998,0)),"-")</f>
        <v>-</v>
      </c>
      <c r="F630" s="3" t="str">
        <f>IFERROR(INDEX(Movimientos!$G$2:$G$1998,MATCH(A630&amp;"ENTRADA",Movimientos!$R$2:$R$1998,0)),"-")</f>
        <v>-</v>
      </c>
      <c r="G630" s="3" t="str">
        <f>IFERROR(INDEX(Movimientos!$L$2:$L$1998,MATCH(A630&amp;"ENTRADA",Movimientos!$R$2:$R$1998,0)),"-")</f>
        <v>-</v>
      </c>
      <c r="H630" s="19" t="str">
        <f>IFERROR(IF(INDEX(Movimientos!$M$2:$M$1998,MATCH(A630&amp;"ENTRADA",Movimientos!$R$2:$R$1998,0))=0,"S/D",INDEX(Movimientos!$M$2:$M$1998,MATCH(A630&amp;"ENTRADA",Movimientos!$R$2:$R$1998,0))),"S/D")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19"/>
        <v>SIN STOCK</v>
      </c>
    </row>
    <row r="631" spans="1:11" ht="14.25">
      <c r="A631" s="18" t="s">
        <v>2774</v>
      </c>
      <c r="B631" s="3" t="str">
        <f>IFERROR(INDEX(Movimientos!$C$2:$C$1998,MATCH(A631&amp;"ENTRADA",Movimientos!$R$2:$R$1998,0)),"-")</f>
        <v>-</v>
      </c>
      <c r="C631" s="3" t="str">
        <f>IFERROR(INDEX(Movimientos!$D$2:$D$1998,MATCH(A631&amp;"ENTRADA",Movimientos!$R$2:$R$1998,0)),"-")</f>
        <v>-</v>
      </c>
      <c r="D631" s="3" t="str">
        <f>IFERROR(INDEX(Movimientos!$E$2:$E$1998,MATCH(A631&amp;"ENTRADA",Movimientos!$R$2:$R$1998,0)),"-")</f>
        <v>-</v>
      </c>
      <c r="E631" s="3" t="str">
        <f>IFERROR(INDEX(Movimientos!$F$2:$F$1998,MATCH(A631&amp;"ENTRADA",Movimientos!$R$2:$R$1998,0)),"-")</f>
        <v>-</v>
      </c>
      <c r="F631" s="3" t="str">
        <f>IFERROR(INDEX(Movimientos!$G$2:$G$1998,MATCH(A631&amp;"ENTRADA",Movimientos!$R$2:$R$1998,0)),"-")</f>
        <v>-</v>
      </c>
      <c r="G631" s="3" t="str">
        <f>IFERROR(INDEX(Movimientos!$L$2:$L$1998,MATCH(A631&amp;"ENTRADA",Movimientos!$R$2:$R$1998,0)),"-")</f>
        <v>-</v>
      </c>
      <c r="H631" s="19" t="str">
        <f>IFERROR(IF(INDEX(Movimientos!$M$2:$M$1998,MATCH(A631&amp;"ENTRADA",Movimientos!$R$2:$R$1998,0))=0,"S/D",INDEX(Movimientos!$M$2:$M$1998,MATCH(A631&amp;"ENTRADA",Movimientos!$R$2:$R$1998,0))),"S/D")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19"/>
        <v>SIN STOCK</v>
      </c>
    </row>
    <row r="632" spans="1:11" ht="14.25">
      <c r="A632" s="18" t="s">
        <v>2775</v>
      </c>
      <c r="B632" s="3" t="str">
        <f>IFERROR(INDEX(Movimientos!$C$2:$C$1998,MATCH(A632&amp;"ENTRADA",Movimientos!$R$2:$R$1998,0)),"-")</f>
        <v>-</v>
      </c>
      <c r="C632" s="3" t="str">
        <f>IFERROR(INDEX(Movimientos!$D$2:$D$1998,MATCH(A632&amp;"ENTRADA",Movimientos!$R$2:$R$1998,0)),"-")</f>
        <v>-</v>
      </c>
      <c r="D632" s="3" t="str">
        <f>IFERROR(INDEX(Movimientos!$E$2:$E$1998,MATCH(A632&amp;"ENTRADA",Movimientos!$R$2:$R$1998,0)),"-")</f>
        <v>-</v>
      </c>
      <c r="E632" s="3" t="str">
        <f>IFERROR(INDEX(Movimientos!$F$2:$F$1998,MATCH(A632&amp;"ENTRADA",Movimientos!$R$2:$R$1998,0)),"-")</f>
        <v>-</v>
      </c>
      <c r="F632" s="3" t="str">
        <f>IFERROR(INDEX(Movimientos!$G$2:$G$1998,MATCH(A632&amp;"ENTRADA",Movimientos!$R$2:$R$1998,0)),"-")</f>
        <v>-</v>
      </c>
      <c r="G632" s="3" t="str">
        <f>IFERROR(INDEX(Movimientos!$L$2:$L$1998,MATCH(A632&amp;"ENTRADA",Movimientos!$R$2:$R$1998,0)),"-")</f>
        <v>-</v>
      </c>
      <c r="H632" s="19" t="str">
        <f>IFERROR(IF(INDEX(Movimientos!$M$2:$M$1998,MATCH(A632&amp;"ENTRADA",Movimientos!$R$2:$R$1998,0))=0,"S/D",INDEX(Movimientos!$M$2:$M$1998,MATCH(A632&amp;"ENTRADA",Movimientos!$R$2:$R$1998,0))),"S/D")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19"/>
        <v>SIN STOCK</v>
      </c>
    </row>
    <row r="633" spans="1:11" ht="14.25">
      <c r="A633" s="18" t="s">
        <v>2776</v>
      </c>
      <c r="B633" s="3" t="str">
        <f>IFERROR(INDEX(Movimientos!$C$2:$C$1998,MATCH(A633&amp;"ENTRADA",Movimientos!$R$2:$R$1998,0)),"-")</f>
        <v>-</v>
      </c>
      <c r="C633" s="3" t="str">
        <f>IFERROR(INDEX(Movimientos!$D$2:$D$1998,MATCH(A633&amp;"ENTRADA",Movimientos!$R$2:$R$1998,0)),"-")</f>
        <v>-</v>
      </c>
      <c r="D633" s="3" t="str">
        <f>IFERROR(INDEX(Movimientos!$E$2:$E$1998,MATCH(A633&amp;"ENTRADA",Movimientos!$R$2:$R$1998,0)),"-")</f>
        <v>-</v>
      </c>
      <c r="E633" s="3" t="str">
        <f>IFERROR(INDEX(Movimientos!$F$2:$F$1998,MATCH(A633&amp;"ENTRADA",Movimientos!$R$2:$R$1998,0)),"-")</f>
        <v>-</v>
      </c>
      <c r="F633" s="3" t="str">
        <f>IFERROR(INDEX(Movimientos!$G$2:$G$1998,MATCH(A633&amp;"ENTRADA",Movimientos!$R$2:$R$1998,0)),"-")</f>
        <v>-</v>
      </c>
      <c r="G633" s="3" t="str">
        <f>IFERROR(INDEX(Movimientos!$L$2:$L$1998,MATCH(A633&amp;"ENTRADA",Movimientos!$R$2:$R$1998,0)),"-")</f>
        <v>-</v>
      </c>
      <c r="H633" s="19" t="str">
        <f>IFERROR(IF(INDEX(Movimientos!$M$2:$M$1998,MATCH(A633&amp;"ENTRADA",Movimientos!$R$2:$R$1998,0))=0,"S/D",INDEX(Movimientos!$M$2:$M$1998,MATCH(A633&amp;"ENTRADA",Movimientos!$R$2:$R$1998,0))),"S/D")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19"/>
        <v>SIN STOCK</v>
      </c>
    </row>
    <row r="634" spans="1:11" ht="14.25">
      <c r="A634" s="18" t="s">
        <v>2777</v>
      </c>
      <c r="B634" s="3" t="str">
        <f>IFERROR(INDEX(Movimientos!$C$2:$C$1998,MATCH(A634&amp;"ENTRADA",Movimientos!$R$2:$R$1998,0)),"-")</f>
        <v>-</v>
      </c>
      <c r="C634" s="3" t="str">
        <f>IFERROR(INDEX(Movimientos!$D$2:$D$1998,MATCH(A634&amp;"ENTRADA",Movimientos!$R$2:$R$1998,0)),"-")</f>
        <v>-</v>
      </c>
      <c r="D634" s="3" t="str">
        <f>IFERROR(INDEX(Movimientos!$E$2:$E$1998,MATCH(A634&amp;"ENTRADA",Movimientos!$R$2:$R$1998,0)),"-")</f>
        <v>-</v>
      </c>
      <c r="E634" s="3" t="str">
        <f>IFERROR(INDEX(Movimientos!$F$2:$F$1998,MATCH(A634&amp;"ENTRADA",Movimientos!$R$2:$R$1998,0)),"-")</f>
        <v>-</v>
      </c>
      <c r="F634" s="3" t="str">
        <f>IFERROR(INDEX(Movimientos!$G$2:$G$1998,MATCH(A634&amp;"ENTRADA",Movimientos!$R$2:$R$1998,0)),"-")</f>
        <v>-</v>
      </c>
      <c r="G634" s="3" t="str">
        <f>IFERROR(INDEX(Movimientos!$L$2:$L$1998,MATCH(A634&amp;"ENTRADA",Movimientos!$R$2:$R$1998,0)),"-")</f>
        <v>-</v>
      </c>
      <c r="H634" s="19" t="str">
        <f>IFERROR(IF(INDEX(Movimientos!$M$2:$M$1998,MATCH(A634&amp;"ENTRADA",Movimientos!$R$2:$R$1998,0))=0,"S/D",INDEX(Movimientos!$M$2:$M$1998,MATCH(A634&amp;"ENTRADA",Movimientos!$R$2:$R$1998,0))),"S/D")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19"/>
        <v>SIN STOCK</v>
      </c>
    </row>
    <row r="635" spans="1:11" ht="14.25">
      <c r="A635" s="18" t="s">
        <v>2778</v>
      </c>
      <c r="B635" s="3" t="str">
        <f>IFERROR(INDEX(Movimientos!$C$2:$C$1998,MATCH(A635&amp;"ENTRADA",Movimientos!$R$2:$R$1998,0)),"-")</f>
        <v>-</v>
      </c>
      <c r="C635" s="3" t="str">
        <f>IFERROR(INDEX(Movimientos!$D$2:$D$1998,MATCH(A635&amp;"ENTRADA",Movimientos!$R$2:$R$1998,0)),"-")</f>
        <v>-</v>
      </c>
      <c r="D635" s="3" t="str">
        <f>IFERROR(INDEX(Movimientos!$E$2:$E$1998,MATCH(A635&amp;"ENTRADA",Movimientos!$R$2:$R$1998,0)),"-")</f>
        <v>-</v>
      </c>
      <c r="E635" s="3" t="str">
        <f>IFERROR(INDEX(Movimientos!$F$2:$F$1998,MATCH(A635&amp;"ENTRADA",Movimientos!$R$2:$R$1998,0)),"-")</f>
        <v>-</v>
      </c>
      <c r="F635" s="3" t="str">
        <f>IFERROR(INDEX(Movimientos!$G$2:$G$1998,MATCH(A635&amp;"ENTRADA",Movimientos!$R$2:$R$1998,0)),"-")</f>
        <v>-</v>
      </c>
      <c r="G635" s="3" t="str">
        <f>IFERROR(INDEX(Movimientos!$L$2:$L$1998,MATCH(A635&amp;"ENTRADA",Movimientos!$R$2:$R$1998,0)),"-")</f>
        <v>-</v>
      </c>
      <c r="H635" s="19" t="str">
        <f>IFERROR(IF(INDEX(Movimientos!$M$2:$M$1998,MATCH(A635&amp;"ENTRADA",Movimientos!$R$2:$R$1998,0))=0,"S/D",INDEX(Movimientos!$M$2:$M$1998,MATCH(A635&amp;"ENTRADA",Movimientos!$R$2:$R$1998,0))),"S/D")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19"/>
        <v>SIN STOCK</v>
      </c>
    </row>
    <row r="636" spans="1:11" ht="14.25">
      <c r="A636" s="18" t="s">
        <v>2779</v>
      </c>
      <c r="B636" s="3" t="str">
        <f>IFERROR(INDEX(Movimientos!$C$2:$C$1998,MATCH(A636&amp;"ENTRADA",Movimientos!$R$2:$R$1998,0)),"-")</f>
        <v>-</v>
      </c>
      <c r="C636" s="3" t="str">
        <f>IFERROR(INDEX(Movimientos!$D$2:$D$1998,MATCH(A636&amp;"ENTRADA",Movimientos!$R$2:$R$1998,0)),"-")</f>
        <v>-</v>
      </c>
      <c r="D636" s="3" t="str">
        <f>IFERROR(INDEX(Movimientos!$E$2:$E$1998,MATCH(A636&amp;"ENTRADA",Movimientos!$R$2:$R$1998,0)),"-")</f>
        <v>-</v>
      </c>
      <c r="E636" s="3" t="str">
        <f>IFERROR(INDEX(Movimientos!$F$2:$F$1998,MATCH(A636&amp;"ENTRADA",Movimientos!$R$2:$R$1998,0)),"-")</f>
        <v>-</v>
      </c>
      <c r="F636" s="3" t="str">
        <f>IFERROR(INDEX(Movimientos!$G$2:$G$1998,MATCH(A636&amp;"ENTRADA",Movimientos!$R$2:$R$1998,0)),"-")</f>
        <v>-</v>
      </c>
      <c r="G636" s="3" t="str">
        <f>IFERROR(INDEX(Movimientos!$L$2:$L$1998,MATCH(A636&amp;"ENTRADA",Movimientos!$R$2:$R$1998,0)),"-")</f>
        <v>-</v>
      </c>
      <c r="H636" s="19" t="str">
        <f>IFERROR(IF(INDEX(Movimientos!$M$2:$M$1998,MATCH(A636&amp;"ENTRADA",Movimientos!$R$2:$R$1998,0))=0,"S/D",INDEX(Movimientos!$M$2:$M$1998,MATCH(A636&amp;"ENTRADA",Movimientos!$R$2:$R$1998,0))),"S/D")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19"/>
        <v>SIN STOCK</v>
      </c>
    </row>
    <row r="637" spans="1:11" ht="14.25">
      <c r="A637" s="18" t="s">
        <v>2780</v>
      </c>
      <c r="B637" s="3" t="str">
        <f>IFERROR(INDEX(Movimientos!$C$2:$C$1998,MATCH(A637&amp;"ENTRADA",Movimientos!$R$2:$R$1998,0)),"-")</f>
        <v>-</v>
      </c>
      <c r="C637" s="3" t="str">
        <f>IFERROR(INDEX(Movimientos!$D$2:$D$1998,MATCH(A637&amp;"ENTRADA",Movimientos!$R$2:$R$1998,0)),"-")</f>
        <v>-</v>
      </c>
      <c r="D637" s="3" t="str">
        <f>IFERROR(INDEX(Movimientos!$E$2:$E$1998,MATCH(A637&amp;"ENTRADA",Movimientos!$R$2:$R$1998,0)),"-")</f>
        <v>-</v>
      </c>
      <c r="E637" s="3" t="str">
        <f>IFERROR(INDEX(Movimientos!$F$2:$F$1998,MATCH(A637&amp;"ENTRADA",Movimientos!$R$2:$R$1998,0)),"-")</f>
        <v>-</v>
      </c>
      <c r="F637" s="3" t="str">
        <f>IFERROR(INDEX(Movimientos!$G$2:$G$1998,MATCH(A637&amp;"ENTRADA",Movimientos!$R$2:$R$1998,0)),"-")</f>
        <v>-</v>
      </c>
      <c r="G637" s="3" t="str">
        <f>IFERROR(INDEX(Movimientos!$L$2:$L$1998,MATCH(A637&amp;"ENTRADA",Movimientos!$R$2:$R$1998,0)),"-")</f>
        <v>-</v>
      </c>
      <c r="H637" s="19" t="str">
        <f>IFERROR(IF(INDEX(Movimientos!$M$2:$M$1998,MATCH(A637&amp;"ENTRADA",Movimientos!$R$2:$R$1998,0))=0,"S/D",INDEX(Movimientos!$M$2:$M$1998,MATCH(A637&amp;"ENTRADA",Movimientos!$R$2:$R$1998,0))),"S/D")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19"/>
        <v>SIN STOCK</v>
      </c>
    </row>
    <row r="638" spans="1:11" ht="14.25">
      <c r="A638" s="18" t="s">
        <v>2781</v>
      </c>
      <c r="B638" s="3" t="str">
        <f>IFERROR(INDEX(Movimientos!$C$2:$C$1998,MATCH(A638&amp;"ENTRADA",Movimientos!$R$2:$R$1998,0)),"-")</f>
        <v>-</v>
      </c>
      <c r="C638" s="3" t="str">
        <f>IFERROR(INDEX(Movimientos!$D$2:$D$1998,MATCH(A638&amp;"ENTRADA",Movimientos!$R$2:$R$1998,0)),"-")</f>
        <v>-</v>
      </c>
      <c r="D638" s="3" t="str">
        <f>IFERROR(INDEX(Movimientos!$E$2:$E$1998,MATCH(A638&amp;"ENTRADA",Movimientos!$R$2:$R$1998,0)),"-")</f>
        <v>-</v>
      </c>
      <c r="E638" s="3" t="str">
        <f>IFERROR(INDEX(Movimientos!$F$2:$F$1998,MATCH(A638&amp;"ENTRADA",Movimientos!$R$2:$R$1998,0)),"-")</f>
        <v>-</v>
      </c>
      <c r="F638" s="3" t="str">
        <f>IFERROR(INDEX(Movimientos!$G$2:$G$1998,MATCH(A638&amp;"ENTRADA",Movimientos!$R$2:$R$1998,0)),"-")</f>
        <v>-</v>
      </c>
      <c r="G638" s="3" t="str">
        <f>IFERROR(INDEX(Movimientos!$L$2:$L$1998,MATCH(A638&amp;"ENTRADA",Movimientos!$R$2:$R$1998,0)),"-")</f>
        <v>-</v>
      </c>
      <c r="H638" s="19" t="str">
        <f>IFERROR(IF(INDEX(Movimientos!$M$2:$M$1998,MATCH(A638&amp;"ENTRADA",Movimientos!$R$2:$R$1998,0))=0,"S/D",INDEX(Movimientos!$M$2:$M$1998,MATCH(A638&amp;"ENTRADA",Movimientos!$R$2:$R$1998,0))),"S/D")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19"/>
        <v>SIN STOCK</v>
      </c>
    </row>
    <row r="639" spans="1:11" ht="14.25">
      <c r="A639" s="18" t="s">
        <v>2782</v>
      </c>
      <c r="B639" s="3" t="str">
        <f>IFERROR(INDEX(Movimientos!$C$2:$C$1998,MATCH(A639&amp;"ENTRADA",Movimientos!$R$2:$R$1998,0)),"-")</f>
        <v>-</v>
      </c>
      <c r="C639" s="3" t="str">
        <f>IFERROR(INDEX(Movimientos!$D$2:$D$1998,MATCH(A639&amp;"ENTRADA",Movimientos!$R$2:$R$1998,0)),"-")</f>
        <v>-</v>
      </c>
      <c r="D639" s="3" t="str">
        <f>IFERROR(INDEX(Movimientos!$E$2:$E$1998,MATCH(A639&amp;"ENTRADA",Movimientos!$R$2:$R$1998,0)),"-")</f>
        <v>-</v>
      </c>
      <c r="E639" s="3" t="str">
        <f>IFERROR(INDEX(Movimientos!$F$2:$F$1998,MATCH(A639&amp;"ENTRADA",Movimientos!$R$2:$R$1998,0)),"-")</f>
        <v>-</v>
      </c>
      <c r="F639" s="3" t="str">
        <f>IFERROR(INDEX(Movimientos!$G$2:$G$1998,MATCH(A639&amp;"ENTRADA",Movimientos!$R$2:$R$1998,0)),"-")</f>
        <v>-</v>
      </c>
      <c r="G639" s="3" t="str">
        <f>IFERROR(INDEX(Movimientos!$L$2:$L$1998,MATCH(A639&amp;"ENTRADA",Movimientos!$R$2:$R$1998,0)),"-")</f>
        <v>-</v>
      </c>
      <c r="H639" s="19" t="str">
        <f>IFERROR(IF(INDEX(Movimientos!$M$2:$M$1998,MATCH(A639&amp;"ENTRADA",Movimientos!$R$2:$R$1998,0))=0,"S/D",INDEX(Movimientos!$M$2:$M$1998,MATCH(A639&amp;"ENTRADA",Movimientos!$R$2:$R$1998,0))),"S/D")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19"/>
        <v>SIN STOCK</v>
      </c>
    </row>
    <row r="640" spans="1:11" ht="14.25">
      <c r="A640" s="18" t="s">
        <v>2783</v>
      </c>
      <c r="B640" s="3" t="str">
        <f>IFERROR(INDEX(Movimientos!$C$2:$C$1998,MATCH(A640&amp;"ENTRADA",Movimientos!$R$2:$R$1998,0)),"-")</f>
        <v>-</v>
      </c>
      <c r="C640" s="3" t="str">
        <f>IFERROR(INDEX(Movimientos!$D$2:$D$1998,MATCH(A640&amp;"ENTRADA",Movimientos!$R$2:$R$1998,0)),"-")</f>
        <v>-</v>
      </c>
      <c r="D640" s="3" t="str">
        <f>IFERROR(INDEX(Movimientos!$E$2:$E$1998,MATCH(A640&amp;"ENTRADA",Movimientos!$R$2:$R$1998,0)),"-")</f>
        <v>-</v>
      </c>
      <c r="E640" s="3" t="str">
        <f>IFERROR(INDEX(Movimientos!$F$2:$F$1998,MATCH(A640&amp;"ENTRADA",Movimientos!$R$2:$R$1998,0)),"-")</f>
        <v>-</v>
      </c>
      <c r="F640" s="3" t="str">
        <f>IFERROR(INDEX(Movimientos!$G$2:$G$1998,MATCH(A640&amp;"ENTRADA",Movimientos!$R$2:$R$1998,0)),"-")</f>
        <v>-</v>
      </c>
      <c r="G640" s="3" t="str">
        <f>IFERROR(INDEX(Movimientos!$L$2:$L$1998,MATCH(A640&amp;"ENTRADA",Movimientos!$R$2:$R$1998,0)),"-")</f>
        <v>-</v>
      </c>
      <c r="H640" s="19" t="str">
        <f>IFERROR(IF(INDEX(Movimientos!$M$2:$M$1998,MATCH(A640&amp;"ENTRADA",Movimientos!$R$2:$R$1998,0))=0,"S/D",INDEX(Movimientos!$M$2:$M$1998,MATCH(A640&amp;"ENTRADA",Movimientos!$R$2:$R$1998,0))),"S/D")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ref="K640:K703" ca="1" si="21">IF(A640="","",IF(J640&lt;0.01,"SIN STOCK",IF(H640="S/D","OK",IF(H640&lt;TODAY(),"VENCIDO",IF(I640&gt;=180,"OK","PRÓXIMO A VENCER")))))</f>
        <v>SIN STOCK</v>
      </c>
    </row>
    <row r="641" spans="1:11" ht="14.25">
      <c r="A641" s="18" t="s">
        <v>2784</v>
      </c>
      <c r="B641" s="3" t="str">
        <f>IFERROR(INDEX(Movimientos!$C$2:$C$1998,MATCH(A641&amp;"ENTRADA",Movimientos!$R$2:$R$1998,0)),"-")</f>
        <v>-</v>
      </c>
      <c r="C641" s="3" t="str">
        <f>IFERROR(INDEX(Movimientos!$D$2:$D$1998,MATCH(A641&amp;"ENTRADA",Movimientos!$R$2:$R$1998,0)),"-")</f>
        <v>-</v>
      </c>
      <c r="D641" s="3" t="str">
        <f>IFERROR(INDEX(Movimientos!$E$2:$E$1998,MATCH(A641&amp;"ENTRADA",Movimientos!$R$2:$R$1998,0)),"-")</f>
        <v>-</v>
      </c>
      <c r="E641" s="3" t="str">
        <f>IFERROR(INDEX(Movimientos!$F$2:$F$1998,MATCH(A641&amp;"ENTRADA",Movimientos!$R$2:$R$1998,0)),"-")</f>
        <v>-</v>
      </c>
      <c r="F641" s="3" t="str">
        <f>IFERROR(INDEX(Movimientos!$G$2:$G$1998,MATCH(A641&amp;"ENTRADA",Movimientos!$R$2:$R$1998,0)),"-")</f>
        <v>-</v>
      </c>
      <c r="G641" s="3" t="str">
        <f>IFERROR(INDEX(Movimientos!$L$2:$L$1998,MATCH(A641&amp;"ENTRADA",Movimientos!$R$2:$R$1998,0)),"-")</f>
        <v>-</v>
      </c>
      <c r="H641" s="19" t="str">
        <f>IFERROR(IF(INDEX(Movimientos!$M$2:$M$1998,MATCH(A641&amp;"ENTRADA",Movimientos!$R$2:$R$1998,0))=0,"S/D",INDEX(Movimientos!$M$2:$M$1998,MATCH(A641&amp;"ENTRADA",Movimientos!$R$2:$R$1998,0))),"S/D")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SIN STOCK</v>
      </c>
    </row>
    <row r="642" spans="1:11" ht="14.25">
      <c r="A642" s="18" t="s">
        <v>2785</v>
      </c>
      <c r="B642" s="3" t="str">
        <f>IFERROR(INDEX(Movimientos!$C$2:$C$1998,MATCH(A642&amp;"ENTRADA",Movimientos!$R$2:$R$1998,0)),"-")</f>
        <v>-</v>
      </c>
      <c r="C642" s="3" t="str">
        <f>IFERROR(INDEX(Movimientos!$D$2:$D$1998,MATCH(A642&amp;"ENTRADA",Movimientos!$R$2:$R$1998,0)),"-")</f>
        <v>-</v>
      </c>
      <c r="D642" s="3" t="str">
        <f>IFERROR(INDEX(Movimientos!$E$2:$E$1998,MATCH(A642&amp;"ENTRADA",Movimientos!$R$2:$R$1998,0)),"-")</f>
        <v>-</v>
      </c>
      <c r="E642" s="3" t="str">
        <f>IFERROR(INDEX(Movimientos!$F$2:$F$1998,MATCH(A642&amp;"ENTRADA",Movimientos!$R$2:$R$1998,0)),"-")</f>
        <v>-</v>
      </c>
      <c r="F642" s="3" t="str">
        <f>IFERROR(INDEX(Movimientos!$G$2:$G$1998,MATCH(A642&amp;"ENTRADA",Movimientos!$R$2:$R$1998,0)),"-")</f>
        <v>-</v>
      </c>
      <c r="G642" s="3" t="str">
        <f>IFERROR(INDEX(Movimientos!$L$2:$L$1998,MATCH(A642&amp;"ENTRADA",Movimientos!$R$2:$R$1998,0)),"-")</f>
        <v>-</v>
      </c>
      <c r="H642" s="19" t="str">
        <f>IFERROR(IF(INDEX(Movimientos!$M$2:$M$1998,MATCH(A642&amp;"ENTRADA",Movimientos!$R$2:$R$1998,0))=0,"S/D",INDEX(Movimientos!$M$2:$M$1998,MATCH(A642&amp;"ENTRADA",Movimientos!$R$2:$R$1998,0))),"S/D")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SIN STOCK</v>
      </c>
    </row>
    <row r="643" spans="1:11" ht="14.25">
      <c r="A643" s="18" t="s">
        <v>2786</v>
      </c>
      <c r="B643" s="3" t="str">
        <f>IFERROR(INDEX(Movimientos!$C$2:$C$1998,MATCH(A643&amp;"ENTRADA",Movimientos!$R$2:$R$1998,0)),"-")</f>
        <v>-</v>
      </c>
      <c r="C643" s="3" t="str">
        <f>IFERROR(INDEX(Movimientos!$D$2:$D$1998,MATCH(A643&amp;"ENTRADA",Movimientos!$R$2:$R$1998,0)),"-")</f>
        <v>-</v>
      </c>
      <c r="D643" s="3" t="str">
        <f>IFERROR(INDEX(Movimientos!$E$2:$E$1998,MATCH(A643&amp;"ENTRADA",Movimientos!$R$2:$R$1998,0)),"-")</f>
        <v>-</v>
      </c>
      <c r="E643" s="3" t="str">
        <f>IFERROR(INDEX(Movimientos!$F$2:$F$1998,MATCH(A643&amp;"ENTRADA",Movimientos!$R$2:$R$1998,0)),"-")</f>
        <v>-</v>
      </c>
      <c r="F643" s="3" t="str">
        <f>IFERROR(INDEX(Movimientos!$G$2:$G$1998,MATCH(A643&amp;"ENTRADA",Movimientos!$R$2:$R$1998,0)),"-")</f>
        <v>-</v>
      </c>
      <c r="G643" s="3" t="str">
        <f>IFERROR(INDEX(Movimientos!$L$2:$L$1998,MATCH(A643&amp;"ENTRADA",Movimientos!$R$2:$R$1998,0)),"-")</f>
        <v>-</v>
      </c>
      <c r="H643" s="19" t="str">
        <f>IFERROR(IF(INDEX(Movimientos!$M$2:$M$1998,MATCH(A643&amp;"ENTRADA",Movimientos!$R$2:$R$1998,0))=0,"S/D",INDEX(Movimientos!$M$2:$M$1998,MATCH(A643&amp;"ENTRADA",Movimientos!$R$2:$R$1998,0))),"S/D")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SIN STOCK</v>
      </c>
    </row>
    <row r="644" spans="1:11" ht="14.25">
      <c r="A644" s="18" t="s">
        <v>2787</v>
      </c>
      <c r="B644" s="3" t="str">
        <f>IFERROR(INDEX(Movimientos!$C$2:$C$1998,MATCH(A644&amp;"ENTRADA",Movimientos!$R$2:$R$1998,0)),"-")</f>
        <v>-</v>
      </c>
      <c r="C644" s="3" t="str">
        <f>IFERROR(INDEX(Movimientos!$D$2:$D$1998,MATCH(A644&amp;"ENTRADA",Movimientos!$R$2:$R$1998,0)),"-")</f>
        <v>-</v>
      </c>
      <c r="D644" s="3" t="str">
        <f>IFERROR(INDEX(Movimientos!$E$2:$E$1998,MATCH(A644&amp;"ENTRADA",Movimientos!$R$2:$R$1998,0)),"-")</f>
        <v>-</v>
      </c>
      <c r="E644" s="3" t="str">
        <f>IFERROR(INDEX(Movimientos!$F$2:$F$1998,MATCH(A644&amp;"ENTRADA",Movimientos!$R$2:$R$1998,0)),"-")</f>
        <v>-</v>
      </c>
      <c r="F644" s="3" t="str">
        <f>IFERROR(INDEX(Movimientos!$G$2:$G$1998,MATCH(A644&amp;"ENTRADA",Movimientos!$R$2:$R$1998,0)),"-")</f>
        <v>-</v>
      </c>
      <c r="G644" s="3" t="str">
        <f>IFERROR(INDEX(Movimientos!$L$2:$L$1998,MATCH(A644&amp;"ENTRADA",Movimientos!$R$2:$R$1998,0)),"-")</f>
        <v>-</v>
      </c>
      <c r="H644" s="19" t="str">
        <f>IFERROR(IF(INDEX(Movimientos!$M$2:$M$1998,MATCH(A644&amp;"ENTRADA",Movimientos!$R$2:$R$1998,0))=0,"S/D",INDEX(Movimientos!$M$2:$M$1998,MATCH(A644&amp;"ENTRADA",Movimientos!$R$2:$R$1998,0))),"S/D")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SIN STOCK</v>
      </c>
    </row>
    <row r="645" spans="1:11" ht="14.25">
      <c r="A645" s="18" t="s">
        <v>2788</v>
      </c>
      <c r="B645" s="3" t="str">
        <f>IFERROR(INDEX(Movimientos!$C$2:$C$1998,MATCH(A645&amp;"ENTRADA",Movimientos!$R$2:$R$1998,0)),"-")</f>
        <v>-</v>
      </c>
      <c r="C645" s="3" t="str">
        <f>IFERROR(INDEX(Movimientos!$D$2:$D$1998,MATCH(A645&amp;"ENTRADA",Movimientos!$R$2:$R$1998,0)),"-")</f>
        <v>-</v>
      </c>
      <c r="D645" s="3" t="str">
        <f>IFERROR(INDEX(Movimientos!$E$2:$E$1998,MATCH(A645&amp;"ENTRADA",Movimientos!$R$2:$R$1998,0)),"-")</f>
        <v>-</v>
      </c>
      <c r="E645" s="3" t="str">
        <f>IFERROR(INDEX(Movimientos!$F$2:$F$1998,MATCH(A645&amp;"ENTRADA",Movimientos!$R$2:$R$1998,0)),"-")</f>
        <v>-</v>
      </c>
      <c r="F645" s="3" t="str">
        <f>IFERROR(INDEX(Movimientos!$G$2:$G$1998,MATCH(A645&amp;"ENTRADA",Movimientos!$R$2:$R$1998,0)),"-")</f>
        <v>-</v>
      </c>
      <c r="G645" s="3" t="str">
        <f>IFERROR(INDEX(Movimientos!$L$2:$L$1998,MATCH(A645&amp;"ENTRADA",Movimientos!$R$2:$R$1998,0)),"-")</f>
        <v>-</v>
      </c>
      <c r="H645" s="19" t="str">
        <f>IFERROR(IF(INDEX(Movimientos!$M$2:$M$1998,MATCH(A645&amp;"ENTRADA",Movimientos!$R$2:$R$1998,0))=0,"S/D",INDEX(Movimientos!$M$2:$M$1998,MATCH(A645&amp;"ENTRADA",Movimientos!$R$2:$R$1998,0))),"S/D")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SIN STOCK</v>
      </c>
    </row>
    <row r="646" spans="1:11" ht="14.25">
      <c r="A646" s="18" t="s">
        <v>2789</v>
      </c>
      <c r="B646" s="3" t="str">
        <f>IFERROR(INDEX(Movimientos!$C$2:$C$1998,MATCH(A646&amp;"ENTRADA",Movimientos!$R$2:$R$1998,0)),"-")</f>
        <v>-</v>
      </c>
      <c r="C646" s="3" t="str">
        <f>IFERROR(INDEX(Movimientos!$D$2:$D$1998,MATCH(A646&amp;"ENTRADA",Movimientos!$R$2:$R$1998,0)),"-")</f>
        <v>-</v>
      </c>
      <c r="D646" s="3" t="str">
        <f>IFERROR(INDEX(Movimientos!$E$2:$E$1998,MATCH(A646&amp;"ENTRADA",Movimientos!$R$2:$R$1998,0)),"-")</f>
        <v>-</v>
      </c>
      <c r="E646" s="3" t="str">
        <f>IFERROR(INDEX(Movimientos!$F$2:$F$1998,MATCH(A646&amp;"ENTRADA",Movimientos!$R$2:$R$1998,0)),"-")</f>
        <v>-</v>
      </c>
      <c r="F646" s="3" t="str">
        <f>IFERROR(INDEX(Movimientos!$G$2:$G$1998,MATCH(A646&amp;"ENTRADA",Movimientos!$R$2:$R$1998,0)),"-")</f>
        <v>-</v>
      </c>
      <c r="G646" s="3" t="str">
        <f>IFERROR(INDEX(Movimientos!$L$2:$L$1998,MATCH(A646&amp;"ENTRADA",Movimientos!$R$2:$R$1998,0)),"-")</f>
        <v>-</v>
      </c>
      <c r="H646" s="19" t="str">
        <f>IFERROR(IF(INDEX(Movimientos!$M$2:$M$1998,MATCH(A646&amp;"ENTRADA",Movimientos!$R$2:$R$1998,0))=0,"S/D",INDEX(Movimientos!$M$2:$M$1998,MATCH(A646&amp;"ENTRADA",Movimientos!$R$2:$R$1998,0))),"S/D")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SIN STOCK</v>
      </c>
    </row>
    <row r="647" spans="1:11" ht="14.25">
      <c r="A647" s="18" t="s">
        <v>2790</v>
      </c>
      <c r="B647" s="3" t="str">
        <f>IFERROR(INDEX(Movimientos!$C$2:$C$1998,MATCH(A647&amp;"ENTRADA",Movimientos!$R$2:$R$1998,0)),"-")</f>
        <v>-</v>
      </c>
      <c r="C647" s="3" t="str">
        <f>IFERROR(INDEX(Movimientos!$D$2:$D$1998,MATCH(A647&amp;"ENTRADA",Movimientos!$R$2:$R$1998,0)),"-")</f>
        <v>-</v>
      </c>
      <c r="D647" s="3" t="str">
        <f>IFERROR(INDEX(Movimientos!$E$2:$E$1998,MATCH(A647&amp;"ENTRADA",Movimientos!$R$2:$R$1998,0)),"-")</f>
        <v>-</v>
      </c>
      <c r="E647" s="3" t="str">
        <f>IFERROR(INDEX(Movimientos!$F$2:$F$1998,MATCH(A647&amp;"ENTRADA",Movimientos!$R$2:$R$1998,0)),"-")</f>
        <v>-</v>
      </c>
      <c r="F647" s="3" t="str">
        <f>IFERROR(INDEX(Movimientos!$G$2:$G$1998,MATCH(A647&amp;"ENTRADA",Movimientos!$R$2:$R$1998,0)),"-")</f>
        <v>-</v>
      </c>
      <c r="G647" s="3" t="str">
        <f>IFERROR(INDEX(Movimientos!$L$2:$L$1998,MATCH(A647&amp;"ENTRADA",Movimientos!$R$2:$R$1998,0)),"-")</f>
        <v>-</v>
      </c>
      <c r="H647" s="19" t="str">
        <f>IFERROR(IF(INDEX(Movimientos!$M$2:$M$1998,MATCH(A647&amp;"ENTRADA",Movimientos!$R$2:$R$1998,0))=0,"S/D",INDEX(Movimientos!$M$2:$M$1998,MATCH(A647&amp;"ENTRADA",Movimientos!$R$2:$R$1998,0))),"S/D")</f>
        <v>S/D</v>
      </c>
      <c r="I647" s="16" t="str">
        <f t="shared" ref="I647:I710" ca="1" si="22">IF(OR(A647="",H647="S/D"),"S/D",H647-TODAY())</f>
        <v>S/D</v>
      </c>
      <c r="J647" s="6">
        <f>IF(A647="","",SUMIFS(Movimientos!$K:$K,Movimientos!$H:$H,A647))</f>
        <v>0</v>
      </c>
      <c r="K647" s="14" t="str">
        <f t="shared" ca="1" si="21"/>
        <v>SIN STOCK</v>
      </c>
    </row>
    <row r="648" spans="1:11" ht="14.25">
      <c r="A648" s="18" t="s">
        <v>2791</v>
      </c>
      <c r="B648" s="3" t="str">
        <f>IFERROR(INDEX(Movimientos!$C$2:$C$1998,MATCH(A648&amp;"ENTRADA",Movimientos!$R$2:$R$1998,0)),"-")</f>
        <v>-</v>
      </c>
      <c r="C648" s="3" t="str">
        <f>IFERROR(INDEX(Movimientos!$D$2:$D$1998,MATCH(A648&amp;"ENTRADA",Movimientos!$R$2:$R$1998,0)),"-")</f>
        <v>-</v>
      </c>
      <c r="D648" s="3" t="str">
        <f>IFERROR(INDEX(Movimientos!$E$2:$E$1998,MATCH(A648&amp;"ENTRADA",Movimientos!$R$2:$R$1998,0)),"-")</f>
        <v>-</v>
      </c>
      <c r="E648" s="3" t="str">
        <f>IFERROR(INDEX(Movimientos!$F$2:$F$1998,MATCH(A648&amp;"ENTRADA",Movimientos!$R$2:$R$1998,0)),"-")</f>
        <v>-</v>
      </c>
      <c r="F648" s="3" t="str">
        <f>IFERROR(INDEX(Movimientos!$G$2:$G$1998,MATCH(A648&amp;"ENTRADA",Movimientos!$R$2:$R$1998,0)),"-")</f>
        <v>-</v>
      </c>
      <c r="G648" s="3" t="str">
        <f>IFERROR(INDEX(Movimientos!$L$2:$L$1998,MATCH(A648&amp;"ENTRADA",Movimientos!$R$2:$R$1998,0)),"-")</f>
        <v>-</v>
      </c>
      <c r="H648" s="19" t="str">
        <f>IFERROR(IF(INDEX(Movimientos!$M$2:$M$1998,MATCH(A648&amp;"ENTRADA",Movimientos!$R$2:$R$1998,0))=0,"S/D",INDEX(Movimientos!$M$2:$M$1998,MATCH(A648&amp;"ENTRADA",Movimientos!$R$2:$R$1998,0))),"S/D")</f>
        <v>S/D</v>
      </c>
      <c r="I648" s="16" t="str">
        <f t="shared" ca="1" si="22"/>
        <v>S/D</v>
      </c>
      <c r="J648" s="6">
        <f>IF(A648="","",SUMIFS(Movimientos!$K:$K,Movimientos!$H:$H,A648))</f>
        <v>0</v>
      </c>
      <c r="K648" s="14" t="str">
        <f t="shared" ca="1" si="21"/>
        <v>SIN STOCK</v>
      </c>
    </row>
    <row r="649" spans="1:11" ht="14.25">
      <c r="A649" s="18" t="s">
        <v>2792</v>
      </c>
      <c r="B649" s="3" t="str">
        <f>IFERROR(INDEX(Movimientos!$C$2:$C$1998,MATCH(A649&amp;"ENTRADA",Movimientos!$R$2:$R$1998,0)),"-")</f>
        <v>-</v>
      </c>
      <c r="C649" s="3" t="str">
        <f>IFERROR(INDEX(Movimientos!$D$2:$D$1998,MATCH(A649&amp;"ENTRADA",Movimientos!$R$2:$R$1998,0)),"-")</f>
        <v>-</v>
      </c>
      <c r="D649" s="3" t="str">
        <f>IFERROR(INDEX(Movimientos!$E$2:$E$1998,MATCH(A649&amp;"ENTRADA",Movimientos!$R$2:$R$1998,0)),"-")</f>
        <v>-</v>
      </c>
      <c r="E649" s="3" t="str">
        <f>IFERROR(INDEX(Movimientos!$F$2:$F$1998,MATCH(A649&amp;"ENTRADA",Movimientos!$R$2:$R$1998,0)),"-")</f>
        <v>-</v>
      </c>
      <c r="F649" s="3" t="str">
        <f>IFERROR(INDEX(Movimientos!$G$2:$G$1998,MATCH(A649&amp;"ENTRADA",Movimientos!$R$2:$R$1998,0)),"-")</f>
        <v>-</v>
      </c>
      <c r="G649" s="3" t="str">
        <f>IFERROR(INDEX(Movimientos!$L$2:$L$1998,MATCH(A649&amp;"ENTRADA",Movimientos!$R$2:$R$1998,0)),"-")</f>
        <v>-</v>
      </c>
      <c r="H649" s="19" t="str">
        <f>IFERROR(IF(INDEX(Movimientos!$M$2:$M$1998,MATCH(A649&amp;"ENTRADA",Movimientos!$R$2:$R$1998,0))=0,"S/D",INDEX(Movimientos!$M$2:$M$1998,MATCH(A649&amp;"ENTRADA",Movimientos!$R$2:$R$1998,0))),"S/D")</f>
        <v>S/D</v>
      </c>
      <c r="I649" s="16" t="str">
        <f t="shared" ca="1" si="22"/>
        <v>S/D</v>
      </c>
      <c r="J649" s="6">
        <f>IF(A649="","",SUMIFS(Movimientos!$K:$K,Movimientos!$H:$H,A649))</f>
        <v>0</v>
      </c>
      <c r="K649" s="14" t="str">
        <f t="shared" ca="1" si="21"/>
        <v>SIN STOCK</v>
      </c>
    </row>
    <row r="650" spans="1:11" ht="14.25">
      <c r="A650" s="18" t="s">
        <v>2793</v>
      </c>
      <c r="B650" s="3" t="str">
        <f>IFERROR(INDEX(Movimientos!$C$2:$C$1998,MATCH(A650&amp;"ENTRADA",Movimientos!$R$2:$R$1998,0)),"-")</f>
        <v>-</v>
      </c>
      <c r="C650" s="3" t="str">
        <f>IFERROR(INDEX(Movimientos!$D$2:$D$1998,MATCH(A650&amp;"ENTRADA",Movimientos!$R$2:$R$1998,0)),"-")</f>
        <v>-</v>
      </c>
      <c r="D650" s="3" t="str">
        <f>IFERROR(INDEX(Movimientos!$E$2:$E$1998,MATCH(A650&amp;"ENTRADA",Movimientos!$R$2:$R$1998,0)),"-")</f>
        <v>-</v>
      </c>
      <c r="E650" s="3" t="str">
        <f>IFERROR(INDEX(Movimientos!$F$2:$F$1998,MATCH(A650&amp;"ENTRADA",Movimientos!$R$2:$R$1998,0)),"-")</f>
        <v>-</v>
      </c>
      <c r="F650" s="3" t="str">
        <f>IFERROR(INDEX(Movimientos!$G$2:$G$1998,MATCH(A650&amp;"ENTRADA",Movimientos!$R$2:$R$1998,0)),"-")</f>
        <v>-</v>
      </c>
      <c r="G650" s="3" t="str">
        <f>IFERROR(INDEX(Movimientos!$L$2:$L$1998,MATCH(A650&amp;"ENTRADA",Movimientos!$R$2:$R$1998,0)),"-")</f>
        <v>-</v>
      </c>
      <c r="H650" s="19" t="str">
        <f>IFERROR(IF(INDEX(Movimientos!$M$2:$M$1998,MATCH(A650&amp;"ENTRADA",Movimientos!$R$2:$R$1998,0))=0,"S/D",INDEX(Movimientos!$M$2:$M$1998,MATCH(A650&amp;"ENTRADA",Movimientos!$R$2:$R$1998,0))),"S/D")</f>
        <v>S/D</v>
      </c>
      <c r="I650" s="16" t="str">
        <f t="shared" ca="1" si="22"/>
        <v>S/D</v>
      </c>
      <c r="J650" s="6">
        <f>IF(A650="","",SUMIFS(Movimientos!$K:$K,Movimientos!$H:$H,A650))</f>
        <v>0</v>
      </c>
      <c r="K650" s="14" t="str">
        <f t="shared" ca="1" si="21"/>
        <v>SIN STOCK</v>
      </c>
    </row>
    <row r="651" spans="1:11" ht="14.25">
      <c r="A651" s="18" t="s">
        <v>2794</v>
      </c>
      <c r="B651" s="3" t="str">
        <f>IFERROR(INDEX(Movimientos!$C$2:$C$1998,MATCH(A651&amp;"ENTRADA",Movimientos!$R$2:$R$1998,0)),"-")</f>
        <v>-</v>
      </c>
      <c r="C651" s="3" t="str">
        <f>IFERROR(INDEX(Movimientos!$D$2:$D$1998,MATCH(A651&amp;"ENTRADA",Movimientos!$R$2:$R$1998,0)),"-")</f>
        <v>-</v>
      </c>
      <c r="D651" s="3" t="str">
        <f>IFERROR(INDEX(Movimientos!$E$2:$E$1998,MATCH(A651&amp;"ENTRADA",Movimientos!$R$2:$R$1998,0)),"-")</f>
        <v>-</v>
      </c>
      <c r="E651" s="3" t="str">
        <f>IFERROR(INDEX(Movimientos!$F$2:$F$1998,MATCH(A651&amp;"ENTRADA",Movimientos!$R$2:$R$1998,0)),"-")</f>
        <v>-</v>
      </c>
      <c r="F651" s="3" t="str">
        <f>IFERROR(INDEX(Movimientos!$G$2:$G$1998,MATCH(A651&amp;"ENTRADA",Movimientos!$R$2:$R$1998,0)),"-")</f>
        <v>-</v>
      </c>
      <c r="G651" s="3" t="str">
        <f>IFERROR(INDEX(Movimientos!$L$2:$L$1998,MATCH(A651&amp;"ENTRADA",Movimientos!$R$2:$R$1998,0)),"-")</f>
        <v>-</v>
      </c>
      <c r="H651" s="19" t="str">
        <f>IFERROR(IF(INDEX(Movimientos!$M$2:$M$1998,MATCH(A651&amp;"ENTRADA",Movimientos!$R$2:$R$1998,0))=0,"S/D",INDEX(Movimientos!$M$2:$M$1998,MATCH(A651&amp;"ENTRADA",Movimientos!$R$2:$R$1998,0))),"S/D")</f>
        <v>S/D</v>
      </c>
      <c r="I651" s="16" t="str">
        <f t="shared" ca="1" si="22"/>
        <v>S/D</v>
      </c>
      <c r="J651" s="6">
        <f>IF(A651="","",SUMIFS(Movimientos!$K:$K,Movimientos!$H:$H,A651))</f>
        <v>0</v>
      </c>
      <c r="K651" s="14" t="str">
        <f t="shared" ca="1" si="21"/>
        <v>SIN STOCK</v>
      </c>
    </row>
    <row r="652" spans="1:11" ht="14.25">
      <c r="A652" s="18" t="s">
        <v>2795</v>
      </c>
      <c r="B652" s="3" t="str">
        <f>IFERROR(INDEX(Movimientos!$C$2:$C$1998,MATCH(A652&amp;"ENTRADA",Movimientos!$R$2:$R$1998,0)),"-")</f>
        <v>-</v>
      </c>
      <c r="C652" s="3" t="str">
        <f>IFERROR(INDEX(Movimientos!$D$2:$D$1998,MATCH(A652&amp;"ENTRADA",Movimientos!$R$2:$R$1998,0)),"-")</f>
        <v>-</v>
      </c>
      <c r="D652" s="3" t="str">
        <f>IFERROR(INDEX(Movimientos!$E$2:$E$1998,MATCH(A652&amp;"ENTRADA",Movimientos!$R$2:$R$1998,0)),"-")</f>
        <v>-</v>
      </c>
      <c r="E652" s="3" t="str">
        <f>IFERROR(INDEX(Movimientos!$F$2:$F$1998,MATCH(A652&amp;"ENTRADA",Movimientos!$R$2:$R$1998,0)),"-")</f>
        <v>-</v>
      </c>
      <c r="F652" s="3" t="str">
        <f>IFERROR(INDEX(Movimientos!$G$2:$G$1998,MATCH(A652&amp;"ENTRADA",Movimientos!$R$2:$R$1998,0)),"-")</f>
        <v>-</v>
      </c>
      <c r="G652" s="3" t="str">
        <f>IFERROR(INDEX(Movimientos!$L$2:$L$1998,MATCH(A652&amp;"ENTRADA",Movimientos!$R$2:$R$1998,0)),"-")</f>
        <v>-</v>
      </c>
      <c r="H652" s="19" t="str">
        <f>IFERROR(IF(INDEX(Movimientos!$M$2:$M$1998,MATCH(A652&amp;"ENTRADA",Movimientos!$R$2:$R$1998,0))=0,"S/D",INDEX(Movimientos!$M$2:$M$1998,MATCH(A652&amp;"ENTRADA",Movimientos!$R$2:$R$1998,0))),"S/D")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1"/>
        <v>SIN STOCK</v>
      </c>
    </row>
    <row r="653" spans="1:11" ht="14.25">
      <c r="A653" s="18" t="s">
        <v>2796</v>
      </c>
      <c r="B653" s="3" t="str">
        <f>IFERROR(INDEX(Movimientos!$C$2:$C$1998,MATCH(A653&amp;"ENTRADA",Movimientos!$R$2:$R$1998,0)),"-")</f>
        <v>-</v>
      </c>
      <c r="C653" s="3" t="str">
        <f>IFERROR(INDEX(Movimientos!$D$2:$D$1998,MATCH(A653&amp;"ENTRADA",Movimientos!$R$2:$R$1998,0)),"-")</f>
        <v>-</v>
      </c>
      <c r="D653" s="3" t="str">
        <f>IFERROR(INDEX(Movimientos!$E$2:$E$1998,MATCH(A653&amp;"ENTRADA",Movimientos!$R$2:$R$1998,0)),"-")</f>
        <v>-</v>
      </c>
      <c r="E653" s="3" t="str">
        <f>IFERROR(INDEX(Movimientos!$F$2:$F$1998,MATCH(A653&amp;"ENTRADA",Movimientos!$R$2:$R$1998,0)),"-")</f>
        <v>-</v>
      </c>
      <c r="F653" s="3" t="str">
        <f>IFERROR(INDEX(Movimientos!$G$2:$G$1998,MATCH(A653&amp;"ENTRADA",Movimientos!$R$2:$R$1998,0)),"-")</f>
        <v>-</v>
      </c>
      <c r="G653" s="3" t="str">
        <f>IFERROR(INDEX(Movimientos!$L$2:$L$1998,MATCH(A653&amp;"ENTRADA",Movimientos!$R$2:$R$1998,0)),"-")</f>
        <v>-</v>
      </c>
      <c r="H653" s="19" t="str">
        <f>IFERROR(IF(INDEX(Movimientos!$M$2:$M$1998,MATCH(A653&amp;"ENTRADA",Movimientos!$R$2:$R$1998,0))=0,"S/D",INDEX(Movimientos!$M$2:$M$1998,MATCH(A653&amp;"ENTRADA",Movimientos!$R$2:$R$1998,0))),"S/D")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1"/>
        <v>SIN STOCK</v>
      </c>
    </row>
    <row r="654" spans="1:11" ht="14.25">
      <c r="A654" s="18" t="s">
        <v>2797</v>
      </c>
      <c r="B654" s="3" t="str">
        <f>IFERROR(INDEX(Movimientos!$C$2:$C$1998,MATCH(A654&amp;"ENTRADA",Movimientos!$R$2:$R$1998,0)),"-")</f>
        <v>-</v>
      </c>
      <c r="C654" s="3" t="str">
        <f>IFERROR(INDEX(Movimientos!$D$2:$D$1998,MATCH(A654&amp;"ENTRADA",Movimientos!$R$2:$R$1998,0)),"-")</f>
        <v>-</v>
      </c>
      <c r="D654" s="3" t="str">
        <f>IFERROR(INDEX(Movimientos!$E$2:$E$1998,MATCH(A654&amp;"ENTRADA",Movimientos!$R$2:$R$1998,0)),"-")</f>
        <v>-</v>
      </c>
      <c r="E654" s="3" t="str">
        <f>IFERROR(INDEX(Movimientos!$F$2:$F$1998,MATCH(A654&amp;"ENTRADA",Movimientos!$R$2:$R$1998,0)),"-")</f>
        <v>-</v>
      </c>
      <c r="F654" s="3" t="str">
        <f>IFERROR(INDEX(Movimientos!$G$2:$G$1998,MATCH(A654&amp;"ENTRADA",Movimientos!$R$2:$R$1998,0)),"-")</f>
        <v>-</v>
      </c>
      <c r="G654" s="3" t="str">
        <f>IFERROR(INDEX(Movimientos!$L$2:$L$1998,MATCH(A654&amp;"ENTRADA",Movimientos!$R$2:$R$1998,0)),"-")</f>
        <v>-</v>
      </c>
      <c r="H654" s="19" t="str">
        <f>IFERROR(IF(INDEX(Movimientos!$M$2:$M$1998,MATCH(A654&amp;"ENTRADA",Movimientos!$R$2:$R$1998,0))=0,"S/D",INDEX(Movimientos!$M$2:$M$1998,MATCH(A654&amp;"ENTRADA",Movimientos!$R$2:$R$1998,0))),"S/D")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1"/>
        <v>SIN STOCK</v>
      </c>
    </row>
    <row r="655" spans="1:11" ht="14.25">
      <c r="A655" s="18" t="s">
        <v>2798</v>
      </c>
      <c r="B655" s="3" t="str">
        <f>IFERROR(INDEX(Movimientos!$C$2:$C$1998,MATCH(A655&amp;"ENTRADA",Movimientos!$R$2:$R$1998,0)),"-")</f>
        <v>-</v>
      </c>
      <c r="C655" s="3" t="str">
        <f>IFERROR(INDEX(Movimientos!$D$2:$D$1998,MATCH(A655&amp;"ENTRADA",Movimientos!$R$2:$R$1998,0)),"-")</f>
        <v>-</v>
      </c>
      <c r="D655" s="3" t="str">
        <f>IFERROR(INDEX(Movimientos!$E$2:$E$1998,MATCH(A655&amp;"ENTRADA",Movimientos!$R$2:$R$1998,0)),"-")</f>
        <v>-</v>
      </c>
      <c r="E655" s="3" t="str">
        <f>IFERROR(INDEX(Movimientos!$F$2:$F$1998,MATCH(A655&amp;"ENTRADA",Movimientos!$R$2:$R$1998,0)),"-")</f>
        <v>-</v>
      </c>
      <c r="F655" s="3" t="str">
        <f>IFERROR(INDEX(Movimientos!$G$2:$G$1998,MATCH(A655&amp;"ENTRADA",Movimientos!$R$2:$R$1998,0)),"-")</f>
        <v>-</v>
      </c>
      <c r="G655" s="3" t="str">
        <f>IFERROR(INDEX(Movimientos!$L$2:$L$1998,MATCH(A655&amp;"ENTRADA",Movimientos!$R$2:$R$1998,0)),"-")</f>
        <v>-</v>
      </c>
      <c r="H655" s="19" t="str">
        <f>IFERROR(IF(INDEX(Movimientos!$M$2:$M$1998,MATCH(A655&amp;"ENTRADA",Movimientos!$R$2:$R$1998,0))=0,"S/D",INDEX(Movimientos!$M$2:$M$1998,MATCH(A655&amp;"ENTRADA",Movimientos!$R$2:$R$1998,0))),"S/D")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1"/>
        <v>SIN STOCK</v>
      </c>
    </row>
    <row r="656" spans="1:11" ht="14.25">
      <c r="A656" s="18" t="s">
        <v>2799</v>
      </c>
      <c r="B656" s="3" t="str">
        <f>IFERROR(INDEX(Movimientos!$C$2:$C$1998,MATCH(A656&amp;"ENTRADA",Movimientos!$R$2:$R$1998,0)),"-")</f>
        <v>-</v>
      </c>
      <c r="C656" s="3" t="str">
        <f>IFERROR(INDEX(Movimientos!$D$2:$D$1998,MATCH(A656&amp;"ENTRADA",Movimientos!$R$2:$R$1998,0)),"-")</f>
        <v>-</v>
      </c>
      <c r="D656" s="3" t="str">
        <f>IFERROR(INDEX(Movimientos!$E$2:$E$1998,MATCH(A656&amp;"ENTRADA",Movimientos!$R$2:$R$1998,0)),"-")</f>
        <v>-</v>
      </c>
      <c r="E656" s="3" t="str">
        <f>IFERROR(INDEX(Movimientos!$F$2:$F$1998,MATCH(A656&amp;"ENTRADA",Movimientos!$R$2:$R$1998,0)),"-")</f>
        <v>-</v>
      </c>
      <c r="F656" s="3" t="str">
        <f>IFERROR(INDEX(Movimientos!$G$2:$G$1998,MATCH(A656&amp;"ENTRADA",Movimientos!$R$2:$R$1998,0)),"-")</f>
        <v>-</v>
      </c>
      <c r="G656" s="3" t="str">
        <f>IFERROR(INDEX(Movimientos!$L$2:$L$1998,MATCH(A656&amp;"ENTRADA",Movimientos!$R$2:$R$1998,0)),"-")</f>
        <v>-</v>
      </c>
      <c r="H656" s="19" t="str">
        <f>IFERROR(IF(INDEX(Movimientos!$M$2:$M$1998,MATCH(A656&amp;"ENTRADA",Movimientos!$R$2:$R$1998,0))=0,"S/D",INDEX(Movimientos!$M$2:$M$1998,MATCH(A656&amp;"ENTRADA",Movimientos!$R$2:$R$1998,0))),"S/D")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1"/>
        <v>SIN STOCK</v>
      </c>
    </row>
    <row r="657" spans="1:11" ht="14.25">
      <c r="A657" s="18" t="s">
        <v>2800</v>
      </c>
      <c r="B657" s="3" t="str">
        <f>IFERROR(INDEX(Movimientos!$C$2:$C$1998,MATCH(A657&amp;"ENTRADA",Movimientos!$R$2:$R$1998,0)),"-")</f>
        <v>-</v>
      </c>
      <c r="C657" s="3" t="str">
        <f>IFERROR(INDEX(Movimientos!$D$2:$D$1998,MATCH(A657&amp;"ENTRADA",Movimientos!$R$2:$R$1998,0)),"-")</f>
        <v>-</v>
      </c>
      <c r="D657" s="3" t="str">
        <f>IFERROR(INDEX(Movimientos!$E$2:$E$1998,MATCH(A657&amp;"ENTRADA",Movimientos!$R$2:$R$1998,0)),"-")</f>
        <v>-</v>
      </c>
      <c r="E657" s="3" t="str">
        <f>IFERROR(INDEX(Movimientos!$F$2:$F$1998,MATCH(A657&amp;"ENTRADA",Movimientos!$R$2:$R$1998,0)),"-")</f>
        <v>-</v>
      </c>
      <c r="F657" s="3" t="str">
        <f>IFERROR(INDEX(Movimientos!$G$2:$G$1998,MATCH(A657&amp;"ENTRADA",Movimientos!$R$2:$R$1998,0)),"-")</f>
        <v>-</v>
      </c>
      <c r="G657" s="3" t="str">
        <f>IFERROR(INDEX(Movimientos!$L$2:$L$1998,MATCH(A657&amp;"ENTRADA",Movimientos!$R$2:$R$1998,0)),"-")</f>
        <v>-</v>
      </c>
      <c r="H657" s="19" t="str">
        <f>IFERROR(IF(INDEX(Movimientos!$M$2:$M$1998,MATCH(A657&amp;"ENTRADA",Movimientos!$R$2:$R$1998,0))=0,"S/D",INDEX(Movimientos!$M$2:$M$1998,MATCH(A657&amp;"ENTRADA",Movimientos!$R$2:$R$1998,0))),"S/D")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1"/>
        <v>SIN STOCK</v>
      </c>
    </row>
    <row r="658" spans="1:11" ht="14.25">
      <c r="A658" s="18" t="s">
        <v>2801</v>
      </c>
      <c r="B658" s="3" t="str">
        <f>IFERROR(INDEX(Movimientos!$C$2:$C$1998,MATCH(A658&amp;"ENTRADA",Movimientos!$R$2:$R$1998,0)),"-")</f>
        <v>-</v>
      </c>
      <c r="C658" s="3" t="str">
        <f>IFERROR(INDEX(Movimientos!$D$2:$D$1998,MATCH(A658&amp;"ENTRADA",Movimientos!$R$2:$R$1998,0)),"-")</f>
        <v>-</v>
      </c>
      <c r="D658" s="3" t="str">
        <f>IFERROR(INDEX(Movimientos!$E$2:$E$1998,MATCH(A658&amp;"ENTRADA",Movimientos!$R$2:$R$1998,0)),"-")</f>
        <v>-</v>
      </c>
      <c r="E658" s="3" t="str">
        <f>IFERROR(INDEX(Movimientos!$F$2:$F$1998,MATCH(A658&amp;"ENTRADA",Movimientos!$R$2:$R$1998,0)),"-")</f>
        <v>-</v>
      </c>
      <c r="F658" s="3" t="str">
        <f>IFERROR(INDEX(Movimientos!$G$2:$G$1998,MATCH(A658&amp;"ENTRADA",Movimientos!$R$2:$R$1998,0)),"-")</f>
        <v>-</v>
      </c>
      <c r="G658" s="3" t="str">
        <f>IFERROR(INDEX(Movimientos!$L$2:$L$1998,MATCH(A658&amp;"ENTRADA",Movimientos!$R$2:$R$1998,0)),"-")</f>
        <v>-</v>
      </c>
      <c r="H658" s="19" t="str">
        <f>IFERROR(IF(INDEX(Movimientos!$M$2:$M$1998,MATCH(A658&amp;"ENTRADA",Movimientos!$R$2:$R$1998,0))=0,"S/D",INDEX(Movimientos!$M$2:$M$1998,MATCH(A658&amp;"ENTRADA",Movimientos!$R$2:$R$1998,0))),"S/D")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1"/>
        <v>SIN STOCK</v>
      </c>
    </row>
    <row r="659" spans="1:11" ht="14.25">
      <c r="A659" s="18" t="s">
        <v>2802</v>
      </c>
      <c r="B659" s="3" t="str">
        <f>IFERROR(INDEX(Movimientos!$C$2:$C$1998,MATCH(A659&amp;"ENTRADA",Movimientos!$R$2:$R$1998,0)),"-")</f>
        <v>-</v>
      </c>
      <c r="C659" s="3" t="str">
        <f>IFERROR(INDEX(Movimientos!$D$2:$D$1998,MATCH(A659&amp;"ENTRADA",Movimientos!$R$2:$R$1998,0)),"-")</f>
        <v>-</v>
      </c>
      <c r="D659" s="3" t="str">
        <f>IFERROR(INDEX(Movimientos!$E$2:$E$1998,MATCH(A659&amp;"ENTRADA",Movimientos!$R$2:$R$1998,0)),"-")</f>
        <v>-</v>
      </c>
      <c r="E659" s="3" t="str">
        <f>IFERROR(INDEX(Movimientos!$F$2:$F$1998,MATCH(A659&amp;"ENTRADA",Movimientos!$R$2:$R$1998,0)),"-")</f>
        <v>-</v>
      </c>
      <c r="F659" s="3" t="str">
        <f>IFERROR(INDEX(Movimientos!$G$2:$G$1998,MATCH(A659&amp;"ENTRADA",Movimientos!$R$2:$R$1998,0)),"-")</f>
        <v>-</v>
      </c>
      <c r="G659" s="3" t="str">
        <f>IFERROR(INDEX(Movimientos!$L$2:$L$1998,MATCH(A659&amp;"ENTRADA",Movimientos!$R$2:$R$1998,0)),"-")</f>
        <v>-</v>
      </c>
      <c r="H659" s="19" t="str">
        <f>IFERROR(IF(INDEX(Movimientos!$M$2:$M$1998,MATCH(A659&amp;"ENTRADA",Movimientos!$R$2:$R$1998,0))=0,"S/D",INDEX(Movimientos!$M$2:$M$1998,MATCH(A659&amp;"ENTRADA",Movimientos!$R$2:$R$1998,0))),"S/D")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1"/>
        <v>SIN STOCK</v>
      </c>
    </row>
    <row r="660" spans="1:11" ht="14.25">
      <c r="A660" s="18" t="s">
        <v>2803</v>
      </c>
      <c r="B660" s="3" t="str">
        <f>IFERROR(INDEX(Movimientos!$C$2:$C$1998,MATCH(A660&amp;"ENTRADA",Movimientos!$R$2:$R$1998,0)),"-")</f>
        <v>-</v>
      </c>
      <c r="C660" s="3" t="str">
        <f>IFERROR(INDEX(Movimientos!$D$2:$D$1998,MATCH(A660&amp;"ENTRADA",Movimientos!$R$2:$R$1998,0)),"-")</f>
        <v>-</v>
      </c>
      <c r="D660" s="3" t="str">
        <f>IFERROR(INDEX(Movimientos!$E$2:$E$1998,MATCH(A660&amp;"ENTRADA",Movimientos!$R$2:$R$1998,0)),"-")</f>
        <v>-</v>
      </c>
      <c r="E660" s="3" t="str">
        <f>IFERROR(INDEX(Movimientos!$F$2:$F$1998,MATCH(A660&amp;"ENTRADA",Movimientos!$R$2:$R$1998,0)),"-")</f>
        <v>-</v>
      </c>
      <c r="F660" s="3" t="str">
        <f>IFERROR(INDEX(Movimientos!$G$2:$G$1998,MATCH(A660&amp;"ENTRADA",Movimientos!$R$2:$R$1998,0)),"-")</f>
        <v>-</v>
      </c>
      <c r="G660" s="3" t="str">
        <f>IFERROR(INDEX(Movimientos!$L$2:$L$1998,MATCH(A660&amp;"ENTRADA",Movimientos!$R$2:$R$1998,0)),"-")</f>
        <v>-</v>
      </c>
      <c r="H660" s="19" t="str">
        <f>IFERROR(IF(INDEX(Movimientos!$M$2:$M$1998,MATCH(A660&amp;"ENTRADA",Movimientos!$R$2:$R$1998,0))=0,"S/D",INDEX(Movimientos!$M$2:$M$1998,MATCH(A660&amp;"ENTRADA",Movimientos!$R$2:$R$1998,0))),"S/D")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1"/>
        <v>SIN STOCK</v>
      </c>
    </row>
    <row r="661" spans="1:11" ht="14.25">
      <c r="A661" s="18" t="s">
        <v>2804</v>
      </c>
      <c r="B661" s="3" t="str">
        <f>IFERROR(INDEX(Movimientos!$C$2:$C$1998,MATCH(A661&amp;"ENTRADA",Movimientos!$R$2:$R$1998,0)),"-")</f>
        <v>-</v>
      </c>
      <c r="C661" s="3" t="str">
        <f>IFERROR(INDEX(Movimientos!$D$2:$D$1998,MATCH(A661&amp;"ENTRADA",Movimientos!$R$2:$R$1998,0)),"-")</f>
        <v>-</v>
      </c>
      <c r="D661" s="3" t="str">
        <f>IFERROR(INDEX(Movimientos!$E$2:$E$1998,MATCH(A661&amp;"ENTRADA",Movimientos!$R$2:$R$1998,0)),"-")</f>
        <v>-</v>
      </c>
      <c r="E661" s="3" t="str">
        <f>IFERROR(INDEX(Movimientos!$F$2:$F$1998,MATCH(A661&amp;"ENTRADA",Movimientos!$R$2:$R$1998,0)),"-")</f>
        <v>-</v>
      </c>
      <c r="F661" s="3" t="str">
        <f>IFERROR(INDEX(Movimientos!$G$2:$G$1998,MATCH(A661&amp;"ENTRADA",Movimientos!$R$2:$R$1998,0)),"-")</f>
        <v>-</v>
      </c>
      <c r="G661" s="3" t="str">
        <f>IFERROR(INDEX(Movimientos!$L$2:$L$1998,MATCH(A661&amp;"ENTRADA",Movimientos!$R$2:$R$1998,0)),"-")</f>
        <v>-</v>
      </c>
      <c r="H661" s="19" t="str">
        <f>IFERROR(IF(INDEX(Movimientos!$M$2:$M$1998,MATCH(A661&amp;"ENTRADA",Movimientos!$R$2:$R$1998,0))=0,"S/D",INDEX(Movimientos!$M$2:$M$1998,MATCH(A661&amp;"ENTRADA",Movimientos!$R$2:$R$1998,0))),"S/D")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1"/>
        <v>SIN STOCK</v>
      </c>
    </row>
    <row r="662" spans="1:11" ht="14.25">
      <c r="A662" s="18" t="s">
        <v>2805</v>
      </c>
      <c r="B662" s="3" t="str">
        <f>IFERROR(INDEX(Movimientos!$C$2:$C$1998,MATCH(A662&amp;"ENTRADA",Movimientos!$R$2:$R$1998,0)),"-")</f>
        <v>-</v>
      </c>
      <c r="C662" s="3" t="str">
        <f>IFERROR(INDEX(Movimientos!$D$2:$D$1998,MATCH(A662&amp;"ENTRADA",Movimientos!$R$2:$R$1998,0)),"-")</f>
        <v>-</v>
      </c>
      <c r="D662" s="3" t="str">
        <f>IFERROR(INDEX(Movimientos!$E$2:$E$1998,MATCH(A662&amp;"ENTRADA",Movimientos!$R$2:$R$1998,0)),"-")</f>
        <v>-</v>
      </c>
      <c r="E662" s="3" t="str">
        <f>IFERROR(INDEX(Movimientos!$F$2:$F$1998,MATCH(A662&amp;"ENTRADA",Movimientos!$R$2:$R$1998,0)),"-")</f>
        <v>-</v>
      </c>
      <c r="F662" s="3" t="str">
        <f>IFERROR(INDEX(Movimientos!$G$2:$G$1998,MATCH(A662&amp;"ENTRADA",Movimientos!$R$2:$R$1998,0)),"-")</f>
        <v>-</v>
      </c>
      <c r="G662" s="3" t="str">
        <f>IFERROR(INDEX(Movimientos!$L$2:$L$1998,MATCH(A662&amp;"ENTRADA",Movimientos!$R$2:$R$1998,0)),"-")</f>
        <v>-</v>
      </c>
      <c r="H662" s="19" t="str">
        <f>IFERROR(IF(INDEX(Movimientos!$M$2:$M$1998,MATCH(A662&amp;"ENTRADA",Movimientos!$R$2:$R$1998,0))=0,"S/D",INDEX(Movimientos!$M$2:$M$1998,MATCH(A662&amp;"ENTRADA",Movimientos!$R$2:$R$1998,0))),"S/D")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1"/>
        <v>SIN STOCK</v>
      </c>
    </row>
    <row r="663" spans="1:11" ht="14.25">
      <c r="A663" s="18" t="s">
        <v>2806</v>
      </c>
      <c r="B663" s="3" t="str">
        <f>IFERROR(INDEX(Movimientos!$C$2:$C$1998,MATCH(A663&amp;"ENTRADA",Movimientos!$R$2:$R$1998,0)),"-")</f>
        <v>-</v>
      </c>
      <c r="C663" s="3" t="str">
        <f>IFERROR(INDEX(Movimientos!$D$2:$D$1998,MATCH(A663&amp;"ENTRADA",Movimientos!$R$2:$R$1998,0)),"-")</f>
        <v>-</v>
      </c>
      <c r="D663" s="3" t="str">
        <f>IFERROR(INDEX(Movimientos!$E$2:$E$1998,MATCH(A663&amp;"ENTRADA",Movimientos!$R$2:$R$1998,0)),"-")</f>
        <v>-</v>
      </c>
      <c r="E663" s="3" t="str">
        <f>IFERROR(INDEX(Movimientos!$F$2:$F$1998,MATCH(A663&amp;"ENTRADA",Movimientos!$R$2:$R$1998,0)),"-")</f>
        <v>-</v>
      </c>
      <c r="F663" s="3" t="str">
        <f>IFERROR(INDEX(Movimientos!$G$2:$G$1998,MATCH(A663&amp;"ENTRADA",Movimientos!$R$2:$R$1998,0)),"-")</f>
        <v>-</v>
      </c>
      <c r="G663" s="3" t="str">
        <f>IFERROR(INDEX(Movimientos!$L$2:$L$1998,MATCH(A663&amp;"ENTRADA",Movimientos!$R$2:$R$1998,0)),"-")</f>
        <v>-</v>
      </c>
      <c r="H663" s="19" t="str">
        <f>IFERROR(IF(INDEX(Movimientos!$M$2:$M$1998,MATCH(A663&amp;"ENTRADA",Movimientos!$R$2:$R$1998,0))=0,"S/D",INDEX(Movimientos!$M$2:$M$1998,MATCH(A663&amp;"ENTRADA",Movimientos!$R$2:$R$1998,0))),"S/D")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1"/>
        <v>SIN STOCK</v>
      </c>
    </row>
    <row r="664" spans="1:11" ht="14.25">
      <c r="A664" s="18" t="s">
        <v>2807</v>
      </c>
      <c r="B664" s="3" t="str">
        <f>IFERROR(INDEX(Movimientos!$C$2:$C$1998,MATCH(A664&amp;"ENTRADA",Movimientos!$R$2:$R$1998,0)),"-")</f>
        <v>-</v>
      </c>
      <c r="C664" s="3" t="str">
        <f>IFERROR(INDEX(Movimientos!$D$2:$D$1998,MATCH(A664&amp;"ENTRADA",Movimientos!$R$2:$R$1998,0)),"-")</f>
        <v>-</v>
      </c>
      <c r="D664" s="3" t="str">
        <f>IFERROR(INDEX(Movimientos!$E$2:$E$1998,MATCH(A664&amp;"ENTRADA",Movimientos!$R$2:$R$1998,0)),"-")</f>
        <v>-</v>
      </c>
      <c r="E664" s="3" t="str">
        <f>IFERROR(INDEX(Movimientos!$F$2:$F$1998,MATCH(A664&amp;"ENTRADA",Movimientos!$R$2:$R$1998,0)),"-")</f>
        <v>-</v>
      </c>
      <c r="F664" s="3" t="str">
        <f>IFERROR(INDEX(Movimientos!$G$2:$G$1998,MATCH(A664&amp;"ENTRADA",Movimientos!$R$2:$R$1998,0)),"-")</f>
        <v>-</v>
      </c>
      <c r="G664" s="3" t="str">
        <f>IFERROR(INDEX(Movimientos!$L$2:$L$1998,MATCH(A664&amp;"ENTRADA",Movimientos!$R$2:$R$1998,0)),"-")</f>
        <v>-</v>
      </c>
      <c r="H664" s="19" t="str">
        <f>IFERROR(IF(INDEX(Movimientos!$M$2:$M$1998,MATCH(A664&amp;"ENTRADA",Movimientos!$R$2:$R$1998,0))=0,"S/D",INDEX(Movimientos!$M$2:$M$1998,MATCH(A664&amp;"ENTRADA",Movimientos!$R$2:$R$1998,0))),"S/D")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1"/>
        <v>SIN STOCK</v>
      </c>
    </row>
    <row r="665" spans="1:11" ht="14.25">
      <c r="A665" s="18" t="s">
        <v>2808</v>
      </c>
      <c r="B665" s="3" t="str">
        <f>IFERROR(INDEX(Movimientos!$C$2:$C$1998,MATCH(A665&amp;"ENTRADA",Movimientos!$R$2:$R$1998,0)),"-")</f>
        <v>-</v>
      </c>
      <c r="C665" s="3" t="str">
        <f>IFERROR(INDEX(Movimientos!$D$2:$D$1998,MATCH(A665&amp;"ENTRADA",Movimientos!$R$2:$R$1998,0)),"-")</f>
        <v>-</v>
      </c>
      <c r="D665" s="3" t="str">
        <f>IFERROR(INDEX(Movimientos!$E$2:$E$1998,MATCH(A665&amp;"ENTRADA",Movimientos!$R$2:$R$1998,0)),"-")</f>
        <v>-</v>
      </c>
      <c r="E665" s="3" t="str">
        <f>IFERROR(INDEX(Movimientos!$F$2:$F$1998,MATCH(A665&amp;"ENTRADA",Movimientos!$R$2:$R$1998,0)),"-")</f>
        <v>-</v>
      </c>
      <c r="F665" s="3" t="str">
        <f>IFERROR(INDEX(Movimientos!$G$2:$G$1998,MATCH(A665&amp;"ENTRADA",Movimientos!$R$2:$R$1998,0)),"-")</f>
        <v>-</v>
      </c>
      <c r="G665" s="3" t="str">
        <f>IFERROR(INDEX(Movimientos!$L$2:$L$1998,MATCH(A665&amp;"ENTRADA",Movimientos!$R$2:$R$1998,0)),"-")</f>
        <v>-</v>
      </c>
      <c r="H665" s="19" t="str">
        <f>IFERROR(IF(INDEX(Movimientos!$M$2:$M$1998,MATCH(A665&amp;"ENTRADA",Movimientos!$R$2:$R$1998,0))=0,"S/D",INDEX(Movimientos!$M$2:$M$1998,MATCH(A665&amp;"ENTRADA",Movimientos!$R$2:$R$1998,0))),"S/D")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1"/>
        <v>SIN STOCK</v>
      </c>
    </row>
    <row r="666" spans="1:11" ht="14.25">
      <c r="A666" s="18" t="s">
        <v>2809</v>
      </c>
      <c r="B666" s="3" t="str">
        <f>IFERROR(INDEX(Movimientos!$C$2:$C$1998,MATCH(A666&amp;"ENTRADA",Movimientos!$R$2:$R$1998,0)),"-")</f>
        <v>-</v>
      </c>
      <c r="C666" s="3" t="str">
        <f>IFERROR(INDEX(Movimientos!$D$2:$D$1998,MATCH(A666&amp;"ENTRADA",Movimientos!$R$2:$R$1998,0)),"-")</f>
        <v>-</v>
      </c>
      <c r="D666" s="3" t="str">
        <f>IFERROR(INDEX(Movimientos!$E$2:$E$1998,MATCH(A666&amp;"ENTRADA",Movimientos!$R$2:$R$1998,0)),"-")</f>
        <v>-</v>
      </c>
      <c r="E666" s="3" t="str">
        <f>IFERROR(INDEX(Movimientos!$F$2:$F$1998,MATCH(A666&amp;"ENTRADA",Movimientos!$R$2:$R$1998,0)),"-")</f>
        <v>-</v>
      </c>
      <c r="F666" s="3" t="str">
        <f>IFERROR(INDEX(Movimientos!$G$2:$G$1998,MATCH(A666&amp;"ENTRADA",Movimientos!$R$2:$R$1998,0)),"-")</f>
        <v>-</v>
      </c>
      <c r="G666" s="3" t="str">
        <f>IFERROR(INDEX(Movimientos!$L$2:$L$1998,MATCH(A666&amp;"ENTRADA",Movimientos!$R$2:$R$1998,0)),"-")</f>
        <v>-</v>
      </c>
      <c r="H666" s="19" t="str">
        <f>IFERROR(IF(INDEX(Movimientos!$M$2:$M$1998,MATCH(A666&amp;"ENTRADA",Movimientos!$R$2:$R$1998,0))=0,"S/D",INDEX(Movimientos!$M$2:$M$1998,MATCH(A666&amp;"ENTRADA",Movimientos!$R$2:$R$1998,0))),"S/D")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1"/>
        <v>SIN STOCK</v>
      </c>
    </row>
    <row r="667" spans="1:11" ht="14.25">
      <c r="A667" s="18" t="s">
        <v>2810</v>
      </c>
      <c r="B667" s="3" t="str">
        <f>IFERROR(INDEX(Movimientos!$C$2:$C$1998,MATCH(A667&amp;"ENTRADA",Movimientos!$R$2:$R$1998,0)),"-")</f>
        <v>-</v>
      </c>
      <c r="C667" s="3" t="str">
        <f>IFERROR(INDEX(Movimientos!$D$2:$D$1998,MATCH(A667&amp;"ENTRADA",Movimientos!$R$2:$R$1998,0)),"-")</f>
        <v>-</v>
      </c>
      <c r="D667" s="3" t="str">
        <f>IFERROR(INDEX(Movimientos!$E$2:$E$1998,MATCH(A667&amp;"ENTRADA",Movimientos!$R$2:$R$1998,0)),"-")</f>
        <v>-</v>
      </c>
      <c r="E667" s="3" t="str">
        <f>IFERROR(INDEX(Movimientos!$F$2:$F$1998,MATCH(A667&amp;"ENTRADA",Movimientos!$R$2:$R$1998,0)),"-")</f>
        <v>-</v>
      </c>
      <c r="F667" s="3" t="str">
        <f>IFERROR(INDEX(Movimientos!$G$2:$G$1998,MATCH(A667&amp;"ENTRADA",Movimientos!$R$2:$R$1998,0)),"-")</f>
        <v>-</v>
      </c>
      <c r="G667" s="3" t="str">
        <f>IFERROR(INDEX(Movimientos!$L$2:$L$1998,MATCH(A667&amp;"ENTRADA",Movimientos!$R$2:$R$1998,0)),"-")</f>
        <v>-</v>
      </c>
      <c r="H667" s="19" t="str">
        <f>IFERROR(IF(INDEX(Movimientos!$M$2:$M$1998,MATCH(A667&amp;"ENTRADA",Movimientos!$R$2:$R$1998,0))=0,"S/D",INDEX(Movimientos!$M$2:$M$1998,MATCH(A667&amp;"ENTRADA",Movimientos!$R$2:$R$1998,0))),"S/D")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1"/>
        <v>SIN STOCK</v>
      </c>
    </row>
    <row r="668" spans="1:11" ht="14.25">
      <c r="A668" s="18" t="s">
        <v>2811</v>
      </c>
      <c r="B668" s="3" t="str">
        <f>IFERROR(INDEX(Movimientos!$C$2:$C$1998,MATCH(A668&amp;"ENTRADA",Movimientos!$R$2:$R$1998,0)),"-")</f>
        <v>-</v>
      </c>
      <c r="C668" s="3" t="str">
        <f>IFERROR(INDEX(Movimientos!$D$2:$D$1998,MATCH(A668&amp;"ENTRADA",Movimientos!$R$2:$R$1998,0)),"-")</f>
        <v>-</v>
      </c>
      <c r="D668" s="3" t="str">
        <f>IFERROR(INDEX(Movimientos!$E$2:$E$1998,MATCH(A668&amp;"ENTRADA",Movimientos!$R$2:$R$1998,0)),"-")</f>
        <v>-</v>
      </c>
      <c r="E668" s="3" t="str">
        <f>IFERROR(INDEX(Movimientos!$F$2:$F$1998,MATCH(A668&amp;"ENTRADA",Movimientos!$R$2:$R$1998,0)),"-")</f>
        <v>-</v>
      </c>
      <c r="F668" s="3" t="str">
        <f>IFERROR(INDEX(Movimientos!$G$2:$G$1998,MATCH(A668&amp;"ENTRADA",Movimientos!$R$2:$R$1998,0)),"-")</f>
        <v>-</v>
      </c>
      <c r="G668" s="3" t="str">
        <f>IFERROR(INDEX(Movimientos!$L$2:$L$1998,MATCH(A668&amp;"ENTRADA",Movimientos!$R$2:$R$1998,0)),"-")</f>
        <v>-</v>
      </c>
      <c r="H668" s="19" t="str">
        <f>IFERROR(IF(INDEX(Movimientos!$M$2:$M$1998,MATCH(A668&amp;"ENTRADA",Movimientos!$R$2:$R$1998,0))=0,"S/D",INDEX(Movimientos!$M$2:$M$1998,MATCH(A668&amp;"ENTRADA",Movimientos!$R$2:$R$1998,0))),"S/D")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1"/>
        <v>SIN STOCK</v>
      </c>
    </row>
    <row r="669" spans="1:11" ht="14.25">
      <c r="A669" s="18" t="s">
        <v>2812</v>
      </c>
      <c r="B669" s="3" t="str">
        <f>IFERROR(INDEX(Movimientos!$C$2:$C$1998,MATCH(A669&amp;"ENTRADA",Movimientos!$R$2:$R$1998,0)),"-")</f>
        <v>-</v>
      </c>
      <c r="C669" s="3" t="str">
        <f>IFERROR(INDEX(Movimientos!$D$2:$D$1998,MATCH(A669&amp;"ENTRADA",Movimientos!$R$2:$R$1998,0)),"-")</f>
        <v>-</v>
      </c>
      <c r="D669" s="3" t="str">
        <f>IFERROR(INDEX(Movimientos!$E$2:$E$1998,MATCH(A669&amp;"ENTRADA",Movimientos!$R$2:$R$1998,0)),"-")</f>
        <v>-</v>
      </c>
      <c r="E669" s="3" t="str">
        <f>IFERROR(INDEX(Movimientos!$F$2:$F$1998,MATCH(A669&amp;"ENTRADA",Movimientos!$R$2:$R$1998,0)),"-")</f>
        <v>-</v>
      </c>
      <c r="F669" s="3" t="str">
        <f>IFERROR(INDEX(Movimientos!$G$2:$G$1998,MATCH(A669&amp;"ENTRADA",Movimientos!$R$2:$R$1998,0)),"-")</f>
        <v>-</v>
      </c>
      <c r="G669" s="3" t="str">
        <f>IFERROR(INDEX(Movimientos!$L$2:$L$1998,MATCH(A669&amp;"ENTRADA",Movimientos!$R$2:$R$1998,0)),"-")</f>
        <v>-</v>
      </c>
      <c r="H669" s="19" t="str">
        <f>IFERROR(IF(INDEX(Movimientos!$M$2:$M$1998,MATCH(A669&amp;"ENTRADA",Movimientos!$R$2:$R$1998,0))=0,"S/D",INDEX(Movimientos!$M$2:$M$1998,MATCH(A669&amp;"ENTRADA",Movimientos!$R$2:$R$1998,0))),"S/D")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1"/>
        <v>SIN STOCK</v>
      </c>
    </row>
    <row r="670" spans="1:11" ht="14.25">
      <c r="A670" s="18" t="s">
        <v>2813</v>
      </c>
      <c r="B670" s="3" t="str">
        <f>IFERROR(INDEX(Movimientos!$C$2:$C$1998,MATCH(A670&amp;"ENTRADA",Movimientos!$R$2:$R$1998,0)),"-")</f>
        <v>-</v>
      </c>
      <c r="C670" s="3" t="str">
        <f>IFERROR(INDEX(Movimientos!$D$2:$D$1998,MATCH(A670&amp;"ENTRADA",Movimientos!$R$2:$R$1998,0)),"-")</f>
        <v>-</v>
      </c>
      <c r="D670" s="3" t="str">
        <f>IFERROR(INDEX(Movimientos!$E$2:$E$1998,MATCH(A670&amp;"ENTRADA",Movimientos!$R$2:$R$1998,0)),"-")</f>
        <v>-</v>
      </c>
      <c r="E670" s="3" t="str">
        <f>IFERROR(INDEX(Movimientos!$F$2:$F$1998,MATCH(A670&amp;"ENTRADA",Movimientos!$R$2:$R$1998,0)),"-")</f>
        <v>-</v>
      </c>
      <c r="F670" s="3" t="str">
        <f>IFERROR(INDEX(Movimientos!$G$2:$G$1998,MATCH(A670&amp;"ENTRADA",Movimientos!$R$2:$R$1998,0)),"-")</f>
        <v>-</v>
      </c>
      <c r="G670" s="3" t="str">
        <f>IFERROR(INDEX(Movimientos!$L$2:$L$1998,MATCH(A670&amp;"ENTRADA",Movimientos!$R$2:$R$1998,0)),"-")</f>
        <v>-</v>
      </c>
      <c r="H670" s="19" t="str">
        <f>IFERROR(IF(INDEX(Movimientos!$M$2:$M$1998,MATCH(A670&amp;"ENTRADA",Movimientos!$R$2:$R$1998,0))=0,"S/D",INDEX(Movimientos!$M$2:$M$1998,MATCH(A670&amp;"ENTRADA",Movimientos!$R$2:$R$1998,0))),"S/D")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1"/>
        <v>SIN STOCK</v>
      </c>
    </row>
    <row r="671" spans="1:11" ht="14.25">
      <c r="A671" s="18" t="s">
        <v>2814</v>
      </c>
      <c r="B671" s="3" t="str">
        <f>IFERROR(INDEX(Movimientos!$C$2:$C$1998,MATCH(A671&amp;"ENTRADA",Movimientos!$R$2:$R$1998,0)),"-")</f>
        <v>-</v>
      </c>
      <c r="C671" s="3" t="str">
        <f>IFERROR(INDEX(Movimientos!$D$2:$D$1998,MATCH(A671&amp;"ENTRADA",Movimientos!$R$2:$R$1998,0)),"-")</f>
        <v>-</v>
      </c>
      <c r="D671" s="3" t="str">
        <f>IFERROR(INDEX(Movimientos!$E$2:$E$1998,MATCH(A671&amp;"ENTRADA",Movimientos!$R$2:$R$1998,0)),"-")</f>
        <v>-</v>
      </c>
      <c r="E671" s="3" t="str">
        <f>IFERROR(INDEX(Movimientos!$F$2:$F$1998,MATCH(A671&amp;"ENTRADA",Movimientos!$R$2:$R$1998,0)),"-")</f>
        <v>-</v>
      </c>
      <c r="F671" s="3" t="str">
        <f>IFERROR(INDEX(Movimientos!$G$2:$G$1998,MATCH(A671&amp;"ENTRADA",Movimientos!$R$2:$R$1998,0)),"-")</f>
        <v>-</v>
      </c>
      <c r="G671" s="3" t="str">
        <f>IFERROR(INDEX(Movimientos!$L$2:$L$1998,MATCH(A671&amp;"ENTRADA",Movimientos!$R$2:$R$1998,0)),"-")</f>
        <v>-</v>
      </c>
      <c r="H671" s="19" t="str">
        <f>IFERROR(IF(INDEX(Movimientos!$M$2:$M$1998,MATCH(A671&amp;"ENTRADA",Movimientos!$R$2:$R$1998,0))=0,"S/D",INDEX(Movimientos!$M$2:$M$1998,MATCH(A671&amp;"ENTRADA",Movimientos!$R$2:$R$1998,0))),"S/D")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1"/>
        <v>SIN STOCK</v>
      </c>
    </row>
    <row r="672" spans="1:11" ht="14.25">
      <c r="A672" s="18" t="s">
        <v>2815</v>
      </c>
      <c r="B672" s="3" t="str">
        <f>IFERROR(INDEX(Movimientos!$C$2:$C$1998,MATCH(A672&amp;"ENTRADA",Movimientos!$R$2:$R$1998,0)),"-")</f>
        <v>-</v>
      </c>
      <c r="C672" s="3" t="str">
        <f>IFERROR(INDEX(Movimientos!$D$2:$D$1998,MATCH(A672&amp;"ENTRADA",Movimientos!$R$2:$R$1998,0)),"-")</f>
        <v>-</v>
      </c>
      <c r="D672" s="3" t="str">
        <f>IFERROR(INDEX(Movimientos!$E$2:$E$1998,MATCH(A672&amp;"ENTRADA",Movimientos!$R$2:$R$1998,0)),"-")</f>
        <v>-</v>
      </c>
      <c r="E672" s="3" t="str">
        <f>IFERROR(INDEX(Movimientos!$F$2:$F$1998,MATCH(A672&amp;"ENTRADA",Movimientos!$R$2:$R$1998,0)),"-")</f>
        <v>-</v>
      </c>
      <c r="F672" s="3" t="str">
        <f>IFERROR(INDEX(Movimientos!$G$2:$G$1998,MATCH(A672&amp;"ENTRADA",Movimientos!$R$2:$R$1998,0)),"-")</f>
        <v>-</v>
      </c>
      <c r="G672" s="3" t="str">
        <f>IFERROR(INDEX(Movimientos!$L$2:$L$1998,MATCH(A672&amp;"ENTRADA",Movimientos!$R$2:$R$1998,0)),"-")</f>
        <v>-</v>
      </c>
      <c r="H672" s="19" t="str">
        <f>IFERROR(IF(INDEX(Movimientos!$M$2:$M$1998,MATCH(A672&amp;"ENTRADA",Movimientos!$R$2:$R$1998,0))=0,"S/D",INDEX(Movimientos!$M$2:$M$1998,MATCH(A672&amp;"ENTRADA",Movimientos!$R$2:$R$1998,0))),"S/D")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1"/>
        <v>SIN STOCK</v>
      </c>
    </row>
    <row r="673" spans="1:11" ht="14.25">
      <c r="A673" s="18" t="s">
        <v>2816</v>
      </c>
      <c r="B673" s="3" t="str">
        <f>IFERROR(INDEX(Movimientos!$C$2:$C$1998,MATCH(A673&amp;"ENTRADA",Movimientos!$R$2:$R$1998,0)),"-")</f>
        <v>-</v>
      </c>
      <c r="C673" s="3" t="str">
        <f>IFERROR(INDEX(Movimientos!$D$2:$D$1998,MATCH(A673&amp;"ENTRADA",Movimientos!$R$2:$R$1998,0)),"-")</f>
        <v>-</v>
      </c>
      <c r="D673" s="3" t="str">
        <f>IFERROR(INDEX(Movimientos!$E$2:$E$1998,MATCH(A673&amp;"ENTRADA",Movimientos!$R$2:$R$1998,0)),"-")</f>
        <v>-</v>
      </c>
      <c r="E673" s="3" t="str">
        <f>IFERROR(INDEX(Movimientos!$F$2:$F$1998,MATCH(A673&amp;"ENTRADA",Movimientos!$R$2:$R$1998,0)),"-")</f>
        <v>-</v>
      </c>
      <c r="F673" s="3" t="str">
        <f>IFERROR(INDEX(Movimientos!$G$2:$G$1998,MATCH(A673&amp;"ENTRADA",Movimientos!$R$2:$R$1998,0)),"-")</f>
        <v>-</v>
      </c>
      <c r="G673" s="3" t="str">
        <f>IFERROR(INDEX(Movimientos!$L$2:$L$1998,MATCH(A673&amp;"ENTRADA",Movimientos!$R$2:$R$1998,0)),"-")</f>
        <v>-</v>
      </c>
      <c r="H673" s="19" t="str">
        <f>IFERROR(IF(INDEX(Movimientos!$M$2:$M$1998,MATCH(A673&amp;"ENTRADA",Movimientos!$R$2:$R$1998,0))=0,"S/D",INDEX(Movimientos!$M$2:$M$1998,MATCH(A673&amp;"ENTRADA",Movimientos!$R$2:$R$1998,0))),"S/D")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1"/>
        <v>SIN STOCK</v>
      </c>
    </row>
    <row r="674" spans="1:11" ht="14.25">
      <c r="A674" s="18" t="s">
        <v>2817</v>
      </c>
      <c r="B674" s="3" t="str">
        <f>IFERROR(INDEX(Movimientos!$C$2:$C$1998,MATCH(A674&amp;"ENTRADA",Movimientos!$R$2:$R$1998,0)),"-")</f>
        <v>-</v>
      </c>
      <c r="C674" s="3" t="str">
        <f>IFERROR(INDEX(Movimientos!$D$2:$D$1998,MATCH(A674&amp;"ENTRADA",Movimientos!$R$2:$R$1998,0)),"-")</f>
        <v>-</v>
      </c>
      <c r="D674" s="3" t="str">
        <f>IFERROR(INDEX(Movimientos!$E$2:$E$1998,MATCH(A674&amp;"ENTRADA",Movimientos!$R$2:$R$1998,0)),"-")</f>
        <v>-</v>
      </c>
      <c r="E674" s="3" t="str">
        <f>IFERROR(INDEX(Movimientos!$F$2:$F$1998,MATCH(A674&amp;"ENTRADA",Movimientos!$R$2:$R$1998,0)),"-")</f>
        <v>-</v>
      </c>
      <c r="F674" s="3" t="str">
        <f>IFERROR(INDEX(Movimientos!$G$2:$G$1998,MATCH(A674&amp;"ENTRADA",Movimientos!$R$2:$R$1998,0)),"-")</f>
        <v>-</v>
      </c>
      <c r="G674" s="3" t="str">
        <f>IFERROR(INDEX(Movimientos!$L$2:$L$1998,MATCH(A674&amp;"ENTRADA",Movimientos!$R$2:$R$1998,0)),"-")</f>
        <v>-</v>
      </c>
      <c r="H674" s="19" t="str">
        <f>IFERROR(IF(INDEX(Movimientos!$M$2:$M$1998,MATCH(A674&amp;"ENTRADA",Movimientos!$R$2:$R$1998,0))=0,"S/D",INDEX(Movimientos!$M$2:$M$1998,MATCH(A674&amp;"ENTRADA",Movimientos!$R$2:$R$1998,0))),"S/D")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1"/>
        <v>SIN STOCK</v>
      </c>
    </row>
    <row r="675" spans="1:11" ht="14.25">
      <c r="A675" s="18" t="s">
        <v>2818</v>
      </c>
      <c r="B675" s="3" t="str">
        <f>IFERROR(INDEX(Movimientos!$C$2:$C$1998,MATCH(A675&amp;"ENTRADA",Movimientos!$R$2:$R$1998,0)),"-")</f>
        <v>-</v>
      </c>
      <c r="C675" s="3" t="str">
        <f>IFERROR(INDEX(Movimientos!$D$2:$D$1998,MATCH(A675&amp;"ENTRADA",Movimientos!$R$2:$R$1998,0)),"-")</f>
        <v>-</v>
      </c>
      <c r="D675" s="3" t="str">
        <f>IFERROR(INDEX(Movimientos!$E$2:$E$1998,MATCH(A675&amp;"ENTRADA",Movimientos!$R$2:$R$1998,0)),"-")</f>
        <v>-</v>
      </c>
      <c r="E675" s="3" t="str">
        <f>IFERROR(INDEX(Movimientos!$F$2:$F$1998,MATCH(A675&amp;"ENTRADA",Movimientos!$R$2:$R$1998,0)),"-")</f>
        <v>-</v>
      </c>
      <c r="F675" s="3" t="str">
        <f>IFERROR(INDEX(Movimientos!$G$2:$G$1998,MATCH(A675&amp;"ENTRADA",Movimientos!$R$2:$R$1998,0)),"-")</f>
        <v>-</v>
      </c>
      <c r="G675" s="3" t="str">
        <f>IFERROR(INDEX(Movimientos!$L$2:$L$1998,MATCH(A675&amp;"ENTRADA",Movimientos!$R$2:$R$1998,0)),"-")</f>
        <v>-</v>
      </c>
      <c r="H675" s="19" t="str">
        <f>IFERROR(IF(INDEX(Movimientos!$M$2:$M$1998,MATCH(A675&amp;"ENTRADA",Movimientos!$R$2:$R$1998,0))=0,"S/D",INDEX(Movimientos!$M$2:$M$1998,MATCH(A675&amp;"ENTRADA",Movimientos!$R$2:$R$1998,0))),"S/D")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1"/>
        <v>SIN STOCK</v>
      </c>
    </row>
    <row r="676" spans="1:11" ht="14.25">
      <c r="A676" s="18" t="s">
        <v>2819</v>
      </c>
      <c r="B676" s="3" t="str">
        <f>IFERROR(INDEX(Movimientos!$C$2:$C$1998,MATCH(A676&amp;"ENTRADA",Movimientos!$R$2:$R$1998,0)),"-")</f>
        <v>-</v>
      </c>
      <c r="C676" s="3" t="str">
        <f>IFERROR(INDEX(Movimientos!$D$2:$D$1998,MATCH(A676&amp;"ENTRADA",Movimientos!$R$2:$R$1998,0)),"-")</f>
        <v>-</v>
      </c>
      <c r="D676" s="3" t="str">
        <f>IFERROR(INDEX(Movimientos!$E$2:$E$1998,MATCH(A676&amp;"ENTRADA",Movimientos!$R$2:$R$1998,0)),"-")</f>
        <v>-</v>
      </c>
      <c r="E676" s="3" t="str">
        <f>IFERROR(INDEX(Movimientos!$F$2:$F$1998,MATCH(A676&amp;"ENTRADA",Movimientos!$R$2:$R$1998,0)),"-")</f>
        <v>-</v>
      </c>
      <c r="F676" s="3" t="str">
        <f>IFERROR(INDEX(Movimientos!$G$2:$G$1998,MATCH(A676&amp;"ENTRADA",Movimientos!$R$2:$R$1998,0)),"-")</f>
        <v>-</v>
      </c>
      <c r="G676" s="3" t="str">
        <f>IFERROR(INDEX(Movimientos!$L$2:$L$1998,MATCH(A676&amp;"ENTRADA",Movimientos!$R$2:$R$1998,0)),"-")</f>
        <v>-</v>
      </c>
      <c r="H676" s="19" t="str">
        <f>IFERROR(IF(INDEX(Movimientos!$M$2:$M$1998,MATCH(A676&amp;"ENTRADA",Movimientos!$R$2:$R$1998,0))=0,"S/D",INDEX(Movimientos!$M$2:$M$1998,MATCH(A676&amp;"ENTRADA",Movimientos!$R$2:$R$1998,0))),"S/D")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1"/>
        <v>SIN STOCK</v>
      </c>
    </row>
    <row r="677" spans="1:11" ht="14.25">
      <c r="A677" s="18" t="s">
        <v>2820</v>
      </c>
      <c r="B677" s="3" t="str">
        <f>IFERROR(INDEX(Movimientos!$C$2:$C$1998,MATCH(A677&amp;"ENTRADA",Movimientos!$R$2:$R$1998,0)),"-")</f>
        <v>-</v>
      </c>
      <c r="C677" s="3" t="str">
        <f>IFERROR(INDEX(Movimientos!$D$2:$D$1998,MATCH(A677&amp;"ENTRADA",Movimientos!$R$2:$R$1998,0)),"-")</f>
        <v>-</v>
      </c>
      <c r="D677" s="3" t="str">
        <f>IFERROR(INDEX(Movimientos!$E$2:$E$1998,MATCH(A677&amp;"ENTRADA",Movimientos!$R$2:$R$1998,0)),"-")</f>
        <v>-</v>
      </c>
      <c r="E677" s="3" t="str">
        <f>IFERROR(INDEX(Movimientos!$F$2:$F$1998,MATCH(A677&amp;"ENTRADA",Movimientos!$R$2:$R$1998,0)),"-")</f>
        <v>-</v>
      </c>
      <c r="F677" s="3" t="str">
        <f>IFERROR(INDEX(Movimientos!$G$2:$G$1998,MATCH(A677&amp;"ENTRADA",Movimientos!$R$2:$R$1998,0)),"-")</f>
        <v>-</v>
      </c>
      <c r="G677" s="3" t="str">
        <f>IFERROR(INDEX(Movimientos!$L$2:$L$1998,MATCH(A677&amp;"ENTRADA",Movimientos!$R$2:$R$1998,0)),"-")</f>
        <v>-</v>
      </c>
      <c r="H677" s="19" t="str">
        <f>IFERROR(IF(INDEX(Movimientos!$M$2:$M$1998,MATCH(A677&amp;"ENTRADA",Movimientos!$R$2:$R$1998,0))=0,"S/D",INDEX(Movimientos!$M$2:$M$1998,MATCH(A677&amp;"ENTRADA",Movimientos!$R$2:$R$1998,0))),"S/D")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1"/>
        <v>SIN STOCK</v>
      </c>
    </row>
    <row r="678" spans="1:11" ht="14.25">
      <c r="A678" s="18" t="s">
        <v>2821</v>
      </c>
      <c r="B678" s="3" t="str">
        <f>IFERROR(INDEX(Movimientos!$C$2:$C$1998,MATCH(A678&amp;"ENTRADA",Movimientos!$R$2:$R$1998,0)),"-")</f>
        <v>-</v>
      </c>
      <c r="C678" s="3" t="str">
        <f>IFERROR(INDEX(Movimientos!$D$2:$D$1998,MATCH(A678&amp;"ENTRADA",Movimientos!$R$2:$R$1998,0)),"-")</f>
        <v>-</v>
      </c>
      <c r="D678" s="3" t="str">
        <f>IFERROR(INDEX(Movimientos!$E$2:$E$1998,MATCH(A678&amp;"ENTRADA",Movimientos!$R$2:$R$1998,0)),"-")</f>
        <v>-</v>
      </c>
      <c r="E678" s="3" t="str">
        <f>IFERROR(INDEX(Movimientos!$F$2:$F$1998,MATCH(A678&amp;"ENTRADA",Movimientos!$R$2:$R$1998,0)),"-")</f>
        <v>-</v>
      </c>
      <c r="F678" s="3" t="str">
        <f>IFERROR(INDEX(Movimientos!$G$2:$G$1998,MATCH(A678&amp;"ENTRADA",Movimientos!$R$2:$R$1998,0)),"-")</f>
        <v>-</v>
      </c>
      <c r="G678" s="3" t="str">
        <f>IFERROR(INDEX(Movimientos!$L$2:$L$1998,MATCH(A678&amp;"ENTRADA",Movimientos!$R$2:$R$1998,0)),"-")</f>
        <v>-</v>
      </c>
      <c r="H678" s="19" t="str">
        <f>IFERROR(IF(INDEX(Movimientos!$M$2:$M$1998,MATCH(A678&amp;"ENTRADA",Movimientos!$R$2:$R$1998,0))=0,"S/D",INDEX(Movimientos!$M$2:$M$1998,MATCH(A678&amp;"ENTRADA",Movimientos!$R$2:$R$1998,0))),"S/D")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1"/>
        <v>SIN STOCK</v>
      </c>
    </row>
    <row r="679" spans="1:11" ht="14.25">
      <c r="A679" s="18" t="s">
        <v>2822</v>
      </c>
      <c r="B679" s="3" t="str">
        <f>IFERROR(INDEX(Movimientos!$C$2:$C$1998,MATCH(A679&amp;"ENTRADA",Movimientos!$R$2:$R$1998,0)),"-")</f>
        <v>-</v>
      </c>
      <c r="C679" s="3" t="str">
        <f>IFERROR(INDEX(Movimientos!$D$2:$D$1998,MATCH(A679&amp;"ENTRADA",Movimientos!$R$2:$R$1998,0)),"-")</f>
        <v>-</v>
      </c>
      <c r="D679" s="3" t="str">
        <f>IFERROR(INDEX(Movimientos!$E$2:$E$1998,MATCH(A679&amp;"ENTRADA",Movimientos!$R$2:$R$1998,0)),"-")</f>
        <v>-</v>
      </c>
      <c r="E679" s="3" t="str">
        <f>IFERROR(INDEX(Movimientos!$F$2:$F$1998,MATCH(A679&amp;"ENTRADA",Movimientos!$R$2:$R$1998,0)),"-")</f>
        <v>-</v>
      </c>
      <c r="F679" s="3" t="str">
        <f>IFERROR(INDEX(Movimientos!$G$2:$G$1998,MATCH(A679&amp;"ENTRADA",Movimientos!$R$2:$R$1998,0)),"-")</f>
        <v>-</v>
      </c>
      <c r="G679" s="3" t="str">
        <f>IFERROR(INDEX(Movimientos!$L$2:$L$1998,MATCH(A679&amp;"ENTRADA",Movimientos!$R$2:$R$1998,0)),"-")</f>
        <v>-</v>
      </c>
      <c r="H679" s="19" t="str">
        <f>IFERROR(IF(INDEX(Movimientos!$M$2:$M$1998,MATCH(A679&amp;"ENTRADA",Movimientos!$R$2:$R$1998,0))=0,"S/D",INDEX(Movimientos!$M$2:$M$1998,MATCH(A679&amp;"ENTRADA",Movimientos!$R$2:$R$1998,0))),"S/D")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1"/>
        <v>SIN STOCK</v>
      </c>
    </row>
    <row r="680" spans="1:11" ht="14.25">
      <c r="A680" s="18" t="s">
        <v>2823</v>
      </c>
      <c r="B680" s="3" t="str">
        <f>IFERROR(INDEX(Movimientos!$C$2:$C$1998,MATCH(A680&amp;"ENTRADA",Movimientos!$R$2:$R$1998,0)),"-")</f>
        <v>-</v>
      </c>
      <c r="C680" s="3" t="str">
        <f>IFERROR(INDEX(Movimientos!$D$2:$D$1998,MATCH(A680&amp;"ENTRADA",Movimientos!$R$2:$R$1998,0)),"-")</f>
        <v>-</v>
      </c>
      <c r="D680" s="3" t="str">
        <f>IFERROR(INDEX(Movimientos!$E$2:$E$1998,MATCH(A680&amp;"ENTRADA",Movimientos!$R$2:$R$1998,0)),"-")</f>
        <v>-</v>
      </c>
      <c r="E680" s="3" t="str">
        <f>IFERROR(INDEX(Movimientos!$F$2:$F$1998,MATCH(A680&amp;"ENTRADA",Movimientos!$R$2:$R$1998,0)),"-")</f>
        <v>-</v>
      </c>
      <c r="F680" s="3" t="str">
        <f>IFERROR(INDEX(Movimientos!$G$2:$G$1998,MATCH(A680&amp;"ENTRADA",Movimientos!$R$2:$R$1998,0)),"-")</f>
        <v>-</v>
      </c>
      <c r="G680" s="3" t="str">
        <f>IFERROR(INDEX(Movimientos!$L$2:$L$1998,MATCH(A680&amp;"ENTRADA",Movimientos!$R$2:$R$1998,0)),"-")</f>
        <v>-</v>
      </c>
      <c r="H680" s="19" t="str">
        <f>IFERROR(IF(INDEX(Movimientos!$M$2:$M$1998,MATCH(A680&amp;"ENTRADA",Movimientos!$R$2:$R$1998,0))=0,"S/D",INDEX(Movimientos!$M$2:$M$1998,MATCH(A680&amp;"ENTRADA",Movimientos!$R$2:$R$1998,0))),"S/D")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1"/>
        <v>SIN STOCK</v>
      </c>
    </row>
    <row r="681" spans="1:11" ht="14.25">
      <c r="A681" s="18" t="s">
        <v>2824</v>
      </c>
      <c r="B681" s="3" t="str">
        <f>IFERROR(INDEX(Movimientos!$C$2:$C$1998,MATCH(A681&amp;"ENTRADA",Movimientos!$R$2:$R$1998,0)),"-")</f>
        <v>-</v>
      </c>
      <c r="C681" s="3" t="str">
        <f>IFERROR(INDEX(Movimientos!$D$2:$D$1998,MATCH(A681&amp;"ENTRADA",Movimientos!$R$2:$R$1998,0)),"-")</f>
        <v>-</v>
      </c>
      <c r="D681" s="3" t="str">
        <f>IFERROR(INDEX(Movimientos!$E$2:$E$1998,MATCH(A681&amp;"ENTRADA",Movimientos!$R$2:$R$1998,0)),"-")</f>
        <v>-</v>
      </c>
      <c r="E681" s="3" t="str">
        <f>IFERROR(INDEX(Movimientos!$F$2:$F$1998,MATCH(A681&amp;"ENTRADA",Movimientos!$R$2:$R$1998,0)),"-")</f>
        <v>-</v>
      </c>
      <c r="F681" s="3" t="str">
        <f>IFERROR(INDEX(Movimientos!$G$2:$G$1998,MATCH(A681&amp;"ENTRADA",Movimientos!$R$2:$R$1998,0)),"-")</f>
        <v>-</v>
      </c>
      <c r="G681" s="3" t="str">
        <f>IFERROR(INDEX(Movimientos!$L$2:$L$1998,MATCH(A681&amp;"ENTRADA",Movimientos!$R$2:$R$1998,0)),"-")</f>
        <v>-</v>
      </c>
      <c r="H681" s="19" t="str">
        <f>IFERROR(IF(INDEX(Movimientos!$M$2:$M$1998,MATCH(A681&amp;"ENTRADA",Movimientos!$R$2:$R$1998,0))=0,"S/D",INDEX(Movimientos!$M$2:$M$1998,MATCH(A681&amp;"ENTRADA",Movimientos!$R$2:$R$1998,0))),"S/D")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1"/>
        <v>SIN STOCK</v>
      </c>
    </row>
    <row r="682" spans="1:11" ht="14.25">
      <c r="A682" s="18" t="s">
        <v>2825</v>
      </c>
      <c r="B682" s="3" t="str">
        <f>IFERROR(INDEX(Movimientos!$C$2:$C$1998,MATCH(A682&amp;"ENTRADA",Movimientos!$R$2:$R$1998,0)),"-")</f>
        <v>-</v>
      </c>
      <c r="C682" s="3" t="str">
        <f>IFERROR(INDEX(Movimientos!$D$2:$D$1998,MATCH(A682&amp;"ENTRADA",Movimientos!$R$2:$R$1998,0)),"-")</f>
        <v>-</v>
      </c>
      <c r="D682" s="3" t="str">
        <f>IFERROR(INDEX(Movimientos!$E$2:$E$1998,MATCH(A682&amp;"ENTRADA",Movimientos!$R$2:$R$1998,0)),"-")</f>
        <v>-</v>
      </c>
      <c r="E682" s="3" t="str">
        <f>IFERROR(INDEX(Movimientos!$F$2:$F$1998,MATCH(A682&amp;"ENTRADA",Movimientos!$R$2:$R$1998,0)),"-")</f>
        <v>-</v>
      </c>
      <c r="F682" s="3" t="str">
        <f>IFERROR(INDEX(Movimientos!$G$2:$G$1998,MATCH(A682&amp;"ENTRADA",Movimientos!$R$2:$R$1998,0)),"-")</f>
        <v>-</v>
      </c>
      <c r="G682" s="3" t="str">
        <f>IFERROR(INDEX(Movimientos!$L$2:$L$1998,MATCH(A682&amp;"ENTRADA",Movimientos!$R$2:$R$1998,0)),"-")</f>
        <v>-</v>
      </c>
      <c r="H682" s="19" t="str">
        <f>IFERROR(IF(INDEX(Movimientos!$M$2:$M$1998,MATCH(A682&amp;"ENTRADA",Movimientos!$R$2:$R$1998,0))=0,"S/D",INDEX(Movimientos!$M$2:$M$1998,MATCH(A682&amp;"ENTRADA",Movimientos!$R$2:$R$1998,0))),"S/D")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1"/>
        <v>SIN STOCK</v>
      </c>
    </row>
    <row r="683" spans="1:11" ht="14.25">
      <c r="A683" s="18" t="s">
        <v>2826</v>
      </c>
      <c r="B683" s="3" t="str">
        <f>IFERROR(INDEX(Movimientos!$C$2:$C$1998,MATCH(A683&amp;"ENTRADA",Movimientos!$R$2:$R$1998,0)),"-")</f>
        <v>-</v>
      </c>
      <c r="C683" s="3" t="str">
        <f>IFERROR(INDEX(Movimientos!$D$2:$D$1998,MATCH(A683&amp;"ENTRADA",Movimientos!$R$2:$R$1998,0)),"-")</f>
        <v>-</v>
      </c>
      <c r="D683" s="3" t="str">
        <f>IFERROR(INDEX(Movimientos!$E$2:$E$1998,MATCH(A683&amp;"ENTRADA",Movimientos!$R$2:$R$1998,0)),"-")</f>
        <v>-</v>
      </c>
      <c r="E683" s="3" t="str">
        <f>IFERROR(INDEX(Movimientos!$F$2:$F$1998,MATCH(A683&amp;"ENTRADA",Movimientos!$R$2:$R$1998,0)),"-")</f>
        <v>-</v>
      </c>
      <c r="F683" s="3" t="str">
        <f>IFERROR(INDEX(Movimientos!$G$2:$G$1998,MATCH(A683&amp;"ENTRADA",Movimientos!$R$2:$R$1998,0)),"-")</f>
        <v>-</v>
      </c>
      <c r="G683" s="3" t="str">
        <f>IFERROR(INDEX(Movimientos!$L$2:$L$1998,MATCH(A683&amp;"ENTRADA",Movimientos!$R$2:$R$1998,0)),"-")</f>
        <v>-</v>
      </c>
      <c r="H683" s="19" t="str">
        <f>IFERROR(IF(INDEX(Movimientos!$M$2:$M$1998,MATCH(A683&amp;"ENTRADA",Movimientos!$R$2:$R$1998,0))=0,"S/D",INDEX(Movimientos!$M$2:$M$1998,MATCH(A683&amp;"ENTRADA",Movimientos!$R$2:$R$1998,0))),"S/D")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1"/>
        <v>SIN STOCK</v>
      </c>
    </row>
    <row r="684" spans="1:11" ht="14.25">
      <c r="A684" s="18" t="s">
        <v>2827</v>
      </c>
      <c r="B684" s="3" t="str">
        <f>IFERROR(INDEX(Movimientos!$C$2:$C$1998,MATCH(A684&amp;"ENTRADA",Movimientos!$R$2:$R$1998,0)),"-")</f>
        <v>-</v>
      </c>
      <c r="C684" s="3" t="str">
        <f>IFERROR(INDEX(Movimientos!$D$2:$D$1998,MATCH(A684&amp;"ENTRADA",Movimientos!$R$2:$R$1998,0)),"-")</f>
        <v>-</v>
      </c>
      <c r="D684" s="3" t="str">
        <f>IFERROR(INDEX(Movimientos!$E$2:$E$1998,MATCH(A684&amp;"ENTRADA",Movimientos!$R$2:$R$1998,0)),"-")</f>
        <v>-</v>
      </c>
      <c r="E684" s="3" t="str">
        <f>IFERROR(INDEX(Movimientos!$F$2:$F$1998,MATCH(A684&amp;"ENTRADA",Movimientos!$R$2:$R$1998,0)),"-")</f>
        <v>-</v>
      </c>
      <c r="F684" s="3" t="str">
        <f>IFERROR(INDEX(Movimientos!$G$2:$G$1998,MATCH(A684&amp;"ENTRADA",Movimientos!$R$2:$R$1998,0)),"-")</f>
        <v>-</v>
      </c>
      <c r="G684" s="3" t="str">
        <f>IFERROR(INDEX(Movimientos!$L$2:$L$1998,MATCH(A684&amp;"ENTRADA",Movimientos!$R$2:$R$1998,0)),"-")</f>
        <v>-</v>
      </c>
      <c r="H684" s="19" t="str">
        <f>IFERROR(IF(INDEX(Movimientos!$M$2:$M$1998,MATCH(A684&amp;"ENTRADA",Movimientos!$R$2:$R$1998,0))=0,"S/D",INDEX(Movimientos!$M$2:$M$1998,MATCH(A684&amp;"ENTRADA",Movimientos!$R$2:$R$1998,0))),"S/D")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1"/>
        <v>SIN STOCK</v>
      </c>
    </row>
    <row r="685" spans="1:11" ht="14.25">
      <c r="A685" s="18" t="s">
        <v>2828</v>
      </c>
      <c r="B685" s="3" t="str">
        <f>IFERROR(INDEX(Movimientos!$C$2:$C$1998,MATCH(A685&amp;"ENTRADA",Movimientos!$R$2:$R$1998,0)),"-")</f>
        <v>-</v>
      </c>
      <c r="C685" s="3" t="str">
        <f>IFERROR(INDEX(Movimientos!$D$2:$D$1998,MATCH(A685&amp;"ENTRADA",Movimientos!$R$2:$R$1998,0)),"-")</f>
        <v>-</v>
      </c>
      <c r="D685" s="3" t="str">
        <f>IFERROR(INDEX(Movimientos!$E$2:$E$1998,MATCH(A685&amp;"ENTRADA",Movimientos!$R$2:$R$1998,0)),"-")</f>
        <v>-</v>
      </c>
      <c r="E685" s="3" t="str">
        <f>IFERROR(INDEX(Movimientos!$F$2:$F$1998,MATCH(A685&amp;"ENTRADA",Movimientos!$R$2:$R$1998,0)),"-")</f>
        <v>-</v>
      </c>
      <c r="F685" s="3" t="str">
        <f>IFERROR(INDEX(Movimientos!$G$2:$G$1998,MATCH(A685&amp;"ENTRADA",Movimientos!$R$2:$R$1998,0)),"-")</f>
        <v>-</v>
      </c>
      <c r="G685" s="3" t="str">
        <f>IFERROR(INDEX(Movimientos!$L$2:$L$1998,MATCH(A685&amp;"ENTRADA",Movimientos!$R$2:$R$1998,0)),"-")</f>
        <v>-</v>
      </c>
      <c r="H685" s="19" t="str">
        <f>IFERROR(IF(INDEX(Movimientos!$M$2:$M$1998,MATCH(A685&amp;"ENTRADA",Movimientos!$R$2:$R$1998,0))=0,"S/D",INDEX(Movimientos!$M$2:$M$1998,MATCH(A685&amp;"ENTRADA",Movimientos!$R$2:$R$1998,0))),"S/D")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1"/>
        <v>SIN STOCK</v>
      </c>
    </row>
    <row r="686" spans="1:11" ht="14.25">
      <c r="A686" s="18" t="s">
        <v>2829</v>
      </c>
      <c r="B686" s="3" t="str">
        <f>IFERROR(INDEX(Movimientos!$C$2:$C$1998,MATCH(A686&amp;"ENTRADA",Movimientos!$R$2:$R$1998,0)),"-")</f>
        <v>-</v>
      </c>
      <c r="C686" s="3" t="str">
        <f>IFERROR(INDEX(Movimientos!$D$2:$D$1998,MATCH(A686&amp;"ENTRADA",Movimientos!$R$2:$R$1998,0)),"-")</f>
        <v>-</v>
      </c>
      <c r="D686" s="3" t="str">
        <f>IFERROR(INDEX(Movimientos!$E$2:$E$1998,MATCH(A686&amp;"ENTRADA",Movimientos!$R$2:$R$1998,0)),"-")</f>
        <v>-</v>
      </c>
      <c r="E686" s="3" t="str">
        <f>IFERROR(INDEX(Movimientos!$F$2:$F$1998,MATCH(A686&amp;"ENTRADA",Movimientos!$R$2:$R$1998,0)),"-")</f>
        <v>-</v>
      </c>
      <c r="F686" s="3" t="str">
        <f>IFERROR(INDEX(Movimientos!$G$2:$G$1998,MATCH(A686&amp;"ENTRADA",Movimientos!$R$2:$R$1998,0)),"-")</f>
        <v>-</v>
      </c>
      <c r="G686" s="3" t="str">
        <f>IFERROR(INDEX(Movimientos!$L$2:$L$1998,MATCH(A686&amp;"ENTRADA",Movimientos!$R$2:$R$1998,0)),"-")</f>
        <v>-</v>
      </c>
      <c r="H686" s="19" t="str">
        <f>IFERROR(IF(INDEX(Movimientos!$M$2:$M$1998,MATCH(A686&amp;"ENTRADA",Movimientos!$R$2:$R$1998,0))=0,"S/D",INDEX(Movimientos!$M$2:$M$1998,MATCH(A686&amp;"ENTRADA",Movimientos!$R$2:$R$1998,0))),"S/D")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1"/>
        <v>SIN STOCK</v>
      </c>
    </row>
    <row r="687" spans="1:11" ht="14.25">
      <c r="A687" s="18" t="s">
        <v>2830</v>
      </c>
      <c r="B687" s="3" t="str">
        <f>IFERROR(INDEX(Movimientos!$C$2:$C$1998,MATCH(A687&amp;"ENTRADA",Movimientos!$R$2:$R$1998,0)),"-")</f>
        <v>-</v>
      </c>
      <c r="C687" s="3" t="str">
        <f>IFERROR(INDEX(Movimientos!$D$2:$D$1998,MATCH(A687&amp;"ENTRADA",Movimientos!$R$2:$R$1998,0)),"-")</f>
        <v>-</v>
      </c>
      <c r="D687" s="3" t="str">
        <f>IFERROR(INDEX(Movimientos!$E$2:$E$1998,MATCH(A687&amp;"ENTRADA",Movimientos!$R$2:$R$1998,0)),"-")</f>
        <v>-</v>
      </c>
      <c r="E687" s="3" t="str">
        <f>IFERROR(INDEX(Movimientos!$F$2:$F$1998,MATCH(A687&amp;"ENTRADA",Movimientos!$R$2:$R$1998,0)),"-")</f>
        <v>-</v>
      </c>
      <c r="F687" s="3" t="str">
        <f>IFERROR(INDEX(Movimientos!$G$2:$G$1998,MATCH(A687&amp;"ENTRADA",Movimientos!$R$2:$R$1998,0)),"-")</f>
        <v>-</v>
      </c>
      <c r="G687" s="3" t="str">
        <f>IFERROR(INDEX(Movimientos!$L$2:$L$1998,MATCH(A687&amp;"ENTRADA",Movimientos!$R$2:$R$1998,0)),"-")</f>
        <v>-</v>
      </c>
      <c r="H687" s="19" t="str">
        <f>IFERROR(IF(INDEX(Movimientos!$M$2:$M$1998,MATCH(A687&amp;"ENTRADA",Movimientos!$R$2:$R$1998,0))=0,"S/D",INDEX(Movimientos!$M$2:$M$1998,MATCH(A687&amp;"ENTRADA",Movimientos!$R$2:$R$1998,0))),"S/D")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1"/>
        <v>SIN STOCK</v>
      </c>
    </row>
    <row r="688" spans="1:11" ht="14.25">
      <c r="A688" s="18" t="s">
        <v>2831</v>
      </c>
      <c r="B688" s="3" t="str">
        <f>IFERROR(INDEX(Movimientos!$C$2:$C$1998,MATCH(A688&amp;"ENTRADA",Movimientos!$R$2:$R$1998,0)),"-")</f>
        <v>-</v>
      </c>
      <c r="C688" s="3" t="str">
        <f>IFERROR(INDEX(Movimientos!$D$2:$D$1998,MATCH(A688&amp;"ENTRADA",Movimientos!$R$2:$R$1998,0)),"-")</f>
        <v>-</v>
      </c>
      <c r="D688" s="3" t="str">
        <f>IFERROR(INDEX(Movimientos!$E$2:$E$1998,MATCH(A688&amp;"ENTRADA",Movimientos!$R$2:$R$1998,0)),"-")</f>
        <v>-</v>
      </c>
      <c r="E688" s="3" t="str">
        <f>IFERROR(INDEX(Movimientos!$F$2:$F$1998,MATCH(A688&amp;"ENTRADA",Movimientos!$R$2:$R$1998,0)),"-")</f>
        <v>-</v>
      </c>
      <c r="F688" s="3" t="str">
        <f>IFERROR(INDEX(Movimientos!$G$2:$G$1998,MATCH(A688&amp;"ENTRADA",Movimientos!$R$2:$R$1998,0)),"-")</f>
        <v>-</v>
      </c>
      <c r="G688" s="3" t="str">
        <f>IFERROR(INDEX(Movimientos!$L$2:$L$1998,MATCH(A688&amp;"ENTRADA",Movimientos!$R$2:$R$1998,0)),"-")</f>
        <v>-</v>
      </c>
      <c r="H688" s="19" t="str">
        <f>IFERROR(IF(INDEX(Movimientos!$M$2:$M$1998,MATCH(A688&amp;"ENTRADA",Movimientos!$R$2:$R$1998,0))=0,"S/D",INDEX(Movimientos!$M$2:$M$1998,MATCH(A688&amp;"ENTRADA",Movimientos!$R$2:$R$1998,0))),"S/D")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1"/>
        <v>SIN STOCK</v>
      </c>
    </row>
    <row r="689" spans="1:11" ht="14.25">
      <c r="A689" s="18" t="s">
        <v>2832</v>
      </c>
      <c r="B689" s="3" t="str">
        <f>IFERROR(INDEX(Movimientos!$C$2:$C$1998,MATCH(A689&amp;"ENTRADA",Movimientos!$R$2:$R$1998,0)),"-")</f>
        <v>-</v>
      </c>
      <c r="C689" s="3" t="str">
        <f>IFERROR(INDEX(Movimientos!$D$2:$D$1998,MATCH(A689&amp;"ENTRADA",Movimientos!$R$2:$R$1998,0)),"-")</f>
        <v>-</v>
      </c>
      <c r="D689" s="3" t="str">
        <f>IFERROR(INDEX(Movimientos!$E$2:$E$1998,MATCH(A689&amp;"ENTRADA",Movimientos!$R$2:$R$1998,0)),"-")</f>
        <v>-</v>
      </c>
      <c r="E689" s="3" t="str">
        <f>IFERROR(INDEX(Movimientos!$F$2:$F$1998,MATCH(A689&amp;"ENTRADA",Movimientos!$R$2:$R$1998,0)),"-")</f>
        <v>-</v>
      </c>
      <c r="F689" s="3" t="str">
        <f>IFERROR(INDEX(Movimientos!$G$2:$G$1998,MATCH(A689&amp;"ENTRADA",Movimientos!$R$2:$R$1998,0)),"-")</f>
        <v>-</v>
      </c>
      <c r="G689" s="3" t="str">
        <f>IFERROR(INDEX(Movimientos!$L$2:$L$1998,MATCH(A689&amp;"ENTRADA",Movimientos!$R$2:$R$1998,0)),"-")</f>
        <v>-</v>
      </c>
      <c r="H689" s="19" t="str">
        <f>IFERROR(IF(INDEX(Movimientos!$M$2:$M$1998,MATCH(A689&amp;"ENTRADA",Movimientos!$R$2:$R$1998,0))=0,"S/D",INDEX(Movimientos!$M$2:$M$1998,MATCH(A689&amp;"ENTRADA",Movimientos!$R$2:$R$1998,0))),"S/D")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1"/>
        <v>SIN STOCK</v>
      </c>
    </row>
    <row r="690" spans="1:11" ht="14.25">
      <c r="A690" s="18" t="s">
        <v>2833</v>
      </c>
      <c r="B690" s="3" t="str">
        <f>IFERROR(INDEX(Movimientos!$C$2:$C$1998,MATCH(A690&amp;"ENTRADA",Movimientos!$R$2:$R$1998,0)),"-")</f>
        <v>-</v>
      </c>
      <c r="C690" s="3" t="str">
        <f>IFERROR(INDEX(Movimientos!$D$2:$D$1998,MATCH(A690&amp;"ENTRADA",Movimientos!$R$2:$R$1998,0)),"-")</f>
        <v>-</v>
      </c>
      <c r="D690" s="3" t="str">
        <f>IFERROR(INDEX(Movimientos!$E$2:$E$1998,MATCH(A690&amp;"ENTRADA",Movimientos!$R$2:$R$1998,0)),"-")</f>
        <v>-</v>
      </c>
      <c r="E690" s="3" t="str">
        <f>IFERROR(INDEX(Movimientos!$F$2:$F$1998,MATCH(A690&amp;"ENTRADA",Movimientos!$R$2:$R$1998,0)),"-")</f>
        <v>-</v>
      </c>
      <c r="F690" s="3" t="str">
        <f>IFERROR(INDEX(Movimientos!$G$2:$G$1998,MATCH(A690&amp;"ENTRADA",Movimientos!$R$2:$R$1998,0)),"-")</f>
        <v>-</v>
      </c>
      <c r="G690" s="3" t="str">
        <f>IFERROR(INDEX(Movimientos!$L$2:$L$1998,MATCH(A690&amp;"ENTRADA",Movimientos!$R$2:$R$1998,0)),"-")</f>
        <v>-</v>
      </c>
      <c r="H690" s="19" t="str">
        <f>IFERROR(IF(INDEX(Movimientos!$M$2:$M$1998,MATCH(A690&amp;"ENTRADA",Movimientos!$R$2:$R$1998,0))=0,"S/D",INDEX(Movimientos!$M$2:$M$1998,MATCH(A690&amp;"ENTRADA",Movimientos!$R$2:$R$1998,0))),"S/D")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1"/>
        <v>SIN STOCK</v>
      </c>
    </row>
    <row r="691" spans="1:11" ht="14.25">
      <c r="A691" s="18" t="s">
        <v>2834</v>
      </c>
      <c r="B691" s="3" t="str">
        <f>IFERROR(INDEX(Movimientos!$C$2:$C$1998,MATCH(A691&amp;"ENTRADA",Movimientos!$R$2:$R$1998,0)),"-")</f>
        <v>-</v>
      </c>
      <c r="C691" s="3" t="str">
        <f>IFERROR(INDEX(Movimientos!$D$2:$D$1998,MATCH(A691&amp;"ENTRADA",Movimientos!$R$2:$R$1998,0)),"-")</f>
        <v>-</v>
      </c>
      <c r="D691" s="3" t="str">
        <f>IFERROR(INDEX(Movimientos!$E$2:$E$1998,MATCH(A691&amp;"ENTRADA",Movimientos!$R$2:$R$1998,0)),"-")</f>
        <v>-</v>
      </c>
      <c r="E691" s="3" t="str">
        <f>IFERROR(INDEX(Movimientos!$F$2:$F$1998,MATCH(A691&amp;"ENTRADA",Movimientos!$R$2:$R$1998,0)),"-")</f>
        <v>-</v>
      </c>
      <c r="F691" s="3" t="str">
        <f>IFERROR(INDEX(Movimientos!$G$2:$G$1998,MATCH(A691&amp;"ENTRADA",Movimientos!$R$2:$R$1998,0)),"-")</f>
        <v>-</v>
      </c>
      <c r="G691" s="3" t="str">
        <f>IFERROR(INDEX(Movimientos!$L$2:$L$1998,MATCH(A691&amp;"ENTRADA",Movimientos!$R$2:$R$1998,0)),"-")</f>
        <v>-</v>
      </c>
      <c r="H691" s="19" t="str">
        <f>IFERROR(IF(INDEX(Movimientos!$M$2:$M$1998,MATCH(A691&amp;"ENTRADA",Movimientos!$R$2:$R$1998,0))=0,"S/D",INDEX(Movimientos!$M$2:$M$1998,MATCH(A691&amp;"ENTRADA",Movimientos!$R$2:$R$1998,0))),"S/D")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1"/>
        <v>SIN STOCK</v>
      </c>
    </row>
    <row r="692" spans="1:11" ht="14.25">
      <c r="A692" s="18" t="s">
        <v>2835</v>
      </c>
      <c r="B692" s="3" t="str">
        <f>IFERROR(INDEX(Movimientos!$C$2:$C$1998,MATCH(A692&amp;"ENTRADA",Movimientos!$R$2:$R$1998,0)),"-")</f>
        <v>-</v>
      </c>
      <c r="C692" s="3" t="str">
        <f>IFERROR(INDEX(Movimientos!$D$2:$D$1998,MATCH(A692&amp;"ENTRADA",Movimientos!$R$2:$R$1998,0)),"-")</f>
        <v>-</v>
      </c>
      <c r="D692" s="3" t="str">
        <f>IFERROR(INDEX(Movimientos!$E$2:$E$1998,MATCH(A692&amp;"ENTRADA",Movimientos!$R$2:$R$1998,0)),"-")</f>
        <v>-</v>
      </c>
      <c r="E692" s="3" t="str">
        <f>IFERROR(INDEX(Movimientos!$F$2:$F$1998,MATCH(A692&amp;"ENTRADA",Movimientos!$R$2:$R$1998,0)),"-")</f>
        <v>-</v>
      </c>
      <c r="F692" s="3" t="str">
        <f>IFERROR(INDEX(Movimientos!$G$2:$G$1998,MATCH(A692&amp;"ENTRADA",Movimientos!$R$2:$R$1998,0)),"-")</f>
        <v>-</v>
      </c>
      <c r="G692" s="3" t="str">
        <f>IFERROR(INDEX(Movimientos!$L$2:$L$1998,MATCH(A692&amp;"ENTRADA",Movimientos!$R$2:$R$1998,0)),"-")</f>
        <v>-</v>
      </c>
      <c r="H692" s="19" t="str">
        <f>IFERROR(IF(INDEX(Movimientos!$M$2:$M$1998,MATCH(A692&amp;"ENTRADA",Movimientos!$R$2:$R$1998,0))=0,"S/D",INDEX(Movimientos!$M$2:$M$1998,MATCH(A692&amp;"ENTRADA",Movimientos!$R$2:$R$1998,0))),"S/D")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1"/>
        <v>SIN STOCK</v>
      </c>
    </row>
    <row r="693" spans="1:11" ht="14.25">
      <c r="A693" s="18" t="s">
        <v>2836</v>
      </c>
      <c r="B693" s="3" t="str">
        <f>IFERROR(INDEX(Movimientos!$C$2:$C$1998,MATCH(A693&amp;"ENTRADA",Movimientos!$R$2:$R$1998,0)),"-")</f>
        <v>-</v>
      </c>
      <c r="C693" s="3" t="str">
        <f>IFERROR(INDEX(Movimientos!$D$2:$D$1998,MATCH(A693&amp;"ENTRADA",Movimientos!$R$2:$R$1998,0)),"-")</f>
        <v>-</v>
      </c>
      <c r="D693" s="3" t="str">
        <f>IFERROR(INDEX(Movimientos!$E$2:$E$1998,MATCH(A693&amp;"ENTRADA",Movimientos!$R$2:$R$1998,0)),"-")</f>
        <v>-</v>
      </c>
      <c r="E693" s="3" t="str">
        <f>IFERROR(INDEX(Movimientos!$F$2:$F$1998,MATCH(A693&amp;"ENTRADA",Movimientos!$R$2:$R$1998,0)),"-")</f>
        <v>-</v>
      </c>
      <c r="F693" s="3" t="str">
        <f>IFERROR(INDEX(Movimientos!$G$2:$G$1998,MATCH(A693&amp;"ENTRADA",Movimientos!$R$2:$R$1998,0)),"-")</f>
        <v>-</v>
      </c>
      <c r="G693" s="3" t="str">
        <f>IFERROR(INDEX(Movimientos!$L$2:$L$1998,MATCH(A693&amp;"ENTRADA",Movimientos!$R$2:$R$1998,0)),"-")</f>
        <v>-</v>
      </c>
      <c r="H693" s="19" t="str">
        <f>IFERROR(IF(INDEX(Movimientos!$M$2:$M$1998,MATCH(A693&amp;"ENTRADA",Movimientos!$R$2:$R$1998,0))=0,"S/D",INDEX(Movimientos!$M$2:$M$1998,MATCH(A693&amp;"ENTRADA",Movimientos!$R$2:$R$1998,0))),"S/D")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1"/>
        <v>SIN STOCK</v>
      </c>
    </row>
    <row r="694" spans="1:11" ht="14.25">
      <c r="A694" s="18" t="s">
        <v>2837</v>
      </c>
      <c r="B694" s="3" t="str">
        <f>IFERROR(INDEX(Movimientos!$C$2:$C$1998,MATCH(A694&amp;"ENTRADA",Movimientos!$R$2:$R$1998,0)),"-")</f>
        <v>-</v>
      </c>
      <c r="C694" s="3" t="str">
        <f>IFERROR(INDEX(Movimientos!$D$2:$D$1998,MATCH(A694&amp;"ENTRADA",Movimientos!$R$2:$R$1998,0)),"-")</f>
        <v>-</v>
      </c>
      <c r="D694" s="3" t="str">
        <f>IFERROR(INDEX(Movimientos!$E$2:$E$1998,MATCH(A694&amp;"ENTRADA",Movimientos!$R$2:$R$1998,0)),"-")</f>
        <v>-</v>
      </c>
      <c r="E694" s="3" t="str">
        <f>IFERROR(INDEX(Movimientos!$F$2:$F$1998,MATCH(A694&amp;"ENTRADA",Movimientos!$R$2:$R$1998,0)),"-")</f>
        <v>-</v>
      </c>
      <c r="F694" s="3" t="str">
        <f>IFERROR(INDEX(Movimientos!$G$2:$G$1998,MATCH(A694&amp;"ENTRADA",Movimientos!$R$2:$R$1998,0)),"-")</f>
        <v>-</v>
      </c>
      <c r="G694" s="3" t="str">
        <f>IFERROR(INDEX(Movimientos!$L$2:$L$1998,MATCH(A694&amp;"ENTRADA",Movimientos!$R$2:$R$1998,0)),"-")</f>
        <v>-</v>
      </c>
      <c r="H694" s="19" t="str">
        <f>IFERROR(IF(INDEX(Movimientos!$M$2:$M$1998,MATCH(A694&amp;"ENTRADA",Movimientos!$R$2:$R$1998,0))=0,"S/D",INDEX(Movimientos!$M$2:$M$1998,MATCH(A694&amp;"ENTRADA",Movimientos!$R$2:$R$1998,0))),"S/D")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1"/>
        <v>SIN STOCK</v>
      </c>
    </row>
    <row r="695" spans="1:11" ht="14.25">
      <c r="A695" s="18" t="s">
        <v>2838</v>
      </c>
      <c r="B695" s="3" t="str">
        <f>IFERROR(INDEX(Movimientos!$C$2:$C$1998,MATCH(A695&amp;"ENTRADA",Movimientos!$R$2:$R$1998,0)),"-")</f>
        <v>-</v>
      </c>
      <c r="C695" s="3" t="str">
        <f>IFERROR(INDEX(Movimientos!$D$2:$D$1998,MATCH(A695&amp;"ENTRADA",Movimientos!$R$2:$R$1998,0)),"-")</f>
        <v>-</v>
      </c>
      <c r="D695" s="3" t="str">
        <f>IFERROR(INDEX(Movimientos!$E$2:$E$1998,MATCH(A695&amp;"ENTRADA",Movimientos!$R$2:$R$1998,0)),"-")</f>
        <v>-</v>
      </c>
      <c r="E695" s="3" t="str">
        <f>IFERROR(INDEX(Movimientos!$F$2:$F$1998,MATCH(A695&amp;"ENTRADA",Movimientos!$R$2:$R$1998,0)),"-")</f>
        <v>-</v>
      </c>
      <c r="F695" s="3" t="str">
        <f>IFERROR(INDEX(Movimientos!$G$2:$G$1998,MATCH(A695&amp;"ENTRADA",Movimientos!$R$2:$R$1998,0)),"-")</f>
        <v>-</v>
      </c>
      <c r="G695" s="3" t="str">
        <f>IFERROR(INDEX(Movimientos!$L$2:$L$1998,MATCH(A695&amp;"ENTRADA",Movimientos!$R$2:$R$1998,0)),"-")</f>
        <v>-</v>
      </c>
      <c r="H695" s="19" t="str">
        <f>IFERROR(IF(INDEX(Movimientos!$M$2:$M$1998,MATCH(A695&amp;"ENTRADA",Movimientos!$R$2:$R$1998,0))=0,"S/D",INDEX(Movimientos!$M$2:$M$1998,MATCH(A695&amp;"ENTRADA",Movimientos!$R$2:$R$1998,0))),"S/D")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1"/>
        <v>SIN STOCK</v>
      </c>
    </row>
    <row r="696" spans="1:11" ht="14.25">
      <c r="A696" s="18" t="s">
        <v>2839</v>
      </c>
      <c r="B696" s="3" t="str">
        <f>IFERROR(INDEX(Movimientos!$C$2:$C$1998,MATCH(A696&amp;"ENTRADA",Movimientos!$R$2:$R$1998,0)),"-")</f>
        <v>-</v>
      </c>
      <c r="C696" s="3" t="str">
        <f>IFERROR(INDEX(Movimientos!$D$2:$D$1998,MATCH(A696&amp;"ENTRADA",Movimientos!$R$2:$R$1998,0)),"-")</f>
        <v>-</v>
      </c>
      <c r="D696" s="3" t="str">
        <f>IFERROR(INDEX(Movimientos!$E$2:$E$1998,MATCH(A696&amp;"ENTRADA",Movimientos!$R$2:$R$1998,0)),"-")</f>
        <v>-</v>
      </c>
      <c r="E696" s="3" t="str">
        <f>IFERROR(INDEX(Movimientos!$F$2:$F$1998,MATCH(A696&amp;"ENTRADA",Movimientos!$R$2:$R$1998,0)),"-")</f>
        <v>-</v>
      </c>
      <c r="F696" s="3" t="str">
        <f>IFERROR(INDEX(Movimientos!$G$2:$G$1998,MATCH(A696&amp;"ENTRADA",Movimientos!$R$2:$R$1998,0)),"-")</f>
        <v>-</v>
      </c>
      <c r="G696" s="3" t="str">
        <f>IFERROR(INDEX(Movimientos!$L$2:$L$1998,MATCH(A696&amp;"ENTRADA",Movimientos!$R$2:$R$1998,0)),"-")</f>
        <v>-</v>
      </c>
      <c r="H696" s="19" t="str">
        <f>IFERROR(IF(INDEX(Movimientos!$M$2:$M$1998,MATCH(A696&amp;"ENTRADA",Movimientos!$R$2:$R$1998,0))=0,"S/D",INDEX(Movimientos!$M$2:$M$1998,MATCH(A696&amp;"ENTRADA",Movimientos!$R$2:$R$1998,0))),"S/D")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1"/>
        <v>SIN STOCK</v>
      </c>
    </row>
    <row r="697" spans="1:11" ht="14.25">
      <c r="A697" s="18" t="s">
        <v>2840</v>
      </c>
      <c r="B697" s="3" t="str">
        <f>IFERROR(INDEX(Movimientos!$C$2:$C$1998,MATCH(A697&amp;"ENTRADA",Movimientos!$R$2:$R$1998,0)),"-")</f>
        <v>-</v>
      </c>
      <c r="C697" s="3" t="str">
        <f>IFERROR(INDEX(Movimientos!$D$2:$D$1998,MATCH(A697&amp;"ENTRADA",Movimientos!$R$2:$R$1998,0)),"-")</f>
        <v>-</v>
      </c>
      <c r="D697" s="3" t="str">
        <f>IFERROR(INDEX(Movimientos!$E$2:$E$1998,MATCH(A697&amp;"ENTRADA",Movimientos!$R$2:$R$1998,0)),"-")</f>
        <v>-</v>
      </c>
      <c r="E697" s="3" t="str">
        <f>IFERROR(INDEX(Movimientos!$F$2:$F$1998,MATCH(A697&amp;"ENTRADA",Movimientos!$R$2:$R$1998,0)),"-")</f>
        <v>-</v>
      </c>
      <c r="F697" s="3" t="str">
        <f>IFERROR(INDEX(Movimientos!$G$2:$G$1998,MATCH(A697&amp;"ENTRADA",Movimientos!$R$2:$R$1998,0)),"-")</f>
        <v>-</v>
      </c>
      <c r="G697" s="3" t="str">
        <f>IFERROR(INDEX(Movimientos!$L$2:$L$1998,MATCH(A697&amp;"ENTRADA",Movimientos!$R$2:$R$1998,0)),"-")</f>
        <v>-</v>
      </c>
      <c r="H697" s="19" t="str">
        <f>IFERROR(IF(INDEX(Movimientos!$M$2:$M$1998,MATCH(A697&amp;"ENTRADA",Movimientos!$R$2:$R$1998,0))=0,"S/D",INDEX(Movimientos!$M$2:$M$1998,MATCH(A697&amp;"ENTRADA",Movimientos!$R$2:$R$1998,0))),"S/D")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1"/>
        <v>SIN STOCK</v>
      </c>
    </row>
    <row r="698" spans="1:11" ht="14.25">
      <c r="A698" s="18" t="s">
        <v>2841</v>
      </c>
      <c r="B698" s="3" t="str">
        <f>IFERROR(INDEX(Movimientos!$C$2:$C$1998,MATCH(A698&amp;"ENTRADA",Movimientos!$R$2:$R$1998,0)),"-")</f>
        <v>-</v>
      </c>
      <c r="C698" s="3" t="str">
        <f>IFERROR(INDEX(Movimientos!$D$2:$D$1998,MATCH(A698&amp;"ENTRADA",Movimientos!$R$2:$R$1998,0)),"-")</f>
        <v>-</v>
      </c>
      <c r="D698" s="3" t="str">
        <f>IFERROR(INDEX(Movimientos!$E$2:$E$1998,MATCH(A698&amp;"ENTRADA",Movimientos!$R$2:$R$1998,0)),"-")</f>
        <v>-</v>
      </c>
      <c r="E698" s="3" t="str">
        <f>IFERROR(INDEX(Movimientos!$F$2:$F$1998,MATCH(A698&amp;"ENTRADA",Movimientos!$R$2:$R$1998,0)),"-")</f>
        <v>-</v>
      </c>
      <c r="F698" s="3" t="str">
        <f>IFERROR(INDEX(Movimientos!$G$2:$G$1998,MATCH(A698&amp;"ENTRADA",Movimientos!$R$2:$R$1998,0)),"-")</f>
        <v>-</v>
      </c>
      <c r="G698" s="3" t="str">
        <f>IFERROR(INDEX(Movimientos!$L$2:$L$1998,MATCH(A698&amp;"ENTRADA",Movimientos!$R$2:$R$1998,0)),"-")</f>
        <v>-</v>
      </c>
      <c r="H698" s="19" t="str">
        <f>IFERROR(IF(INDEX(Movimientos!$M$2:$M$1998,MATCH(A698&amp;"ENTRADA",Movimientos!$R$2:$R$1998,0))=0,"S/D",INDEX(Movimientos!$M$2:$M$1998,MATCH(A698&amp;"ENTRADA",Movimientos!$R$2:$R$1998,0))),"S/D")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1"/>
        <v>SIN STOCK</v>
      </c>
    </row>
    <row r="699" spans="1:11" ht="14.25">
      <c r="A699" s="18" t="s">
        <v>2842</v>
      </c>
      <c r="B699" s="3" t="str">
        <f>IFERROR(INDEX(Movimientos!$C$2:$C$1998,MATCH(A699&amp;"ENTRADA",Movimientos!$R$2:$R$1998,0)),"-")</f>
        <v>-</v>
      </c>
      <c r="C699" s="3" t="str">
        <f>IFERROR(INDEX(Movimientos!$D$2:$D$1998,MATCH(A699&amp;"ENTRADA",Movimientos!$R$2:$R$1998,0)),"-")</f>
        <v>-</v>
      </c>
      <c r="D699" s="3" t="str">
        <f>IFERROR(INDEX(Movimientos!$E$2:$E$1998,MATCH(A699&amp;"ENTRADA",Movimientos!$R$2:$R$1998,0)),"-")</f>
        <v>-</v>
      </c>
      <c r="E699" s="3" t="str">
        <f>IFERROR(INDEX(Movimientos!$F$2:$F$1998,MATCH(A699&amp;"ENTRADA",Movimientos!$R$2:$R$1998,0)),"-")</f>
        <v>-</v>
      </c>
      <c r="F699" s="3" t="str">
        <f>IFERROR(INDEX(Movimientos!$G$2:$G$1998,MATCH(A699&amp;"ENTRADA",Movimientos!$R$2:$R$1998,0)),"-")</f>
        <v>-</v>
      </c>
      <c r="G699" s="3" t="str">
        <f>IFERROR(INDEX(Movimientos!$L$2:$L$1998,MATCH(A699&amp;"ENTRADA",Movimientos!$R$2:$R$1998,0)),"-")</f>
        <v>-</v>
      </c>
      <c r="H699" s="19" t="str">
        <f>IFERROR(IF(INDEX(Movimientos!$M$2:$M$1998,MATCH(A699&amp;"ENTRADA",Movimientos!$R$2:$R$1998,0))=0,"S/D",INDEX(Movimientos!$M$2:$M$1998,MATCH(A699&amp;"ENTRADA",Movimientos!$R$2:$R$1998,0))),"S/D")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1"/>
        <v>SIN STOCK</v>
      </c>
    </row>
    <row r="700" spans="1:11" ht="14.25">
      <c r="A700" s="18" t="s">
        <v>2843</v>
      </c>
      <c r="B700" s="3" t="str">
        <f>IFERROR(INDEX(Movimientos!$C$2:$C$1998,MATCH(A700&amp;"ENTRADA",Movimientos!$R$2:$R$1998,0)),"-")</f>
        <v>-</v>
      </c>
      <c r="C700" s="3" t="str">
        <f>IFERROR(INDEX(Movimientos!$D$2:$D$1998,MATCH(A700&amp;"ENTRADA",Movimientos!$R$2:$R$1998,0)),"-")</f>
        <v>-</v>
      </c>
      <c r="D700" s="3" t="str">
        <f>IFERROR(INDEX(Movimientos!$E$2:$E$1998,MATCH(A700&amp;"ENTRADA",Movimientos!$R$2:$R$1998,0)),"-")</f>
        <v>-</v>
      </c>
      <c r="E700" s="3" t="str">
        <f>IFERROR(INDEX(Movimientos!$F$2:$F$1998,MATCH(A700&amp;"ENTRADA",Movimientos!$R$2:$R$1998,0)),"-")</f>
        <v>-</v>
      </c>
      <c r="F700" s="3" t="str">
        <f>IFERROR(INDEX(Movimientos!$G$2:$G$1998,MATCH(A700&amp;"ENTRADA",Movimientos!$R$2:$R$1998,0)),"-")</f>
        <v>-</v>
      </c>
      <c r="G700" s="3" t="str">
        <f>IFERROR(INDEX(Movimientos!$L$2:$L$1998,MATCH(A700&amp;"ENTRADA",Movimientos!$R$2:$R$1998,0)),"-")</f>
        <v>-</v>
      </c>
      <c r="H700" s="19" t="str">
        <f>IFERROR(IF(INDEX(Movimientos!$M$2:$M$1998,MATCH(A700&amp;"ENTRADA",Movimientos!$R$2:$R$1998,0))=0,"S/D",INDEX(Movimientos!$M$2:$M$1998,MATCH(A700&amp;"ENTRADA",Movimientos!$R$2:$R$1998,0))),"S/D")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1"/>
        <v>SIN STOCK</v>
      </c>
    </row>
    <row r="701" spans="1:11" ht="14.25">
      <c r="A701" s="18" t="s">
        <v>2844</v>
      </c>
      <c r="B701" s="3" t="str">
        <f>IFERROR(INDEX(Movimientos!$C$2:$C$1998,MATCH(A701&amp;"ENTRADA",Movimientos!$R$2:$R$1998,0)),"-")</f>
        <v>-</v>
      </c>
      <c r="C701" s="3" t="str">
        <f>IFERROR(INDEX(Movimientos!$D$2:$D$1998,MATCH(A701&amp;"ENTRADA",Movimientos!$R$2:$R$1998,0)),"-")</f>
        <v>-</v>
      </c>
      <c r="D701" s="3" t="str">
        <f>IFERROR(INDEX(Movimientos!$E$2:$E$1998,MATCH(A701&amp;"ENTRADA",Movimientos!$R$2:$R$1998,0)),"-")</f>
        <v>-</v>
      </c>
      <c r="E701" s="3" t="str">
        <f>IFERROR(INDEX(Movimientos!$F$2:$F$1998,MATCH(A701&amp;"ENTRADA",Movimientos!$R$2:$R$1998,0)),"-")</f>
        <v>-</v>
      </c>
      <c r="F701" s="3" t="str">
        <f>IFERROR(INDEX(Movimientos!$G$2:$G$1998,MATCH(A701&amp;"ENTRADA",Movimientos!$R$2:$R$1998,0)),"-")</f>
        <v>-</v>
      </c>
      <c r="G701" s="3" t="str">
        <f>IFERROR(INDEX(Movimientos!$L$2:$L$1998,MATCH(A701&amp;"ENTRADA",Movimientos!$R$2:$R$1998,0)),"-")</f>
        <v>-</v>
      </c>
      <c r="H701" s="19" t="str">
        <f>IFERROR(IF(INDEX(Movimientos!$M$2:$M$1998,MATCH(A701&amp;"ENTRADA",Movimientos!$R$2:$R$1998,0))=0,"S/D",INDEX(Movimientos!$M$2:$M$1998,MATCH(A701&amp;"ENTRADA",Movimientos!$R$2:$R$1998,0))),"S/D")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1"/>
        <v>SIN STOCK</v>
      </c>
    </row>
    <row r="702" spans="1:11" ht="14.25">
      <c r="A702" s="18" t="s">
        <v>2845</v>
      </c>
      <c r="B702" s="3" t="str">
        <f>IFERROR(INDEX(Movimientos!$C$2:$C$1998,MATCH(A702&amp;"ENTRADA",Movimientos!$R$2:$R$1998,0)),"-")</f>
        <v>-</v>
      </c>
      <c r="C702" s="3" t="str">
        <f>IFERROR(INDEX(Movimientos!$D$2:$D$1998,MATCH(A702&amp;"ENTRADA",Movimientos!$R$2:$R$1998,0)),"-")</f>
        <v>-</v>
      </c>
      <c r="D702" s="3" t="str">
        <f>IFERROR(INDEX(Movimientos!$E$2:$E$1998,MATCH(A702&amp;"ENTRADA",Movimientos!$R$2:$R$1998,0)),"-")</f>
        <v>-</v>
      </c>
      <c r="E702" s="3" t="str">
        <f>IFERROR(INDEX(Movimientos!$F$2:$F$1998,MATCH(A702&amp;"ENTRADA",Movimientos!$R$2:$R$1998,0)),"-")</f>
        <v>-</v>
      </c>
      <c r="F702" s="3" t="str">
        <f>IFERROR(INDEX(Movimientos!$G$2:$G$1998,MATCH(A702&amp;"ENTRADA",Movimientos!$R$2:$R$1998,0)),"-")</f>
        <v>-</v>
      </c>
      <c r="G702" s="3" t="str">
        <f>IFERROR(INDEX(Movimientos!$L$2:$L$1998,MATCH(A702&amp;"ENTRADA",Movimientos!$R$2:$R$1998,0)),"-")</f>
        <v>-</v>
      </c>
      <c r="H702" s="19" t="str">
        <f>IFERROR(IF(INDEX(Movimientos!$M$2:$M$1998,MATCH(A702&amp;"ENTRADA",Movimientos!$R$2:$R$1998,0))=0,"S/D",INDEX(Movimientos!$M$2:$M$1998,MATCH(A702&amp;"ENTRADA",Movimientos!$R$2:$R$1998,0))),"S/D")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1"/>
        <v>SIN STOCK</v>
      </c>
    </row>
    <row r="703" spans="1:11" ht="14.25">
      <c r="A703" s="18" t="s">
        <v>2846</v>
      </c>
      <c r="B703" s="3" t="str">
        <f>IFERROR(INDEX(Movimientos!$C$2:$C$1998,MATCH(A703&amp;"ENTRADA",Movimientos!$R$2:$R$1998,0)),"-")</f>
        <v>-</v>
      </c>
      <c r="C703" s="3" t="str">
        <f>IFERROR(INDEX(Movimientos!$D$2:$D$1998,MATCH(A703&amp;"ENTRADA",Movimientos!$R$2:$R$1998,0)),"-")</f>
        <v>-</v>
      </c>
      <c r="D703" s="3" t="str">
        <f>IFERROR(INDEX(Movimientos!$E$2:$E$1998,MATCH(A703&amp;"ENTRADA",Movimientos!$R$2:$R$1998,0)),"-")</f>
        <v>-</v>
      </c>
      <c r="E703" s="3" t="str">
        <f>IFERROR(INDEX(Movimientos!$F$2:$F$1998,MATCH(A703&amp;"ENTRADA",Movimientos!$R$2:$R$1998,0)),"-")</f>
        <v>-</v>
      </c>
      <c r="F703" s="3" t="str">
        <f>IFERROR(INDEX(Movimientos!$G$2:$G$1998,MATCH(A703&amp;"ENTRADA",Movimientos!$R$2:$R$1998,0)),"-")</f>
        <v>-</v>
      </c>
      <c r="G703" s="3" t="str">
        <f>IFERROR(INDEX(Movimientos!$L$2:$L$1998,MATCH(A703&amp;"ENTRADA",Movimientos!$R$2:$R$1998,0)),"-")</f>
        <v>-</v>
      </c>
      <c r="H703" s="19" t="str">
        <f>IFERROR(IF(INDEX(Movimientos!$M$2:$M$1998,MATCH(A703&amp;"ENTRADA",Movimientos!$R$2:$R$1998,0))=0,"S/D",INDEX(Movimientos!$M$2:$M$1998,MATCH(A703&amp;"ENTRADA",Movimientos!$R$2:$R$1998,0))),"S/D")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1"/>
        <v>SIN STOCK</v>
      </c>
    </row>
    <row r="704" spans="1:11" ht="14.25">
      <c r="A704" s="18" t="s">
        <v>2847</v>
      </c>
      <c r="B704" s="3" t="str">
        <f>IFERROR(INDEX(Movimientos!$C$2:$C$1998,MATCH(A704&amp;"ENTRADA",Movimientos!$R$2:$R$1998,0)),"-")</f>
        <v>-</v>
      </c>
      <c r="C704" s="3" t="str">
        <f>IFERROR(INDEX(Movimientos!$D$2:$D$1998,MATCH(A704&amp;"ENTRADA",Movimientos!$R$2:$R$1998,0)),"-")</f>
        <v>-</v>
      </c>
      <c r="D704" s="3" t="str">
        <f>IFERROR(INDEX(Movimientos!$E$2:$E$1998,MATCH(A704&amp;"ENTRADA",Movimientos!$R$2:$R$1998,0)),"-")</f>
        <v>-</v>
      </c>
      <c r="E704" s="3" t="str">
        <f>IFERROR(INDEX(Movimientos!$F$2:$F$1998,MATCH(A704&amp;"ENTRADA",Movimientos!$R$2:$R$1998,0)),"-")</f>
        <v>-</v>
      </c>
      <c r="F704" s="3" t="str">
        <f>IFERROR(INDEX(Movimientos!$G$2:$G$1998,MATCH(A704&amp;"ENTRADA",Movimientos!$R$2:$R$1998,0)),"-")</f>
        <v>-</v>
      </c>
      <c r="G704" s="3" t="str">
        <f>IFERROR(INDEX(Movimientos!$L$2:$L$1998,MATCH(A704&amp;"ENTRADA",Movimientos!$R$2:$R$1998,0)),"-")</f>
        <v>-</v>
      </c>
      <c r="H704" s="19" t="str">
        <f>IFERROR(IF(INDEX(Movimientos!$M$2:$M$1998,MATCH(A704&amp;"ENTRADA",Movimientos!$R$2:$R$1998,0))=0,"S/D",INDEX(Movimientos!$M$2:$M$1998,MATCH(A704&amp;"ENTRADA",Movimientos!$R$2:$R$1998,0))),"S/D")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ref="K704:K767" ca="1" si="23">IF(A704="","",IF(J704&lt;0.01,"SIN STOCK",IF(H704="S/D","OK",IF(H704&lt;TODAY(),"VENCIDO",IF(I704&gt;=180,"OK","PRÓXIMO A VENCER")))))</f>
        <v>SIN STOCK</v>
      </c>
    </row>
    <row r="705" spans="1:11" ht="14.25">
      <c r="A705" s="18" t="s">
        <v>2848</v>
      </c>
      <c r="B705" s="3" t="str">
        <f>IFERROR(INDEX(Movimientos!$C$2:$C$1998,MATCH(A705&amp;"ENTRADA",Movimientos!$R$2:$R$1998,0)),"-")</f>
        <v>-</v>
      </c>
      <c r="C705" s="3" t="str">
        <f>IFERROR(INDEX(Movimientos!$D$2:$D$1998,MATCH(A705&amp;"ENTRADA",Movimientos!$R$2:$R$1998,0)),"-")</f>
        <v>-</v>
      </c>
      <c r="D705" s="3" t="str">
        <f>IFERROR(INDEX(Movimientos!$E$2:$E$1998,MATCH(A705&amp;"ENTRADA",Movimientos!$R$2:$R$1998,0)),"-")</f>
        <v>-</v>
      </c>
      <c r="E705" s="3" t="str">
        <f>IFERROR(INDEX(Movimientos!$F$2:$F$1998,MATCH(A705&amp;"ENTRADA",Movimientos!$R$2:$R$1998,0)),"-")</f>
        <v>-</v>
      </c>
      <c r="F705" s="3" t="str">
        <f>IFERROR(INDEX(Movimientos!$G$2:$G$1998,MATCH(A705&amp;"ENTRADA",Movimientos!$R$2:$R$1998,0)),"-")</f>
        <v>-</v>
      </c>
      <c r="G705" s="3" t="str">
        <f>IFERROR(INDEX(Movimientos!$L$2:$L$1998,MATCH(A705&amp;"ENTRADA",Movimientos!$R$2:$R$1998,0)),"-")</f>
        <v>-</v>
      </c>
      <c r="H705" s="19" t="str">
        <f>IFERROR(IF(INDEX(Movimientos!$M$2:$M$1998,MATCH(A705&amp;"ENTRADA",Movimientos!$R$2:$R$1998,0))=0,"S/D",INDEX(Movimientos!$M$2:$M$1998,MATCH(A705&amp;"ENTRADA",Movimientos!$R$2:$R$1998,0))),"S/D")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SIN STOCK</v>
      </c>
    </row>
    <row r="706" spans="1:11" ht="14.25">
      <c r="A706" s="18" t="s">
        <v>2849</v>
      </c>
      <c r="B706" s="3" t="str">
        <f>IFERROR(INDEX(Movimientos!$C$2:$C$1998,MATCH(A706&amp;"ENTRADA",Movimientos!$R$2:$R$1998,0)),"-")</f>
        <v>-</v>
      </c>
      <c r="C706" s="3" t="str">
        <f>IFERROR(INDEX(Movimientos!$D$2:$D$1998,MATCH(A706&amp;"ENTRADA",Movimientos!$R$2:$R$1998,0)),"-")</f>
        <v>-</v>
      </c>
      <c r="D706" s="3" t="str">
        <f>IFERROR(INDEX(Movimientos!$E$2:$E$1998,MATCH(A706&amp;"ENTRADA",Movimientos!$R$2:$R$1998,0)),"-")</f>
        <v>-</v>
      </c>
      <c r="E706" s="3" t="str">
        <f>IFERROR(INDEX(Movimientos!$F$2:$F$1998,MATCH(A706&amp;"ENTRADA",Movimientos!$R$2:$R$1998,0)),"-")</f>
        <v>-</v>
      </c>
      <c r="F706" s="3" t="str">
        <f>IFERROR(INDEX(Movimientos!$G$2:$G$1998,MATCH(A706&amp;"ENTRADA",Movimientos!$R$2:$R$1998,0)),"-")</f>
        <v>-</v>
      </c>
      <c r="G706" s="3" t="str">
        <f>IFERROR(INDEX(Movimientos!$L$2:$L$1998,MATCH(A706&amp;"ENTRADA",Movimientos!$R$2:$R$1998,0)),"-")</f>
        <v>-</v>
      </c>
      <c r="H706" s="19" t="str">
        <f>IFERROR(IF(INDEX(Movimientos!$M$2:$M$1998,MATCH(A706&amp;"ENTRADA",Movimientos!$R$2:$R$1998,0))=0,"S/D",INDEX(Movimientos!$M$2:$M$1998,MATCH(A706&amp;"ENTRADA",Movimientos!$R$2:$R$1998,0))),"S/D")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SIN STOCK</v>
      </c>
    </row>
    <row r="707" spans="1:11" ht="14.25">
      <c r="A707" s="18" t="s">
        <v>2850</v>
      </c>
      <c r="B707" s="3" t="str">
        <f>IFERROR(INDEX(Movimientos!$C$2:$C$1998,MATCH(A707&amp;"ENTRADA",Movimientos!$R$2:$R$1998,0)),"-")</f>
        <v>-</v>
      </c>
      <c r="C707" s="3" t="str">
        <f>IFERROR(INDEX(Movimientos!$D$2:$D$1998,MATCH(A707&amp;"ENTRADA",Movimientos!$R$2:$R$1998,0)),"-")</f>
        <v>-</v>
      </c>
      <c r="D707" s="3" t="str">
        <f>IFERROR(INDEX(Movimientos!$E$2:$E$1998,MATCH(A707&amp;"ENTRADA",Movimientos!$R$2:$R$1998,0)),"-")</f>
        <v>-</v>
      </c>
      <c r="E707" s="3" t="str">
        <f>IFERROR(INDEX(Movimientos!$F$2:$F$1998,MATCH(A707&amp;"ENTRADA",Movimientos!$R$2:$R$1998,0)),"-")</f>
        <v>-</v>
      </c>
      <c r="F707" s="3" t="str">
        <f>IFERROR(INDEX(Movimientos!$G$2:$G$1998,MATCH(A707&amp;"ENTRADA",Movimientos!$R$2:$R$1998,0)),"-")</f>
        <v>-</v>
      </c>
      <c r="G707" s="3" t="str">
        <f>IFERROR(INDEX(Movimientos!$L$2:$L$1998,MATCH(A707&amp;"ENTRADA",Movimientos!$R$2:$R$1998,0)),"-")</f>
        <v>-</v>
      </c>
      <c r="H707" s="19" t="str">
        <f>IFERROR(IF(INDEX(Movimientos!$M$2:$M$1998,MATCH(A707&amp;"ENTRADA",Movimientos!$R$2:$R$1998,0))=0,"S/D",INDEX(Movimientos!$M$2:$M$1998,MATCH(A707&amp;"ENTRADA",Movimientos!$R$2:$R$1998,0))),"S/D")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SIN STOCK</v>
      </c>
    </row>
    <row r="708" spans="1:11" ht="14.25">
      <c r="A708" s="18" t="s">
        <v>2851</v>
      </c>
      <c r="B708" s="3" t="str">
        <f>IFERROR(INDEX(Movimientos!$C$2:$C$1998,MATCH(A708&amp;"ENTRADA",Movimientos!$R$2:$R$1998,0)),"-")</f>
        <v>-</v>
      </c>
      <c r="C708" s="3" t="str">
        <f>IFERROR(INDEX(Movimientos!$D$2:$D$1998,MATCH(A708&amp;"ENTRADA",Movimientos!$R$2:$R$1998,0)),"-")</f>
        <v>-</v>
      </c>
      <c r="D708" s="3" t="str">
        <f>IFERROR(INDEX(Movimientos!$E$2:$E$1998,MATCH(A708&amp;"ENTRADA",Movimientos!$R$2:$R$1998,0)),"-")</f>
        <v>-</v>
      </c>
      <c r="E708" s="3" t="str">
        <f>IFERROR(INDEX(Movimientos!$F$2:$F$1998,MATCH(A708&amp;"ENTRADA",Movimientos!$R$2:$R$1998,0)),"-")</f>
        <v>-</v>
      </c>
      <c r="F708" s="3" t="str">
        <f>IFERROR(INDEX(Movimientos!$G$2:$G$1998,MATCH(A708&amp;"ENTRADA",Movimientos!$R$2:$R$1998,0)),"-")</f>
        <v>-</v>
      </c>
      <c r="G708" s="3" t="str">
        <f>IFERROR(INDEX(Movimientos!$L$2:$L$1998,MATCH(A708&amp;"ENTRADA",Movimientos!$R$2:$R$1998,0)),"-")</f>
        <v>-</v>
      </c>
      <c r="H708" s="19" t="str">
        <f>IFERROR(IF(INDEX(Movimientos!$M$2:$M$1998,MATCH(A708&amp;"ENTRADA",Movimientos!$R$2:$R$1998,0))=0,"S/D",INDEX(Movimientos!$M$2:$M$1998,MATCH(A708&amp;"ENTRADA",Movimientos!$R$2:$R$1998,0))),"S/D")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SIN STOCK</v>
      </c>
    </row>
    <row r="709" spans="1:11" ht="14.25">
      <c r="A709" s="18" t="s">
        <v>2852</v>
      </c>
      <c r="B709" s="3" t="str">
        <f>IFERROR(INDEX(Movimientos!$C$2:$C$1998,MATCH(A709&amp;"ENTRADA",Movimientos!$R$2:$R$1998,0)),"-")</f>
        <v>-</v>
      </c>
      <c r="C709" s="3" t="str">
        <f>IFERROR(INDEX(Movimientos!$D$2:$D$1998,MATCH(A709&amp;"ENTRADA",Movimientos!$R$2:$R$1998,0)),"-")</f>
        <v>-</v>
      </c>
      <c r="D709" s="3" t="str">
        <f>IFERROR(INDEX(Movimientos!$E$2:$E$1998,MATCH(A709&amp;"ENTRADA",Movimientos!$R$2:$R$1998,0)),"-")</f>
        <v>-</v>
      </c>
      <c r="E709" s="3" t="str">
        <f>IFERROR(INDEX(Movimientos!$F$2:$F$1998,MATCH(A709&amp;"ENTRADA",Movimientos!$R$2:$R$1998,0)),"-")</f>
        <v>-</v>
      </c>
      <c r="F709" s="3" t="str">
        <f>IFERROR(INDEX(Movimientos!$G$2:$G$1998,MATCH(A709&amp;"ENTRADA",Movimientos!$R$2:$R$1998,0)),"-")</f>
        <v>-</v>
      </c>
      <c r="G709" s="3" t="str">
        <f>IFERROR(INDEX(Movimientos!$L$2:$L$1998,MATCH(A709&amp;"ENTRADA",Movimientos!$R$2:$R$1998,0)),"-")</f>
        <v>-</v>
      </c>
      <c r="H709" s="19" t="str">
        <f>IFERROR(IF(INDEX(Movimientos!$M$2:$M$1998,MATCH(A709&amp;"ENTRADA",Movimientos!$R$2:$R$1998,0))=0,"S/D",INDEX(Movimientos!$M$2:$M$1998,MATCH(A709&amp;"ENTRADA",Movimientos!$R$2:$R$1998,0))),"S/D")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SIN STOCK</v>
      </c>
    </row>
    <row r="710" spans="1:11" ht="14.25">
      <c r="A710" s="18" t="s">
        <v>2853</v>
      </c>
      <c r="B710" s="3" t="str">
        <f>IFERROR(INDEX(Movimientos!$C$2:$C$1998,MATCH(A710&amp;"ENTRADA",Movimientos!$R$2:$R$1998,0)),"-")</f>
        <v>-</v>
      </c>
      <c r="C710" s="3" t="str">
        <f>IFERROR(INDEX(Movimientos!$D$2:$D$1998,MATCH(A710&amp;"ENTRADA",Movimientos!$R$2:$R$1998,0)),"-")</f>
        <v>-</v>
      </c>
      <c r="D710" s="3" t="str">
        <f>IFERROR(INDEX(Movimientos!$E$2:$E$1998,MATCH(A710&amp;"ENTRADA",Movimientos!$R$2:$R$1998,0)),"-")</f>
        <v>-</v>
      </c>
      <c r="E710" s="3" t="str">
        <f>IFERROR(INDEX(Movimientos!$F$2:$F$1998,MATCH(A710&amp;"ENTRADA",Movimientos!$R$2:$R$1998,0)),"-")</f>
        <v>-</v>
      </c>
      <c r="F710" s="3" t="str">
        <f>IFERROR(INDEX(Movimientos!$G$2:$G$1998,MATCH(A710&amp;"ENTRADA",Movimientos!$R$2:$R$1998,0)),"-")</f>
        <v>-</v>
      </c>
      <c r="G710" s="3" t="str">
        <f>IFERROR(INDEX(Movimientos!$L$2:$L$1998,MATCH(A710&amp;"ENTRADA",Movimientos!$R$2:$R$1998,0)),"-")</f>
        <v>-</v>
      </c>
      <c r="H710" s="19" t="str">
        <f>IFERROR(IF(INDEX(Movimientos!$M$2:$M$1998,MATCH(A710&amp;"ENTRADA",Movimientos!$R$2:$R$1998,0))=0,"S/D",INDEX(Movimientos!$M$2:$M$1998,MATCH(A710&amp;"ENTRADA",Movimientos!$R$2:$R$1998,0))),"S/D")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SIN STOCK</v>
      </c>
    </row>
    <row r="711" spans="1:11" ht="14.25">
      <c r="A711" s="18" t="s">
        <v>2854</v>
      </c>
      <c r="B711" s="3" t="str">
        <f>IFERROR(INDEX(Movimientos!$C$2:$C$1998,MATCH(A711&amp;"ENTRADA",Movimientos!$R$2:$R$1998,0)),"-")</f>
        <v>-</v>
      </c>
      <c r="C711" s="3" t="str">
        <f>IFERROR(INDEX(Movimientos!$D$2:$D$1998,MATCH(A711&amp;"ENTRADA",Movimientos!$R$2:$R$1998,0)),"-")</f>
        <v>-</v>
      </c>
      <c r="D711" s="3" t="str">
        <f>IFERROR(INDEX(Movimientos!$E$2:$E$1998,MATCH(A711&amp;"ENTRADA",Movimientos!$R$2:$R$1998,0)),"-")</f>
        <v>-</v>
      </c>
      <c r="E711" s="3" t="str">
        <f>IFERROR(INDEX(Movimientos!$F$2:$F$1998,MATCH(A711&amp;"ENTRADA",Movimientos!$R$2:$R$1998,0)),"-")</f>
        <v>-</v>
      </c>
      <c r="F711" s="3" t="str">
        <f>IFERROR(INDEX(Movimientos!$G$2:$G$1998,MATCH(A711&amp;"ENTRADA",Movimientos!$R$2:$R$1998,0)),"-")</f>
        <v>-</v>
      </c>
      <c r="G711" s="3" t="str">
        <f>IFERROR(INDEX(Movimientos!$L$2:$L$1998,MATCH(A711&amp;"ENTRADA",Movimientos!$R$2:$R$1998,0)),"-")</f>
        <v>-</v>
      </c>
      <c r="H711" s="19" t="str">
        <f>IFERROR(IF(INDEX(Movimientos!$M$2:$M$1998,MATCH(A711&amp;"ENTRADA",Movimientos!$R$2:$R$1998,0))=0,"S/D",INDEX(Movimientos!$M$2:$M$1998,MATCH(A711&amp;"ENTRADA",Movimientos!$R$2:$R$1998,0))),"S/D")</f>
        <v>S/D</v>
      </c>
      <c r="I711" s="16" t="str">
        <f t="shared" ref="I711:I774" ca="1" si="24">IF(OR(A711="",H711="S/D"),"S/D",H711-TODAY())</f>
        <v>S/D</v>
      </c>
      <c r="J711" s="6">
        <f>IF(A711="","",SUMIFS(Movimientos!$K:$K,Movimientos!$H:$H,A711))</f>
        <v>0</v>
      </c>
      <c r="K711" s="14" t="str">
        <f t="shared" ca="1" si="23"/>
        <v>SIN STOCK</v>
      </c>
    </row>
    <row r="712" spans="1:11" ht="14.25">
      <c r="A712" s="18" t="s">
        <v>2855</v>
      </c>
      <c r="B712" s="3" t="str">
        <f>IFERROR(INDEX(Movimientos!$C$2:$C$1998,MATCH(A712&amp;"ENTRADA",Movimientos!$R$2:$R$1998,0)),"-")</f>
        <v>-</v>
      </c>
      <c r="C712" s="3" t="str">
        <f>IFERROR(INDEX(Movimientos!$D$2:$D$1998,MATCH(A712&amp;"ENTRADA",Movimientos!$R$2:$R$1998,0)),"-")</f>
        <v>-</v>
      </c>
      <c r="D712" s="3" t="str">
        <f>IFERROR(INDEX(Movimientos!$E$2:$E$1998,MATCH(A712&amp;"ENTRADA",Movimientos!$R$2:$R$1998,0)),"-")</f>
        <v>-</v>
      </c>
      <c r="E712" s="3" t="str">
        <f>IFERROR(INDEX(Movimientos!$F$2:$F$1998,MATCH(A712&amp;"ENTRADA",Movimientos!$R$2:$R$1998,0)),"-")</f>
        <v>-</v>
      </c>
      <c r="F712" s="3" t="str">
        <f>IFERROR(INDEX(Movimientos!$G$2:$G$1998,MATCH(A712&amp;"ENTRADA",Movimientos!$R$2:$R$1998,0)),"-")</f>
        <v>-</v>
      </c>
      <c r="G712" s="3" t="str">
        <f>IFERROR(INDEX(Movimientos!$L$2:$L$1998,MATCH(A712&amp;"ENTRADA",Movimientos!$R$2:$R$1998,0)),"-")</f>
        <v>-</v>
      </c>
      <c r="H712" s="19" t="str">
        <f>IFERROR(IF(INDEX(Movimientos!$M$2:$M$1998,MATCH(A712&amp;"ENTRADA",Movimientos!$R$2:$R$1998,0))=0,"S/D",INDEX(Movimientos!$M$2:$M$1998,MATCH(A712&amp;"ENTRADA",Movimientos!$R$2:$R$1998,0))),"S/D")</f>
        <v>S/D</v>
      </c>
      <c r="I712" s="16" t="str">
        <f t="shared" ca="1" si="24"/>
        <v>S/D</v>
      </c>
      <c r="J712" s="6">
        <f>IF(A712="","",SUMIFS(Movimientos!$K:$K,Movimientos!$H:$H,A712))</f>
        <v>0</v>
      </c>
      <c r="K712" s="14" t="str">
        <f t="shared" ca="1" si="23"/>
        <v>SIN STOCK</v>
      </c>
    </row>
    <row r="713" spans="1:11" ht="14.25">
      <c r="A713" s="18" t="s">
        <v>2856</v>
      </c>
      <c r="B713" s="3" t="str">
        <f>IFERROR(INDEX(Movimientos!$C$2:$C$1998,MATCH(A713&amp;"ENTRADA",Movimientos!$R$2:$R$1998,0)),"-")</f>
        <v>-</v>
      </c>
      <c r="C713" s="3" t="str">
        <f>IFERROR(INDEX(Movimientos!$D$2:$D$1998,MATCH(A713&amp;"ENTRADA",Movimientos!$R$2:$R$1998,0)),"-")</f>
        <v>-</v>
      </c>
      <c r="D713" s="3" t="str">
        <f>IFERROR(INDEX(Movimientos!$E$2:$E$1998,MATCH(A713&amp;"ENTRADA",Movimientos!$R$2:$R$1998,0)),"-")</f>
        <v>-</v>
      </c>
      <c r="E713" s="3" t="str">
        <f>IFERROR(INDEX(Movimientos!$F$2:$F$1998,MATCH(A713&amp;"ENTRADA",Movimientos!$R$2:$R$1998,0)),"-")</f>
        <v>-</v>
      </c>
      <c r="F713" s="3" t="str">
        <f>IFERROR(INDEX(Movimientos!$G$2:$G$1998,MATCH(A713&amp;"ENTRADA",Movimientos!$R$2:$R$1998,0)),"-")</f>
        <v>-</v>
      </c>
      <c r="G713" s="3" t="str">
        <f>IFERROR(INDEX(Movimientos!$L$2:$L$1998,MATCH(A713&amp;"ENTRADA",Movimientos!$R$2:$R$1998,0)),"-")</f>
        <v>-</v>
      </c>
      <c r="H713" s="19" t="str">
        <f>IFERROR(IF(INDEX(Movimientos!$M$2:$M$1998,MATCH(A713&amp;"ENTRADA",Movimientos!$R$2:$R$1998,0))=0,"S/D",INDEX(Movimientos!$M$2:$M$1998,MATCH(A713&amp;"ENTRADA",Movimientos!$R$2:$R$1998,0))),"S/D")</f>
        <v>S/D</v>
      </c>
      <c r="I713" s="16" t="str">
        <f t="shared" ca="1" si="24"/>
        <v>S/D</v>
      </c>
      <c r="J713" s="6">
        <f>IF(A713="","",SUMIFS(Movimientos!$K:$K,Movimientos!$H:$H,A713))</f>
        <v>0</v>
      </c>
      <c r="K713" s="14" t="str">
        <f t="shared" ca="1" si="23"/>
        <v>SIN STOCK</v>
      </c>
    </row>
    <row r="714" spans="1:11" ht="14.25">
      <c r="A714" s="18" t="s">
        <v>2857</v>
      </c>
      <c r="B714" s="3" t="str">
        <f>IFERROR(INDEX(Movimientos!$C$2:$C$1998,MATCH(A714&amp;"ENTRADA",Movimientos!$R$2:$R$1998,0)),"-")</f>
        <v>-</v>
      </c>
      <c r="C714" s="3" t="str">
        <f>IFERROR(INDEX(Movimientos!$D$2:$D$1998,MATCH(A714&amp;"ENTRADA",Movimientos!$R$2:$R$1998,0)),"-")</f>
        <v>-</v>
      </c>
      <c r="D714" s="3" t="str">
        <f>IFERROR(INDEX(Movimientos!$E$2:$E$1998,MATCH(A714&amp;"ENTRADA",Movimientos!$R$2:$R$1998,0)),"-")</f>
        <v>-</v>
      </c>
      <c r="E714" s="3" t="str">
        <f>IFERROR(INDEX(Movimientos!$F$2:$F$1998,MATCH(A714&amp;"ENTRADA",Movimientos!$R$2:$R$1998,0)),"-")</f>
        <v>-</v>
      </c>
      <c r="F714" s="3" t="str">
        <f>IFERROR(INDEX(Movimientos!$G$2:$G$1998,MATCH(A714&amp;"ENTRADA",Movimientos!$R$2:$R$1998,0)),"-")</f>
        <v>-</v>
      </c>
      <c r="G714" s="3" t="str">
        <f>IFERROR(INDEX(Movimientos!$L$2:$L$1998,MATCH(A714&amp;"ENTRADA",Movimientos!$R$2:$R$1998,0)),"-")</f>
        <v>-</v>
      </c>
      <c r="H714" s="19" t="str">
        <f>IFERROR(IF(INDEX(Movimientos!$M$2:$M$1998,MATCH(A714&amp;"ENTRADA",Movimientos!$R$2:$R$1998,0))=0,"S/D",INDEX(Movimientos!$M$2:$M$1998,MATCH(A714&amp;"ENTRADA",Movimientos!$R$2:$R$1998,0))),"S/D")</f>
        <v>S/D</v>
      </c>
      <c r="I714" s="16" t="str">
        <f t="shared" ca="1" si="24"/>
        <v>S/D</v>
      </c>
      <c r="J714" s="6">
        <f>IF(A714="","",SUMIFS(Movimientos!$K:$K,Movimientos!$H:$H,A714))</f>
        <v>0</v>
      </c>
      <c r="K714" s="14" t="str">
        <f t="shared" ca="1" si="23"/>
        <v>SIN STOCK</v>
      </c>
    </row>
    <row r="715" spans="1:11" ht="14.25">
      <c r="A715" s="18" t="s">
        <v>2858</v>
      </c>
      <c r="B715" s="3" t="str">
        <f>IFERROR(INDEX(Movimientos!$C$2:$C$1998,MATCH(A715&amp;"ENTRADA",Movimientos!$R$2:$R$1998,0)),"-")</f>
        <v>-</v>
      </c>
      <c r="C715" s="3" t="str">
        <f>IFERROR(INDEX(Movimientos!$D$2:$D$1998,MATCH(A715&amp;"ENTRADA",Movimientos!$R$2:$R$1998,0)),"-")</f>
        <v>-</v>
      </c>
      <c r="D715" s="3" t="str">
        <f>IFERROR(INDEX(Movimientos!$E$2:$E$1998,MATCH(A715&amp;"ENTRADA",Movimientos!$R$2:$R$1998,0)),"-")</f>
        <v>-</v>
      </c>
      <c r="E715" s="3" t="str">
        <f>IFERROR(INDEX(Movimientos!$F$2:$F$1998,MATCH(A715&amp;"ENTRADA",Movimientos!$R$2:$R$1998,0)),"-")</f>
        <v>-</v>
      </c>
      <c r="F715" s="3" t="str">
        <f>IFERROR(INDEX(Movimientos!$G$2:$G$1998,MATCH(A715&amp;"ENTRADA",Movimientos!$R$2:$R$1998,0)),"-")</f>
        <v>-</v>
      </c>
      <c r="G715" s="3" t="str">
        <f>IFERROR(INDEX(Movimientos!$L$2:$L$1998,MATCH(A715&amp;"ENTRADA",Movimientos!$R$2:$R$1998,0)),"-")</f>
        <v>-</v>
      </c>
      <c r="H715" s="19" t="str">
        <f>IFERROR(IF(INDEX(Movimientos!$M$2:$M$1998,MATCH(A715&amp;"ENTRADA",Movimientos!$R$2:$R$1998,0))=0,"S/D",INDEX(Movimientos!$M$2:$M$1998,MATCH(A715&amp;"ENTRADA",Movimientos!$R$2:$R$1998,0))),"S/D")</f>
        <v>S/D</v>
      </c>
      <c r="I715" s="16" t="str">
        <f t="shared" ca="1" si="24"/>
        <v>S/D</v>
      </c>
      <c r="J715" s="6">
        <f>IF(A715="","",SUMIFS(Movimientos!$K:$K,Movimientos!$H:$H,A715))</f>
        <v>0</v>
      </c>
      <c r="K715" s="14" t="str">
        <f t="shared" ca="1" si="23"/>
        <v>SIN STOCK</v>
      </c>
    </row>
    <row r="716" spans="1:11" ht="14.25">
      <c r="A716" s="18" t="s">
        <v>2859</v>
      </c>
      <c r="B716" s="3" t="str">
        <f>IFERROR(INDEX(Movimientos!$C$2:$C$1998,MATCH(A716&amp;"ENTRADA",Movimientos!$R$2:$R$1998,0)),"-")</f>
        <v>-</v>
      </c>
      <c r="C716" s="3" t="str">
        <f>IFERROR(INDEX(Movimientos!$D$2:$D$1998,MATCH(A716&amp;"ENTRADA",Movimientos!$R$2:$R$1998,0)),"-")</f>
        <v>-</v>
      </c>
      <c r="D716" s="3" t="str">
        <f>IFERROR(INDEX(Movimientos!$E$2:$E$1998,MATCH(A716&amp;"ENTRADA",Movimientos!$R$2:$R$1998,0)),"-")</f>
        <v>-</v>
      </c>
      <c r="E716" s="3" t="str">
        <f>IFERROR(INDEX(Movimientos!$F$2:$F$1998,MATCH(A716&amp;"ENTRADA",Movimientos!$R$2:$R$1998,0)),"-")</f>
        <v>-</v>
      </c>
      <c r="F716" s="3" t="str">
        <f>IFERROR(INDEX(Movimientos!$G$2:$G$1998,MATCH(A716&amp;"ENTRADA",Movimientos!$R$2:$R$1998,0)),"-")</f>
        <v>-</v>
      </c>
      <c r="G716" s="3" t="str">
        <f>IFERROR(INDEX(Movimientos!$L$2:$L$1998,MATCH(A716&amp;"ENTRADA",Movimientos!$R$2:$R$1998,0)),"-")</f>
        <v>-</v>
      </c>
      <c r="H716" s="19" t="str">
        <f>IFERROR(IF(INDEX(Movimientos!$M$2:$M$1998,MATCH(A716&amp;"ENTRADA",Movimientos!$R$2:$R$1998,0))=0,"S/D",INDEX(Movimientos!$M$2:$M$1998,MATCH(A716&amp;"ENTRADA",Movimientos!$R$2:$R$1998,0))),"S/D")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3"/>
        <v>SIN STOCK</v>
      </c>
    </row>
    <row r="717" spans="1:11" ht="14.25">
      <c r="A717" s="18" t="s">
        <v>2860</v>
      </c>
      <c r="B717" s="3" t="str">
        <f>IFERROR(INDEX(Movimientos!$C$2:$C$1998,MATCH(A717&amp;"ENTRADA",Movimientos!$R$2:$R$1998,0)),"-")</f>
        <v>-</v>
      </c>
      <c r="C717" s="3" t="str">
        <f>IFERROR(INDEX(Movimientos!$D$2:$D$1998,MATCH(A717&amp;"ENTRADA",Movimientos!$R$2:$R$1998,0)),"-")</f>
        <v>-</v>
      </c>
      <c r="D717" s="3" t="str">
        <f>IFERROR(INDEX(Movimientos!$E$2:$E$1998,MATCH(A717&amp;"ENTRADA",Movimientos!$R$2:$R$1998,0)),"-")</f>
        <v>-</v>
      </c>
      <c r="E717" s="3" t="str">
        <f>IFERROR(INDEX(Movimientos!$F$2:$F$1998,MATCH(A717&amp;"ENTRADA",Movimientos!$R$2:$R$1998,0)),"-")</f>
        <v>-</v>
      </c>
      <c r="F717" s="3" t="str">
        <f>IFERROR(INDEX(Movimientos!$G$2:$G$1998,MATCH(A717&amp;"ENTRADA",Movimientos!$R$2:$R$1998,0)),"-")</f>
        <v>-</v>
      </c>
      <c r="G717" s="3" t="str">
        <f>IFERROR(INDEX(Movimientos!$L$2:$L$1998,MATCH(A717&amp;"ENTRADA",Movimientos!$R$2:$R$1998,0)),"-")</f>
        <v>-</v>
      </c>
      <c r="H717" s="19" t="str">
        <f>IFERROR(IF(INDEX(Movimientos!$M$2:$M$1998,MATCH(A717&amp;"ENTRADA",Movimientos!$R$2:$R$1998,0))=0,"S/D",INDEX(Movimientos!$M$2:$M$1998,MATCH(A717&amp;"ENTRADA",Movimientos!$R$2:$R$1998,0))),"S/D")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3"/>
        <v>SIN STOCK</v>
      </c>
    </row>
    <row r="718" spans="1:11" ht="14.25">
      <c r="A718" s="18" t="s">
        <v>2861</v>
      </c>
      <c r="B718" s="3" t="str">
        <f>IFERROR(INDEX(Movimientos!$C$2:$C$1998,MATCH(A718&amp;"ENTRADA",Movimientos!$R$2:$R$1998,0)),"-")</f>
        <v>-</v>
      </c>
      <c r="C718" s="3" t="str">
        <f>IFERROR(INDEX(Movimientos!$D$2:$D$1998,MATCH(A718&amp;"ENTRADA",Movimientos!$R$2:$R$1998,0)),"-")</f>
        <v>-</v>
      </c>
      <c r="D718" s="3" t="str">
        <f>IFERROR(INDEX(Movimientos!$E$2:$E$1998,MATCH(A718&amp;"ENTRADA",Movimientos!$R$2:$R$1998,0)),"-")</f>
        <v>-</v>
      </c>
      <c r="E718" s="3" t="str">
        <f>IFERROR(INDEX(Movimientos!$F$2:$F$1998,MATCH(A718&amp;"ENTRADA",Movimientos!$R$2:$R$1998,0)),"-")</f>
        <v>-</v>
      </c>
      <c r="F718" s="3" t="str">
        <f>IFERROR(INDEX(Movimientos!$G$2:$G$1998,MATCH(A718&amp;"ENTRADA",Movimientos!$R$2:$R$1998,0)),"-")</f>
        <v>-</v>
      </c>
      <c r="G718" s="3" t="str">
        <f>IFERROR(INDEX(Movimientos!$L$2:$L$1998,MATCH(A718&amp;"ENTRADA",Movimientos!$R$2:$R$1998,0)),"-")</f>
        <v>-</v>
      </c>
      <c r="H718" s="19" t="str">
        <f>IFERROR(IF(INDEX(Movimientos!$M$2:$M$1998,MATCH(A718&amp;"ENTRADA",Movimientos!$R$2:$R$1998,0))=0,"S/D",INDEX(Movimientos!$M$2:$M$1998,MATCH(A718&amp;"ENTRADA",Movimientos!$R$2:$R$1998,0))),"S/D")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3"/>
        <v>SIN STOCK</v>
      </c>
    </row>
    <row r="719" spans="1:11" ht="14.25">
      <c r="A719" s="18" t="s">
        <v>2862</v>
      </c>
      <c r="B719" s="3" t="str">
        <f>IFERROR(INDEX(Movimientos!$C$2:$C$1998,MATCH(A719&amp;"ENTRADA",Movimientos!$R$2:$R$1998,0)),"-")</f>
        <v>-</v>
      </c>
      <c r="C719" s="3" t="str">
        <f>IFERROR(INDEX(Movimientos!$D$2:$D$1998,MATCH(A719&amp;"ENTRADA",Movimientos!$R$2:$R$1998,0)),"-")</f>
        <v>-</v>
      </c>
      <c r="D719" s="3" t="str">
        <f>IFERROR(INDEX(Movimientos!$E$2:$E$1998,MATCH(A719&amp;"ENTRADA",Movimientos!$R$2:$R$1998,0)),"-")</f>
        <v>-</v>
      </c>
      <c r="E719" s="3" t="str">
        <f>IFERROR(INDEX(Movimientos!$F$2:$F$1998,MATCH(A719&amp;"ENTRADA",Movimientos!$R$2:$R$1998,0)),"-")</f>
        <v>-</v>
      </c>
      <c r="F719" s="3" t="str">
        <f>IFERROR(INDEX(Movimientos!$G$2:$G$1998,MATCH(A719&amp;"ENTRADA",Movimientos!$R$2:$R$1998,0)),"-")</f>
        <v>-</v>
      </c>
      <c r="G719" s="3" t="str">
        <f>IFERROR(INDEX(Movimientos!$L$2:$L$1998,MATCH(A719&amp;"ENTRADA",Movimientos!$R$2:$R$1998,0)),"-")</f>
        <v>-</v>
      </c>
      <c r="H719" s="19" t="str">
        <f>IFERROR(IF(INDEX(Movimientos!$M$2:$M$1998,MATCH(A719&amp;"ENTRADA",Movimientos!$R$2:$R$1998,0))=0,"S/D",INDEX(Movimientos!$M$2:$M$1998,MATCH(A719&amp;"ENTRADA",Movimientos!$R$2:$R$1998,0))),"S/D")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3"/>
        <v>SIN STOCK</v>
      </c>
    </row>
    <row r="720" spans="1:11" ht="14.25">
      <c r="A720" s="18" t="s">
        <v>2863</v>
      </c>
      <c r="B720" s="3" t="str">
        <f>IFERROR(INDEX(Movimientos!$C$2:$C$1998,MATCH(A720&amp;"ENTRADA",Movimientos!$R$2:$R$1998,0)),"-")</f>
        <v>-</v>
      </c>
      <c r="C720" s="3" t="str">
        <f>IFERROR(INDEX(Movimientos!$D$2:$D$1998,MATCH(A720&amp;"ENTRADA",Movimientos!$R$2:$R$1998,0)),"-")</f>
        <v>-</v>
      </c>
      <c r="D720" s="3" t="str">
        <f>IFERROR(INDEX(Movimientos!$E$2:$E$1998,MATCH(A720&amp;"ENTRADA",Movimientos!$R$2:$R$1998,0)),"-")</f>
        <v>-</v>
      </c>
      <c r="E720" s="3" t="str">
        <f>IFERROR(INDEX(Movimientos!$F$2:$F$1998,MATCH(A720&amp;"ENTRADA",Movimientos!$R$2:$R$1998,0)),"-")</f>
        <v>-</v>
      </c>
      <c r="F720" s="3" t="str">
        <f>IFERROR(INDEX(Movimientos!$G$2:$G$1998,MATCH(A720&amp;"ENTRADA",Movimientos!$R$2:$R$1998,0)),"-")</f>
        <v>-</v>
      </c>
      <c r="G720" s="3" t="str">
        <f>IFERROR(INDEX(Movimientos!$L$2:$L$1998,MATCH(A720&amp;"ENTRADA",Movimientos!$R$2:$R$1998,0)),"-")</f>
        <v>-</v>
      </c>
      <c r="H720" s="19" t="str">
        <f>IFERROR(IF(INDEX(Movimientos!$M$2:$M$1998,MATCH(A720&amp;"ENTRADA",Movimientos!$R$2:$R$1998,0))=0,"S/D",INDEX(Movimientos!$M$2:$M$1998,MATCH(A720&amp;"ENTRADA",Movimientos!$R$2:$R$1998,0))),"S/D")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3"/>
        <v>SIN STOCK</v>
      </c>
    </row>
    <row r="721" spans="1:11" ht="14.25">
      <c r="A721" s="18" t="s">
        <v>2864</v>
      </c>
      <c r="B721" s="3" t="str">
        <f>IFERROR(INDEX(Movimientos!$C$2:$C$1998,MATCH(A721&amp;"ENTRADA",Movimientos!$R$2:$R$1998,0)),"-")</f>
        <v>-</v>
      </c>
      <c r="C721" s="3" t="str">
        <f>IFERROR(INDEX(Movimientos!$D$2:$D$1998,MATCH(A721&amp;"ENTRADA",Movimientos!$R$2:$R$1998,0)),"-")</f>
        <v>-</v>
      </c>
      <c r="D721" s="3" t="str">
        <f>IFERROR(INDEX(Movimientos!$E$2:$E$1998,MATCH(A721&amp;"ENTRADA",Movimientos!$R$2:$R$1998,0)),"-")</f>
        <v>-</v>
      </c>
      <c r="E721" s="3" t="str">
        <f>IFERROR(INDEX(Movimientos!$F$2:$F$1998,MATCH(A721&amp;"ENTRADA",Movimientos!$R$2:$R$1998,0)),"-")</f>
        <v>-</v>
      </c>
      <c r="F721" s="3" t="str">
        <f>IFERROR(INDEX(Movimientos!$G$2:$G$1998,MATCH(A721&amp;"ENTRADA",Movimientos!$R$2:$R$1998,0)),"-")</f>
        <v>-</v>
      </c>
      <c r="G721" s="3" t="str">
        <f>IFERROR(INDEX(Movimientos!$L$2:$L$1998,MATCH(A721&amp;"ENTRADA",Movimientos!$R$2:$R$1998,0)),"-")</f>
        <v>-</v>
      </c>
      <c r="H721" s="19" t="str">
        <f>IFERROR(IF(INDEX(Movimientos!$M$2:$M$1998,MATCH(A721&amp;"ENTRADA",Movimientos!$R$2:$R$1998,0))=0,"S/D",INDEX(Movimientos!$M$2:$M$1998,MATCH(A721&amp;"ENTRADA",Movimientos!$R$2:$R$1998,0))),"S/D")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3"/>
        <v>SIN STOCK</v>
      </c>
    </row>
    <row r="722" spans="1:11" ht="14.25">
      <c r="A722" s="18" t="s">
        <v>2865</v>
      </c>
      <c r="B722" s="3" t="str">
        <f>IFERROR(INDEX(Movimientos!$C$2:$C$1998,MATCH(A722&amp;"ENTRADA",Movimientos!$R$2:$R$1998,0)),"-")</f>
        <v>-</v>
      </c>
      <c r="C722" s="3" t="str">
        <f>IFERROR(INDEX(Movimientos!$D$2:$D$1998,MATCH(A722&amp;"ENTRADA",Movimientos!$R$2:$R$1998,0)),"-")</f>
        <v>-</v>
      </c>
      <c r="D722" s="3" t="str">
        <f>IFERROR(INDEX(Movimientos!$E$2:$E$1998,MATCH(A722&amp;"ENTRADA",Movimientos!$R$2:$R$1998,0)),"-")</f>
        <v>-</v>
      </c>
      <c r="E722" s="3" t="str">
        <f>IFERROR(INDEX(Movimientos!$F$2:$F$1998,MATCH(A722&amp;"ENTRADA",Movimientos!$R$2:$R$1998,0)),"-")</f>
        <v>-</v>
      </c>
      <c r="F722" s="3" t="str">
        <f>IFERROR(INDEX(Movimientos!$G$2:$G$1998,MATCH(A722&amp;"ENTRADA",Movimientos!$R$2:$R$1998,0)),"-")</f>
        <v>-</v>
      </c>
      <c r="G722" s="3" t="str">
        <f>IFERROR(INDEX(Movimientos!$L$2:$L$1998,MATCH(A722&amp;"ENTRADA",Movimientos!$R$2:$R$1998,0)),"-")</f>
        <v>-</v>
      </c>
      <c r="H722" s="19" t="str">
        <f>IFERROR(IF(INDEX(Movimientos!$M$2:$M$1998,MATCH(A722&amp;"ENTRADA",Movimientos!$R$2:$R$1998,0))=0,"S/D",INDEX(Movimientos!$M$2:$M$1998,MATCH(A722&amp;"ENTRADA",Movimientos!$R$2:$R$1998,0))),"S/D")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3"/>
        <v>SIN STOCK</v>
      </c>
    </row>
    <row r="723" spans="1:11" ht="14.25">
      <c r="A723" s="18" t="s">
        <v>2866</v>
      </c>
      <c r="B723" s="3" t="str">
        <f>IFERROR(INDEX(Movimientos!$C$2:$C$1998,MATCH(A723&amp;"ENTRADA",Movimientos!$R$2:$R$1998,0)),"-")</f>
        <v>-</v>
      </c>
      <c r="C723" s="3" t="str">
        <f>IFERROR(INDEX(Movimientos!$D$2:$D$1998,MATCH(A723&amp;"ENTRADA",Movimientos!$R$2:$R$1998,0)),"-")</f>
        <v>-</v>
      </c>
      <c r="D723" s="3" t="str">
        <f>IFERROR(INDEX(Movimientos!$E$2:$E$1998,MATCH(A723&amp;"ENTRADA",Movimientos!$R$2:$R$1998,0)),"-")</f>
        <v>-</v>
      </c>
      <c r="E723" s="3" t="str">
        <f>IFERROR(INDEX(Movimientos!$F$2:$F$1998,MATCH(A723&amp;"ENTRADA",Movimientos!$R$2:$R$1998,0)),"-")</f>
        <v>-</v>
      </c>
      <c r="F723" s="3" t="str">
        <f>IFERROR(INDEX(Movimientos!$G$2:$G$1998,MATCH(A723&amp;"ENTRADA",Movimientos!$R$2:$R$1998,0)),"-")</f>
        <v>-</v>
      </c>
      <c r="G723" s="3" t="str">
        <f>IFERROR(INDEX(Movimientos!$L$2:$L$1998,MATCH(A723&amp;"ENTRADA",Movimientos!$R$2:$R$1998,0)),"-")</f>
        <v>-</v>
      </c>
      <c r="H723" s="19" t="str">
        <f>IFERROR(IF(INDEX(Movimientos!$M$2:$M$1998,MATCH(A723&amp;"ENTRADA",Movimientos!$R$2:$R$1998,0))=0,"S/D",INDEX(Movimientos!$M$2:$M$1998,MATCH(A723&amp;"ENTRADA",Movimientos!$R$2:$R$1998,0))),"S/D")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3"/>
        <v>SIN STOCK</v>
      </c>
    </row>
    <row r="724" spans="1:11" ht="14.25">
      <c r="A724" s="18" t="s">
        <v>2867</v>
      </c>
      <c r="B724" s="3" t="str">
        <f>IFERROR(INDEX(Movimientos!$C$2:$C$1998,MATCH(A724&amp;"ENTRADA",Movimientos!$R$2:$R$1998,0)),"-")</f>
        <v>-</v>
      </c>
      <c r="C724" s="3" t="str">
        <f>IFERROR(INDEX(Movimientos!$D$2:$D$1998,MATCH(A724&amp;"ENTRADA",Movimientos!$R$2:$R$1998,0)),"-")</f>
        <v>-</v>
      </c>
      <c r="D724" s="3" t="str">
        <f>IFERROR(INDEX(Movimientos!$E$2:$E$1998,MATCH(A724&amp;"ENTRADA",Movimientos!$R$2:$R$1998,0)),"-")</f>
        <v>-</v>
      </c>
      <c r="E724" s="3" t="str">
        <f>IFERROR(INDEX(Movimientos!$F$2:$F$1998,MATCH(A724&amp;"ENTRADA",Movimientos!$R$2:$R$1998,0)),"-")</f>
        <v>-</v>
      </c>
      <c r="F724" s="3" t="str">
        <f>IFERROR(INDEX(Movimientos!$G$2:$G$1998,MATCH(A724&amp;"ENTRADA",Movimientos!$R$2:$R$1998,0)),"-")</f>
        <v>-</v>
      </c>
      <c r="G724" s="3" t="str">
        <f>IFERROR(INDEX(Movimientos!$L$2:$L$1998,MATCH(A724&amp;"ENTRADA",Movimientos!$R$2:$R$1998,0)),"-")</f>
        <v>-</v>
      </c>
      <c r="H724" s="19" t="str">
        <f>IFERROR(IF(INDEX(Movimientos!$M$2:$M$1998,MATCH(A724&amp;"ENTRADA",Movimientos!$R$2:$R$1998,0))=0,"S/D",INDEX(Movimientos!$M$2:$M$1998,MATCH(A724&amp;"ENTRADA",Movimientos!$R$2:$R$1998,0))),"S/D")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3"/>
        <v>SIN STOCK</v>
      </c>
    </row>
    <row r="725" spans="1:11" ht="14.25">
      <c r="A725" s="18" t="s">
        <v>2868</v>
      </c>
      <c r="B725" s="3" t="str">
        <f>IFERROR(INDEX(Movimientos!$C$2:$C$1998,MATCH(A725&amp;"ENTRADA",Movimientos!$R$2:$R$1998,0)),"-")</f>
        <v>-</v>
      </c>
      <c r="C725" s="3" t="str">
        <f>IFERROR(INDEX(Movimientos!$D$2:$D$1998,MATCH(A725&amp;"ENTRADA",Movimientos!$R$2:$R$1998,0)),"-")</f>
        <v>-</v>
      </c>
      <c r="D725" s="3" t="str">
        <f>IFERROR(INDEX(Movimientos!$E$2:$E$1998,MATCH(A725&amp;"ENTRADA",Movimientos!$R$2:$R$1998,0)),"-")</f>
        <v>-</v>
      </c>
      <c r="E725" s="3" t="str">
        <f>IFERROR(INDEX(Movimientos!$F$2:$F$1998,MATCH(A725&amp;"ENTRADA",Movimientos!$R$2:$R$1998,0)),"-")</f>
        <v>-</v>
      </c>
      <c r="F725" s="3" t="str">
        <f>IFERROR(INDEX(Movimientos!$G$2:$G$1998,MATCH(A725&amp;"ENTRADA",Movimientos!$R$2:$R$1998,0)),"-")</f>
        <v>-</v>
      </c>
      <c r="G725" s="3" t="str">
        <f>IFERROR(INDEX(Movimientos!$L$2:$L$1998,MATCH(A725&amp;"ENTRADA",Movimientos!$R$2:$R$1998,0)),"-")</f>
        <v>-</v>
      </c>
      <c r="H725" s="19" t="str">
        <f>IFERROR(IF(INDEX(Movimientos!$M$2:$M$1998,MATCH(A725&amp;"ENTRADA",Movimientos!$R$2:$R$1998,0))=0,"S/D",INDEX(Movimientos!$M$2:$M$1998,MATCH(A725&amp;"ENTRADA",Movimientos!$R$2:$R$1998,0))),"S/D")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3"/>
        <v>SIN STOCK</v>
      </c>
    </row>
    <row r="726" spans="1:11" ht="14.25">
      <c r="A726" s="18" t="s">
        <v>2869</v>
      </c>
      <c r="B726" s="3" t="str">
        <f>IFERROR(INDEX(Movimientos!$C$2:$C$1998,MATCH(A726&amp;"ENTRADA",Movimientos!$R$2:$R$1998,0)),"-")</f>
        <v>-</v>
      </c>
      <c r="C726" s="3" t="str">
        <f>IFERROR(INDEX(Movimientos!$D$2:$D$1998,MATCH(A726&amp;"ENTRADA",Movimientos!$R$2:$R$1998,0)),"-")</f>
        <v>-</v>
      </c>
      <c r="D726" s="3" t="str">
        <f>IFERROR(INDEX(Movimientos!$E$2:$E$1998,MATCH(A726&amp;"ENTRADA",Movimientos!$R$2:$R$1998,0)),"-")</f>
        <v>-</v>
      </c>
      <c r="E726" s="3" t="str">
        <f>IFERROR(INDEX(Movimientos!$F$2:$F$1998,MATCH(A726&amp;"ENTRADA",Movimientos!$R$2:$R$1998,0)),"-")</f>
        <v>-</v>
      </c>
      <c r="F726" s="3" t="str">
        <f>IFERROR(INDEX(Movimientos!$G$2:$G$1998,MATCH(A726&amp;"ENTRADA",Movimientos!$R$2:$R$1998,0)),"-")</f>
        <v>-</v>
      </c>
      <c r="G726" s="3" t="str">
        <f>IFERROR(INDEX(Movimientos!$L$2:$L$1998,MATCH(A726&amp;"ENTRADA",Movimientos!$R$2:$R$1998,0)),"-")</f>
        <v>-</v>
      </c>
      <c r="H726" s="19" t="str">
        <f>IFERROR(IF(INDEX(Movimientos!$M$2:$M$1998,MATCH(A726&amp;"ENTRADA",Movimientos!$R$2:$R$1998,0))=0,"S/D",INDEX(Movimientos!$M$2:$M$1998,MATCH(A726&amp;"ENTRADA",Movimientos!$R$2:$R$1998,0))),"S/D")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3"/>
        <v>SIN STOCK</v>
      </c>
    </row>
    <row r="727" spans="1:11" ht="14.25">
      <c r="A727" s="18" t="s">
        <v>2870</v>
      </c>
      <c r="B727" s="3" t="str">
        <f>IFERROR(INDEX(Movimientos!$C$2:$C$1998,MATCH(A727&amp;"ENTRADA",Movimientos!$R$2:$R$1998,0)),"-")</f>
        <v>-</v>
      </c>
      <c r="C727" s="3" t="str">
        <f>IFERROR(INDEX(Movimientos!$D$2:$D$1998,MATCH(A727&amp;"ENTRADA",Movimientos!$R$2:$R$1998,0)),"-")</f>
        <v>-</v>
      </c>
      <c r="D727" s="3" t="str">
        <f>IFERROR(INDEX(Movimientos!$E$2:$E$1998,MATCH(A727&amp;"ENTRADA",Movimientos!$R$2:$R$1998,0)),"-")</f>
        <v>-</v>
      </c>
      <c r="E727" s="3" t="str">
        <f>IFERROR(INDEX(Movimientos!$F$2:$F$1998,MATCH(A727&amp;"ENTRADA",Movimientos!$R$2:$R$1998,0)),"-")</f>
        <v>-</v>
      </c>
      <c r="F727" s="3" t="str">
        <f>IFERROR(INDEX(Movimientos!$G$2:$G$1998,MATCH(A727&amp;"ENTRADA",Movimientos!$R$2:$R$1998,0)),"-")</f>
        <v>-</v>
      </c>
      <c r="G727" s="3" t="str">
        <f>IFERROR(INDEX(Movimientos!$L$2:$L$1998,MATCH(A727&amp;"ENTRADA",Movimientos!$R$2:$R$1998,0)),"-")</f>
        <v>-</v>
      </c>
      <c r="H727" s="19" t="str">
        <f>IFERROR(IF(INDEX(Movimientos!$M$2:$M$1998,MATCH(A727&amp;"ENTRADA",Movimientos!$R$2:$R$1998,0))=0,"S/D",INDEX(Movimientos!$M$2:$M$1998,MATCH(A727&amp;"ENTRADA",Movimientos!$R$2:$R$1998,0))),"S/D")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3"/>
        <v>SIN STOCK</v>
      </c>
    </row>
    <row r="728" spans="1:11" ht="14.25">
      <c r="A728" s="18" t="s">
        <v>2871</v>
      </c>
      <c r="B728" s="3" t="str">
        <f>IFERROR(INDEX(Movimientos!$C$2:$C$1998,MATCH(A728&amp;"ENTRADA",Movimientos!$R$2:$R$1998,0)),"-")</f>
        <v>-</v>
      </c>
      <c r="C728" s="3" t="str">
        <f>IFERROR(INDEX(Movimientos!$D$2:$D$1998,MATCH(A728&amp;"ENTRADA",Movimientos!$R$2:$R$1998,0)),"-")</f>
        <v>-</v>
      </c>
      <c r="D728" s="3" t="str">
        <f>IFERROR(INDEX(Movimientos!$E$2:$E$1998,MATCH(A728&amp;"ENTRADA",Movimientos!$R$2:$R$1998,0)),"-")</f>
        <v>-</v>
      </c>
      <c r="E728" s="3" t="str">
        <f>IFERROR(INDEX(Movimientos!$F$2:$F$1998,MATCH(A728&amp;"ENTRADA",Movimientos!$R$2:$R$1998,0)),"-")</f>
        <v>-</v>
      </c>
      <c r="F728" s="3" t="str">
        <f>IFERROR(INDEX(Movimientos!$G$2:$G$1998,MATCH(A728&amp;"ENTRADA",Movimientos!$R$2:$R$1998,0)),"-")</f>
        <v>-</v>
      </c>
      <c r="G728" s="3" t="str">
        <f>IFERROR(INDEX(Movimientos!$L$2:$L$1998,MATCH(A728&amp;"ENTRADA",Movimientos!$R$2:$R$1998,0)),"-")</f>
        <v>-</v>
      </c>
      <c r="H728" s="19" t="str">
        <f>IFERROR(IF(INDEX(Movimientos!$M$2:$M$1998,MATCH(A728&amp;"ENTRADA",Movimientos!$R$2:$R$1998,0))=0,"S/D",INDEX(Movimientos!$M$2:$M$1998,MATCH(A728&amp;"ENTRADA",Movimientos!$R$2:$R$1998,0))),"S/D")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3"/>
        <v>SIN STOCK</v>
      </c>
    </row>
    <row r="729" spans="1:11" ht="14.25">
      <c r="A729" s="18" t="s">
        <v>2872</v>
      </c>
      <c r="B729" s="3" t="str">
        <f>IFERROR(INDEX(Movimientos!$C$2:$C$1998,MATCH(A729&amp;"ENTRADA",Movimientos!$R$2:$R$1998,0)),"-")</f>
        <v>-</v>
      </c>
      <c r="C729" s="3" t="str">
        <f>IFERROR(INDEX(Movimientos!$D$2:$D$1998,MATCH(A729&amp;"ENTRADA",Movimientos!$R$2:$R$1998,0)),"-")</f>
        <v>-</v>
      </c>
      <c r="D729" s="3" t="str">
        <f>IFERROR(INDEX(Movimientos!$E$2:$E$1998,MATCH(A729&amp;"ENTRADA",Movimientos!$R$2:$R$1998,0)),"-")</f>
        <v>-</v>
      </c>
      <c r="E729" s="3" t="str">
        <f>IFERROR(INDEX(Movimientos!$F$2:$F$1998,MATCH(A729&amp;"ENTRADA",Movimientos!$R$2:$R$1998,0)),"-")</f>
        <v>-</v>
      </c>
      <c r="F729" s="3" t="str">
        <f>IFERROR(INDEX(Movimientos!$G$2:$G$1998,MATCH(A729&amp;"ENTRADA",Movimientos!$R$2:$R$1998,0)),"-")</f>
        <v>-</v>
      </c>
      <c r="G729" s="3" t="str">
        <f>IFERROR(INDEX(Movimientos!$L$2:$L$1998,MATCH(A729&amp;"ENTRADA",Movimientos!$R$2:$R$1998,0)),"-")</f>
        <v>-</v>
      </c>
      <c r="H729" s="19" t="str">
        <f>IFERROR(IF(INDEX(Movimientos!$M$2:$M$1998,MATCH(A729&amp;"ENTRADA",Movimientos!$R$2:$R$1998,0))=0,"S/D",INDEX(Movimientos!$M$2:$M$1998,MATCH(A729&amp;"ENTRADA",Movimientos!$R$2:$R$1998,0))),"S/D")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3"/>
        <v>SIN STOCK</v>
      </c>
    </row>
    <row r="730" spans="1:11" ht="14.25">
      <c r="A730" s="18" t="s">
        <v>2873</v>
      </c>
      <c r="B730" s="3" t="str">
        <f>IFERROR(INDEX(Movimientos!$C$2:$C$1998,MATCH(A730&amp;"ENTRADA",Movimientos!$R$2:$R$1998,0)),"-")</f>
        <v>-</v>
      </c>
      <c r="C730" s="3" t="str">
        <f>IFERROR(INDEX(Movimientos!$D$2:$D$1998,MATCH(A730&amp;"ENTRADA",Movimientos!$R$2:$R$1998,0)),"-")</f>
        <v>-</v>
      </c>
      <c r="D730" s="3" t="str">
        <f>IFERROR(INDEX(Movimientos!$E$2:$E$1998,MATCH(A730&amp;"ENTRADA",Movimientos!$R$2:$R$1998,0)),"-")</f>
        <v>-</v>
      </c>
      <c r="E730" s="3" t="str">
        <f>IFERROR(INDEX(Movimientos!$F$2:$F$1998,MATCH(A730&amp;"ENTRADA",Movimientos!$R$2:$R$1998,0)),"-")</f>
        <v>-</v>
      </c>
      <c r="F730" s="3" t="str">
        <f>IFERROR(INDEX(Movimientos!$G$2:$G$1998,MATCH(A730&amp;"ENTRADA",Movimientos!$R$2:$R$1998,0)),"-")</f>
        <v>-</v>
      </c>
      <c r="G730" s="3" t="str">
        <f>IFERROR(INDEX(Movimientos!$L$2:$L$1998,MATCH(A730&amp;"ENTRADA",Movimientos!$R$2:$R$1998,0)),"-")</f>
        <v>-</v>
      </c>
      <c r="H730" s="19" t="str">
        <f>IFERROR(IF(INDEX(Movimientos!$M$2:$M$1998,MATCH(A730&amp;"ENTRADA",Movimientos!$R$2:$R$1998,0))=0,"S/D",INDEX(Movimientos!$M$2:$M$1998,MATCH(A730&amp;"ENTRADA",Movimientos!$R$2:$R$1998,0))),"S/D")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3"/>
        <v>SIN STOCK</v>
      </c>
    </row>
    <row r="731" spans="1:11" ht="14.25">
      <c r="A731" s="18" t="s">
        <v>2874</v>
      </c>
      <c r="B731" s="3" t="str">
        <f>IFERROR(INDEX(Movimientos!$C$2:$C$1998,MATCH(A731&amp;"ENTRADA",Movimientos!$R$2:$R$1998,0)),"-")</f>
        <v>-</v>
      </c>
      <c r="C731" s="3" t="str">
        <f>IFERROR(INDEX(Movimientos!$D$2:$D$1998,MATCH(A731&amp;"ENTRADA",Movimientos!$R$2:$R$1998,0)),"-")</f>
        <v>-</v>
      </c>
      <c r="D731" s="3" t="str">
        <f>IFERROR(INDEX(Movimientos!$E$2:$E$1998,MATCH(A731&amp;"ENTRADA",Movimientos!$R$2:$R$1998,0)),"-")</f>
        <v>-</v>
      </c>
      <c r="E731" s="3" t="str">
        <f>IFERROR(INDEX(Movimientos!$F$2:$F$1998,MATCH(A731&amp;"ENTRADA",Movimientos!$R$2:$R$1998,0)),"-")</f>
        <v>-</v>
      </c>
      <c r="F731" s="3" t="str">
        <f>IFERROR(INDEX(Movimientos!$G$2:$G$1998,MATCH(A731&amp;"ENTRADA",Movimientos!$R$2:$R$1998,0)),"-")</f>
        <v>-</v>
      </c>
      <c r="G731" s="3" t="str">
        <f>IFERROR(INDEX(Movimientos!$L$2:$L$1998,MATCH(A731&amp;"ENTRADA",Movimientos!$R$2:$R$1998,0)),"-")</f>
        <v>-</v>
      </c>
      <c r="H731" s="19" t="str">
        <f>IFERROR(IF(INDEX(Movimientos!$M$2:$M$1998,MATCH(A731&amp;"ENTRADA",Movimientos!$R$2:$R$1998,0))=0,"S/D",INDEX(Movimientos!$M$2:$M$1998,MATCH(A731&amp;"ENTRADA",Movimientos!$R$2:$R$1998,0))),"S/D")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3"/>
        <v>SIN STOCK</v>
      </c>
    </row>
    <row r="732" spans="1:11" ht="14.25">
      <c r="A732" s="18" t="s">
        <v>2875</v>
      </c>
      <c r="B732" s="3" t="str">
        <f>IFERROR(INDEX(Movimientos!$C$2:$C$1998,MATCH(A732&amp;"ENTRADA",Movimientos!$R$2:$R$1998,0)),"-")</f>
        <v>-</v>
      </c>
      <c r="C732" s="3" t="str">
        <f>IFERROR(INDEX(Movimientos!$D$2:$D$1998,MATCH(A732&amp;"ENTRADA",Movimientos!$R$2:$R$1998,0)),"-")</f>
        <v>-</v>
      </c>
      <c r="D732" s="3" t="str">
        <f>IFERROR(INDEX(Movimientos!$E$2:$E$1998,MATCH(A732&amp;"ENTRADA",Movimientos!$R$2:$R$1998,0)),"-")</f>
        <v>-</v>
      </c>
      <c r="E732" s="3" t="str">
        <f>IFERROR(INDEX(Movimientos!$F$2:$F$1998,MATCH(A732&amp;"ENTRADA",Movimientos!$R$2:$R$1998,0)),"-")</f>
        <v>-</v>
      </c>
      <c r="F732" s="3" t="str">
        <f>IFERROR(INDEX(Movimientos!$G$2:$G$1998,MATCH(A732&amp;"ENTRADA",Movimientos!$R$2:$R$1998,0)),"-")</f>
        <v>-</v>
      </c>
      <c r="G732" s="3" t="str">
        <f>IFERROR(INDEX(Movimientos!$L$2:$L$1998,MATCH(A732&amp;"ENTRADA",Movimientos!$R$2:$R$1998,0)),"-")</f>
        <v>-</v>
      </c>
      <c r="H732" s="19" t="str">
        <f>IFERROR(IF(INDEX(Movimientos!$M$2:$M$1998,MATCH(A732&amp;"ENTRADA",Movimientos!$R$2:$R$1998,0))=0,"S/D",INDEX(Movimientos!$M$2:$M$1998,MATCH(A732&amp;"ENTRADA",Movimientos!$R$2:$R$1998,0))),"S/D")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3"/>
        <v>SIN STOCK</v>
      </c>
    </row>
    <row r="733" spans="1:11" ht="14.25">
      <c r="A733" s="18" t="s">
        <v>2876</v>
      </c>
      <c r="B733" s="3" t="str">
        <f>IFERROR(INDEX(Movimientos!$C$2:$C$1998,MATCH(A733&amp;"ENTRADA",Movimientos!$R$2:$R$1998,0)),"-")</f>
        <v>-</v>
      </c>
      <c r="C733" s="3" t="str">
        <f>IFERROR(INDEX(Movimientos!$D$2:$D$1998,MATCH(A733&amp;"ENTRADA",Movimientos!$R$2:$R$1998,0)),"-")</f>
        <v>-</v>
      </c>
      <c r="D733" s="3" t="str">
        <f>IFERROR(INDEX(Movimientos!$E$2:$E$1998,MATCH(A733&amp;"ENTRADA",Movimientos!$R$2:$R$1998,0)),"-")</f>
        <v>-</v>
      </c>
      <c r="E733" s="3" t="str">
        <f>IFERROR(INDEX(Movimientos!$F$2:$F$1998,MATCH(A733&amp;"ENTRADA",Movimientos!$R$2:$R$1998,0)),"-")</f>
        <v>-</v>
      </c>
      <c r="F733" s="3" t="str">
        <f>IFERROR(INDEX(Movimientos!$G$2:$G$1998,MATCH(A733&amp;"ENTRADA",Movimientos!$R$2:$R$1998,0)),"-")</f>
        <v>-</v>
      </c>
      <c r="G733" s="3" t="str">
        <f>IFERROR(INDEX(Movimientos!$L$2:$L$1998,MATCH(A733&amp;"ENTRADA",Movimientos!$R$2:$R$1998,0)),"-")</f>
        <v>-</v>
      </c>
      <c r="H733" s="19" t="str">
        <f>IFERROR(IF(INDEX(Movimientos!$M$2:$M$1998,MATCH(A733&amp;"ENTRADA",Movimientos!$R$2:$R$1998,0))=0,"S/D",INDEX(Movimientos!$M$2:$M$1998,MATCH(A733&amp;"ENTRADA",Movimientos!$R$2:$R$1998,0))),"S/D")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3"/>
        <v>SIN STOCK</v>
      </c>
    </row>
    <row r="734" spans="1:11" ht="14.25">
      <c r="A734" s="18" t="s">
        <v>2877</v>
      </c>
      <c r="B734" s="3" t="str">
        <f>IFERROR(INDEX(Movimientos!$C$2:$C$1998,MATCH(A734&amp;"ENTRADA",Movimientos!$R$2:$R$1998,0)),"-")</f>
        <v>-</v>
      </c>
      <c r="C734" s="3" t="str">
        <f>IFERROR(INDEX(Movimientos!$D$2:$D$1998,MATCH(A734&amp;"ENTRADA",Movimientos!$R$2:$R$1998,0)),"-")</f>
        <v>-</v>
      </c>
      <c r="D734" s="3" t="str">
        <f>IFERROR(INDEX(Movimientos!$E$2:$E$1998,MATCH(A734&amp;"ENTRADA",Movimientos!$R$2:$R$1998,0)),"-")</f>
        <v>-</v>
      </c>
      <c r="E734" s="3" t="str">
        <f>IFERROR(INDEX(Movimientos!$F$2:$F$1998,MATCH(A734&amp;"ENTRADA",Movimientos!$R$2:$R$1998,0)),"-")</f>
        <v>-</v>
      </c>
      <c r="F734" s="3" t="str">
        <f>IFERROR(INDEX(Movimientos!$G$2:$G$1998,MATCH(A734&amp;"ENTRADA",Movimientos!$R$2:$R$1998,0)),"-")</f>
        <v>-</v>
      </c>
      <c r="G734" s="3" t="str">
        <f>IFERROR(INDEX(Movimientos!$L$2:$L$1998,MATCH(A734&amp;"ENTRADA",Movimientos!$R$2:$R$1998,0)),"-")</f>
        <v>-</v>
      </c>
      <c r="H734" s="19" t="str">
        <f>IFERROR(IF(INDEX(Movimientos!$M$2:$M$1998,MATCH(A734&amp;"ENTRADA",Movimientos!$R$2:$R$1998,0))=0,"S/D",INDEX(Movimientos!$M$2:$M$1998,MATCH(A734&amp;"ENTRADA",Movimientos!$R$2:$R$1998,0))),"S/D")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3"/>
        <v>SIN STOCK</v>
      </c>
    </row>
    <row r="735" spans="1:11" ht="14.25">
      <c r="A735" s="18" t="s">
        <v>2878</v>
      </c>
      <c r="B735" s="3" t="str">
        <f>IFERROR(INDEX(Movimientos!$C$2:$C$1998,MATCH(A735&amp;"ENTRADA",Movimientos!$R$2:$R$1998,0)),"-")</f>
        <v>-</v>
      </c>
      <c r="C735" s="3" t="str">
        <f>IFERROR(INDEX(Movimientos!$D$2:$D$1998,MATCH(A735&amp;"ENTRADA",Movimientos!$R$2:$R$1998,0)),"-")</f>
        <v>-</v>
      </c>
      <c r="D735" s="3" t="str">
        <f>IFERROR(INDEX(Movimientos!$E$2:$E$1998,MATCH(A735&amp;"ENTRADA",Movimientos!$R$2:$R$1998,0)),"-")</f>
        <v>-</v>
      </c>
      <c r="E735" s="3" t="str">
        <f>IFERROR(INDEX(Movimientos!$F$2:$F$1998,MATCH(A735&amp;"ENTRADA",Movimientos!$R$2:$R$1998,0)),"-")</f>
        <v>-</v>
      </c>
      <c r="F735" s="3" t="str">
        <f>IFERROR(INDEX(Movimientos!$G$2:$G$1998,MATCH(A735&amp;"ENTRADA",Movimientos!$R$2:$R$1998,0)),"-")</f>
        <v>-</v>
      </c>
      <c r="G735" s="3" t="str">
        <f>IFERROR(INDEX(Movimientos!$L$2:$L$1998,MATCH(A735&amp;"ENTRADA",Movimientos!$R$2:$R$1998,0)),"-")</f>
        <v>-</v>
      </c>
      <c r="H735" s="19" t="str">
        <f>IFERROR(IF(INDEX(Movimientos!$M$2:$M$1998,MATCH(A735&amp;"ENTRADA",Movimientos!$R$2:$R$1998,0))=0,"S/D",INDEX(Movimientos!$M$2:$M$1998,MATCH(A735&amp;"ENTRADA",Movimientos!$R$2:$R$1998,0))),"S/D")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3"/>
        <v>SIN STOCK</v>
      </c>
    </row>
    <row r="736" spans="1:11" ht="14.25">
      <c r="A736" s="18" t="s">
        <v>2879</v>
      </c>
      <c r="B736" s="3" t="str">
        <f>IFERROR(INDEX(Movimientos!$C$2:$C$1998,MATCH(A736&amp;"ENTRADA",Movimientos!$R$2:$R$1998,0)),"-")</f>
        <v>-</v>
      </c>
      <c r="C736" s="3" t="str">
        <f>IFERROR(INDEX(Movimientos!$D$2:$D$1998,MATCH(A736&amp;"ENTRADA",Movimientos!$R$2:$R$1998,0)),"-")</f>
        <v>-</v>
      </c>
      <c r="D736" s="3" t="str">
        <f>IFERROR(INDEX(Movimientos!$E$2:$E$1998,MATCH(A736&amp;"ENTRADA",Movimientos!$R$2:$R$1998,0)),"-")</f>
        <v>-</v>
      </c>
      <c r="E736" s="3" t="str">
        <f>IFERROR(INDEX(Movimientos!$F$2:$F$1998,MATCH(A736&amp;"ENTRADA",Movimientos!$R$2:$R$1998,0)),"-")</f>
        <v>-</v>
      </c>
      <c r="F736" s="3" t="str">
        <f>IFERROR(INDEX(Movimientos!$G$2:$G$1998,MATCH(A736&amp;"ENTRADA",Movimientos!$R$2:$R$1998,0)),"-")</f>
        <v>-</v>
      </c>
      <c r="G736" s="3" t="str">
        <f>IFERROR(INDEX(Movimientos!$L$2:$L$1998,MATCH(A736&amp;"ENTRADA",Movimientos!$R$2:$R$1998,0)),"-")</f>
        <v>-</v>
      </c>
      <c r="H736" s="19" t="str">
        <f>IFERROR(IF(INDEX(Movimientos!$M$2:$M$1998,MATCH(A736&amp;"ENTRADA",Movimientos!$R$2:$R$1998,0))=0,"S/D",INDEX(Movimientos!$M$2:$M$1998,MATCH(A736&amp;"ENTRADA",Movimientos!$R$2:$R$1998,0))),"S/D")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3"/>
        <v>SIN STOCK</v>
      </c>
    </row>
    <row r="737" spans="1:11" ht="14.25">
      <c r="A737" s="18" t="s">
        <v>2880</v>
      </c>
      <c r="B737" s="3" t="str">
        <f>IFERROR(INDEX(Movimientos!$C$2:$C$1998,MATCH(A737&amp;"ENTRADA",Movimientos!$R$2:$R$1998,0)),"-")</f>
        <v>-</v>
      </c>
      <c r="C737" s="3" t="str">
        <f>IFERROR(INDEX(Movimientos!$D$2:$D$1998,MATCH(A737&amp;"ENTRADA",Movimientos!$R$2:$R$1998,0)),"-")</f>
        <v>-</v>
      </c>
      <c r="D737" s="3" t="str">
        <f>IFERROR(INDEX(Movimientos!$E$2:$E$1998,MATCH(A737&amp;"ENTRADA",Movimientos!$R$2:$R$1998,0)),"-")</f>
        <v>-</v>
      </c>
      <c r="E737" s="3" t="str">
        <f>IFERROR(INDEX(Movimientos!$F$2:$F$1998,MATCH(A737&amp;"ENTRADA",Movimientos!$R$2:$R$1998,0)),"-")</f>
        <v>-</v>
      </c>
      <c r="F737" s="3" t="str">
        <f>IFERROR(INDEX(Movimientos!$G$2:$G$1998,MATCH(A737&amp;"ENTRADA",Movimientos!$R$2:$R$1998,0)),"-")</f>
        <v>-</v>
      </c>
      <c r="G737" s="3" t="str">
        <f>IFERROR(INDEX(Movimientos!$L$2:$L$1998,MATCH(A737&amp;"ENTRADA",Movimientos!$R$2:$R$1998,0)),"-")</f>
        <v>-</v>
      </c>
      <c r="H737" s="19" t="str">
        <f>IFERROR(IF(INDEX(Movimientos!$M$2:$M$1998,MATCH(A737&amp;"ENTRADA",Movimientos!$R$2:$R$1998,0))=0,"S/D",INDEX(Movimientos!$M$2:$M$1998,MATCH(A737&amp;"ENTRADA",Movimientos!$R$2:$R$1998,0))),"S/D")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3"/>
        <v>SIN STOCK</v>
      </c>
    </row>
    <row r="738" spans="1:11" ht="14.25">
      <c r="A738" s="18" t="s">
        <v>2881</v>
      </c>
      <c r="B738" s="3" t="str">
        <f>IFERROR(INDEX(Movimientos!$C$2:$C$1998,MATCH(A738&amp;"ENTRADA",Movimientos!$R$2:$R$1998,0)),"-")</f>
        <v>-</v>
      </c>
      <c r="C738" s="3" t="str">
        <f>IFERROR(INDEX(Movimientos!$D$2:$D$1998,MATCH(A738&amp;"ENTRADA",Movimientos!$R$2:$R$1998,0)),"-")</f>
        <v>-</v>
      </c>
      <c r="D738" s="3" t="str">
        <f>IFERROR(INDEX(Movimientos!$E$2:$E$1998,MATCH(A738&amp;"ENTRADA",Movimientos!$R$2:$R$1998,0)),"-")</f>
        <v>-</v>
      </c>
      <c r="E738" s="3" t="str">
        <f>IFERROR(INDEX(Movimientos!$F$2:$F$1998,MATCH(A738&amp;"ENTRADA",Movimientos!$R$2:$R$1998,0)),"-")</f>
        <v>-</v>
      </c>
      <c r="F738" s="3" t="str">
        <f>IFERROR(INDEX(Movimientos!$G$2:$G$1998,MATCH(A738&amp;"ENTRADA",Movimientos!$R$2:$R$1998,0)),"-")</f>
        <v>-</v>
      </c>
      <c r="G738" s="3" t="str">
        <f>IFERROR(INDEX(Movimientos!$L$2:$L$1998,MATCH(A738&amp;"ENTRADA",Movimientos!$R$2:$R$1998,0)),"-")</f>
        <v>-</v>
      </c>
      <c r="H738" s="19" t="str">
        <f>IFERROR(IF(INDEX(Movimientos!$M$2:$M$1998,MATCH(A738&amp;"ENTRADA",Movimientos!$R$2:$R$1998,0))=0,"S/D",INDEX(Movimientos!$M$2:$M$1998,MATCH(A738&amp;"ENTRADA",Movimientos!$R$2:$R$1998,0))),"S/D")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3"/>
        <v>SIN STOCK</v>
      </c>
    </row>
    <row r="739" spans="1:11" ht="14.25">
      <c r="A739" s="18" t="s">
        <v>2882</v>
      </c>
      <c r="B739" s="3" t="str">
        <f>IFERROR(INDEX(Movimientos!$C$2:$C$1998,MATCH(A739&amp;"ENTRADA",Movimientos!$R$2:$R$1998,0)),"-")</f>
        <v>-</v>
      </c>
      <c r="C739" s="3" t="str">
        <f>IFERROR(INDEX(Movimientos!$D$2:$D$1998,MATCH(A739&amp;"ENTRADA",Movimientos!$R$2:$R$1998,0)),"-")</f>
        <v>-</v>
      </c>
      <c r="D739" s="3" t="str">
        <f>IFERROR(INDEX(Movimientos!$E$2:$E$1998,MATCH(A739&amp;"ENTRADA",Movimientos!$R$2:$R$1998,0)),"-")</f>
        <v>-</v>
      </c>
      <c r="E739" s="3" t="str">
        <f>IFERROR(INDEX(Movimientos!$F$2:$F$1998,MATCH(A739&amp;"ENTRADA",Movimientos!$R$2:$R$1998,0)),"-")</f>
        <v>-</v>
      </c>
      <c r="F739" s="3" t="str">
        <f>IFERROR(INDEX(Movimientos!$G$2:$G$1998,MATCH(A739&amp;"ENTRADA",Movimientos!$R$2:$R$1998,0)),"-")</f>
        <v>-</v>
      </c>
      <c r="G739" s="3" t="str">
        <f>IFERROR(INDEX(Movimientos!$L$2:$L$1998,MATCH(A739&amp;"ENTRADA",Movimientos!$R$2:$R$1998,0)),"-")</f>
        <v>-</v>
      </c>
      <c r="H739" s="19" t="str">
        <f>IFERROR(IF(INDEX(Movimientos!$M$2:$M$1998,MATCH(A739&amp;"ENTRADA",Movimientos!$R$2:$R$1998,0))=0,"S/D",INDEX(Movimientos!$M$2:$M$1998,MATCH(A739&amp;"ENTRADA",Movimientos!$R$2:$R$1998,0))),"S/D")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3"/>
        <v>SIN STOCK</v>
      </c>
    </row>
    <row r="740" spans="1:11" ht="14.25">
      <c r="A740" s="18" t="s">
        <v>2883</v>
      </c>
      <c r="B740" s="3" t="str">
        <f>IFERROR(INDEX(Movimientos!$C$2:$C$1998,MATCH(A740&amp;"ENTRADA",Movimientos!$R$2:$R$1998,0)),"-")</f>
        <v>-</v>
      </c>
      <c r="C740" s="3" t="str">
        <f>IFERROR(INDEX(Movimientos!$D$2:$D$1998,MATCH(A740&amp;"ENTRADA",Movimientos!$R$2:$R$1998,0)),"-")</f>
        <v>-</v>
      </c>
      <c r="D740" s="3" t="str">
        <f>IFERROR(INDEX(Movimientos!$E$2:$E$1998,MATCH(A740&amp;"ENTRADA",Movimientos!$R$2:$R$1998,0)),"-")</f>
        <v>-</v>
      </c>
      <c r="E740" s="3" t="str">
        <f>IFERROR(INDEX(Movimientos!$F$2:$F$1998,MATCH(A740&amp;"ENTRADA",Movimientos!$R$2:$R$1998,0)),"-")</f>
        <v>-</v>
      </c>
      <c r="F740" s="3" t="str">
        <f>IFERROR(INDEX(Movimientos!$G$2:$G$1998,MATCH(A740&amp;"ENTRADA",Movimientos!$R$2:$R$1998,0)),"-")</f>
        <v>-</v>
      </c>
      <c r="G740" s="3" t="str">
        <f>IFERROR(INDEX(Movimientos!$L$2:$L$1998,MATCH(A740&amp;"ENTRADA",Movimientos!$R$2:$R$1998,0)),"-")</f>
        <v>-</v>
      </c>
      <c r="H740" s="19" t="str">
        <f>IFERROR(IF(INDEX(Movimientos!$M$2:$M$1998,MATCH(A740&amp;"ENTRADA",Movimientos!$R$2:$R$1998,0))=0,"S/D",INDEX(Movimientos!$M$2:$M$1998,MATCH(A740&amp;"ENTRADA",Movimientos!$R$2:$R$1998,0))),"S/D")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3"/>
        <v>SIN STOCK</v>
      </c>
    </row>
    <row r="741" spans="1:11" ht="14.25">
      <c r="A741" s="18" t="s">
        <v>2884</v>
      </c>
      <c r="B741" s="3" t="str">
        <f>IFERROR(INDEX(Movimientos!$C$2:$C$1998,MATCH(A741&amp;"ENTRADA",Movimientos!$R$2:$R$1998,0)),"-")</f>
        <v>-</v>
      </c>
      <c r="C741" s="3" t="str">
        <f>IFERROR(INDEX(Movimientos!$D$2:$D$1998,MATCH(A741&amp;"ENTRADA",Movimientos!$R$2:$R$1998,0)),"-")</f>
        <v>-</v>
      </c>
      <c r="D741" s="3" t="str">
        <f>IFERROR(INDEX(Movimientos!$E$2:$E$1998,MATCH(A741&amp;"ENTRADA",Movimientos!$R$2:$R$1998,0)),"-")</f>
        <v>-</v>
      </c>
      <c r="E741" s="3" t="str">
        <f>IFERROR(INDEX(Movimientos!$F$2:$F$1998,MATCH(A741&amp;"ENTRADA",Movimientos!$R$2:$R$1998,0)),"-")</f>
        <v>-</v>
      </c>
      <c r="F741" s="3" t="str">
        <f>IFERROR(INDEX(Movimientos!$G$2:$G$1998,MATCH(A741&amp;"ENTRADA",Movimientos!$R$2:$R$1998,0)),"-")</f>
        <v>-</v>
      </c>
      <c r="G741" s="3" t="str">
        <f>IFERROR(INDEX(Movimientos!$L$2:$L$1998,MATCH(A741&amp;"ENTRADA",Movimientos!$R$2:$R$1998,0)),"-")</f>
        <v>-</v>
      </c>
      <c r="H741" s="19" t="str">
        <f>IFERROR(IF(INDEX(Movimientos!$M$2:$M$1998,MATCH(A741&amp;"ENTRADA",Movimientos!$R$2:$R$1998,0))=0,"S/D",INDEX(Movimientos!$M$2:$M$1998,MATCH(A741&amp;"ENTRADA",Movimientos!$R$2:$R$1998,0))),"S/D")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3"/>
        <v>SIN STOCK</v>
      </c>
    </row>
    <row r="742" spans="1:11" ht="14.25">
      <c r="A742" s="18" t="s">
        <v>2885</v>
      </c>
      <c r="B742" s="3" t="str">
        <f>IFERROR(INDEX(Movimientos!$C$2:$C$1998,MATCH(A742&amp;"ENTRADA",Movimientos!$R$2:$R$1998,0)),"-")</f>
        <v>-</v>
      </c>
      <c r="C742" s="3" t="str">
        <f>IFERROR(INDEX(Movimientos!$D$2:$D$1998,MATCH(A742&amp;"ENTRADA",Movimientos!$R$2:$R$1998,0)),"-")</f>
        <v>-</v>
      </c>
      <c r="D742" s="3" t="str">
        <f>IFERROR(INDEX(Movimientos!$E$2:$E$1998,MATCH(A742&amp;"ENTRADA",Movimientos!$R$2:$R$1998,0)),"-")</f>
        <v>-</v>
      </c>
      <c r="E742" s="3" t="str">
        <f>IFERROR(INDEX(Movimientos!$F$2:$F$1998,MATCH(A742&amp;"ENTRADA",Movimientos!$R$2:$R$1998,0)),"-")</f>
        <v>-</v>
      </c>
      <c r="F742" s="3" t="str">
        <f>IFERROR(INDEX(Movimientos!$G$2:$G$1998,MATCH(A742&amp;"ENTRADA",Movimientos!$R$2:$R$1998,0)),"-")</f>
        <v>-</v>
      </c>
      <c r="G742" s="3" t="str">
        <f>IFERROR(INDEX(Movimientos!$L$2:$L$1998,MATCH(A742&amp;"ENTRADA",Movimientos!$R$2:$R$1998,0)),"-")</f>
        <v>-</v>
      </c>
      <c r="H742" s="19" t="str">
        <f>IFERROR(IF(INDEX(Movimientos!$M$2:$M$1998,MATCH(A742&amp;"ENTRADA",Movimientos!$R$2:$R$1998,0))=0,"S/D",INDEX(Movimientos!$M$2:$M$1998,MATCH(A742&amp;"ENTRADA",Movimientos!$R$2:$R$1998,0))),"S/D")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3"/>
        <v>SIN STOCK</v>
      </c>
    </row>
    <row r="743" spans="1:11" ht="14.25">
      <c r="A743" s="18" t="s">
        <v>2886</v>
      </c>
      <c r="B743" s="3" t="str">
        <f>IFERROR(INDEX(Movimientos!$C$2:$C$1998,MATCH(A743&amp;"ENTRADA",Movimientos!$R$2:$R$1998,0)),"-")</f>
        <v>-</v>
      </c>
      <c r="C743" s="3" t="str">
        <f>IFERROR(INDEX(Movimientos!$D$2:$D$1998,MATCH(A743&amp;"ENTRADA",Movimientos!$R$2:$R$1998,0)),"-")</f>
        <v>-</v>
      </c>
      <c r="D743" s="3" t="str">
        <f>IFERROR(INDEX(Movimientos!$E$2:$E$1998,MATCH(A743&amp;"ENTRADA",Movimientos!$R$2:$R$1998,0)),"-")</f>
        <v>-</v>
      </c>
      <c r="E743" s="3" t="str">
        <f>IFERROR(INDEX(Movimientos!$F$2:$F$1998,MATCH(A743&amp;"ENTRADA",Movimientos!$R$2:$R$1998,0)),"-")</f>
        <v>-</v>
      </c>
      <c r="F743" s="3" t="str">
        <f>IFERROR(INDEX(Movimientos!$G$2:$G$1998,MATCH(A743&amp;"ENTRADA",Movimientos!$R$2:$R$1998,0)),"-")</f>
        <v>-</v>
      </c>
      <c r="G743" s="3" t="str">
        <f>IFERROR(INDEX(Movimientos!$L$2:$L$1998,MATCH(A743&amp;"ENTRADA",Movimientos!$R$2:$R$1998,0)),"-")</f>
        <v>-</v>
      </c>
      <c r="H743" s="19" t="str">
        <f>IFERROR(IF(INDEX(Movimientos!$M$2:$M$1998,MATCH(A743&amp;"ENTRADA",Movimientos!$R$2:$R$1998,0))=0,"S/D",INDEX(Movimientos!$M$2:$M$1998,MATCH(A743&amp;"ENTRADA",Movimientos!$R$2:$R$1998,0))),"S/D")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3"/>
        <v>SIN STOCK</v>
      </c>
    </row>
    <row r="744" spans="1:11" ht="14.25">
      <c r="A744" s="18" t="s">
        <v>2887</v>
      </c>
      <c r="B744" s="3" t="str">
        <f>IFERROR(INDEX(Movimientos!$C$2:$C$1998,MATCH(A744&amp;"ENTRADA",Movimientos!$R$2:$R$1998,0)),"-")</f>
        <v>-</v>
      </c>
      <c r="C744" s="3" t="str">
        <f>IFERROR(INDEX(Movimientos!$D$2:$D$1998,MATCH(A744&amp;"ENTRADA",Movimientos!$R$2:$R$1998,0)),"-")</f>
        <v>-</v>
      </c>
      <c r="D744" s="3" t="str">
        <f>IFERROR(INDEX(Movimientos!$E$2:$E$1998,MATCH(A744&amp;"ENTRADA",Movimientos!$R$2:$R$1998,0)),"-")</f>
        <v>-</v>
      </c>
      <c r="E744" s="3" t="str">
        <f>IFERROR(INDEX(Movimientos!$F$2:$F$1998,MATCH(A744&amp;"ENTRADA",Movimientos!$R$2:$R$1998,0)),"-")</f>
        <v>-</v>
      </c>
      <c r="F744" s="3" t="str">
        <f>IFERROR(INDEX(Movimientos!$G$2:$G$1998,MATCH(A744&amp;"ENTRADA",Movimientos!$R$2:$R$1998,0)),"-")</f>
        <v>-</v>
      </c>
      <c r="G744" s="3" t="str">
        <f>IFERROR(INDEX(Movimientos!$L$2:$L$1998,MATCH(A744&amp;"ENTRADA",Movimientos!$R$2:$R$1998,0)),"-")</f>
        <v>-</v>
      </c>
      <c r="H744" s="19" t="str">
        <f>IFERROR(IF(INDEX(Movimientos!$M$2:$M$1998,MATCH(A744&amp;"ENTRADA",Movimientos!$R$2:$R$1998,0))=0,"S/D",INDEX(Movimientos!$M$2:$M$1998,MATCH(A744&amp;"ENTRADA",Movimientos!$R$2:$R$1998,0))),"S/D")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3"/>
        <v>SIN STOCK</v>
      </c>
    </row>
    <row r="745" spans="1:11" ht="14.25">
      <c r="A745" s="18" t="s">
        <v>2888</v>
      </c>
      <c r="B745" s="3" t="str">
        <f>IFERROR(INDEX(Movimientos!$C$2:$C$1998,MATCH(A745&amp;"ENTRADA",Movimientos!$R$2:$R$1998,0)),"-")</f>
        <v>-</v>
      </c>
      <c r="C745" s="3" t="str">
        <f>IFERROR(INDEX(Movimientos!$D$2:$D$1998,MATCH(A745&amp;"ENTRADA",Movimientos!$R$2:$R$1998,0)),"-")</f>
        <v>-</v>
      </c>
      <c r="D745" s="3" t="str">
        <f>IFERROR(INDEX(Movimientos!$E$2:$E$1998,MATCH(A745&amp;"ENTRADA",Movimientos!$R$2:$R$1998,0)),"-")</f>
        <v>-</v>
      </c>
      <c r="E745" s="3" t="str">
        <f>IFERROR(INDEX(Movimientos!$F$2:$F$1998,MATCH(A745&amp;"ENTRADA",Movimientos!$R$2:$R$1998,0)),"-")</f>
        <v>-</v>
      </c>
      <c r="F745" s="3" t="str">
        <f>IFERROR(INDEX(Movimientos!$G$2:$G$1998,MATCH(A745&amp;"ENTRADA",Movimientos!$R$2:$R$1998,0)),"-")</f>
        <v>-</v>
      </c>
      <c r="G745" s="3" t="str">
        <f>IFERROR(INDEX(Movimientos!$L$2:$L$1998,MATCH(A745&amp;"ENTRADA",Movimientos!$R$2:$R$1998,0)),"-")</f>
        <v>-</v>
      </c>
      <c r="H745" s="19" t="str">
        <f>IFERROR(IF(INDEX(Movimientos!$M$2:$M$1998,MATCH(A745&amp;"ENTRADA",Movimientos!$R$2:$R$1998,0))=0,"S/D",INDEX(Movimientos!$M$2:$M$1998,MATCH(A745&amp;"ENTRADA",Movimientos!$R$2:$R$1998,0))),"S/D")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3"/>
        <v>SIN STOCK</v>
      </c>
    </row>
    <row r="746" spans="1:11" ht="14.25">
      <c r="A746" s="18" t="s">
        <v>2889</v>
      </c>
      <c r="B746" s="3" t="str">
        <f>IFERROR(INDEX(Movimientos!$C$2:$C$1998,MATCH(A746&amp;"ENTRADA",Movimientos!$R$2:$R$1998,0)),"-")</f>
        <v>-</v>
      </c>
      <c r="C746" s="3" t="str">
        <f>IFERROR(INDEX(Movimientos!$D$2:$D$1998,MATCH(A746&amp;"ENTRADA",Movimientos!$R$2:$R$1998,0)),"-")</f>
        <v>-</v>
      </c>
      <c r="D746" s="3" t="str">
        <f>IFERROR(INDEX(Movimientos!$E$2:$E$1998,MATCH(A746&amp;"ENTRADA",Movimientos!$R$2:$R$1998,0)),"-")</f>
        <v>-</v>
      </c>
      <c r="E746" s="3" t="str">
        <f>IFERROR(INDEX(Movimientos!$F$2:$F$1998,MATCH(A746&amp;"ENTRADA",Movimientos!$R$2:$R$1998,0)),"-")</f>
        <v>-</v>
      </c>
      <c r="F746" s="3" t="str">
        <f>IFERROR(INDEX(Movimientos!$G$2:$G$1998,MATCH(A746&amp;"ENTRADA",Movimientos!$R$2:$R$1998,0)),"-")</f>
        <v>-</v>
      </c>
      <c r="G746" s="3" t="str">
        <f>IFERROR(INDEX(Movimientos!$L$2:$L$1998,MATCH(A746&amp;"ENTRADA",Movimientos!$R$2:$R$1998,0)),"-")</f>
        <v>-</v>
      </c>
      <c r="H746" s="19" t="str">
        <f>IFERROR(IF(INDEX(Movimientos!$M$2:$M$1998,MATCH(A746&amp;"ENTRADA",Movimientos!$R$2:$R$1998,0))=0,"S/D",INDEX(Movimientos!$M$2:$M$1998,MATCH(A746&amp;"ENTRADA",Movimientos!$R$2:$R$1998,0))),"S/D")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3"/>
        <v>SIN STOCK</v>
      </c>
    </row>
    <row r="747" spans="1:11" ht="14.25">
      <c r="A747" s="18" t="s">
        <v>2890</v>
      </c>
      <c r="B747" s="3" t="str">
        <f>IFERROR(INDEX(Movimientos!$C$2:$C$1998,MATCH(A747&amp;"ENTRADA",Movimientos!$R$2:$R$1998,0)),"-")</f>
        <v>-</v>
      </c>
      <c r="C747" s="3" t="str">
        <f>IFERROR(INDEX(Movimientos!$D$2:$D$1998,MATCH(A747&amp;"ENTRADA",Movimientos!$R$2:$R$1998,0)),"-")</f>
        <v>-</v>
      </c>
      <c r="D747" s="3" t="str">
        <f>IFERROR(INDEX(Movimientos!$E$2:$E$1998,MATCH(A747&amp;"ENTRADA",Movimientos!$R$2:$R$1998,0)),"-")</f>
        <v>-</v>
      </c>
      <c r="E747" s="3" t="str">
        <f>IFERROR(INDEX(Movimientos!$F$2:$F$1998,MATCH(A747&amp;"ENTRADA",Movimientos!$R$2:$R$1998,0)),"-")</f>
        <v>-</v>
      </c>
      <c r="F747" s="3" t="str">
        <f>IFERROR(INDEX(Movimientos!$G$2:$G$1998,MATCH(A747&amp;"ENTRADA",Movimientos!$R$2:$R$1998,0)),"-")</f>
        <v>-</v>
      </c>
      <c r="G747" s="3" t="str">
        <f>IFERROR(INDEX(Movimientos!$L$2:$L$1998,MATCH(A747&amp;"ENTRADA",Movimientos!$R$2:$R$1998,0)),"-")</f>
        <v>-</v>
      </c>
      <c r="H747" s="19" t="str">
        <f>IFERROR(IF(INDEX(Movimientos!$M$2:$M$1998,MATCH(A747&amp;"ENTRADA",Movimientos!$R$2:$R$1998,0))=0,"S/D",INDEX(Movimientos!$M$2:$M$1998,MATCH(A747&amp;"ENTRADA",Movimientos!$R$2:$R$1998,0))),"S/D")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3"/>
        <v>SIN STOCK</v>
      </c>
    </row>
    <row r="748" spans="1:11" ht="14.25">
      <c r="A748" s="18" t="s">
        <v>2891</v>
      </c>
      <c r="B748" s="3" t="str">
        <f>IFERROR(INDEX(Movimientos!$C$2:$C$1998,MATCH(A748&amp;"ENTRADA",Movimientos!$R$2:$R$1998,0)),"-")</f>
        <v>-</v>
      </c>
      <c r="C748" s="3" t="str">
        <f>IFERROR(INDEX(Movimientos!$D$2:$D$1998,MATCH(A748&amp;"ENTRADA",Movimientos!$R$2:$R$1998,0)),"-")</f>
        <v>-</v>
      </c>
      <c r="D748" s="3" t="str">
        <f>IFERROR(INDEX(Movimientos!$E$2:$E$1998,MATCH(A748&amp;"ENTRADA",Movimientos!$R$2:$R$1998,0)),"-")</f>
        <v>-</v>
      </c>
      <c r="E748" s="3" t="str">
        <f>IFERROR(INDEX(Movimientos!$F$2:$F$1998,MATCH(A748&amp;"ENTRADA",Movimientos!$R$2:$R$1998,0)),"-")</f>
        <v>-</v>
      </c>
      <c r="F748" s="3" t="str">
        <f>IFERROR(INDEX(Movimientos!$G$2:$G$1998,MATCH(A748&amp;"ENTRADA",Movimientos!$R$2:$R$1998,0)),"-")</f>
        <v>-</v>
      </c>
      <c r="G748" s="3" t="str">
        <f>IFERROR(INDEX(Movimientos!$L$2:$L$1998,MATCH(A748&amp;"ENTRADA",Movimientos!$R$2:$R$1998,0)),"-")</f>
        <v>-</v>
      </c>
      <c r="H748" s="19" t="str">
        <f>IFERROR(IF(INDEX(Movimientos!$M$2:$M$1998,MATCH(A748&amp;"ENTRADA",Movimientos!$R$2:$R$1998,0))=0,"S/D",INDEX(Movimientos!$M$2:$M$1998,MATCH(A748&amp;"ENTRADA",Movimientos!$R$2:$R$1998,0))),"S/D")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3"/>
        <v>SIN STOCK</v>
      </c>
    </row>
    <row r="749" spans="1:11" ht="14.25">
      <c r="A749" s="18" t="s">
        <v>2892</v>
      </c>
      <c r="B749" s="3" t="str">
        <f>IFERROR(INDEX(Movimientos!$C$2:$C$1998,MATCH(A749&amp;"ENTRADA",Movimientos!$R$2:$R$1998,0)),"-")</f>
        <v>-</v>
      </c>
      <c r="C749" s="3" t="str">
        <f>IFERROR(INDEX(Movimientos!$D$2:$D$1998,MATCH(A749&amp;"ENTRADA",Movimientos!$R$2:$R$1998,0)),"-")</f>
        <v>-</v>
      </c>
      <c r="D749" s="3" t="str">
        <f>IFERROR(INDEX(Movimientos!$E$2:$E$1998,MATCH(A749&amp;"ENTRADA",Movimientos!$R$2:$R$1998,0)),"-")</f>
        <v>-</v>
      </c>
      <c r="E749" s="3" t="str">
        <f>IFERROR(INDEX(Movimientos!$F$2:$F$1998,MATCH(A749&amp;"ENTRADA",Movimientos!$R$2:$R$1998,0)),"-")</f>
        <v>-</v>
      </c>
      <c r="F749" s="3" t="str">
        <f>IFERROR(INDEX(Movimientos!$G$2:$G$1998,MATCH(A749&amp;"ENTRADA",Movimientos!$R$2:$R$1998,0)),"-")</f>
        <v>-</v>
      </c>
      <c r="G749" s="3" t="str">
        <f>IFERROR(INDEX(Movimientos!$L$2:$L$1998,MATCH(A749&amp;"ENTRADA",Movimientos!$R$2:$R$1998,0)),"-")</f>
        <v>-</v>
      </c>
      <c r="H749" s="19" t="str">
        <f>IFERROR(IF(INDEX(Movimientos!$M$2:$M$1998,MATCH(A749&amp;"ENTRADA",Movimientos!$R$2:$R$1998,0))=0,"S/D",INDEX(Movimientos!$M$2:$M$1998,MATCH(A749&amp;"ENTRADA",Movimientos!$R$2:$R$1998,0))),"S/D")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3"/>
        <v>SIN STOCK</v>
      </c>
    </row>
    <row r="750" spans="1:11" ht="14.25">
      <c r="A750" s="18" t="s">
        <v>2893</v>
      </c>
      <c r="B750" s="3" t="str">
        <f>IFERROR(INDEX(Movimientos!$C$2:$C$1998,MATCH(A750&amp;"ENTRADA",Movimientos!$R$2:$R$1998,0)),"-")</f>
        <v>-</v>
      </c>
      <c r="C750" s="3" t="str">
        <f>IFERROR(INDEX(Movimientos!$D$2:$D$1998,MATCH(A750&amp;"ENTRADA",Movimientos!$R$2:$R$1998,0)),"-")</f>
        <v>-</v>
      </c>
      <c r="D750" s="3" t="str">
        <f>IFERROR(INDEX(Movimientos!$E$2:$E$1998,MATCH(A750&amp;"ENTRADA",Movimientos!$R$2:$R$1998,0)),"-")</f>
        <v>-</v>
      </c>
      <c r="E750" s="3" t="str">
        <f>IFERROR(INDEX(Movimientos!$F$2:$F$1998,MATCH(A750&amp;"ENTRADA",Movimientos!$R$2:$R$1998,0)),"-")</f>
        <v>-</v>
      </c>
      <c r="F750" s="3" t="str">
        <f>IFERROR(INDEX(Movimientos!$G$2:$G$1998,MATCH(A750&amp;"ENTRADA",Movimientos!$R$2:$R$1998,0)),"-")</f>
        <v>-</v>
      </c>
      <c r="G750" s="3" t="str">
        <f>IFERROR(INDEX(Movimientos!$L$2:$L$1998,MATCH(A750&amp;"ENTRADA",Movimientos!$R$2:$R$1998,0)),"-")</f>
        <v>-</v>
      </c>
      <c r="H750" s="19" t="str">
        <f>IFERROR(IF(INDEX(Movimientos!$M$2:$M$1998,MATCH(A750&amp;"ENTRADA",Movimientos!$R$2:$R$1998,0))=0,"S/D",INDEX(Movimientos!$M$2:$M$1998,MATCH(A750&amp;"ENTRADA",Movimientos!$R$2:$R$1998,0))),"S/D")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3"/>
        <v>SIN STOCK</v>
      </c>
    </row>
    <row r="751" spans="1:11" ht="14.25">
      <c r="A751" s="18" t="s">
        <v>2894</v>
      </c>
      <c r="B751" s="3" t="str">
        <f>IFERROR(INDEX(Movimientos!$C$2:$C$1998,MATCH(A751&amp;"ENTRADA",Movimientos!$R$2:$R$1998,0)),"-")</f>
        <v>-</v>
      </c>
      <c r="C751" s="3" t="str">
        <f>IFERROR(INDEX(Movimientos!$D$2:$D$1998,MATCH(A751&amp;"ENTRADA",Movimientos!$R$2:$R$1998,0)),"-")</f>
        <v>-</v>
      </c>
      <c r="D751" s="3" t="str">
        <f>IFERROR(INDEX(Movimientos!$E$2:$E$1998,MATCH(A751&amp;"ENTRADA",Movimientos!$R$2:$R$1998,0)),"-")</f>
        <v>-</v>
      </c>
      <c r="E751" s="3" t="str">
        <f>IFERROR(INDEX(Movimientos!$F$2:$F$1998,MATCH(A751&amp;"ENTRADA",Movimientos!$R$2:$R$1998,0)),"-")</f>
        <v>-</v>
      </c>
      <c r="F751" s="3" t="str">
        <f>IFERROR(INDEX(Movimientos!$G$2:$G$1998,MATCH(A751&amp;"ENTRADA",Movimientos!$R$2:$R$1998,0)),"-")</f>
        <v>-</v>
      </c>
      <c r="G751" s="3" t="str">
        <f>IFERROR(INDEX(Movimientos!$L$2:$L$1998,MATCH(A751&amp;"ENTRADA",Movimientos!$R$2:$R$1998,0)),"-")</f>
        <v>-</v>
      </c>
      <c r="H751" s="19" t="str">
        <f>IFERROR(IF(INDEX(Movimientos!$M$2:$M$1998,MATCH(A751&amp;"ENTRADA",Movimientos!$R$2:$R$1998,0))=0,"S/D",INDEX(Movimientos!$M$2:$M$1998,MATCH(A751&amp;"ENTRADA",Movimientos!$R$2:$R$1998,0))),"S/D")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3"/>
        <v>SIN STOCK</v>
      </c>
    </row>
    <row r="752" spans="1:11" ht="14.25">
      <c r="A752" s="18" t="s">
        <v>2895</v>
      </c>
      <c r="B752" s="3" t="str">
        <f>IFERROR(INDEX(Movimientos!$C$2:$C$1998,MATCH(A752&amp;"ENTRADA",Movimientos!$R$2:$R$1998,0)),"-")</f>
        <v>-</v>
      </c>
      <c r="C752" s="3" t="str">
        <f>IFERROR(INDEX(Movimientos!$D$2:$D$1998,MATCH(A752&amp;"ENTRADA",Movimientos!$R$2:$R$1998,0)),"-")</f>
        <v>-</v>
      </c>
      <c r="D752" s="3" t="str">
        <f>IFERROR(INDEX(Movimientos!$E$2:$E$1998,MATCH(A752&amp;"ENTRADA",Movimientos!$R$2:$R$1998,0)),"-")</f>
        <v>-</v>
      </c>
      <c r="E752" s="3" t="str">
        <f>IFERROR(INDEX(Movimientos!$F$2:$F$1998,MATCH(A752&amp;"ENTRADA",Movimientos!$R$2:$R$1998,0)),"-")</f>
        <v>-</v>
      </c>
      <c r="F752" s="3" t="str">
        <f>IFERROR(INDEX(Movimientos!$G$2:$G$1998,MATCH(A752&amp;"ENTRADA",Movimientos!$R$2:$R$1998,0)),"-")</f>
        <v>-</v>
      </c>
      <c r="G752" s="3" t="str">
        <f>IFERROR(INDEX(Movimientos!$L$2:$L$1998,MATCH(A752&amp;"ENTRADA",Movimientos!$R$2:$R$1998,0)),"-")</f>
        <v>-</v>
      </c>
      <c r="H752" s="19" t="str">
        <f>IFERROR(IF(INDEX(Movimientos!$M$2:$M$1998,MATCH(A752&amp;"ENTRADA",Movimientos!$R$2:$R$1998,0))=0,"S/D",INDEX(Movimientos!$M$2:$M$1998,MATCH(A752&amp;"ENTRADA",Movimientos!$R$2:$R$1998,0))),"S/D")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3"/>
        <v>SIN STOCK</v>
      </c>
    </row>
    <row r="753" spans="1:11" ht="14.25">
      <c r="A753" s="18" t="s">
        <v>2896</v>
      </c>
      <c r="B753" s="3" t="str">
        <f>IFERROR(INDEX(Movimientos!$C$2:$C$1998,MATCH(A753&amp;"ENTRADA",Movimientos!$R$2:$R$1998,0)),"-")</f>
        <v>-</v>
      </c>
      <c r="C753" s="3" t="str">
        <f>IFERROR(INDEX(Movimientos!$D$2:$D$1998,MATCH(A753&amp;"ENTRADA",Movimientos!$R$2:$R$1998,0)),"-")</f>
        <v>-</v>
      </c>
      <c r="D753" s="3" t="str">
        <f>IFERROR(INDEX(Movimientos!$E$2:$E$1998,MATCH(A753&amp;"ENTRADA",Movimientos!$R$2:$R$1998,0)),"-")</f>
        <v>-</v>
      </c>
      <c r="E753" s="3" t="str">
        <f>IFERROR(INDEX(Movimientos!$F$2:$F$1998,MATCH(A753&amp;"ENTRADA",Movimientos!$R$2:$R$1998,0)),"-")</f>
        <v>-</v>
      </c>
      <c r="F753" s="3" t="str">
        <f>IFERROR(INDEX(Movimientos!$G$2:$G$1998,MATCH(A753&amp;"ENTRADA",Movimientos!$R$2:$R$1998,0)),"-")</f>
        <v>-</v>
      </c>
      <c r="G753" s="3" t="str">
        <f>IFERROR(INDEX(Movimientos!$L$2:$L$1998,MATCH(A753&amp;"ENTRADA",Movimientos!$R$2:$R$1998,0)),"-")</f>
        <v>-</v>
      </c>
      <c r="H753" s="19" t="str">
        <f>IFERROR(IF(INDEX(Movimientos!$M$2:$M$1998,MATCH(A753&amp;"ENTRADA",Movimientos!$R$2:$R$1998,0))=0,"S/D",INDEX(Movimientos!$M$2:$M$1998,MATCH(A753&amp;"ENTRADA",Movimientos!$R$2:$R$1998,0))),"S/D")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3"/>
        <v>SIN STOCK</v>
      </c>
    </row>
    <row r="754" spans="1:11" ht="14.25">
      <c r="A754" s="18" t="s">
        <v>2897</v>
      </c>
      <c r="B754" s="3" t="str">
        <f>IFERROR(INDEX(Movimientos!$C$2:$C$1998,MATCH(A754&amp;"ENTRADA",Movimientos!$R$2:$R$1998,0)),"-")</f>
        <v>-</v>
      </c>
      <c r="C754" s="3" t="str">
        <f>IFERROR(INDEX(Movimientos!$D$2:$D$1998,MATCH(A754&amp;"ENTRADA",Movimientos!$R$2:$R$1998,0)),"-")</f>
        <v>-</v>
      </c>
      <c r="D754" s="3" t="str">
        <f>IFERROR(INDEX(Movimientos!$E$2:$E$1998,MATCH(A754&amp;"ENTRADA",Movimientos!$R$2:$R$1998,0)),"-")</f>
        <v>-</v>
      </c>
      <c r="E754" s="3" t="str">
        <f>IFERROR(INDEX(Movimientos!$F$2:$F$1998,MATCH(A754&amp;"ENTRADA",Movimientos!$R$2:$R$1998,0)),"-")</f>
        <v>-</v>
      </c>
      <c r="F754" s="3" t="str">
        <f>IFERROR(INDEX(Movimientos!$G$2:$G$1998,MATCH(A754&amp;"ENTRADA",Movimientos!$R$2:$R$1998,0)),"-")</f>
        <v>-</v>
      </c>
      <c r="G754" s="3" t="str">
        <f>IFERROR(INDEX(Movimientos!$L$2:$L$1998,MATCH(A754&amp;"ENTRADA",Movimientos!$R$2:$R$1998,0)),"-")</f>
        <v>-</v>
      </c>
      <c r="H754" s="19" t="str">
        <f>IFERROR(IF(INDEX(Movimientos!$M$2:$M$1998,MATCH(A754&amp;"ENTRADA",Movimientos!$R$2:$R$1998,0))=0,"S/D",INDEX(Movimientos!$M$2:$M$1998,MATCH(A754&amp;"ENTRADA",Movimientos!$R$2:$R$1998,0))),"S/D")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3"/>
        <v>SIN STOCK</v>
      </c>
    </row>
    <row r="755" spans="1:11" ht="14.25">
      <c r="A755" s="18" t="s">
        <v>2898</v>
      </c>
      <c r="B755" s="3" t="str">
        <f>IFERROR(INDEX(Movimientos!$C$2:$C$1998,MATCH(A755&amp;"ENTRADA",Movimientos!$R$2:$R$1998,0)),"-")</f>
        <v>-</v>
      </c>
      <c r="C755" s="3" t="str">
        <f>IFERROR(INDEX(Movimientos!$D$2:$D$1998,MATCH(A755&amp;"ENTRADA",Movimientos!$R$2:$R$1998,0)),"-")</f>
        <v>-</v>
      </c>
      <c r="D755" s="3" t="str">
        <f>IFERROR(INDEX(Movimientos!$E$2:$E$1998,MATCH(A755&amp;"ENTRADA",Movimientos!$R$2:$R$1998,0)),"-")</f>
        <v>-</v>
      </c>
      <c r="E755" s="3" t="str">
        <f>IFERROR(INDEX(Movimientos!$F$2:$F$1998,MATCH(A755&amp;"ENTRADA",Movimientos!$R$2:$R$1998,0)),"-")</f>
        <v>-</v>
      </c>
      <c r="F755" s="3" t="str">
        <f>IFERROR(INDEX(Movimientos!$G$2:$G$1998,MATCH(A755&amp;"ENTRADA",Movimientos!$R$2:$R$1998,0)),"-")</f>
        <v>-</v>
      </c>
      <c r="G755" s="3" t="str">
        <f>IFERROR(INDEX(Movimientos!$L$2:$L$1998,MATCH(A755&amp;"ENTRADA",Movimientos!$R$2:$R$1998,0)),"-")</f>
        <v>-</v>
      </c>
      <c r="H755" s="19" t="str">
        <f>IFERROR(IF(INDEX(Movimientos!$M$2:$M$1998,MATCH(A755&amp;"ENTRADA",Movimientos!$R$2:$R$1998,0))=0,"S/D",INDEX(Movimientos!$M$2:$M$1998,MATCH(A755&amp;"ENTRADA",Movimientos!$R$2:$R$1998,0))),"S/D")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3"/>
        <v>SIN STOCK</v>
      </c>
    </row>
    <row r="756" spans="1:11" ht="14.25">
      <c r="A756" s="18" t="s">
        <v>2899</v>
      </c>
      <c r="B756" s="3" t="str">
        <f>IFERROR(INDEX(Movimientos!$C$2:$C$1998,MATCH(A756&amp;"ENTRADA",Movimientos!$R$2:$R$1998,0)),"-")</f>
        <v>-</v>
      </c>
      <c r="C756" s="3" t="str">
        <f>IFERROR(INDEX(Movimientos!$D$2:$D$1998,MATCH(A756&amp;"ENTRADA",Movimientos!$R$2:$R$1998,0)),"-")</f>
        <v>-</v>
      </c>
      <c r="D756" s="3" t="str">
        <f>IFERROR(INDEX(Movimientos!$E$2:$E$1998,MATCH(A756&amp;"ENTRADA",Movimientos!$R$2:$R$1998,0)),"-")</f>
        <v>-</v>
      </c>
      <c r="E756" s="3" t="str">
        <f>IFERROR(INDEX(Movimientos!$F$2:$F$1998,MATCH(A756&amp;"ENTRADA",Movimientos!$R$2:$R$1998,0)),"-")</f>
        <v>-</v>
      </c>
      <c r="F756" s="3" t="str">
        <f>IFERROR(INDEX(Movimientos!$G$2:$G$1998,MATCH(A756&amp;"ENTRADA",Movimientos!$R$2:$R$1998,0)),"-")</f>
        <v>-</v>
      </c>
      <c r="G756" s="3" t="str">
        <f>IFERROR(INDEX(Movimientos!$L$2:$L$1998,MATCH(A756&amp;"ENTRADA",Movimientos!$R$2:$R$1998,0)),"-")</f>
        <v>-</v>
      </c>
      <c r="H756" s="19" t="str">
        <f>IFERROR(IF(INDEX(Movimientos!$M$2:$M$1998,MATCH(A756&amp;"ENTRADA",Movimientos!$R$2:$R$1998,0))=0,"S/D",INDEX(Movimientos!$M$2:$M$1998,MATCH(A756&amp;"ENTRADA",Movimientos!$R$2:$R$1998,0))),"S/D")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3"/>
        <v>SIN STOCK</v>
      </c>
    </row>
    <row r="757" spans="1:11" ht="14.25">
      <c r="A757" s="18" t="s">
        <v>2900</v>
      </c>
      <c r="B757" s="3" t="str">
        <f>IFERROR(INDEX(Movimientos!$C$2:$C$1998,MATCH(A757&amp;"ENTRADA",Movimientos!$R$2:$R$1998,0)),"-")</f>
        <v>-</v>
      </c>
      <c r="C757" s="3" t="str">
        <f>IFERROR(INDEX(Movimientos!$D$2:$D$1998,MATCH(A757&amp;"ENTRADA",Movimientos!$R$2:$R$1998,0)),"-")</f>
        <v>-</v>
      </c>
      <c r="D757" s="3" t="str">
        <f>IFERROR(INDEX(Movimientos!$E$2:$E$1998,MATCH(A757&amp;"ENTRADA",Movimientos!$R$2:$R$1998,0)),"-")</f>
        <v>-</v>
      </c>
      <c r="E757" s="3" t="str">
        <f>IFERROR(INDEX(Movimientos!$F$2:$F$1998,MATCH(A757&amp;"ENTRADA",Movimientos!$R$2:$R$1998,0)),"-")</f>
        <v>-</v>
      </c>
      <c r="F757" s="3" t="str">
        <f>IFERROR(INDEX(Movimientos!$G$2:$G$1998,MATCH(A757&amp;"ENTRADA",Movimientos!$R$2:$R$1998,0)),"-")</f>
        <v>-</v>
      </c>
      <c r="G757" s="3" t="str">
        <f>IFERROR(INDEX(Movimientos!$L$2:$L$1998,MATCH(A757&amp;"ENTRADA",Movimientos!$R$2:$R$1998,0)),"-")</f>
        <v>-</v>
      </c>
      <c r="H757" s="19" t="str">
        <f>IFERROR(IF(INDEX(Movimientos!$M$2:$M$1998,MATCH(A757&amp;"ENTRADA",Movimientos!$R$2:$R$1998,0))=0,"S/D",INDEX(Movimientos!$M$2:$M$1998,MATCH(A757&amp;"ENTRADA",Movimientos!$R$2:$R$1998,0))),"S/D")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3"/>
        <v>SIN STOCK</v>
      </c>
    </row>
    <row r="758" spans="1:11" ht="14.25">
      <c r="A758" s="18" t="s">
        <v>2901</v>
      </c>
      <c r="B758" s="3" t="str">
        <f>IFERROR(INDEX(Movimientos!$C$2:$C$1998,MATCH(A758&amp;"ENTRADA",Movimientos!$R$2:$R$1998,0)),"-")</f>
        <v>-</v>
      </c>
      <c r="C758" s="3" t="str">
        <f>IFERROR(INDEX(Movimientos!$D$2:$D$1998,MATCH(A758&amp;"ENTRADA",Movimientos!$R$2:$R$1998,0)),"-")</f>
        <v>-</v>
      </c>
      <c r="D758" s="3" t="str">
        <f>IFERROR(INDEX(Movimientos!$E$2:$E$1998,MATCH(A758&amp;"ENTRADA",Movimientos!$R$2:$R$1998,0)),"-")</f>
        <v>-</v>
      </c>
      <c r="E758" s="3" t="str">
        <f>IFERROR(INDEX(Movimientos!$F$2:$F$1998,MATCH(A758&amp;"ENTRADA",Movimientos!$R$2:$R$1998,0)),"-")</f>
        <v>-</v>
      </c>
      <c r="F758" s="3" t="str">
        <f>IFERROR(INDEX(Movimientos!$G$2:$G$1998,MATCH(A758&amp;"ENTRADA",Movimientos!$R$2:$R$1998,0)),"-")</f>
        <v>-</v>
      </c>
      <c r="G758" s="3" t="str">
        <f>IFERROR(INDEX(Movimientos!$L$2:$L$1998,MATCH(A758&amp;"ENTRADA",Movimientos!$R$2:$R$1998,0)),"-")</f>
        <v>-</v>
      </c>
      <c r="H758" s="19" t="str">
        <f>IFERROR(IF(INDEX(Movimientos!$M$2:$M$1998,MATCH(A758&amp;"ENTRADA",Movimientos!$R$2:$R$1998,0))=0,"S/D",INDEX(Movimientos!$M$2:$M$1998,MATCH(A758&amp;"ENTRADA",Movimientos!$R$2:$R$1998,0))),"S/D")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3"/>
        <v>SIN STOCK</v>
      </c>
    </row>
    <row r="759" spans="1:11" ht="14.25">
      <c r="A759" s="18" t="s">
        <v>2902</v>
      </c>
      <c r="B759" s="3" t="str">
        <f>IFERROR(INDEX(Movimientos!$C$2:$C$1998,MATCH(A759&amp;"ENTRADA",Movimientos!$R$2:$R$1998,0)),"-")</f>
        <v>-</v>
      </c>
      <c r="C759" s="3" t="str">
        <f>IFERROR(INDEX(Movimientos!$D$2:$D$1998,MATCH(A759&amp;"ENTRADA",Movimientos!$R$2:$R$1998,0)),"-")</f>
        <v>-</v>
      </c>
      <c r="D759" s="3" t="str">
        <f>IFERROR(INDEX(Movimientos!$E$2:$E$1998,MATCH(A759&amp;"ENTRADA",Movimientos!$R$2:$R$1998,0)),"-")</f>
        <v>-</v>
      </c>
      <c r="E759" s="3" t="str">
        <f>IFERROR(INDEX(Movimientos!$F$2:$F$1998,MATCH(A759&amp;"ENTRADA",Movimientos!$R$2:$R$1998,0)),"-")</f>
        <v>-</v>
      </c>
      <c r="F759" s="3" t="str">
        <f>IFERROR(INDEX(Movimientos!$G$2:$G$1998,MATCH(A759&amp;"ENTRADA",Movimientos!$R$2:$R$1998,0)),"-")</f>
        <v>-</v>
      </c>
      <c r="G759" s="3" t="str">
        <f>IFERROR(INDEX(Movimientos!$L$2:$L$1998,MATCH(A759&amp;"ENTRADA",Movimientos!$R$2:$R$1998,0)),"-")</f>
        <v>-</v>
      </c>
      <c r="H759" s="19" t="str">
        <f>IFERROR(IF(INDEX(Movimientos!$M$2:$M$1998,MATCH(A759&amp;"ENTRADA",Movimientos!$R$2:$R$1998,0))=0,"S/D",INDEX(Movimientos!$M$2:$M$1998,MATCH(A759&amp;"ENTRADA",Movimientos!$R$2:$R$1998,0))),"S/D")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3"/>
        <v>SIN STOCK</v>
      </c>
    </row>
    <row r="760" spans="1:11" ht="14.25">
      <c r="A760" s="18" t="s">
        <v>2903</v>
      </c>
      <c r="B760" s="3" t="str">
        <f>IFERROR(INDEX(Movimientos!$C$2:$C$1998,MATCH(A760&amp;"ENTRADA",Movimientos!$R$2:$R$1998,0)),"-")</f>
        <v>-</v>
      </c>
      <c r="C760" s="3" t="str">
        <f>IFERROR(INDEX(Movimientos!$D$2:$D$1998,MATCH(A760&amp;"ENTRADA",Movimientos!$R$2:$R$1998,0)),"-")</f>
        <v>-</v>
      </c>
      <c r="D760" s="3" t="str">
        <f>IFERROR(INDEX(Movimientos!$E$2:$E$1998,MATCH(A760&amp;"ENTRADA",Movimientos!$R$2:$R$1998,0)),"-")</f>
        <v>-</v>
      </c>
      <c r="E760" s="3" t="str">
        <f>IFERROR(INDEX(Movimientos!$F$2:$F$1998,MATCH(A760&amp;"ENTRADA",Movimientos!$R$2:$R$1998,0)),"-")</f>
        <v>-</v>
      </c>
      <c r="F760" s="3" t="str">
        <f>IFERROR(INDEX(Movimientos!$G$2:$G$1998,MATCH(A760&amp;"ENTRADA",Movimientos!$R$2:$R$1998,0)),"-")</f>
        <v>-</v>
      </c>
      <c r="G760" s="3" t="str">
        <f>IFERROR(INDEX(Movimientos!$L$2:$L$1998,MATCH(A760&amp;"ENTRADA",Movimientos!$R$2:$R$1998,0)),"-")</f>
        <v>-</v>
      </c>
      <c r="H760" s="19" t="str">
        <f>IFERROR(IF(INDEX(Movimientos!$M$2:$M$1998,MATCH(A760&amp;"ENTRADA",Movimientos!$R$2:$R$1998,0))=0,"S/D",INDEX(Movimientos!$M$2:$M$1998,MATCH(A760&amp;"ENTRADA",Movimientos!$R$2:$R$1998,0))),"S/D")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3"/>
        <v>SIN STOCK</v>
      </c>
    </row>
    <row r="761" spans="1:11" ht="14.25">
      <c r="A761" s="18" t="s">
        <v>2904</v>
      </c>
      <c r="B761" s="3" t="str">
        <f>IFERROR(INDEX(Movimientos!$C$2:$C$1998,MATCH(A761&amp;"ENTRADA",Movimientos!$R$2:$R$1998,0)),"-")</f>
        <v>-</v>
      </c>
      <c r="C761" s="3" t="str">
        <f>IFERROR(INDEX(Movimientos!$D$2:$D$1998,MATCH(A761&amp;"ENTRADA",Movimientos!$R$2:$R$1998,0)),"-")</f>
        <v>-</v>
      </c>
      <c r="D761" s="3" t="str">
        <f>IFERROR(INDEX(Movimientos!$E$2:$E$1998,MATCH(A761&amp;"ENTRADA",Movimientos!$R$2:$R$1998,0)),"-")</f>
        <v>-</v>
      </c>
      <c r="E761" s="3" t="str">
        <f>IFERROR(INDEX(Movimientos!$F$2:$F$1998,MATCH(A761&amp;"ENTRADA",Movimientos!$R$2:$R$1998,0)),"-")</f>
        <v>-</v>
      </c>
      <c r="F761" s="3" t="str">
        <f>IFERROR(INDEX(Movimientos!$G$2:$G$1998,MATCH(A761&amp;"ENTRADA",Movimientos!$R$2:$R$1998,0)),"-")</f>
        <v>-</v>
      </c>
      <c r="G761" s="3" t="str">
        <f>IFERROR(INDEX(Movimientos!$L$2:$L$1998,MATCH(A761&amp;"ENTRADA",Movimientos!$R$2:$R$1998,0)),"-")</f>
        <v>-</v>
      </c>
      <c r="H761" s="19" t="str">
        <f>IFERROR(IF(INDEX(Movimientos!$M$2:$M$1998,MATCH(A761&amp;"ENTRADA",Movimientos!$R$2:$R$1998,0))=0,"S/D",INDEX(Movimientos!$M$2:$M$1998,MATCH(A761&amp;"ENTRADA",Movimientos!$R$2:$R$1998,0))),"S/D")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3"/>
        <v>SIN STOCK</v>
      </c>
    </row>
    <row r="762" spans="1:11" ht="14.25">
      <c r="A762" s="18" t="s">
        <v>2905</v>
      </c>
      <c r="B762" s="3" t="str">
        <f>IFERROR(INDEX(Movimientos!$C$2:$C$1998,MATCH(A762&amp;"ENTRADA",Movimientos!$R$2:$R$1998,0)),"-")</f>
        <v>-</v>
      </c>
      <c r="C762" s="3" t="str">
        <f>IFERROR(INDEX(Movimientos!$D$2:$D$1998,MATCH(A762&amp;"ENTRADA",Movimientos!$R$2:$R$1998,0)),"-")</f>
        <v>-</v>
      </c>
      <c r="D762" s="3" t="str">
        <f>IFERROR(INDEX(Movimientos!$E$2:$E$1998,MATCH(A762&amp;"ENTRADA",Movimientos!$R$2:$R$1998,0)),"-")</f>
        <v>-</v>
      </c>
      <c r="E762" s="3" t="str">
        <f>IFERROR(INDEX(Movimientos!$F$2:$F$1998,MATCH(A762&amp;"ENTRADA",Movimientos!$R$2:$R$1998,0)),"-")</f>
        <v>-</v>
      </c>
      <c r="F762" s="3" t="str">
        <f>IFERROR(INDEX(Movimientos!$G$2:$G$1998,MATCH(A762&amp;"ENTRADA",Movimientos!$R$2:$R$1998,0)),"-")</f>
        <v>-</v>
      </c>
      <c r="G762" s="3" t="str">
        <f>IFERROR(INDEX(Movimientos!$L$2:$L$1998,MATCH(A762&amp;"ENTRADA",Movimientos!$R$2:$R$1998,0)),"-")</f>
        <v>-</v>
      </c>
      <c r="H762" s="19" t="str">
        <f>IFERROR(IF(INDEX(Movimientos!$M$2:$M$1998,MATCH(A762&amp;"ENTRADA",Movimientos!$R$2:$R$1998,0))=0,"S/D",INDEX(Movimientos!$M$2:$M$1998,MATCH(A762&amp;"ENTRADA",Movimientos!$R$2:$R$1998,0))),"S/D")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3"/>
        <v>SIN STOCK</v>
      </c>
    </row>
    <row r="763" spans="1:11" ht="14.25">
      <c r="A763" s="18" t="s">
        <v>2906</v>
      </c>
      <c r="B763" s="3" t="str">
        <f>IFERROR(INDEX(Movimientos!$C$2:$C$1998,MATCH(A763&amp;"ENTRADA",Movimientos!$R$2:$R$1998,0)),"-")</f>
        <v>-</v>
      </c>
      <c r="C763" s="3" t="str">
        <f>IFERROR(INDEX(Movimientos!$D$2:$D$1998,MATCH(A763&amp;"ENTRADA",Movimientos!$R$2:$R$1998,0)),"-")</f>
        <v>-</v>
      </c>
      <c r="D763" s="3" t="str">
        <f>IFERROR(INDEX(Movimientos!$E$2:$E$1998,MATCH(A763&amp;"ENTRADA",Movimientos!$R$2:$R$1998,0)),"-")</f>
        <v>-</v>
      </c>
      <c r="E763" s="3" t="str">
        <f>IFERROR(INDEX(Movimientos!$F$2:$F$1998,MATCH(A763&amp;"ENTRADA",Movimientos!$R$2:$R$1998,0)),"-")</f>
        <v>-</v>
      </c>
      <c r="F763" s="3" t="str">
        <f>IFERROR(INDEX(Movimientos!$G$2:$G$1998,MATCH(A763&amp;"ENTRADA",Movimientos!$R$2:$R$1998,0)),"-")</f>
        <v>-</v>
      </c>
      <c r="G763" s="3" t="str">
        <f>IFERROR(INDEX(Movimientos!$L$2:$L$1998,MATCH(A763&amp;"ENTRADA",Movimientos!$R$2:$R$1998,0)),"-")</f>
        <v>-</v>
      </c>
      <c r="H763" s="19" t="str">
        <f>IFERROR(IF(INDEX(Movimientos!$M$2:$M$1998,MATCH(A763&amp;"ENTRADA",Movimientos!$R$2:$R$1998,0))=0,"S/D",INDEX(Movimientos!$M$2:$M$1998,MATCH(A763&amp;"ENTRADA",Movimientos!$R$2:$R$1998,0))),"S/D")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3"/>
        <v>SIN STOCK</v>
      </c>
    </row>
    <row r="764" spans="1:11" ht="14.25">
      <c r="A764" s="18" t="s">
        <v>2907</v>
      </c>
      <c r="B764" s="3" t="str">
        <f>IFERROR(INDEX(Movimientos!$C$2:$C$1998,MATCH(A764&amp;"ENTRADA",Movimientos!$R$2:$R$1998,0)),"-")</f>
        <v>-</v>
      </c>
      <c r="C764" s="3" t="str">
        <f>IFERROR(INDEX(Movimientos!$D$2:$D$1998,MATCH(A764&amp;"ENTRADA",Movimientos!$R$2:$R$1998,0)),"-")</f>
        <v>-</v>
      </c>
      <c r="D764" s="3" t="str">
        <f>IFERROR(INDEX(Movimientos!$E$2:$E$1998,MATCH(A764&amp;"ENTRADA",Movimientos!$R$2:$R$1998,0)),"-")</f>
        <v>-</v>
      </c>
      <c r="E764" s="3" t="str">
        <f>IFERROR(INDEX(Movimientos!$F$2:$F$1998,MATCH(A764&amp;"ENTRADA",Movimientos!$R$2:$R$1998,0)),"-")</f>
        <v>-</v>
      </c>
      <c r="F764" s="3" t="str">
        <f>IFERROR(INDEX(Movimientos!$G$2:$G$1998,MATCH(A764&amp;"ENTRADA",Movimientos!$R$2:$R$1998,0)),"-")</f>
        <v>-</v>
      </c>
      <c r="G764" s="3" t="str">
        <f>IFERROR(INDEX(Movimientos!$L$2:$L$1998,MATCH(A764&amp;"ENTRADA",Movimientos!$R$2:$R$1998,0)),"-")</f>
        <v>-</v>
      </c>
      <c r="H764" s="19" t="str">
        <f>IFERROR(IF(INDEX(Movimientos!$M$2:$M$1998,MATCH(A764&amp;"ENTRADA",Movimientos!$R$2:$R$1998,0))=0,"S/D",INDEX(Movimientos!$M$2:$M$1998,MATCH(A764&amp;"ENTRADA",Movimientos!$R$2:$R$1998,0))),"S/D")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3"/>
        <v>SIN STOCK</v>
      </c>
    </row>
    <row r="765" spans="1:11" ht="14.25">
      <c r="A765" s="18" t="s">
        <v>2908</v>
      </c>
      <c r="B765" s="3" t="str">
        <f>IFERROR(INDEX(Movimientos!$C$2:$C$1998,MATCH(A765&amp;"ENTRADA",Movimientos!$R$2:$R$1998,0)),"-")</f>
        <v>-</v>
      </c>
      <c r="C765" s="3" t="str">
        <f>IFERROR(INDEX(Movimientos!$D$2:$D$1998,MATCH(A765&amp;"ENTRADA",Movimientos!$R$2:$R$1998,0)),"-")</f>
        <v>-</v>
      </c>
      <c r="D765" s="3" t="str">
        <f>IFERROR(INDEX(Movimientos!$E$2:$E$1998,MATCH(A765&amp;"ENTRADA",Movimientos!$R$2:$R$1998,0)),"-")</f>
        <v>-</v>
      </c>
      <c r="E765" s="3" t="str">
        <f>IFERROR(INDEX(Movimientos!$F$2:$F$1998,MATCH(A765&amp;"ENTRADA",Movimientos!$R$2:$R$1998,0)),"-")</f>
        <v>-</v>
      </c>
      <c r="F765" s="3" t="str">
        <f>IFERROR(INDEX(Movimientos!$G$2:$G$1998,MATCH(A765&amp;"ENTRADA",Movimientos!$R$2:$R$1998,0)),"-")</f>
        <v>-</v>
      </c>
      <c r="G765" s="3" t="str">
        <f>IFERROR(INDEX(Movimientos!$L$2:$L$1998,MATCH(A765&amp;"ENTRADA",Movimientos!$R$2:$R$1998,0)),"-")</f>
        <v>-</v>
      </c>
      <c r="H765" s="19" t="str">
        <f>IFERROR(IF(INDEX(Movimientos!$M$2:$M$1998,MATCH(A765&amp;"ENTRADA",Movimientos!$R$2:$R$1998,0))=0,"S/D",INDEX(Movimientos!$M$2:$M$1998,MATCH(A765&amp;"ENTRADA",Movimientos!$R$2:$R$1998,0))),"S/D")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3"/>
        <v>SIN STOCK</v>
      </c>
    </row>
    <row r="766" spans="1:11" ht="14.25">
      <c r="A766" s="18" t="s">
        <v>2909</v>
      </c>
      <c r="B766" s="3" t="str">
        <f>IFERROR(INDEX(Movimientos!$C$2:$C$1998,MATCH(A766&amp;"ENTRADA",Movimientos!$R$2:$R$1998,0)),"-")</f>
        <v>-</v>
      </c>
      <c r="C766" s="3" t="str">
        <f>IFERROR(INDEX(Movimientos!$D$2:$D$1998,MATCH(A766&amp;"ENTRADA",Movimientos!$R$2:$R$1998,0)),"-")</f>
        <v>-</v>
      </c>
      <c r="D766" s="3" t="str">
        <f>IFERROR(INDEX(Movimientos!$E$2:$E$1998,MATCH(A766&amp;"ENTRADA",Movimientos!$R$2:$R$1998,0)),"-")</f>
        <v>-</v>
      </c>
      <c r="E766" s="3" t="str">
        <f>IFERROR(INDEX(Movimientos!$F$2:$F$1998,MATCH(A766&amp;"ENTRADA",Movimientos!$R$2:$R$1998,0)),"-")</f>
        <v>-</v>
      </c>
      <c r="F766" s="3" t="str">
        <f>IFERROR(INDEX(Movimientos!$G$2:$G$1998,MATCH(A766&amp;"ENTRADA",Movimientos!$R$2:$R$1998,0)),"-")</f>
        <v>-</v>
      </c>
      <c r="G766" s="3" t="str">
        <f>IFERROR(INDEX(Movimientos!$L$2:$L$1998,MATCH(A766&amp;"ENTRADA",Movimientos!$R$2:$R$1998,0)),"-")</f>
        <v>-</v>
      </c>
      <c r="H766" s="19" t="str">
        <f>IFERROR(IF(INDEX(Movimientos!$M$2:$M$1998,MATCH(A766&amp;"ENTRADA",Movimientos!$R$2:$R$1998,0))=0,"S/D",INDEX(Movimientos!$M$2:$M$1998,MATCH(A766&amp;"ENTRADA",Movimientos!$R$2:$R$1998,0))),"S/D")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3"/>
        <v>SIN STOCK</v>
      </c>
    </row>
    <row r="767" spans="1:11" ht="14.25">
      <c r="A767" s="18" t="s">
        <v>2910</v>
      </c>
      <c r="B767" s="3" t="str">
        <f>IFERROR(INDEX(Movimientos!$C$2:$C$1998,MATCH(A767&amp;"ENTRADA",Movimientos!$R$2:$R$1998,0)),"-")</f>
        <v>-</v>
      </c>
      <c r="C767" s="3" t="str">
        <f>IFERROR(INDEX(Movimientos!$D$2:$D$1998,MATCH(A767&amp;"ENTRADA",Movimientos!$R$2:$R$1998,0)),"-")</f>
        <v>-</v>
      </c>
      <c r="D767" s="3" t="str">
        <f>IFERROR(INDEX(Movimientos!$E$2:$E$1998,MATCH(A767&amp;"ENTRADA",Movimientos!$R$2:$R$1998,0)),"-")</f>
        <v>-</v>
      </c>
      <c r="E767" s="3" t="str">
        <f>IFERROR(INDEX(Movimientos!$F$2:$F$1998,MATCH(A767&amp;"ENTRADA",Movimientos!$R$2:$R$1998,0)),"-")</f>
        <v>-</v>
      </c>
      <c r="F767" s="3" t="str">
        <f>IFERROR(INDEX(Movimientos!$G$2:$G$1998,MATCH(A767&amp;"ENTRADA",Movimientos!$R$2:$R$1998,0)),"-")</f>
        <v>-</v>
      </c>
      <c r="G767" s="3" t="str">
        <f>IFERROR(INDEX(Movimientos!$L$2:$L$1998,MATCH(A767&amp;"ENTRADA",Movimientos!$R$2:$R$1998,0)),"-")</f>
        <v>-</v>
      </c>
      <c r="H767" s="19" t="str">
        <f>IFERROR(IF(INDEX(Movimientos!$M$2:$M$1998,MATCH(A767&amp;"ENTRADA",Movimientos!$R$2:$R$1998,0))=0,"S/D",INDEX(Movimientos!$M$2:$M$1998,MATCH(A767&amp;"ENTRADA",Movimientos!$R$2:$R$1998,0))),"S/D")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3"/>
        <v>SIN STOCK</v>
      </c>
    </row>
    <row r="768" spans="1:11" ht="14.25">
      <c r="A768" s="18" t="s">
        <v>2911</v>
      </c>
      <c r="B768" s="3" t="str">
        <f>IFERROR(INDEX(Movimientos!$C$2:$C$1998,MATCH(A768&amp;"ENTRADA",Movimientos!$R$2:$R$1998,0)),"-")</f>
        <v>-</v>
      </c>
      <c r="C768" s="3" t="str">
        <f>IFERROR(INDEX(Movimientos!$D$2:$D$1998,MATCH(A768&amp;"ENTRADA",Movimientos!$R$2:$R$1998,0)),"-")</f>
        <v>-</v>
      </c>
      <c r="D768" s="3" t="str">
        <f>IFERROR(INDEX(Movimientos!$E$2:$E$1998,MATCH(A768&amp;"ENTRADA",Movimientos!$R$2:$R$1998,0)),"-")</f>
        <v>-</v>
      </c>
      <c r="E768" s="3" t="str">
        <f>IFERROR(INDEX(Movimientos!$F$2:$F$1998,MATCH(A768&amp;"ENTRADA",Movimientos!$R$2:$R$1998,0)),"-")</f>
        <v>-</v>
      </c>
      <c r="F768" s="3" t="str">
        <f>IFERROR(INDEX(Movimientos!$G$2:$G$1998,MATCH(A768&amp;"ENTRADA",Movimientos!$R$2:$R$1998,0)),"-")</f>
        <v>-</v>
      </c>
      <c r="G768" s="3" t="str">
        <f>IFERROR(INDEX(Movimientos!$L$2:$L$1998,MATCH(A768&amp;"ENTRADA",Movimientos!$R$2:$R$1998,0)),"-")</f>
        <v>-</v>
      </c>
      <c r="H768" s="19" t="str">
        <f>IFERROR(IF(INDEX(Movimientos!$M$2:$M$1998,MATCH(A768&amp;"ENTRADA",Movimientos!$R$2:$R$1998,0))=0,"S/D",INDEX(Movimientos!$M$2:$M$1998,MATCH(A768&amp;"ENTRADA",Movimientos!$R$2:$R$1998,0))),"S/D")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ref="K768:K831" ca="1" si="25">IF(A768="","",IF(J768&lt;0.01,"SIN STOCK",IF(H768="S/D","OK",IF(H768&lt;TODAY(),"VENCIDO",IF(I768&gt;=180,"OK","PRÓXIMO A VENCER")))))</f>
        <v>SIN STOCK</v>
      </c>
    </row>
    <row r="769" spans="1:11" ht="14.25">
      <c r="A769" s="18" t="s">
        <v>2912</v>
      </c>
      <c r="B769" s="3" t="str">
        <f>IFERROR(INDEX(Movimientos!$C$2:$C$1998,MATCH(A769&amp;"ENTRADA",Movimientos!$R$2:$R$1998,0)),"-")</f>
        <v>-</v>
      </c>
      <c r="C769" s="3" t="str">
        <f>IFERROR(INDEX(Movimientos!$D$2:$D$1998,MATCH(A769&amp;"ENTRADA",Movimientos!$R$2:$R$1998,0)),"-")</f>
        <v>-</v>
      </c>
      <c r="D769" s="3" t="str">
        <f>IFERROR(INDEX(Movimientos!$E$2:$E$1998,MATCH(A769&amp;"ENTRADA",Movimientos!$R$2:$R$1998,0)),"-")</f>
        <v>-</v>
      </c>
      <c r="E769" s="3" t="str">
        <f>IFERROR(INDEX(Movimientos!$F$2:$F$1998,MATCH(A769&amp;"ENTRADA",Movimientos!$R$2:$R$1998,0)),"-")</f>
        <v>-</v>
      </c>
      <c r="F769" s="3" t="str">
        <f>IFERROR(INDEX(Movimientos!$G$2:$G$1998,MATCH(A769&amp;"ENTRADA",Movimientos!$R$2:$R$1998,0)),"-")</f>
        <v>-</v>
      </c>
      <c r="G769" s="3" t="str">
        <f>IFERROR(INDEX(Movimientos!$L$2:$L$1998,MATCH(A769&amp;"ENTRADA",Movimientos!$R$2:$R$1998,0)),"-")</f>
        <v>-</v>
      </c>
      <c r="H769" s="19" t="str">
        <f>IFERROR(IF(INDEX(Movimientos!$M$2:$M$1998,MATCH(A769&amp;"ENTRADA",Movimientos!$R$2:$R$1998,0))=0,"S/D",INDEX(Movimientos!$M$2:$M$1998,MATCH(A769&amp;"ENTRADA",Movimientos!$R$2:$R$1998,0))),"S/D")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SIN STOCK</v>
      </c>
    </row>
    <row r="770" spans="1:11" ht="14.25">
      <c r="A770" s="18" t="s">
        <v>2913</v>
      </c>
      <c r="B770" s="3" t="str">
        <f>IFERROR(INDEX(Movimientos!$C$2:$C$1998,MATCH(A770&amp;"ENTRADA",Movimientos!$R$2:$R$1998,0)),"-")</f>
        <v>-</v>
      </c>
      <c r="C770" s="3" t="str">
        <f>IFERROR(INDEX(Movimientos!$D$2:$D$1998,MATCH(A770&amp;"ENTRADA",Movimientos!$R$2:$R$1998,0)),"-")</f>
        <v>-</v>
      </c>
      <c r="D770" s="3" t="str">
        <f>IFERROR(INDEX(Movimientos!$E$2:$E$1998,MATCH(A770&amp;"ENTRADA",Movimientos!$R$2:$R$1998,0)),"-")</f>
        <v>-</v>
      </c>
      <c r="E770" s="3" t="str">
        <f>IFERROR(INDEX(Movimientos!$F$2:$F$1998,MATCH(A770&amp;"ENTRADA",Movimientos!$R$2:$R$1998,0)),"-")</f>
        <v>-</v>
      </c>
      <c r="F770" s="3" t="str">
        <f>IFERROR(INDEX(Movimientos!$G$2:$G$1998,MATCH(A770&amp;"ENTRADA",Movimientos!$R$2:$R$1998,0)),"-")</f>
        <v>-</v>
      </c>
      <c r="G770" s="3" t="str">
        <f>IFERROR(INDEX(Movimientos!$L$2:$L$1998,MATCH(A770&amp;"ENTRADA",Movimientos!$R$2:$R$1998,0)),"-")</f>
        <v>-</v>
      </c>
      <c r="H770" s="19" t="str">
        <f>IFERROR(IF(INDEX(Movimientos!$M$2:$M$1998,MATCH(A770&amp;"ENTRADA",Movimientos!$R$2:$R$1998,0))=0,"S/D",INDEX(Movimientos!$M$2:$M$1998,MATCH(A770&amp;"ENTRADA",Movimientos!$R$2:$R$1998,0))),"S/D")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SIN STOCK</v>
      </c>
    </row>
    <row r="771" spans="1:11" ht="14.25">
      <c r="A771" s="18" t="s">
        <v>2914</v>
      </c>
      <c r="B771" s="3" t="str">
        <f>IFERROR(INDEX(Movimientos!$C$2:$C$1998,MATCH(A771&amp;"ENTRADA",Movimientos!$R$2:$R$1998,0)),"-")</f>
        <v>-</v>
      </c>
      <c r="C771" s="3" t="str">
        <f>IFERROR(INDEX(Movimientos!$D$2:$D$1998,MATCH(A771&amp;"ENTRADA",Movimientos!$R$2:$R$1998,0)),"-")</f>
        <v>-</v>
      </c>
      <c r="D771" s="3" t="str">
        <f>IFERROR(INDEX(Movimientos!$E$2:$E$1998,MATCH(A771&amp;"ENTRADA",Movimientos!$R$2:$R$1998,0)),"-")</f>
        <v>-</v>
      </c>
      <c r="E771" s="3" t="str">
        <f>IFERROR(INDEX(Movimientos!$F$2:$F$1998,MATCH(A771&amp;"ENTRADA",Movimientos!$R$2:$R$1998,0)),"-")</f>
        <v>-</v>
      </c>
      <c r="F771" s="3" t="str">
        <f>IFERROR(INDEX(Movimientos!$G$2:$G$1998,MATCH(A771&amp;"ENTRADA",Movimientos!$R$2:$R$1998,0)),"-")</f>
        <v>-</v>
      </c>
      <c r="G771" s="3" t="str">
        <f>IFERROR(INDEX(Movimientos!$L$2:$L$1998,MATCH(A771&amp;"ENTRADA",Movimientos!$R$2:$R$1998,0)),"-")</f>
        <v>-</v>
      </c>
      <c r="H771" s="19" t="str">
        <f>IFERROR(IF(INDEX(Movimientos!$M$2:$M$1998,MATCH(A771&amp;"ENTRADA",Movimientos!$R$2:$R$1998,0))=0,"S/D",INDEX(Movimientos!$M$2:$M$1998,MATCH(A771&amp;"ENTRADA",Movimientos!$R$2:$R$1998,0))),"S/D")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SIN STOCK</v>
      </c>
    </row>
    <row r="772" spans="1:11" ht="14.25">
      <c r="A772" s="18" t="s">
        <v>2915</v>
      </c>
      <c r="B772" s="3" t="str">
        <f>IFERROR(INDEX(Movimientos!$C$2:$C$1998,MATCH(A772&amp;"ENTRADA",Movimientos!$R$2:$R$1998,0)),"-")</f>
        <v>-</v>
      </c>
      <c r="C772" s="3" t="str">
        <f>IFERROR(INDEX(Movimientos!$D$2:$D$1998,MATCH(A772&amp;"ENTRADA",Movimientos!$R$2:$R$1998,0)),"-")</f>
        <v>-</v>
      </c>
      <c r="D772" s="3" t="str">
        <f>IFERROR(INDEX(Movimientos!$E$2:$E$1998,MATCH(A772&amp;"ENTRADA",Movimientos!$R$2:$R$1998,0)),"-")</f>
        <v>-</v>
      </c>
      <c r="E772" s="3" t="str">
        <f>IFERROR(INDEX(Movimientos!$F$2:$F$1998,MATCH(A772&amp;"ENTRADA",Movimientos!$R$2:$R$1998,0)),"-")</f>
        <v>-</v>
      </c>
      <c r="F772" s="3" t="str">
        <f>IFERROR(INDEX(Movimientos!$G$2:$G$1998,MATCH(A772&amp;"ENTRADA",Movimientos!$R$2:$R$1998,0)),"-")</f>
        <v>-</v>
      </c>
      <c r="G772" s="3" t="str">
        <f>IFERROR(INDEX(Movimientos!$L$2:$L$1998,MATCH(A772&amp;"ENTRADA",Movimientos!$R$2:$R$1998,0)),"-")</f>
        <v>-</v>
      </c>
      <c r="H772" s="19" t="str">
        <f>IFERROR(IF(INDEX(Movimientos!$M$2:$M$1998,MATCH(A772&amp;"ENTRADA",Movimientos!$R$2:$R$1998,0))=0,"S/D",INDEX(Movimientos!$M$2:$M$1998,MATCH(A772&amp;"ENTRADA",Movimientos!$R$2:$R$1998,0))),"S/D")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SIN STOCK</v>
      </c>
    </row>
    <row r="773" spans="1:11" ht="14.25">
      <c r="A773" s="18" t="s">
        <v>2916</v>
      </c>
      <c r="B773" s="3" t="str">
        <f>IFERROR(INDEX(Movimientos!$C$2:$C$1998,MATCH(A773&amp;"ENTRADA",Movimientos!$R$2:$R$1998,0)),"-")</f>
        <v>-</v>
      </c>
      <c r="C773" s="3" t="str">
        <f>IFERROR(INDEX(Movimientos!$D$2:$D$1998,MATCH(A773&amp;"ENTRADA",Movimientos!$R$2:$R$1998,0)),"-")</f>
        <v>-</v>
      </c>
      <c r="D773" s="3" t="str">
        <f>IFERROR(INDEX(Movimientos!$E$2:$E$1998,MATCH(A773&amp;"ENTRADA",Movimientos!$R$2:$R$1998,0)),"-")</f>
        <v>-</v>
      </c>
      <c r="E773" s="3" t="str">
        <f>IFERROR(INDEX(Movimientos!$F$2:$F$1998,MATCH(A773&amp;"ENTRADA",Movimientos!$R$2:$R$1998,0)),"-")</f>
        <v>-</v>
      </c>
      <c r="F773" s="3" t="str">
        <f>IFERROR(INDEX(Movimientos!$G$2:$G$1998,MATCH(A773&amp;"ENTRADA",Movimientos!$R$2:$R$1998,0)),"-")</f>
        <v>-</v>
      </c>
      <c r="G773" s="3" t="str">
        <f>IFERROR(INDEX(Movimientos!$L$2:$L$1998,MATCH(A773&amp;"ENTRADA",Movimientos!$R$2:$R$1998,0)),"-")</f>
        <v>-</v>
      </c>
      <c r="H773" s="19" t="str">
        <f>IFERROR(IF(INDEX(Movimientos!$M$2:$M$1998,MATCH(A773&amp;"ENTRADA",Movimientos!$R$2:$R$1998,0))=0,"S/D",INDEX(Movimientos!$M$2:$M$1998,MATCH(A773&amp;"ENTRADA",Movimientos!$R$2:$R$1998,0))),"S/D")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SIN STOCK</v>
      </c>
    </row>
    <row r="774" spans="1:11" ht="14.25">
      <c r="A774" s="18" t="s">
        <v>2917</v>
      </c>
      <c r="B774" s="3" t="str">
        <f>IFERROR(INDEX(Movimientos!$C$2:$C$1998,MATCH(A774&amp;"ENTRADA",Movimientos!$R$2:$R$1998,0)),"-")</f>
        <v>-</v>
      </c>
      <c r="C774" s="3" t="str">
        <f>IFERROR(INDEX(Movimientos!$D$2:$D$1998,MATCH(A774&amp;"ENTRADA",Movimientos!$R$2:$R$1998,0)),"-")</f>
        <v>-</v>
      </c>
      <c r="D774" s="3" t="str">
        <f>IFERROR(INDEX(Movimientos!$E$2:$E$1998,MATCH(A774&amp;"ENTRADA",Movimientos!$R$2:$R$1998,0)),"-")</f>
        <v>-</v>
      </c>
      <c r="E774" s="3" t="str">
        <f>IFERROR(INDEX(Movimientos!$F$2:$F$1998,MATCH(A774&amp;"ENTRADA",Movimientos!$R$2:$R$1998,0)),"-")</f>
        <v>-</v>
      </c>
      <c r="F774" s="3" t="str">
        <f>IFERROR(INDEX(Movimientos!$G$2:$G$1998,MATCH(A774&amp;"ENTRADA",Movimientos!$R$2:$R$1998,0)),"-")</f>
        <v>-</v>
      </c>
      <c r="G774" s="3" t="str">
        <f>IFERROR(INDEX(Movimientos!$L$2:$L$1998,MATCH(A774&amp;"ENTRADA",Movimientos!$R$2:$R$1998,0)),"-")</f>
        <v>-</v>
      </c>
      <c r="H774" s="19" t="str">
        <f>IFERROR(IF(INDEX(Movimientos!$M$2:$M$1998,MATCH(A774&amp;"ENTRADA",Movimientos!$R$2:$R$1998,0))=0,"S/D",INDEX(Movimientos!$M$2:$M$1998,MATCH(A774&amp;"ENTRADA",Movimientos!$R$2:$R$1998,0))),"S/D")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SIN STOCK</v>
      </c>
    </row>
    <row r="775" spans="1:11" ht="14.25">
      <c r="A775" s="18" t="s">
        <v>2918</v>
      </c>
      <c r="B775" s="3" t="str">
        <f>IFERROR(INDEX(Movimientos!$C$2:$C$1998,MATCH(A775&amp;"ENTRADA",Movimientos!$R$2:$R$1998,0)),"-")</f>
        <v>-</v>
      </c>
      <c r="C775" s="3" t="str">
        <f>IFERROR(INDEX(Movimientos!$D$2:$D$1998,MATCH(A775&amp;"ENTRADA",Movimientos!$R$2:$R$1998,0)),"-")</f>
        <v>-</v>
      </c>
      <c r="D775" s="3" t="str">
        <f>IFERROR(INDEX(Movimientos!$E$2:$E$1998,MATCH(A775&amp;"ENTRADA",Movimientos!$R$2:$R$1998,0)),"-")</f>
        <v>-</v>
      </c>
      <c r="E775" s="3" t="str">
        <f>IFERROR(INDEX(Movimientos!$F$2:$F$1998,MATCH(A775&amp;"ENTRADA",Movimientos!$R$2:$R$1998,0)),"-")</f>
        <v>-</v>
      </c>
      <c r="F775" s="3" t="str">
        <f>IFERROR(INDEX(Movimientos!$G$2:$G$1998,MATCH(A775&amp;"ENTRADA",Movimientos!$R$2:$R$1998,0)),"-")</f>
        <v>-</v>
      </c>
      <c r="G775" s="3" t="str">
        <f>IFERROR(INDEX(Movimientos!$L$2:$L$1998,MATCH(A775&amp;"ENTRADA",Movimientos!$R$2:$R$1998,0)),"-")</f>
        <v>-</v>
      </c>
      <c r="H775" s="19" t="str">
        <f>IFERROR(IF(INDEX(Movimientos!$M$2:$M$1998,MATCH(A775&amp;"ENTRADA",Movimientos!$R$2:$R$1998,0))=0,"S/D",INDEX(Movimientos!$M$2:$M$1998,MATCH(A775&amp;"ENTRADA",Movimientos!$R$2:$R$1998,0))),"S/D")</f>
        <v>S/D</v>
      </c>
      <c r="I775" s="16" t="str">
        <f t="shared" ref="I775:I838" ca="1" si="26">IF(OR(A775="",H775="S/D"),"S/D",H775-TODAY())</f>
        <v>S/D</v>
      </c>
      <c r="J775" s="6">
        <f>IF(A775="","",SUMIFS(Movimientos!$K:$K,Movimientos!$H:$H,A775))</f>
        <v>0</v>
      </c>
      <c r="K775" s="14" t="str">
        <f t="shared" ca="1" si="25"/>
        <v>SIN STOCK</v>
      </c>
    </row>
    <row r="776" spans="1:11" ht="14.25">
      <c r="A776" s="18" t="s">
        <v>2919</v>
      </c>
      <c r="B776" s="3" t="str">
        <f>IFERROR(INDEX(Movimientos!$C$2:$C$1998,MATCH(A776&amp;"ENTRADA",Movimientos!$R$2:$R$1998,0)),"-")</f>
        <v>-</v>
      </c>
      <c r="C776" s="3" t="str">
        <f>IFERROR(INDEX(Movimientos!$D$2:$D$1998,MATCH(A776&amp;"ENTRADA",Movimientos!$R$2:$R$1998,0)),"-")</f>
        <v>-</v>
      </c>
      <c r="D776" s="3" t="str">
        <f>IFERROR(INDEX(Movimientos!$E$2:$E$1998,MATCH(A776&amp;"ENTRADA",Movimientos!$R$2:$R$1998,0)),"-")</f>
        <v>-</v>
      </c>
      <c r="E776" s="3" t="str">
        <f>IFERROR(INDEX(Movimientos!$F$2:$F$1998,MATCH(A776&amp;"ENTRADA",Movimientos!$R$2:$R$1998,0)),"-")</f>
        <v>-</v>
      </c>
      <c r="F776" s="3" t="str">
        <f>IFERROR(INDEX(Movimientos!$G$2:$G$1998,MATCH(A776&amp;"ENTRADA",Movimientos!$R$2:$R$1998,0)),"-")</f>
        <v>-</v>
      </c>
      <c r="G776" s="3" t="str">
        <f>IFERROR(INDEX(Movimientos!$L$2:$L$1998,MATCH(A776&amp;"ENTRADA",Movimientos!$R$2:$R$1998,0)),"-")</f>
        <v>-</v>
      </c>
      <c r="H776" s="19" t="str">
        <f>IFERROR(IF(INDEX(Movimientos!$M$2:$M$1998,MATCH(A776&amp;"ENTRADA",Movimientos!$R$2:$R$1998,0))=0,"S/D",INDEX(Movimientos!$M$2:$M$1998,MATCH(A776&amp;"ENTRADA",Movimientos!$R$2:$R$1998,0))),"S/D")</f>
        <v>S/D</v>
      </c>
      <c r="I776" s="16" t="str">
        <f t="shared" ca="1" si="26"/>
        <v>S/D</v>
      </c>
      <c r="J776" s="6">
        <f>IF(A776="","",SUMIFS(Movimientos!$K:$K,Movimientos!$H:$H,A776))</f>
        <v>0</v>
      </c>
      <c r="K776" s="14" t="str">
        <f t="shared" ca="1" si="25"/>
        <v>SIN STOCK</v>
      </c>
    </row>
    <row r="777" spans="1:11" ht="14.25">
      <c r="A777" s="18" t="s">
        <v>2920</v>
      </c>
      <c r="B777" s="3" t="str">
        <f>IFERROR(INDEX(Movimientos!$C$2:$C$1998,MATCH(A777&amp;"ENTRADA",Movimientos!$R$2:$R$1998,0)),"-")</f>
        <v>-</v>
      </c>
      <c r="C777" s="3" t="str">
        <f>IFERROR(INDEX(Movimientos!$D$2:$D$1998,MATCH(A777&amp;"ENTRADA",Movimientos!$R$2:$R$1998,0)),"-")</f>
        <v>-</v>
      </c>
      <c r="D777" s="3" t="str">
        <f>IFERROR(INDEX(Movimientos!$E$2:$E$1998,MATCH(A777&amp;"ENTRADA",Movimientos!$R$2:$R$1998,0)),"-")</f>
        <v>-</v>
      </c>
      <c r="E777" s="3" t="str">
        <f>IFERROR(INDEX(Movimientos!$F$2:$F$1998,MATCH(A777&amp;"ENTRADA",Movimientos!$R$2:$R$1998,0)),"-")</f>
        <v>-</v>
      </c>
      <c r="F777" s="3" t="str">
        <f>IFERROR(INDEX(Movimientos!$G$2:$G$1998,MATCH(A777&amp;"ENTRADA",Movimientos!$R$2:$R$1998,0)),"-")</f>
        <v>-</v>
      </c>
      <c r="G777" s="3" t="str">
        <f>IFERROR(INDEX(Movimientos!$L$2:$L$1998,MATCH(A777&amp;"ENTRADA",Movimientos!$R$2:$R$1998,0)),"-")</f>
        <v>-</v>
      </c>
      <c r="H777" s="19" t="str">
        <f>IFERROR(IF(INDEX(Movimientos!$M$2:$M$1998,MATCH(A777&amp;"ENTRADA",Movimientos!$R$2:$R$1998,0))=0,"S/D",INDEX(Movimientos!$M$2:$M$1998,MATCH(A777&amp;"ENTRADA",Movimientos!$R$2:$R$1998,0))),"S/D")</f>
        <v>S/D</v>
      </c>
      <c r="I777" s="16" t="str">
        <f t="shared" ca="1" si="26"/>
        <v>S/D</v>
      </c>
      <c r="J777" s="6">
        <f>IF(A777="","",SUMIFS(Movimientos!$K:$K,Movimientos!$H:$H,A777))</f>
        <v>0</v>
      </c>
      <c r="K777" s="14" t="str">
        <f t="shared" ca="1" si="25"/>
        <v>SIN STOCK</v>
      </c>
    </row>
    <row r="778" spans="1:11" ht="14.25">
      <c r="A778" s="18" t="s">
        <v>2921</v>
      </c>
      <c r="B778" s="3" t="str">
        <f>IFERROR(INDEX(Movimientos!$C$2:$C$1998,MATCH(A778&amp;"ENTRADA",Movimientos!$R$2:$R$1998,0)),"-")</f>
        <v>-</v>
      </c>
      <c r="C778" s="3" t="str">
        <f>IFERROR(INDEX(Movimientos!$D$2:$D$1998,MATCH(A778&amp;"ENTRADA",Movimientos!$R$2:$R$1998,0)),"-")</f>
        <v>-</v>
      </c>
      <c r="D778" s="3" t="str">
        <f>IFERROR(INDEX(Movimientos!$E$2:$E$1998,MATCH(A778&amp;"ENTRADA",Movimientos!$R$2:$R$1998,0)),"-")</f>
        <v>-</v>
      </c>
      <c r="E778" s="3" t="str">
        <f>IFERROR(INDEX(Movimientos!$F$2:$F$1998,MATCH(A778&amp;"ENTRADA",Movimientos!$R$2:$R$1998,0)),"-")</f>
        <v>-</v>
      </c>
      <c r="F778" s="3" t="str">
        <f>IFERROR(INDEX(Movimientos!$G$2:$G$1998,MATCH(A778&amp;"ENTRADA",Movimientos!$R$2:$R$1998,0)),"-")</f>
        <v>-</v>
      </c>
      <c r="G778" s="3" t="str">
        <f>IFERROR(INDEX(Movimientos!$L$2:$L$1998,MATCH(A778&amp;"ENTRADA",Movimientos!$R$2:$R$1998,0)),"-")</f>
        <v>-</v>
      </c>
      <c r="H778" s="19" t="str">
        <f>IFERROR(IF(INDEX(Movimientos!$M$2:$M$1998,MATCH(A778&amp;"ENTRADA",Movimientos!$R$2:$R$1998,0))=0,"S/D",INDEX(Movimientos!$M$2:$M$1998,MATCH(A778&amp;"ENTRADA",Movimientos!$R$2:$R$1998,0))),"S/D")</f>
        <v>S/D</v>
      </c>
      <c r="I778" s="16" t="str">
        <f t="shared" ca="1" si="26"/>
        <v>S/D</v>
      </c>
      <c r="J778" s="6">
        <f>IF(A778="","",SUMIFS(Movimientos!$K:$K,Movimientos!$H:$H,A778))</f>
        <v>0</v>
      </c>
      <c r="K778" s="14" t="str">
        <f t="shared" ca="1" si="25"/>
        <v>SIN STOCK</v>
      </c>
    </row>
    <row r="779" spans="1:11" ht="14.25">
      <c r="A779" s="18" t="s">
        <v>2922</v>
      </c>
      <c r="B779" s="3" t="str">
        <f>IFERROR(INDEX(Movimientos!$C$2:$C$1998,MATCH(A779&amp;"ENTRADA",Movimientos!$R$2:$R$1998,0)),"-")</f>
        <v>-</v>
      </c>
      <c r="C779" s="3" t="str">
        <f>IFERROR(INDEX(Movimientos!$D$2:$D$1998,MATCH(A779&amp;"ENTRADA",Movimientos!$R$2:$R$1998,0)),"-")</f>
        <v>-</v>
      </c>
      <c r="D779" s="3" t="str">
        <f>IFERROR(INDEX(Movimientos!$E$2:$E$1998,MATCH(A779&amp;"ENTRADA",Movimientos!$R$2:$R$1998,0)),"-")</f>
        <v>-</v>
      </c>
      <c r="E779" s="3" t="str">
        <f>IFERROR(INDEX(Movimientos!$F$2:$F$1998,MATCH(A779&amp;"ENTRADA",Movimientos!$R$2:$R$1998,0)),"-")</f>
        <v>-</v>
      </c>
      <c r="F779" s="3" t="str">
        <f>IFERROR(INDEX(Movimientos!$G$2:$G$1998,MATCH(A779&amp;"ENTRADA",Movimientos!$R$2:$R$1998,0)),"-")</f>
        <v>-</v>
      </c>
      <c r="G779" s="3" t="str">
        <f>IFERROR(INDEX(Movimientos!$L$2:$L$1998,MATCH(A779&amp;"ENTRADA",Movimientos!$R$2:$R$1998,0)),"-")</f>
        <v>-</v>
      </c>
      <c r="H779" s="19" t="str">
        <f>IFERROR(IF(INDEX(Movimientos!$M$2:$M$1998,MATCH(A779&amp;"ENTRADA",Movimientos!$R$2:$R$1998,0))=0,"S/D",INDEX(Movimientos!$M$2:$M$1998,MATCH(A779&amp;"ENTRADA",Movimientos!$R$2:$R$1998,0))),"S/D")</f>
        <v>S/D</v>
      </c>
      <c r="I779" s="16" t="str">
        <f t="shared" ca="1" si="26"/>
        <v>S/D</v>
      </c>
      <c r="J779" s="6">
        <f>IF(A779="","",SUMIFS(Movimientos!$K:$K,Movimientos!$H:$H,A779))</f>
        <v>0</v>
      </c>
      <c r="K779" s="14" t="str">
        <f t="shared" ca="1" si="25"/>
        <v>SIN STOCK</v>
      </c>
    </row>
    <row r="780" spans="1:11" ht="14.25">
      <c r="A780" s="18" t="s">
        <v>2923</v>
      </c>
      <c r="B780" s="3" t="str">
        <f>IFERROR(INDEX(Movimientos!$C$2:$C$1998,MATCH(A780&amp;"ENTRADA",Movimientos!$R$2:$R$1998,0)),"-")</f>
        <v>-</v>
      </c>
      <c r="C780" s="3" t="str">
        <f>IFERROR(INDEX(Movimientos!$D$2:$D$1998,MATCH(A780&amp;"ENTRADA",Movimientos!$R$2:$R$1998,0)),"-")</f>
        <v>-</v>
      </c>
      <c r="D780" s="3" t="str">
        <f>IFERROR(INDEX(Movimientos!$E$2:$E$1998,MATCH(A780&amp;"ENTRADA",Movimientos!$R$2:$R$1998,0)),"-")</f>
        <v>-</v>
      </c>
      <c r="E780" s="3" t="str">
        <f>IFERROR(INDEX(Movimientos!$F$2:$F$1998,MATCH(A780&amp;"ENTRADA",Movimientos!$R$2:$R$1998,0)),"-")</f>
        <v>-</v>
      </c>
      <c r="F780" s="3" t="str">
        <f>IFERROR(INDEX(Movimientos!$G$2:$G$1998,MATCH(A780&amp;"ENTRADA",Movimientos!$R$2:$R$1998,0)),"-")</f>
        <v>-</v>
      </c>
      <c r="G780" s="3" t="str">
        <f>IFERROR(INDEX(Movimientos!$L$2:$L$1998,MATCH(A780&amp;"ENTRADA",Movimientos!$R$2:$R$1998,0)),"-")</f>
        <v>-</v>
      </c>
      <c r="H780" s="19" t="str">
        <f>IFERROR(IF(INDEX(Movimientos!$M$2:$M$1998,MATCH(A780&amp;"ENTRADA",Movimientos!$R$2:$R$1998,0))=0,"S/D",INDEX(Movimientos!$M$2:$M$1998,MATCH(A780&amp;"ENTRADA",Movimientos!$R$2:$R$1998,0))),"S/D")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5"/>
        <v>SIN STOCK</v>
      </c>
    </row>
    <row r="781" spans="1:11" ht="14.25">
      <c r="A781" s="18" t="s">
        <v>2924</v>
      </c>
      <c r="B781" s="3" t="str">
        <f>IFERROR(INDEX(Movimientos!$C$2:$C$1998,MATCH(A781&amp;"ENTRADA",Movimientos!$R$2:$R$1998,0)),"-")</f>
        <v>-</v>
      </c>
      <c r="C781" s="3" t="str">
        <f>IFERROR(INDEX(Movimientos!$D$2:$D$1998,MATCH(A781&amp;"ENTRADA",Movimientos!$R$2:$R$1998,0)),"-")</f>
        <v>-</v>
      </c>
      <c r="D781" s="3" t="str">
        <f>IFERROR(INDEX(Movimientos!$E$2:$E$1998,MATCH(A781&amp;"ENTRADA",Movimientos!$R$2:$R$1998,0)),"-")</f>
        <v>-</v>
      </c>
      <c r="E781" s="3" t="str">
        <f>IFERROR(INDEX(Movimientos!$F$2:$F$1998,MATCH(A781&amp;"ENTRADA",Movimientos!$R$2:$R$1998,0)),"-")</f>
        <v>-</v>
      </c>
      <c r="F781" s="3" t="str">
        <f>IFERROR(INDEX(Movimientos!$G$2:$G$1998,MATCH(A781&amp;"ENTRADA",Movimientos!$R$2:$R$1998,0)),"-")</f>
        <v>-</v>
      </c>
      <c r="G781" s="3" t="str">
        <f>IFERROR(INDEX(Movimientos!$L$2:$L$1998,MATCH(A781&amp;"ENTRADA",Movimientos!$R$2:$R$1998,0)),"-")</f>
        <v>-</v>
      </c>
      <c r="H781" s="19" t="str">
        <f>IFERROR(IF(INDEX(Movimientos!$M$2:$M$1998,MATCH(A781&amp;"ENTRADA",Movimientos!$R$2:$R$1998,0))=0,"S/D",INDEX(Movimientos!$M$2:$M$1998,MATCH(A781&amp;"ENTRADA",Movimientos!$R$2:$R$1998,0))),"S/D")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5"/>
        <v>SIN STOCK</v>
      </c>
    </row>
    <row r="782" spans="1:11" ht="14.25">
      <c r="A782" s="18" t="s">
        <v>2925</v>
      </c>
      <c r="B782" s="3" t="str">
        <f>IFERROR(INDEX(Movimientos!$C$2:$C$1998,MATCH(A782&amp;"ENTRADA",Movimientos!$R$2:$R$1998,0)),"-")</f>
        <v>-</v>
      </c>
      <c r="C782" s="3" t="str">
        <f>IFERROR(INDEX(Movimientos!$D$2:$D$1998,MATCH(A782&amp;"ENTRADA",Movimientos!$R$2:$R$1998,0)),"-")</f>
        <v>-</v>
      </c>
      <c r="D782" s="3" t="str">
        <f>IFERROR(INDEX(Movimientos!$E$2:$E$1998,MATCH(A782&amp;"ENTRADA",Movimientos!$R$2:$R$1998,0)),"-")</f>
        <v>-</v>
      </c>
      <c r="E782" s="3" t="str">
        <f>IFERROR(INDEX(Movimientos!$F$2:$F$1998,MATCH(A782&amp;"ENTRADA",Movimientos!$R$2:$R$1998,0)),"-")</f>
        <v>-</v>
      </c>
      <c r="F782" s="3" t="str">
        <f>IFERROR(INDEX(Movimientos!$G$2:$G$1998,MATCH(A782&amp;"ENTRADA",Movimientos!$R$2:$R$1998,0)),"-")</f>
        <v>-</v>
      </c>
      <c r="G782" s="3" t="str">
        <f>IFERROR(INDEX(Movimientos!$L$2:$L$1998,MATCH(A782&amp;"ENTRADA",Movimientos!$R$2:$R$1998,0)),"-")</f>
        <v>-</v>
      </c>
      <c r="H782" s="19" t="str">
        <f>IFERROR(IF(INDEX(Movimientos!$M$2:$M$1998,MATCH(A782&amp;"ENTRADA",Movimientos!$R$2:$R$1998,0))=0,"S/D",INDEX(Movimientos!$M$2:$M$1998,MATCH(A782&amp;"ENTRADA",Movimientos!$R$2:$R$1998,0))),"S/D")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5"/>
        <v>SIN STOCK</v>
      </c>
    </row>
    <row r="783" spans="1:11" ht="14.25">
      <c r="A783" s="18" t="s">
        <v>2926</v>
      </c>
      <c r="B783" s="3" t="str">
        <f>IFERROR(INDEX(Movimientos!$C$2:$C$1998,MATCH(A783&amp;"ENTRADA",Movimientos!$R$2:$R$1998,0)),"-")</f>
        <v>-</v>
      </c>
      <c r="C783" s="3" t="str">
        <f>IFERROR(INDEX(Movimientos!$D$2:$D$1998,MATCH(A783&amp;"ENTRADA",Movimientos!$R$2:$R$1998,0)),"-")</f>
        <v>-</v>
      </c>
      <c r="D783" s="3" t="str">
        <f>IFERROR(INDEX(Movimientos!$E$2:$E$1998,MATCH(A783&amp;"ENTRADA",Movimientos!$R$2:$R$1998,0)),"-")</f>
        <v>-</v>
      </c>
      <c r="E783" s="3" t="str">
        <f>IFERROR(INDEX(Movimientos!$F$2:$F$1998,MATCH(A783&amp;"ENTRADA",Movimientos!$R$2:$R$1998,0)),"-")</f>
        <v>-</v>
      </c>
      <c r="F783" s="3" t="str">
        <f>IFERROR(INDEX(Movimientos!$G$2:$G$1998,MATCH(A783&amp;"ENTRADA",Movimientos!$R$2:$R$1998,0)),"-")</f>
        <v>-</v>
      </c>
      <c r="G783" s="3" t="str">
        <f>IFERROR(INDEX(Movimientos!$L$2:$L$1998,MATCH(A783&amp;"ENTRADA",Movimientos!$R$2:$R$1998,0)),"-")</f>
        <v>-</v>
      </c>
      <c r="H783" s="19" t="str">
        <f>IFERROR(IF(INDEX(Movimientos!$M$2:$M$1998,MATCH(A783&amp;"ENTRADA",Movimientos!$R$2:$R$1998,0))=0,"S/D",INDEX(Movimientos!$M$2:$M$1998,MATCH(A783&amp;"ENTRADA",Movimientos!$R$2:$R$1998,0))),"S/D")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5"/>
        <v>SIN STOCK</v>
      </c>
    </row>
    <row r="784" spans="1:11" ht="14.25">
      <c r="A784" s="18" t="s">
        <v>2927</v>
      </c>
      <c r="B784" s="3" t="str">
        <f>IFERROR(INDEX(Movimientos!$C$2:$C$1998,MATCH(A784&amp;"ENTRADA",Movimientos!$R$2:$R$1998,0)),"-")</f>
        <v>-</v>
      </c>
      <c r="C784" s="3" t="str">
        <f>IFERROR(INDEX(Movimientos!$D$2:$D$1998,MATCH(A784&amp;"ENTRADA",Movimientos!$R$2:$R$1998,0)),"-")</f>
        <v>-</v>
      </c>
      <c r="D784" s="3" t="str">
        <f>IFERROR(INDEX(Movimientos!$E$2:$E$1998,MATCH(A784&amp;"ENTRADA",Movimientos!$R$2:$R$1998,0)),"-")</f>
        <v>-</v>
      </c>
      <c r="E784" s="3" t="str">
        <f>IFERROR(INDEX(Movimientos!$F$2:$F$1998,MATCH(A784&amp;"ENTRADA",Movimientos!$R$2:$R$1998,0)),"-")</f>
        <v>-</v>
      </c>
      <c r="F784" s="3" t="str">
        <f>IFERROR(INDEX(Movimientos!$G$2:$G$1998,MATCH(A784&amp;"ENTRADA",Movimientos!$R$2:$R$1998,0)),"-")</f>
        <v>-</v>
      </c>
      <c r="G784" s="3" t="str">
        <f>IFERROR(INDEX(Movimientos!$L$2:$L$1998,MATCH(A784&amp;"ENTRADA",Movimientos!$R$2:$R$1998,0)),"-")</f>
        <v>-</v>
      </c>
      <c r="H784" s="19" t="str">
        <f>IFERROR(IF(INDEX(Movimientos!$M$2:$M$1998,MATCH(A784&amp;"ENTRADA",Movimientos!$R$2:$R$1998,0))=0,"S/D",INDEX(Movimientos!$M$2:$M$1998,MATCH(A784&amp;"ENTRADA",Movimientos!$R$2:$R$1998,0))),"S/D")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5"/>
        <v>SIN STOCK</v>
      </c>
    </row>
    <row r="785" spans="1:11" ht="14.25">
      <c r="A785" s="18" t="s">
        <v>2928</v>
      </c>
      <c r="B785" s="3" t="str">
        <f>IFERROR(INDEX(Movimientos!$C$2:$C$1998,MATCH(A785&amp;"ENTRADA",Movimientos!$R$2:$R$1998,0)),"-")</f>
        <v>-</v>
      </c>
      <c r="C785" s="3" t="str">
        <f>IFERROR(INDEX(Movimientos!$D$2:$D$1998,MATCH(A785&amp;"ENTRADA",Movimientos!$R$2:$R$1998,0)),"-")</f>
        <v>-</v>
      </c>
      <c r="D785" s="3" t="str">
        <f>IFERROR(INDEX(Movimientos!$E$2:$E$1998,MATCH(A785&amp;"ENTRADA",Movimientos!$R$2:$R$1998,0)),"-")</f>
        <v>-</v>
      </c>
      <c r="E785" s="3" t="str">
        <f>IFERROR(INDEX(Movimientos!$F$2:$F$1998,MATCH(A785&amp;"ENTRADA",Movimientos!$R$2:$R$1998,0)),"-")</f>
        <v>-</v>
      </c>
      <c r="F785" s="3" t="str">
        <f>IFERROR(INDEX(Movimientos!$G$2:$G$1998,MATCH(A785&amp;"ENTRADA",Movimientos!$R$2:$R$1998,0)),"-")</f>
        <v>-</v>
      </c>
      <c r="G785" s="3" t="str">
        <f>IFERROR(INDEX(Movimientos!$L$2:$L$1998,MATCH(A785&amp;"ENTRADA",Movimientos!$R$2:$R$1998,0)),"-")</f>
        <v>-</v>
      </c>
      <c r="H785" s="19" t="str">
        <f>IFERROR(IF(INDEX(Movimientos!$M$2:$M$1998,MATCH(A785&amp;"ENTRADA",Movimientos!$R$2:$R$1998,0))=0,"S/D",INDEX(Movimientos!$M$2:$M$1998,MATCH(A785&amp;"ENTRADA",Movimientos!$R$2:$R$1998,0))),"S/D")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5"/>
        <v>SIN STOCK</v>
      </c>
    </row>
    <row r="786" spans="1:11" ht="14.25">
      <c r="A786" s="18" t="s">
        <v>2929</v>
      </c>
      <c r="B786" s="3" t="str">
        <f>IFERROR(INDEX(Movimientos!$C$2:$C$1998,MATCH(A786&amp;"ENTRADA",Movimientos!$R$2:$R$1998,0)),"-")</f>
        <v>-</v>
      </c>
      <c r="C786" s="3" t="str">
        <f>IFERROR(INDEX(Movimientos!$D$2:$D$1998,MATCH(A786&amp;"ENTRADA",Movimientos!$R$2:$R$1998,0)),"-")</f>
        <v>-</v>
      </c>
      <c r="D786" s="3" t="str">
        <f>IFERROR(INDEX(Movimientos!$E$2:$E$1998,MATCH(A786&amp;"ENTRADA",Movimientos!$R$2:$R$1998,0)),"-")</f>
        <v>-</v>
      </c>
      <c r="E786" s="3" t="str">
        <f>IFERROR(INDEX(Movimientos!$F$2:$F$1998,MATCH(A786&amp;"ENTRADA",Movimientos!$R$2:$R$1998,0)),"-")</f>
        <v>-</v>
      </c>
      <c r="F786" s="3" t="str">
        <f>IFERROR(INDEX(Movimientos!$G$2:$G$1998,MATCH(A786&amp;"ENTRADA",Movimientos!$R$2:$R$1998,0)),"-")</f>
        <v>-</v>
      </c>
      <c r="G786" s="3" t="str">
        <f>IFERROR(INDEX(Movimientos!$L$2:$L$1998,MATCH(A786&amp;"ENTRADA",Movimientos!$R$2:$R$1998,0)),"-")</f>
        <v>-</v>
      </c>
      <c r="H786" s="19" t="str">
        <f>IFERROR(IF(INDEX(Movimientos!$M$2:$M$1998,MATCH(A786&amp;"ENTRADA",Movimientos!$R$2:$R$1998,0))=0,"S/D",INDEX(Movimientos!$M$2:$M$1998,MATCH(A786&amp;"ENTRADA",Movimientos!$R$2:$R$1998,0))),"S/D")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5"/>
        <v>SIN STOCK</v>
      </c>
    </row>
    <row r="787" spans="1:11" ht="14.25">
      <c r="A787" s="18" t="s">
        <v>2930</v>
      </c>
      <c r="B787" s="3" t="str">
        <f>IFERROR(INDEX(Movimientos!$C$2:$C$1998,MATCH(A787&amp;"ENTRADA",Movimientos!$R$2:$R$1998,0)),"-")</f>
        <v>-</v>
      </c>
      <c r="C787" s="3" t="str">
        <f>IFERROR(INDEX(Movimientos!$D$2:$D$1998,MATCH(A787&amp;"ENTRADA",Movimientos!$R$2:$R$1998,0)),"-")</f>
        <v>-</v>
      </c>
      <c r="D787" s="3" t="str">
        <f>IFERROR(INDEX(Movimientos!$E$2:$E$1998,MATCH(A787&amp;"ENTRADA",Movimientos!$R$2:$R$1998,0)),"-")</f>
        <v>-</v>
      </c>
      <c r="E787" s="3" t="str">
        <f>IFERROR(INDEX(Movimientos!$F$2:$F$1998,MATCH(A787&amp;"ENTRADA",Movimientos!$R$2:$R$1998,0)),"-")</f>
        <v>-</v>
      </c>
      <c r="F787" s="3" t="str">
        <f>IFERROR(INDEX(Movimientos!$G$2:$G$1998,MATCH(A787&amp;"ENTRADA",Movimientos!$R$2:$R$1998,0)),"-")</f>
        <v>-</v>
      </c>
      <c r="G787" s="3" t="str">
        <f>IFERROR(INDEX(Movimientos!$L$2:$L$1998,MATCH(A787&amp;"ENTRADA",Movimientos!$R$2:$R$1998,0)),"-")</f>
        <v>-</v>
      </c>
      <c r="H787" s="19" t="str">
        <f>IFERROR(IF(INDEX(Movimientos!$M$2:$M$1998,MATCH(A787&amp;"ENTRADA",Movimientos!$R$2:$R$1998,0))=0,"S/D",INDEX(Movimientos!$M$2:$M$1998,MATCH(A787&amp;"ENTRADA",Movimientos!$R$2:$R$1998,0))),"S/D")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5"/>
        <v>SIN STOCK</v>
      </c>
    </row>
    <row r="788" spans="1:11" ht="14.25">
      <c r="A788" s="18" t="s">
        <v>2931</v>
      </c>
      <c r="B788" s="3" t="str">
        <f>IFERROR(INDEX(Movimientos!$C$2:$C$1998,MATCH(A788&amp;"ENTRADA",Movimientos!$R$2:$R$1998,0)),"-")</f>
        <v>-</v>
      </c>
      <c r="C788" s="3" t="str">
        <f>IFERROR(INDEX(Movimientos!$D$2:$D$1998,MATCH(A788&amp;"ENTRADA",Movimientos!$R$2:$R$1998,0)),"-")</f>
        <v>-</v>
      </c>
      <c r="D788" s="3" t="str">
        <f>IFERROR(INDEX(Movimientos!$E$2:$E$1998,MATCH(A788&amp;"ENTRADA",Movimientos!$R$2:$R$1998,0)),"-")</f>
        <v>-</v>
      </c>
      <c r="E788" s="3" t="str">
        <f>IFERROR(INDEX(Movimientos!$F$2:$F$1998,MATCH(A788&amp;"ENTRADA",Movimientos!$R$2:$R$1998,0)),"-")</f>
        <v>-</v>
      </c>
      <c r="F788" s="3" t="str">
        <f>IFERROR(INDEX(Movimientos!$G$2:$G$1998,MATCH(A788&amp;"ENTRADA",Movimientos!$R$2:$R$1998,0)),"-")</f>
        <v>-</v>
      </c>
      <c r="G788" s="3" t="str">
        <f>IFERROR(INDEX(Movimientos!$L$2:$L$1998,MATCH(A788&amp;"ENTRADA",Movimientos!$R$2:$R$1998,0)),"-")</f>
        <v>-</v>
      </c>
      <c r="H788" s="19" t="str">
        <f>IFERROR(IF(INDEX(Movimientos!$M$2:$M$1998,MATCH(A788&amp;"ENTRADA",Movimientos!$R$2:$R$1998,0))=0,"S/D",INDEX(Movimientos!$M$2:$M$1998,MATCH(A788&amp;"ENTRADA",Movimientos!$R$2:$R$1998,0))),"S/D")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5"/>
        <v>SIN STOCK</v>
      </c>
    </row>
    <row r="789" spans="1:11" ht="14.25">
      <c r="A789" s="18" t="s">
        <v>2932</v>
      </c>
      <c r="B789" s="3" t="str">
        <f>IFERROR(INDEX(Movimientos!$C$2:$C$1998,MATCH(A789&amp;"ENTRADA",Movimientos!$R$2:$R$1998,0)),"-")</f>
        <v>-</v>
      </c>
      <c r="C789" s="3" t="str">
        <f>IFERROR(INDEX(Movimientos!$D$2:$D$1998,MATCH(A789&amp;"ENTRADA",Movimientos!$R$2:$R$1998,0)),"-")</f>
        <v>-</v>
      </c>
      <c r="D789" s="3" t="str">
        <f>IFERROR(INDEX(Movimientos!$E$2:$E$1998,MATCH(A789&amp;"ENTRADA",Movimientos!$R$2:$R$1998,0)),"-")</f>
        <v>-</v>
      </c>
      <c r="E789" s="3" t="str">
        <f>IFERROR(INDEX(Movimientos!$F$2:$F$1998,MATCH(A789&amp;"ENTRADA",Movimientos!$R$2:$R$1998,0)),"-")</f>
        <v>-</v>
      </c>
      <c r="F789" s="3" t="str">
        <f>IFERROR(INDEX(Movimientos!$G$2:$G$1998,MATCH(A789&amp;"ENTRADA",Movimientos!$R$2:$R$1998,0)),"-")</f>
        <v>-</v>
      </c>
      <c r="G789" s="3" t="str">
        <f>IFERROR(INDEX(Movimientos!$L$2:$L$1998,MATCH(A789&amp;"ENTRADA",Movimientos!$R$2:$R$1998,0)),"-")</f>
        <v>-</v>
      </c>
      <c r="H789" s="19" t="str">
        <f>IFERROR(IF(INDEX(Movimientos!$M$2:$M$1998,MATCH(A789&amp;"ENTRADA",Movimientos!$R$2:$R$1998,0))=0,"S/D",INDEX(Movimientos!$M$2:$M$1998,MATCH(A789&amp;"ENTRADA",Movimientos!$R$2:$R$1998,0))),"S/D")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5"/>
        <v>SIN STOCK</v>
      </c>
    </row>
    <row r="790" spans="1:11" ht="14.25">
      <c r="A790" s="18" t="s">
        <v>2933</v>
      </c>
      <c r="B790" s="3" t="str">
        <f>IFERROR(INDEX(Movimientos!$C$2:$C$1998,MATCH(A790&amp;"ENTRADA",Movimientos!$R$2:$R$1998,0)),"-")</f>
        <v>-</v>
      </c>
      <c r="C790" s="3" t="str">
        <f>IFERROR(INDEX(Movimientos!$D$2:$D$1998,MATCH(A790&amp;"ENTRADA",Movimientos!$R$2:$R$1998,0)),"-")</f>
        <v>-</v>
      </c>
      <c r="D790" s="3" t="str">
        <f>IFERROR(INDEX(Movimientos!$E$2:$E$1998,MATCH(A790&amp;"ENTRADA",Movimientos!$R$2:$R$1998,0)),"-")</f>
        <v>-</v>
      </c>
      <c r="E790" s="3" t="str">
        <f>IFERROR(INDEX(Movimientos!$F$2:$F$1998,MATCH(A790&amp;"ENTRADA",Movimientos!$R$2:$R$1998,0)),"-")</f>
        <v>-</v>
      </c>
      <c r="F790" s="3" t="str">
        <f>IFERROR(INDEX(Movimientos!$G$2:$G$1998,MATCH(A790&amp;"ENTRADA",Movimientos!$R$2:$R$1998,0)),"-")</f>
        <v>-</v>
      </c>
      <c r="G790" s="3" t="str">
        <f>IFERROR(INDEX(Movimientos!$L$2:$L$1998,MATCH(A790&amp;"ENTRADA",Movimientos!$R$2:$R$1998,0)),"-")</f>
        <v>-</v>
      </c>
      <c r="H790" s="19" t="str">
        <f>IFERROR(IF(INDEX(Movimientos!$M$2:$M$1998,MATCH(A790&amp;"ENTRADA",Movimientos!$R$2:$R$1998,0))=0,"S/D",INDEX(Movimientos!$M$2:$M$1998,MATCH(A790&amp;"ENTRADA",Movimientos!$R$2:$R$1998,0))),"S/D")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5"/>
        <v>SIN STOCK</v>
      </c>
    </row>
    <row r="791" spans="1:11" ht="14.25">
      <c r="A791" s="18" t="s">
        <v>2934</v>
      </c>
      <c r="B791" s="3" t="str">
        <f>IFERROR(INDEX(Movimientos!$C$2:$C$1998,MATCH(A791&amp;"ENTRADA",Movimientos!$R$2:$R$1998,0)),"-")</f>
        <v>-</v>
      </c>
      <c r="C791" s="3" t="str">
        <f>IFERROR(INDEX(Movimientos!$D$2:$D$1998,MATCH(A791&amp;"ENTRADA",Movimientos!$R$2:$R$1998,0)),"-")</f>
        <v>-</v>
      </c>
      <c r="D791" s="3" t="str">
        <f>IFERROR(INDEX(Movimientos!$E$2:$E$1998,MATCH(A791&amp;"ENTRADA",Movimientos!$R$2:$R$1998,0)),"-")</f>
        <v>-</v>
      </c>
      <c r="E791" s="3" t="str">
        <f>IFERROR(INDEX(Movimientos!$F$2:$F$1998,MATCH(A791&amp;"ENTRADA",Movimientos!$R$2:$R$1998,0)),"-")</f>
        <v>-</v>
      </c>
      <c r="F791" s="3" t="str">
        <f>IFERROR(INDEX(Movimientos!$G$2:$G$1998,MATCH(A791&amp;"ENTRADA",Movimientos!$R$2:$R$1998,0)),"-")</f>
        <v>-</v>
      </c>
      <c r="G791" s="3" t="str">
        <f>IFERROR(INDEX(Movimientos!$L$2:$L$1998,MATCH(A791&amp;"ENTRADA",Movimientos!$R$2:$R$1998,0)),"-")</f>
        <v>-</v>
      </c>
      <c r="H791" s="19" t="str">
        <f>IFERROR(IF(INDEX(Movimientos!$M$2:$M$1998,MATCH(A791&amp;"ENTRADA",Movimientos!$R$2:$R$1998,0))=0,"S/D",INDEX(Movimientos!$M$2:$M$1998,MATCH(A791&amp;"ENTRADA",Movimientos!$R$2:$R$1998,0))),"S/D")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5"/>
        <v>SIN STOCK</v>
      </c>
    </row>
    <row r="792" spans="1:11" ht="14.25">
      <c r="A792" s="18" t="s">
        <v>2935</v>
      </c>
      <c r="B792" s="3" t="str">
        <f>IFERROR(INDEX(Movimientos!$C$2:$C$1998,MATCH(A792&amp;"ENTRADA",Movimientos!$R$2:$R$1998,0)),"-")</f>
        <v>-</v>
      </c>
      <c r="C792" s="3" t="str">
        <f>IFERROR(INDEX(Movimientos!$D$2:$D$1998,MATCH(A792&amp;"ENTRADA",Movimientos!$R$2:$R$1998,0)),"-")</f>
        <v>-</v>
      </c>
      <c r="D792" s="3" t="str">
        <f>IFERROR(INDEX(Movimientos!$E$2:$E$1998,MATCH(A792&amp;"ENTRADA",Movimientos!$R$2:$R$1998,0)),"-")</f>
        <v>-</v>
      </c>
      <c r="E792" s="3" t="str">
        <f>IFERROR(INDEX(Movimientos!$F$2:$F$1998,MATCH(A792&amp;"ENTRADA",Movimientos!$R$2:$R$1998,0)),"-")</f>
        <v>-</v>
      </c>
      <c r="F792" s="3" t="str">
        <f>IFERROR(INDEX(Movimientos!$G$2:$G$1998,MATCH(A792&amp;"ENTRADA",Movimientos!$R$2:$R$1998,0)),"-")</f>
        <v>-</v>
      </c>
      <c r="G792" s="3" t="str">
        <f>IFERROR(INDEX(Movimientos!$L$2:$L$1998,MATCH(A792&amp;"ENTRADA",Movimientos!$R$2:$R$1998,0)),"-")</f>
        <v>-</v>
      </c>
      <c r="H792" s="19" t="str">
        <f>IFERROR(IF(INDEX(Movimientos!$M$2:$M$1998,MATCH(A792&amp;"ENTRADA",Movimientos!$R$2:$R$1998,0))=0,"S/D",INDEX(Movimientos!$M$2:$M$1998,MATCH(A792&amp;"ENTRADA",Movimientos!$R$2:$R$1998,0))),"S/D")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5"/>
        <v>SIN STOCK</v>
      </c>
    </row>
    <row r="793" spans="1:11" ht="14.25">
      <c r="A793" s="18" t="s">
        <v>2936</v>
      </c>
      <c r="B793" s="3" t="str">
        <f>IFERROR(INDEX(Movimientos!$C$2:$C$1998,MATCH(A793&amp;"ENTRADA",Movimientos!$R$2:$R$1998,0)),"-")</f>
        <v>-</v>
      </c>
      <c r="C793" s="3" t="str">
        <f>IFERROR(INDEX(Movimientos!$D$2:$D$1998,MATCH(A793&amp;"ENTRADA",Movimientos!$R$2:$R$1998,0)),"-")</f>
        <v>-</v>
      </c>
      <c r="D793" s="3" t="str">
        <f>IFERROR(INDEX(Movimientos!$E$2:$E$1998,MATCH(A793&amp;"ENTRADA",Movimientos!$R$2:$R$1998,0)),"-")</f>
        <v>-</v>
      </c>
      <c r="E793" s="3" t="str">
        <f>IFERROR(INDEX(Movimientos!$F$2:$F$1998,MATCH(A793&amp;"ENTRADA",Movimientos!$R$2:$R$1998,0)),"-")</f>
        <v>-</v>
      </c>
      <c r="F793" s="3" t="str">
        <f>IFERROR(INDEX(Movimientos!$G$2:$G$1998,MATCH(A793&amp;"ENTRADA",Movimientos!$R$2:$R$1998,0)),"-")</f>
        <v>-</v>
      </c>
      <c r="G793" s="3" t="str">
        <f>IFERROR(INDEX(Movimientos!$L$2:$L$1998,MATCH(A793&amp;"ENTRADA",Movimientos!$R$2:$R$1998,0)),"-")</f>
        <v>-</v>
      </c>
      <c r="H793" s="19" t="str">
        <f>IFERROR(IF(INDEX(Movimientos!$M$2:$M$1998,MATCH(A793&amp;"ENTRADA",Movimientos!$R$2:$R$1998,0))=0,"S/D",INDEX(Movimientos!$M$2:$M$1998,MATCH(A793&amp;"ENTRADA",Movimientos!$R$2:$R$1998,0))),"S/D")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5"/>
        <v>SIN STOCK</v>
      </c>
    </row>
    <row r="794" spans="1:11" ht="14.25">
      <c r="A794" s="18" t="s">
        <v>2937</v>
      </c>
      <c r="B794" s="3" t="str">
        <f>IFERROR(INDEX(Movimientos!$C$2:$C$1998,MATCH(A794&amp;"ENTRADA",Movimientos!$R$2:$R$1998,0)),"-")</f>
        <v>-</v>
      </c>
      <c r="C794" s="3" t="str">
        <f>IFERROR(INDEX(Movimientos!$D$2:$D$1998,MATCH(A794&amp;"ENTRADA",Movimientos!$R$2:$R$1998,0)),"-")</f>
        <v>-</v>
      </c>
      <c r="D794" s="3" t="str">
        <f>IFERROR(INDEX(Movimientos!$E$2:$E$1998,MATCH(A794&amp;"ENTRADA",Movimientos!$R$2:$R$1998,0)),"-")</f>
        <v>-</v>
      </c>
      <c r="E794" s="3" t="str">
        <f>IFERROR(INDEX(Movimientos!$F$2:$F$1998,MATCH(A794&amp;"ENTRADA",Movimientos!$R$2:$R$1998,0)),"-")</f>
        <v>-</v>
      </c>
      <c r="F794" s="3" t="str">
        <f>IFERROR(INDEX(Movimientos!$G$2:$G$1998,MATCH(A794&amp;"ENTRADA",Movimientos!$R$2:$R$1998,0)),"-")</f>
        <v>-</v>
      </c>
      <c r="G794" s="3" t="str">
        <f>IFERROR(INDEX(Movimientos!$L$2:$L$1998,MATCH(A794&amp;"ENTRADA",Movimientos!$R$2:$R$1998,0)),"-")</f>
        <v>-</v>
      </c>
      <c r="H794" s="19" t="str">
        <f>IFERROR(IF(INDEX(Movimientos!$M$2:$M$1998,MATCH(A794&amp;"ENTRADA",Movimientos!$R$2:$R$1998,0))=0,"S/D",INDEX(Movimientos!$M$2:$M$1998,MATCH(A794&amp;"ENTRADA",Movimientos!$R$2:$R$1998,0))),"S/D")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5"/>
        <v>SIN STOCK</v>
      </c>
    </row>
    <row r="795" spans="1:11" ht="14.25">
      <c r="A795" s="18" t="s">
        <v>2938</v>
      </c>
      <c r="B795" s="3" t="str">
        <f>IFERROR(INDEX(Movimientos!$C$2:$C$1998,MATCH(A795&amp;"ENTRADA",Movimientos!$R$2:$R$1998,0)),"-")</f>
        <v>-</v>
      </c>
      <c r="C795" s="3" t="str">
        <f>IFERROR(INDEX(Movimientos!$D$2:$D$1998,MATCH(A795&amp;"ENTRADA",Movimientos!$R$2:$R$1998,0)),"-")</f>
        <v>-</v>
      </c>
      <c r="D795" s="3" t="str">
        <f>IFERROR(INDEX(Movimientos!$E$2:$E$1998,MATCH(A795&amp;"ENTRADA",Movimientos!$R$2:$R$1998,0)),"-")</f>
        <v>-</v>
      </c>
      <c r="E795" s="3" t="str">
        <f>IFERROR(INDEX(Movimientos!$F$2:$F$1998,MATCH(A795&amp;"ENTRADA",Movimientos!$R$2:$R$1998,0)),"-")</f>
        <v>-</v>
      </c>
      <c r="F795" s="3" t="str">
        <f>IFERROR(INDEX(Movimientos!$G$2:$G$1998,MATCH(A795&amp;"ENTRADA",Movimientos!$R$2:$R$1998,0)),"-")</f>
        <v>-</v>
      </c>
      <c r="G795" s="3" t="str">
        <f>IFERROR(INDEX(Movimientos!$L$2:$L$1998,MATCH(A795&amp;"ENTRADA",Movimientos!$R$2:$R$1998,0)),"-")</f>
        <v>-</v>
      </c>
      <c r="H795" s="19" t="str">
        <f>IFERROR(IF(INDEX(Movimientos!$M$2:$M$1998,MATCH(A795&amp;"ENTRADA",Movimientos!$R$2:$R$1998,0))=0,"S/D",INDEX(Movimientos!$M$2:$M$1998,MATCH(A795&amp;"ENTRADA",Movimientos!$R$2:$R$1998,0))),"S/D")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5"/>
        <v>SIN STOCK</v>
      </c>
    </row>
    <row r="796" spans="1:11" ht="14.25">
      <c r="A796" s="18" t="s">
        <v>2939</v>
      </c>
      <c r="B796" s="3" t="str">
        <f>IFERROR(INDEX(Movimientos!$C$2:$C$1998,MATCH(A796&amp;"ENTRADA",Movimientos!$R$2:$R$1998,0)),"-")</f>
        <v>-</v>
      </c>
      <c r="C796" s="3" t="str">
        <f>IFERROR(INDEX(Movimientos!$D$2:$D$1998,MATCH(A796&amp;"ENTRADA",Movimientos!$R$2:$R$1998,0)),"-")</f>
        <v>-</v>
      </c>
      <c r="D796" s="3" t="str">
        <f>IFERROR(INDEX(Movimientos!$E$2:$E$1998,MATCH(A796&amp;"ENTRADA",Movimientos!$R$2:$R$1998,0)),"-")</f>
        <v>-</v>
      </c>
      <c r="E796" s="3" t="str">
        <f>IFERROR(INDEX(Movimientos!$F$2:$F$1998,MATCH(A796&amp;"ENTRADA",Movimientos!$R$2:$R$1998,0)),"-")</f>
        <v>-</v>
      </c>
      <c r="F796" s="3" t="str">
        <f>IFERROR(INDEX(Movimientos!$G$2:$G$1998,MATCH(A796&amp;"ENTRADA",Movimientos!$R$2:$R$1998,0)),"-")</f>
        <v>-</v>
      </c>
      <c r="G796" s="3" t="str">
        <f>IFERROR(INDEX(Movimientos!$L$2:$L$1998,MATCH(A796&amp;"ENTRADA",Movimientos!$R$2:$R$1998,0)),"-")</f>
        <v>-</v>
      </c>
      <c r="H796" s="19" t="str">
        <f>IFERROR(IF(INDEX(Movimientos!$M$2:$M$1998,MATCH(A796&amp;"ENTRADA",Movimientos!$R$2:$R$1998,0))=0,"S/D",INDEX(Movimientos!$M$2:$M$1998,MATCH(A796&amp;"ENTRADA",Movimientos!$R$2:$R$1998,0))),"S/D")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5"/>
        <v>SIN STOCK</v>
      </c>
    </row>
    <row r="797" spans="1:11" ht="14.25">
      <c r="A797" s="18" t="s">
        <v>2940</v>
      </c>
      <c r="B797" s="3" t="str">
        <f>IFERROR(INDEX(Movimientos!$C$2:$C$1998,MATCH(A797&amp;"ENTRADA",Movimientos!$R$2:$R$1998,0)),"-")</f>
        <v>-</v>
      </c>
      <c r="C797" s="3" t="str">
        <f>IFERROR(INDEX(Movimientos!$D$2:$D$1998,MATCH(A797&amp;"ENTRADA",Movimientos!$R$2:$R$1998,0)),"-")</f>
        <v>-</v>
      </c>
      <c r="D797" s="3" t="str">
        <f>IFERROR(INDEX(Movimientos!$E$2:$E$1998,MATCH(A797&amp;"ENTRADA",Movimientos!$R$2:$R$1998,0)),"-")</f>
        <v>-</v>
      </c>
      <c r="E797" s="3" t="str">
        <f>IFERROR(INDEX(Movimientos!$F$2:$F$1998,MATCH(A797&amp;"ENTRADA",Movimientos!$R$2:$R$1998,0)),"-")</f>
        <v>-</v>
      </c>
      <c r="F797" s="3" t="str">
        <f>IFERROR(INDEX(Movimientos!$G$2:$G$1998,MATCH(A797&amp;"ENTRADA",Movimientos!$R$2:$R$1998,0)),"-")</f>
        <v>-</v>
      </c>
      <c r="G797" s="3" t="str">
        <f>IFERROR(INDEX(Movimientos!$L$2:$L$1998,MATCH(A797&amp;"ENTRADA",Movimientos!$R$2:$R$1998,0)),"-")</f>
        <v>-</v>
      </c>
      <c r="H797" s="19" t="str">
        <f>IFERROR(IF(INDEX(Movimientos!$M$2:$M$1998,MATCH(A797&amp;"ENTRADA",Movimientos!$R$2:$R$1998,0))=0,"S/D",INDEX(Movimientos!$M$2:$M$1998,MATCH(A797&amp;"ENTRADA",Movimientos!$R$2:$R$1998,0))),"S/D")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5"/>
        <v>SIN STOCK</v>
      </c>
    </row>
    <row r="798" spans="1:11" ht="14.25">
      <c r="A798" s="18" t="s">
        <v>2941</v>
      </c>
      <c r="B798" s="3" t="str">
        <f>IFERROR(INDEX(Movimientos!$C$2:$C$1998,MATCH(A798&amp;"ENTRADA",Movimientos!$R$2:$R$1998,0)),"-")</f>
        <v>-</v>
      </c>
      <c r="C798" s="3" t="str">
        <f>IFERROR(INDEX(Movimientos!$D$2:$D$1998,MATCH(A798&amp;"ENTRADA",Movimientos!$R$2:$R$1998,0)),"-")</f>
        <v>-</v>
      </c>
      <c r="D798" s="3" t="str">
        <f>IFERROR(INDEX(Movimientos!$E$2:$E$1998,MATCH(A798&amp;"ENTRADA",Movimientos!$R$2:$R$1998,0)),"-")</f>
        <v>-</v>
      </c>
      <c r="E798" s="3" t="str">
        <f>IFERROR(INDEX(Movimientos!$F$2:$F$1998,MATCH(A798&amp;"ENTRADA",Movimientos!$R$2:$R$1998,0)),"-")</f>
        <v>-</v>
      </c>
      <c r="F798" s="3" t="str">
        <f>IFERROR(INDEX(Movimientos!$G$2:$G$1998,MATCH(A798&amp;"ENTRADA",Movimientos!$R$2:$R$1998,0)),"-")</f>
        <v>-</v>
      </c>
      <c r="G798" s="3" t="str">
        <f>IFERROR(INDEX(Movimientos!$L$2:$L$1998,MATCH(A798&amp;"ENTRADA",Movimientos!$R$2:$R$1998,0)),"-")</f>
        <v>-</v>
      </c>
      <c r="H798" s="19" t="str">
        <f>IFERROR(IF(INDEX(Movimientos!$M$2:$M$1998,MATCH(A798&amp;"ENTRADA",Movimientos!$R$2:$R$1998,0))=0,"S/D",INDEX(Movimientos!$M$2:$M$1998,MATCH(A798&amp;"ENTRADA",Movimientos!$R$2:$R$1998,0))),"S/D")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5"/>
        <v>SIN STOCK</v>
      </c>
    </row>
    <row r="799" spans="1:11" ht="14.25">
      <c r="A799" s="18" t="s">
        <v>2942</v>
      </c>
      <c r="B799" s="3" t="str">
        <f>IFERROR(INDEX(Movimientos!$C$2:$C$1998,MATCH(A799&amp;"ENTRADA",Movimientos!$R$2:$R$1998,0)),"-")</f>
        <v>-</v>
      </c>
      <c r="C799" s="3" t="str">
        <f>IFERROR(INDEX(Movimientos!$D$2:$D$1998,MATCH(A799&amp;"ENTRADA",Movimientos!$R$2:$R$1998,0)),"-")</f>
        <v>-</v>
      </c>
      <c r="D799" s="3" t="str">
        <f>IFERROR(INDEX(Movimientos!$E$2:$E$1998,MATCH(A799&amp;"ENTRADA",Movimientos!$R$2:$R$1998,0)),"-")</f>
        <v>-</v>
      </c>
      <c r="E799" s="3" t="str">
        <f>IFERROR(INDEX(Movimientos!$F$2:$F$1998,MATCH(A799&amp;"ENTRADA",Movimientos!$R$2:$R$1998,0)),"-")</f>
        <v>-</v>
      </c>
      <c r="F799" s="3" t="str">
        <f>IFERROR(INDEX(Movimientos!$G$2:$G$1998,MATCH(A799&amp;"ENTRADA",Movimientos!$R$2:$R$1998,0)),"-")</f>
        <v>-</v>
      </c>
      <c r="G799" s="3" t="str">
        <f>IFERROR(INDEX(Movimientos!$L$2:$L$1998,MATCH(A799&amp;"ENTRADA",Movimientos!$R$2:$R$1998,0)),"-")</f>
        <v>-</v>
      </c>
      <c r="H799" s="19" t="str">
        <f>IFERROR(IF(INDEX(Movimientos!$M$2:$M$1998,MATCH(A799&amp;"ENTRADA",Movimientos!$R$2:$R$1998,0))=0,"S/D",INDEX(Movimientos!$M$2:$M$1998,MATCH(A799&amp;"ENTRADA",Movimientos!$R$2:$R$1998,0))),"S/D")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5"/>
        <v>SIN STOCK</v>
      </c>
    </row>
    <row r="800" spans="1:11" ht="14.25">
      <c r="A800" s="18" t="s">
        <v>2943</v>
      </c>
      <c r="B800" s="3" t="str">
        <f>IFERROR(INDEX(Movimientos!$C$2:$C$1998,MATCH(A800&amp;"ENTRADA",Movimientos!$R$2:$R$1998,0)),"-")</f>
        <v>-</v>
      </c>
      <c r="C800" s="3" t="str">
        <f>IFERROR(INDEX(Movimientos!$D$2:$D$1998,MATCH(A800&amp;"ENTRADA",Movimientos!$R$2:$R$1998,0)),"-")</f>
        <v>-</v>
      </c>
      <c r="D800" s="3" t="str">
        <f>IFERROR(INDEX(Movimientos!$E$2:$E$1998,MATCH(A800&amp;"ENTRADA",Movimientos!$R$2:$R$1998,0)),"-")</f>
        <v>-</v>
      </c>
      <c r="E800" s="3" t="str">
        <f>IFERROR(INDEX(Movimientos!$F$2:$F$1998,MATCH(A800&amp;"ENTRADA",Movimientos!$R$2:$R$1998,0)),"-")</f>
        <v>-</v>
      </c>
      <c r="F800" s="3" t="str">
        <f>IFERROR(INDEX(Movimientos!$G$2:$G$1998,MATCH(A800&amp;"ENTRADA",Movimientos!$R$2:$R$1998,0)),"-")</f>
        <v>-</v>
      </c>
      <c r="G800" s="3" t="str">
        <f>IFERROR(INDEX(Movimientos!$L$2:$L$1998,MATCH(A800&amp;"ENTRADA",Movimientos!$R$2:$R$1998,0)),"-")</f>
        <v>-</v>
      </c>
      <c r="H800" s="19" t="str">
        <f>IFERROR(IF(INDEX(Movimientos!$M$2:$M$1998,MATCH(A800&amp;"ENTRADA",Movimientos!$R$2:$R$1998,0))=0,"S/D",INDEX(Movimientos!$M$2:$M$1998,MATCH(A800&amp;"ENTRADA",Movimientos!$R$2:$R$1998,0))),"S/D")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5"/>
        <v>SIN STOCK</v>
      </c>
    </row>
    <row r="801" spans="1:11" ht="14.25">
      <c r="A801" s="18" t="s">
        <v>2944</v>
      </c>
      <c r="B801" s="3" t="str">
        <f>IFERROR(INDEX(Movimientos!$C$2:$C$1998,MATCH(A801&amp;"ENTRADA",Movimientos!$R$2:$R$1998,0)),"-")</f>
        <v>-</v>
      </c>
      <c r="C801" s="3" t="str">
        <f>IFERROR(INDEX(Movimientos!$D$2:$D$1998,MATCH(A801&amp;"ENTRADA",Movimientos!$R$2:$R$1998,0)),"-")</f>
        <v>-</v>
      </c>
      <c r="D801" s="3" t="str">
        <f>IFERROR(INDEX(Movimientos!$E$2:$E$1998,MATCH(A801&amp;"ENTRADA",Movimientos!$R$2:$R$1998,0)),"-")</f>
        <v>-</v>
      </c>
      <c r="E801" s="3" t="str">
        <f>IFERROR(INDEX(Movimientos!$F$2:$F$1998,MATCH(A801&amp;"ENTRADA",Movimientos!$R$2:$R$1998,0)),"-")</f>
        <v>-</v>
      </c>
      <c r="F801" s="3" t="str">
        <f>IFERROR(INDEX(Movimientos!$G$2:$G$1998,MATCH(A801&amp;"ENTRADA",Movimientos!$R$2:$R$1998,0)),"-")</f>
        <v>-</v>
      </c>
      <c r="G801" s="3" t="str">
        <f>IFERROR(INDEX(Movimientos!$L$2:$L$1998,MATCH(A801&amp;"ENTRADA",Movimientos!$R$2:$R$1998,0)),"-")</f>
        <v>-</v>
      </c>
      <c r="H801" s="19" t="str">
        <f>IFERROR(IF(INDEX(Movimientos!$M$2:$M$1998,MATCH(A801&amp;"ENTRADA",Movimientos!$R$2:$R$1998,0))=0,"S/D",INDEX(Movimientos!$M$2:$M$1998,MATCH(A801&amp;"ENTRADA",Movimientos!$R$2:$R$1998,0))),"S/D")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5"/>
        <v>SIN STOCK</v>
      </c>
    </row>
    <row r="802" spans="1:11" ht="14.25">
      <c r="A802" s="18" t="s">
        <v>2945</v>
      </c>
      <c r="B802" s="3" t="str">
        <f>IFERROR(INDEX(Movimientos!$C$2:$C$1998,MATCH(A802&amp;"ENTRADA",Movimientos!$R$2:$R$1998,0)),"-")</f>
        <v>-</v>
      </c>
      <c r="C802" s="3" t="str">
        <f>IFERROR(INDEX(Movimientos!$D$2:$D$1998,MATCH(A802&amp;"ENTRADA",Movimientos!$R$2:$R$1998,0)),"-")</f>
        <v>-</v>
      </c>
      <c r="D802" s="3" t="str">
        <f>IFERROR(INDEX(Movimientos!$E$2:$E$1998,MATCH(A802&amp;"ENTRADA",Movimientos!$R$2:$R$1998,0)),"-")</f>
        <v>-</v>
      </c>
      <c r="E802" s="3" t="str">
        <f>IFERROR(INDEX(Movimientos!$F$2:$F$1998,MATCH(A802&amp;"ENTRADA",Movimientos!$R$2:$R$1998,0)),"-")</f>
        <v>-</v>
      </c>
      <c r="F802" s="3" t="str">
        <f>IFERROR(INDEX(Movimientos!$G$2:$G$1998,MATCH(A802&amp;"ENTRADA",Movimientos!$R$2:$R$1998,0)),"-")</f>
        <v>-</v>
      </c>
      <c r="G802" s="3" t="str">
        <f>IFERROR(INDEX(Movimientos!$L$2:$L$1998,MATCH(A802&amp;"ENTRADA",Movimientos!$R$2:$R$1998,0)),"-")</f>
        <v>-</v>
      </c>
      <c r="H802" s="19" t="str">
        <f>IFERROR(IF(INDEX(Movimientos!$M$2:$M$1998,MATCH(A802&amp;"ENTRADA",Movimientos!$R$2:$R$1998,0))=0,"S/D",INDEX(Movimientos!$M$2:$M$1998,MATCH(A802&amp;"ENTRADA",Movimientos!$R$2:$R$1998,0))),"S/D")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5"/>
        <v>SIN STOCK</v>
      </c>
    </row>
    <row r="803" spans="1:11" ht="14.25">
      <c r="A803" s="18" t="s">
        <v>2946</v>
      </c>
      <c r="B803" s="3" t="str">
        <f>IFERROR(INDEX(Movimientos!$C$2:$C$1998,MATCH(A803&amp;"ENTRADA",Movimientos!$R$2:$R$1998,0)),"-")</f>
        <v>-</v>
      </c>
      <c r="C803" s="3" t="str">
        <f>IFERROR(INDEX(Movimientos!$D$2:$D$1998,MATCH(A803&amp;"ENTRADA",Movimientos!$R$2:$R$1998,0)),"-")</f>
        <v>-</v>
      </c>
      <c r="D803" s="3" t="str">
        <f>IFERROR(INDEX(Movimientos!$E$2:$E$1998,MATCH(A803&amp;"ENTRADA",Movimientos!$R$2:$R$1998,0)),"-")</f>
        <v>-</v>
      </c>
      <c r="E803" s="3" t="str">
        <f>IFERROR(INDEX(Movimientos!$F$2:$F$1998,MATCH(A803&amp;"ENTRADA",Movimientos!$R$2:$R$1998,0)),"-")</f>
        <v>-</v>
      </c>
      <c r="F803" s="3" t="str">
        <f>IFERROR(INDEX(Movimientos!$G$2:$G$1998,MATCH(A803&amp;"ENTRADA",Movimientos!$R$2:$R$1998,0)),"-")</f>
        <v>-</v>
      </c>
      <c r="G803" s="3" t="str">
        <f>IFERROR(INDEX(Movimientos!$L$2:$L$1998,MATCH(A803&amp;"ENTRADA",Movimientos!$R$2:$R$1998,0)),"-")</f>
        <v>-</v>
      </c>
      <c r="H803" s="19" t="str">
        <f>IFERROR(IF(INDEX(Movimientos!$M$2:$M$1998,MATCH(A803&amp;"ENTRADA",Movimientos!$R$2:$R$1998,0))=0,"S/D",INDEX(Movimientos!$M$2:$M$1998,MATCH(A803&amp;"ENTRADA",Movimientos!$R$2:$R$1998,0))),"S/D")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5"/>
        <v>SIN STOCK</v>
      </c>
    </row>
    <row r="804" spans="1:11" ht="14.25">
      <c r="A804" s="18" t="s">
        <v>2947</v>
      </c>
      <c r="B804" s="3" t="str">
        <f>IFERROR(INDEX(Movimientos!$C$2:$C$1998,MATCH(A804&amp;"ENTRADA",Movimientos!$R$2:$R$1998,0)),"-")</f>
        <v>-</v>
      </c>
      <c r="C804" s="3" t="str">
        <f>IFERROR(INDEX(Movimientos!$D$2:$D$1998,MATCH(A804&amp;"ENTRADA",Movimientos!$R$2:$R$1998,0)),"-")</f>
        <v>-</v>
      </c>
      <c r="D804" s="3" t="str">
        <f>IFERROR(INDEX(Movimientos!$E$2:$E$1998,MATCH(A804&amp;"ENTRADA",Movimientos!$R$2:$R$1998,0)),"-")</f>
        <v>-</v>
      </c>
      <c r="E804" s="3" t="str">
        <f>IFERROR(INDEX(Movimientos!$F$2:$F$1998,MATCH(A804&amp;"ENTRADA",Movimientos!$R$2:$R$1998,0)),"-")</f>
        <v>-</v>
      </c>
      <c r="F804" s="3" t="str">
        <f>IFERROR(INDEX(Movimientos!$G$2:$G$1998,MATCH(A804&amp;"ENTRADA",Movimientos!$R$2:$R$1998,0)),"-")</f>
        <v>-</v>
      </c>
      <c r="G804" s="3" t="str">
        <f>IFERROR(INDEX(Movimientos!$L$2:$L$1998,MATCH(A804&amp;"ENTRADA",Movimientos!$R$2:$R$1998,0)),"-")</f>
        <v>-</v>
      </c>
      <c r="H804" s="19" t="str">
        <f>IFERROR(IF(INDEX(Movimientos!$M$2:$M$1998,MATCH(A804&amp;"ENTRADA",Movimientos!$R$2:$R$1998,0))=0,"S/D",INDEX(Movimientos!$M$2:$M$1998,MATCH(A804&amp;"ENTRADA",Movimientos!$R$2:$R$1998,0))),"S/D")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5"/>
        <v>SIN STOCK</v>
      </c>
    </row>
    <row r="805" spans="1:11" ht="14.25">
      <c r="A805" s="18" t="s">
        <v>2948</v>
      </c>
      <c r="B805" s="3" t="str">
        <f>IFERROR(INDEX(Movimientos!$C$2:$C$1998,MATCH(A805&amp;"ENTRADA",Movimientos!$R$2:$R$1998,0)),"-")</f>
        <v>-</v>
      </c>
      <c r="C805" s="3" t="str">
        <f>IFERROR(INDEX(Movimientos!$D$2:$D$1998,MATCH(A805&amp;"ENTRADA",Movimientos!$R$2:$R$1998,0)),"-")</f>
        <v>-</v>
      </c>
      <c r="D805" s="3" t="str">
        <f>IFERROR(INDEX(Movimientos!$E$2:$E$1998,MATCH(A805&amp;"ENTRADA",Movimientos!$R$2:$R$1998,0)),"-")</f>
        <v>-</v>
      </c>
      <c r="E805" s="3" t="str">
        <f>IFERROR(INDEX(Movimientos!$F$2:$F$1998,MATCH(A805&amp;"ENTRADA",Movimientos!$R$2:$R$1998,0)),"-")</f>
        <v>-</v>
      </c>
      <c r="F805" s="3" t="str">
        <f>IFERROR(INDEX(Movimientos!$G$2:$G$1998,MATCH(A805&amp;"ENTRADA",Movimientos!$R$2:$R$1998,0)),"-")</f>
        <v>-</v>
      </c>
      <c r="G805" s="3" t="str">
        <f>IFERROR(INDEX(Movimientos!$L$2:$L$1998,MATCH(A805&amp;"ENTRADA",Movimientos!$R$2:$R$1998,0)),"-")</f>
        <v>-</v>
      </c>
      <c r="H805" s="19" t="str">
        <f>IFERROR(IF(INDEX(Movimientos!$M$2:$M$1998,MATCH(A805&amp;"ENTRADA",Movimientos!$R$2:$R$1998,0))=0,"S/D",INDEX(Movimientos!$M$2:$M$1998,MATCH(A805&amp;"ENTRADA",Movimientos!$R$2:$R$1998,0))),"S/D")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5"/>
        <v>SIN STOCK</v>
      </c>
    </row>
    <row r="806" spans="1:11" ht="14.25">
      <c r="A806" s="18" t="s">
        <v>2949</v>
      </c>
      <c r="B806" s="3" t="str">
        <f>IFERROR(INDEX(Movimientos!$C$2:$C$1998,MATCH(A806&amp;"ENTRADA",Movimientos!$R$2:$R$1998,0)),"-")</f>
        <v>-</v>
      </c>
      <c r="C806" s="3" t="str">
        <f>IFERROR(INDEX(Movimientos!$D$2:$D$1998,MATCH(A806&amp;"ENTRADA",Movimientos!$R$2:$R$1998,0)),"-")</f>
        <v>-</v>
      </c>
      <c r="D806" s="3" t="str">
        <f>IFERROR(INDEX(Movimientos!$E$2:$E$1998,MATCH(A806&amp;"ENTRADA",Movimientos!$R$2:$R$1998,0)),"-")</f>
        <v>-</v>
      </c>
      <c r="E806" s="3" t="str">
        <f>IFERROR(INDEX(Movimientos!$F$2:$F$1998,MATCH(A806&amp;"ENTRADA",Movimientos!$R$2:$R$1998,0)),"-")</f>
        <v>-</v>
      </c>
      <c r="F806" s="3" t="str">
        <f>IFERROR(INDEX(Movimientos!$G$2:$G$1998,MATCH(A806&amp;"ENTRADA",Movimientos!$R$2:$R$1998,0)),"-")</f>
        <v>-</v>
      </c>
      <c r="G806" s="3" t="str">
        <f>IFERROR(INDEX(Movimientos!$L$2:$L$1998,MATCH(A806&amp;"ENTRADA",Movimientos!$R$2:$R$1998,0)),"-")</f>
        <v>-</v>
      </c>
      <c r="H806" s="19" t="str">
        <f>IFERROR(IF(INDEX(Movimientos!$M$2:$M$1998,MATCH(A806&amp;"ENTRADA",Movimientos!$R$2:$R$1998,0))=0,"S/D",INDEX(Movimientos!$M$2:$M$1998,MATCH(A806&amp;"ENTRADA",Movimientos!$R$2:$R$1998,0))),"S/D")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5"/>
        <v>SIN STOCK</v>
      </c>
    </row>
    <row r="807" spans="1:11" ht="14.25">
      <c r="A807" s="18" t="s">
        <v>2950</v>
      </c>
      <c r="B807" s="3" t="str">
        <f>IFERROR(INDEX(Movimientos!$C$2:$C$1998,MATCH(A807&amp;"ENTRADA",Movimientos!$R$2:$R$1998,0)),"-")</f>
        <v>-</v>
      </c>
      <c r="C807" s="3" t="str">
        <f>IFERROR(INDEX(Movimientos!$D$2:$D$1998,MATCH(A807&amp;"ENTRADA",Movimientos!$R$2:$R$1998,0)),"-")</f>
        <v>-</v>
      </c>
      <c r="D807" s="3" t="str">
        <f>IFERROR(INDEX(Movimientos!$E$2:$E$1998,MATCH(A807&amp;"ENTRADA",Movimientos!$R$2:$R$1998,0)),"-")</f>
        <v>-</v>
      </c>
      <c r="E807" s="3" t="str">
        <f>IFERROR(INDEX(Movimientos!$F$2:$F$1998,MATCH(A807&amp;"ENTRADA",Movimientos!$R$2:$R$1998,0)),"-")</f>
        <v>-</v>
      </c>
      <c r="F807" s="3" t="str">
        <f>IFERROR(INDEX(Movimientos!$G$2:$G$1998,MATCH(A807&amp;"ENTRADA",Movimientos!$R$2:$R$1998,0)),"-")</f>
        <v>-</v>
      </c>
      <c r="G807" s="3" t="str">
        <f>IFERROR(INDEX(Movimientos!$L$2:$L$1998,MATCH(A807&amp;"ENTRADA",Movimientos!$R$2:$R$1998,0)),"-")</f>
        <v>-</v>
      </c>
      <c r="H807" s="19" t="str">
        <f>IFERROR(IF(INDEX(Movimientos!$M$2:$M$1998,MATCH(A807&amp;"ENTRADA",Movimientos!$R$2:$R$1998,0))=0,"S/D",INDEX(Movimientos!$M$2:$M$1998,MATCH(A807&amp;"ENTRADA",Movimientos!$R$2:$R$1998,0))),"S/D")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5"/>
        <v>SIN STOCK</v>
      </c>
    </row>
    <row r="808" spans="1:11" ht="14.25">
      <c r="A808" s="18" t="s">
        <v>2951</v>
      </c>
      <c r="B808" s="3" t="str">
        <f>IFERROR(INDEX(Movimientos!$C$2:$C$1998,MATCH(A808&amp;"ENTRADA",Movimientos!$R$2:$R$1998,0)),"-")</f>
        <v>-</v>
      </c>
      <c r="C808" s="3" t="str">
        <f>IFERROR(INDEX(Movimientos!$D$2:$D$1998,MATCH(A808&amp;"ENTRADA",Movimientos!$R$2:$R$1998,0)),"-")</f>
        <v>-</v>
      </c>
      <c r="D808" s="3" t="str">
        <f>IFERROR(INDEX(Movimientos!$E$2:$E$1998,MATCH(A808&amp;"ENTRADA",Movimientos!$R$2:$R$1998,0)),"-")</f>
        <v>-</v>
      </c>
      <c r="E808" s="3" t="str">
        <f>IFERROR(INDEX(Movimientos!$F$2:$F$1998,MATCH(A808&amp;"ENTRADA",Movimientos!$R$2:$R$1998,0)),"-")</f>
        <v>-</v>
      </c>
      <c r="F808" s="3" t="str">
        <f>IFERROR(INDEX(Movimientos!$G$2:$G$1998,MATCH(A808&amp;"ENTRADA",Movimientos!$R$2:$R$1998,0)),"-")</f>
        <v>-</v>
      </c>
      <c r="G808" s="3" t="str">
        <f>IFERROR(INDEX(Movimientos!$L$2:$L$1998,MATCH(A808&amp;"ENTRADA",Movimientos!$R$2:$R$1998,0)),"-")</f>
        <v>-</v>
      </c>
      <c r="H808" s="19" t="str">
        <f>IFERROR(IF(INDEX(Movimientos!$M$2:$M$1998,MATCH(A808&amp;"ENTRADA",Movimientos!$R$2:$R$1998,0))=0,"S/D",INDEX(Movimientos!$M$2:$M$1998,MATCH(A808&amp;"ENTRADA",Movimientos!$R$2:$R$1998,0))),"S/D")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5"/>
        <v>SIN STOCK</v>
      </c>
    </row>
    <row r="809" spans="1:11" ht="14.25">
      <c r="A809" s="18" t="s">
        <v>2952</v>
      </c>
      <c r="B809" s="3" t="str">
        <f>IFERROR(INDEX(Movimientos!$C$2:$C$1998,MATCH(A809&amp;"ENTRADA",Movimientos!$R$2:$R$1998,0)),"-")</f>
        <v>-</v>
      </c>
      <c r="C809" s="3" t="str">
        <f>IFERROR(INDEX(Movimientos!$D$2:$D$1998,MATCH(A809&amp;"ENTRADA",Movimientos!$R$2:$R$1998,0)),"-")</f>
        <v>-</v>
      </c>
      <c r="D809" s="3" t="str">
        <f>IFERROR(INDEX(Movimientos!$E$2:$E$1998,MATCH(A809&amp;"ENTRADA",Movimientos!$R$2:$R$1998,0)),"-")</f>
        <v>-</v>
      </c>
      <c r="E809" s="3" t="str">
        <f>IFERROR(INDEX(Movimientos!$F$2:$F$1998,MATCH(A809&amp;"ENTRADA",Movimientos!$R$2:$R$1998,0)),"-")</f>
        <v>-</v>
      </c>
      <c r="F809" s="3" t="str">
        <f>IFERROR(INDEX(Movimientos!$G$2:$G$1998,MATCH(A809&amp;"ENTRADA",Movimientos!$R$2:$R$1998,0)),"-")</f>
        <v>-</v>
      </c>
      <c r="G809" s="3" t="str">
        <f>IFERROR(INDEX(Movimientos!$L$2:$L$1998,MATCH(A809&amp;"ENTRADA",Movimientos!$R$2:$R$1998,0)),"-")</f>
        <v>-</v>
      </c>
      <c r="H809" s="19" t="str">
        <f>IFERROR(IF(INDEX(Movimientos!$M$2:$M$1998,MATCH(A809&amp;"ENTRADA",Movimientos!$R$2:$R$1998,0))=0,"S/D",INDEX(Movimientos!$M$2:$M$1998,MATCH(A809&amp;"ENTRADA",Movimientos!$R$2:$R$1998,0))),"S/D")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5"/>
        <v>SIN STOCK</v>
      </c>
    </row>
    <row r="810" spans="1:11" ht="14.25">
      <c r="A810" s="18" t="s">
        <v>2953</v>
      </c>
      <c r="B810" s="3" t="str">
        <f>IFERROR(INDEX(Movimientos!$C$2:$C$1998,MATCH(A810&amp;"ENTRADA",Movimientos!$R$2:$R$1998,0)),"-")</f>
        <v>-</v>
      </c>
      <c r="C810" s="3" t="str">
        <f>IFERROR(INDEX(Movimientos!$D$2:$D$1998,MATCH(A810&amp;"ENTRADA",Movimientos!$R$2:$R$1998,0)),"-")</f>
        <v>-</v>
      </c>
      <c r="D810" s="3" t="str">
        <f>IFERROR(INDEX(Movimientos!$E$2:$E$1998,MATCH(A810&amp;"ENTRADA",Movimientos!$R$2:$R$1998,0)),"-")</f>
        <v>-</v>
      </c>
      <c r="E810" s="3" t="str">
        <f>IFERROR(INDEX(Movimientos!$F$2:$F$1998,MATCH(A810&amp;"ENTRADA",Movimientos!$R$2:$R$1998,0)),"-")</f>
        <v>-</v>
      </c>
      <c r="F810" s="3" t="str">
        <f>IFERROR(INDEX(Movimientos!$G$2:$G$1998,MATCH(A810&amp;"ENTRADA",Movimientos!$R$2:$R$1998,0)),"-")</f>
        <v>-</v>
      </c>
      <c r="G810" s="3" t="str">
        <f>IFERROR(INDEX(Movimientos!$L$2:$L$1998,MATCH(A810&amp;"ENTRADA",Movimientos!$R$2:$R$1998,0)),"-")</f>
        <v>-</v>
      </c>
      <c r="H810" s="19" t="str">
        <f>IFERROR(IF(INDEX(Movimientos!$M$2:$M$1998,MATCH(A810&amp;"ENTRADA",Movimientos!$R$2:$R$1998,0))=0,"S/D",INDEX(Movimientos!$M$2:$M$1998,MATCH(A810&amp;"ENTRADA",Movimientos!$R$2:$R$1998,0))),"S/D")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5"/>
        <v>SIN STOCK</v>
      </c>
    </row>
    <row r="811" spans="1:11" ht="14.25">
      <c r="A811" s="18" t="s">
        <v>2954</v>
      </c>
      <c r="B811" s="3" t="str">
        <f>IFERROR(INDEX(Movimientos!$C$2:$C$1998,MATCH(A811&amp;"ENTRADA",Movimientos!$R$2:$R$1998,0)),"-")</f>
        <v>-</v>
      </c>
      <c r="C811" s="3" t="str">
        <f>IFERROR(INDEX(Movimientos!$D$2:$D$1998,MATCH(A811&amp;"ENTRADA",Movimientos!$R$2:$R$1998,0)),"-")</f>
        <v>-</v>
      </c>
      <c r="D811" s="3" t="str">
        <f>IFERROR(INDEX(Movimientos!$E$2:$E$1998,MATCH(A811&amp;"ENTRADA",Movimientos!$R$2:$R$1998,0)),"-")</f>
        <v>-</v>
      </c>
      <c r="E811" s="3" t="str">
        <f>IFERROR(INDEX(Movimientos!$F$2:$F$1998,MATCH(A811&amp;"ENTRADA",Movimientos!$R$2:$R$1998,0)),"-")</f>
        <v>-</v>
      </c>
      <c r="F811" s="3" t="str">
        <f>IFERROR(INDEX(Movimientos!$G$2:$G$1998,MATCH(A811&amp;"ENTRADA",Movimientos!$R$2:$R$1998,0)),"-")</f>
        <v>-</v>
      </c>
      <c r="G811" s="3" t="str">
        <f>IFERROR(INDEX(Movimientos!$L$2:$L$1998,MATCH(A811&amp;"ENTRADA",Movimientos!$R$2:$R$1998,0)),"-")</f>
        <v>-</v>
      </c>
      <c r="H811" s="19" t="str">
        <f>IFERROR(IF(INDEX(Movimientos!$M$2:$M$1998,MATCH(A811&amp;"ENTRADA",Movimientos!$R$2:$R$1998,0))=0,"S/D",INDEX(Movimientos!$M$2:$M$1998,MATCH(A811&amp;"ENTRADA",Movimientos!$R$2:$R$1998,0))),"S/D")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5"/>
        <v>SIN STOCK</v>
      </c>
    </row>
    <row r="812" spans="1:11" ht="14.25">
      <c r="A812" s="18" t="s">
        <v>2955</v>
      </c>
      <c r="B812" s="3" t="str">
        <f>IFERROR(INDEX(Movimientos!$C$2:$C$1998,MATCH(A812&amp;"ENTRADA",Movimientos!$R$2:$R$1998,0)),"-")</f>
        <v>-</v>
      </c>
      <c r="C812" s="3" t="str">
        <f>IFERROR(INDEX(Movimientos!$D$2:$D$1998,MATCH(A812&amp;"ENTRADA",Movimientos!$R$2:$R$1998,0)),"-")</f>
        <v>-</v>
      </c>
      <c r="D812" s="3" t="str">
        <f>IFERROR(INDEX(Movimientos!$E$2:$E$1998,MATCH(A812&amp;"ENTRADA",Movimientos!$R$2:$R$1998,0)),"-")</f>
        <v>-</v>
      </c>
      <c r="E812" s="3" t="str">
        <f>IFERROR(INDEX(Movimientos!$F$2:$F$1998,MATCH(A812&amp;"ENTRADA",Movimientos!$R$2:$R$1998,0)),"-")</f>
        <v>-</v>
      </c>
      <c r="F812" s="3" t="str">
        <f>IFERROR(INDEX(Movimientos!$G$2:$G$1998,MATCH(A812&amp;"ENTRADA",Movimientos!$R$2:$R$1998,0)),"-")</f>
        <v>-</v>
      </c>
      <c r="G812" s="3" t="str">
        <f>IFERROR(INDEX(Movimientos!$L$2:$L$1998,MATCH(A812&amp;"ENTRADA",Movimientos!$R$2:$R$1998,0)),"-")</f>
        <v>-</v>
      </c>
      <c r="H812" s="19" t="str">
        <f>IFERROR(IF(INDEX(Movimientos!$M$2:$M$1998,MATCH(A812&amp;"ENTRADA",Movimientos!$R$2:$R$1998,0))=0,"S/D",INDEX(Movimientos!$M$2:$M$1998,MATCH(A812&amp;"ENTRADA",Movimientos!$R$2:$R$1998,0))),"S/D")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5"/>
        <v>SIN STOCK</v>
      </c>
    </row>
    <row r="813" spans="1:11" ht="14.25">
      <c r="A813" s="18" t="s">
        <v>2956</v>
      </c>
      <c r="B813" s="3" t="str">
        <f>IFERROR(INDEX(Movimientos!$C$2:$C$1998,MATCH(A813&amp;"ENTRADA",Movimientos!$R$2:$R$1998,0)),"-")</f>
        <v>-</v>
      </c>
      <c r="C813" s="3" t="str">
        <f>IFERROR(INDEX(Movimientos!$D$2:$D$1998,MATCH(A813&amp;"ENTRADA",Movimientos!$R$2:$R$1998,0)),"-")</f>
        <v>-</v>
      </c>
      <c r="D813" s="3" t="str">
        <f>IFERROR(INDEX(Movimientos!$E$2:$E$1998,MATCH(A813&amp;"ENTRADA",Movimientos!$R$2:$R$1998,0)),"-")</f>
        <v>-</v>
      </c>
      <c r="E813" s="3" t="str">
        <f>IFERROR(INDEX(Movimientos!$F$2:$F$1998,MATCH(A813&amp;"ENTRADA",Movimientos!$R$2:$R$1998,0)),"-")</f>
        <v>-</v>
      </c>
      <c r="F813" s="3" t="str">
        <f>IFERROR(INDEX(Movimientos!$G$2:$G$1998,MATCH(A813&amp;"ENTRADA",Movimientos!$R$2:$R$1998,0)),"-")</f>
        <v>-</v>
      </c>
      <c r="G813" s="3" t="str">
        <f>IFERROR(INDEX(Movimientos!$L$2:$L$1998,MATCH(A813&amp;"ENTRADA",Movimientos!$R$2:$R$1998,0)),"-")</f>
        <v>-</v>
      </c>
      <c r="H813" s="19" t="str">
        <f>IFERROR(IF(INDEX(Movimientos!$M$2:$M$1998,MATCH(A813&amp;"ENTRADA",Movimientos!$R$2:$R$1998,0))=0,"S/D",INDEX(Movimientos!$M$2:$M$1998,MATCH(A813&amp;"ENTRADA",Movimientos!$R$2:$R$1998,0))),"S/D")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5"/>
        <v>SIN STOCK</v>
      </c>
    </row>
    <row r="814" spans="1:11" ht="14.25">
      <c r="A814" s="18" t="s">
        <v>2957</v>
      </c>
      <c r="B814" s="3" t="str">
        <f>IFERROR(INDEX(Movimientos!$C$2:$C$1998,MATCH(A814&amp;"ENTRADA",Movimientos!$R$2:$R$1998,0)),"-")</f>
        <v>-</v>
      </c>
      <c r="C814" s="3" t="str">
        <f>IFERROR(INDEX(Movimientos!$D$2:$D$1998,MATCH(A814&amp;"ENTRADA",Movimientos!$R$2:$R$1998,0)),"-")</f>
        <v>-</v>
      </c>
      <c r="D814" s="3" t="str">
        <f>IFERROR(INDEX(Movimientos!$E$2:$E$1998,MATCH(A814&amp;"ENTRADA",Movimientos!$R$2:$R$1998,0)),"-")</f>
        <v>-</v>
      </c>
      <c r="E814" s="3" t="str">
        <f>IFERROR(INDEX(Movimientos!$F$2:$F$1998,MATCH(A814&amp;"ENTRADA",Movimientos!$R$2:$R$1998,0)),"-")</f>
        <v>-</v>
      </c>
      <c r="F814" s="3" t="str">
        <f>IFERROR(INDEX(Movimientos!$G$2:$G$1998,MATCH(A814&amp;"ENTRADA",Movimientos!$R$2:$R$1998,0)),"-")</f>
        <v>-</v>
      </c>
      <c r="G814" s="3" t="str">
        <f>IFERROR(INDEX(Movimientos!$L$2:$L$1998,MATCH(A814&amp;"ENTRADA",Movimientos!$R$2:$R$1998,0)),"-")</f>
        <v>-</v>
      </c>
      <c r="H814" s="19" t="str">
        <f>IFERROR(IF(INDEX(Movimientos!$M$2:$M$1998,MATCH(A814&amp;"ENTRADA",Movimientos!$R$2:$R$1998,0))=0,"S/D",INDEX(Movimientos!$M$2:$M$1998,MATCH(A814&amp;"ENTRADA",Movimientos!$R$2:$R$1998,0))),"S/D")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5"/>
        <v>SIN STOCK</v>
      </c>
    </row>
    <row r="815" spans="1:11" ht="14.25">
      <c r="A815" s="18" t="s">
        <v>2958</v>
      </c>
      <c r="B815" s="3" t="str">
        <f>IFERROR(INDEX(Movimientos!$C$2:$C$1998,MATCH(A815&amp;"ENTRADA",Movimientos!$R$2:$R$1998,0)),"-")</f>
        <v>-</v>
      </c>
      <c r="C815" s="3" t="str">
        <f>IFERROR(INDEX(Movimientos!$D$2:$D$1998,MATCH(A815&amp;"ENTRADA",Movimientos!$R$2:$R$1998,0)),"-")</f>
        <v>-</v>
      </c>
      <c r="D815" s="3" t="str">
        <f>IFERROR(INDEX(Movimientos!$E$2:$E$1998,MATCH(A815&amp;"ENTRADA",Movimientos!$R$2:$R$1998,0)),"-")</f>
        <v>-</v>
      </c>
      <c r="E815" s="3" t="str">
        <f>IFERROR(INDEX(Movimientos!$F$2:$F$1998,MATCH(A815&amp;"ENTRADA",Movimientos!$R$2:$R$1998,0)),"-")</f>
        <v>-</v>
      </c>
      <c r="F815" s="3" t="str">
        <f>IFERROR(INDEX(Movimientos!$G$2:$G$1998,MATCH(A815&amp;"ENTRADA",Movimientos!$R$2:$R$1998,0)),"-")</f>
        <v>-</v>
      </c>
      <c r="G815" s="3" t="str">
        <f>IFERROR(INDEX(Movimientos!$L$2:$L$1998,MATCH(A815&amp;"ENTRADA",Movimientos!$R$2:$R$1998,0)),"-")</f>
        <v>-</v>
      </c>
      <c r="H815" s="19" t="str">
        <f>IFERROR(IF(INDEX(Movimientos!$M$2:$M$1998,MATCH(A815&amp;"ENTRADA",Movimientos!$R$2:$R$1998,0))=0,"S/D",INDEX(Movimientos!$M$2:$M$1998,MATCH(A815&amp;"ENTRADA",Movimientos!$R$2:$R$1998,0))),"S/D")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5"/>
        <v>SIN STOCK</v>
      </c>
    </row>
    <row r="816" spans="1:11" ht="14.25">
      <c r="A816" s="18" t="s">
        <v>2959</v>
      </c>
      <c r="B816" s="3" t="str">
        <f>IFERROR(INDEX(Movimientos!$C$2:$C$1998,MATCH(A816&amp;"ENTRADA",Movimientos!$R$2:$R$1998,0)),"-")</f>
        <v>-</v>
      </c>
      <c r="C816" s="3" t="str">
        <f>IFERROR(INDEX(Movimientos!$D$2:$D$1998,MATCH(A816&amp;"ENTRADA",Movimientos!$R$2:$R$1998,0)),"-")</f>
        <v>-</v>
      </c>
      <c r="D816" s="3" t="str">
        <f>IFERROR(INDEX(Movimientos!$E$2:$E$1998,MATCH(A816&amp;"ENTRADA",Movimientos!$R$2:$R$1998,0)),"-")</f>
        <v>-</v>
      </c>
      <c r="E816" s="3" t="str">
        <f>IFERROR(INDEX(Movimientos!$F$2:$F$1998,MATCH(A816&amp;"ENTRADA",Movimientos!$R$2:$R$1998,0)),"-")</f>
        <v>-</v>
      </c>
      <c r="F816" s="3" t="str">
        <f>IFERROR(INDEX(Movimientos!$G$2:$G$1998,MATCH(A816&amp;"ENTRADA",Movimientos!$R$2:$R$1998,0)),"-")</f>
        <v>-</v>
      </c>
      <c r="G816" s="3" t="str">
        <f>IFERROR(INDEX(Movimientos!$L$2:$L$1998,MATCH(A816&amp;"ENTRADA",Movimientos!$R$2:$R$1998,0)),"-")</f>
        <v>-</v>
      </c>
      <c r="H816" s="19" t="str">
        <f>IFERROR(IF(INDEX(Movimientos!$M$2:$M$1998,MATCH(A816&amp;"ENTRADA",Movimientos!$R$2:$R$1998,0))=0,"S/D",INDEX(Movimientos!$M$2:$M$1998,MATCH(A816&amp;"ENTRADA",Movimientos!$R$2:$R$1998,0))),"S/D")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5"/>
        <v>SIN STOCK</v>
      </c>
    </row>
    <row r="817" spans="1:11" ht="14.25">
      <c r="A817" s="18" t="s">
        <v>2960</v>
      </c>
      <c r="B817" s="3" t="str">
        <f>IFERROR(INDEX(Movimientos!$C$2:$C$1998,MATCH(A817&amp;"ENTRADA",Movimientos!$R$2:$R$1998,0)),"-")</f>
        <v>-</v>
      </c>
      <c r="C817" s="3" t="str">
        <f>IFERROR(INDEX(Movimientos!$D$2:$D$1998,MATCH(A817&amp;"ENTRADA",Movimientos!$R$2:$R$1998,0)),"-")</f>
        <v>-</v>
      </c>
      <c r="D817" s="3" t="str">
        <f>IFERROR(INDEX(Movimientos!$E$2:$E$1998,MATCH(A817&amp;"ENTRADA",Movimientos!$R$2:$R$1998,0)),"-")</f>
        <v>-</v>
      </c>
      <c r="E817" s="3" t="str">
        <f>IFERROR(INDEX(Movimientos!$F$2:$F$1998,MATCH(A817&amp;"ENTRADA",Movimientos!$R$2:$R$1998,0)),"-")</f>
        <v>-</v>
      </c>
      <c r="F817" s="3" t="str">
        <f>IFERROR(INDEX(Movimientos!$G$2:$G$1998,MATCH(A817&amp;"ENTRADA",Movimientos!$R$2:$R$1998,0)),"-")</f>
        <v>-</v>
      </c>
      <c r="G817" s="3" t="str">
        <f>IFERROR(INDEX(Movimientos!$L$2:$L$1998,MATCH(A817&amp;"ENTRADA",Movimientos!$R$2:$R$1998,0)),"-")</f>
        <v>-</v>
      </c>
      <c r="H817" s="19" t="str">
        <f>IFERROR(IF(INDEX(Movimientos!$M$2:$M$1998,MATCH(A817&amp;"ENTRADA",Movimientos!$R$2:$R$1998,0))=0,"S/D",INDEX(Movimientos!$M$2:$M$1998,MATCH(A817&amp;"ENTRADA",Movimientos!$R$2:$R$1998,0))),"S/D")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5"/>
        <v>SIN STOCK</v>
      </c>
    </row>
    <row r="818" spans="1:11" ht="14.25">
      <c r="A818" s="18" t="s">
        <v>2961</v>
      </c>
      <c r="B818" s="3" t="str">
        <f>IFERROR(INDEX(Movimientos!$C$2:$C$1998,MATCH(A818&amp;"ENTRADA",Movimientos!$R$2:$R$1998,0)),"-")</f>
        <v>-</v>
      </c>
      <c r="C818" s="3" t="str">
        <f>IFERROR(INDEX(Movimientos!$D$2:$D$1998,MATCH(A818&amp;"ENTRADA",Movimientos!$R$2:$R$1998,0)),"-")</f>
        <v>-</v>
      </c>
      <c r="D818" s="3" t="str">
        <f>IFERROR(INDEX(Movimientos!$E$2:$E$1998,MATCH(A818&amp;"ENTRADA",Movimientos!$R$2:$R$1998,0)),"-")</f>
        <v>-</v>
      </c>
      <c r="E818" s="3" t="str">
        <f>IFERROR(INDEX(Movimientos!$F$2:$F$1998,MATCH(A818&amp;"ENTRADA",Movimientos!$R$2:$R$1998,0)),"-")</f>
        <v>-</v>
      </c>
      <c r="F818" s="3" t="str">
        <f>IFERROR(INDEX(Movimientos!$G$2:$G$1998,MATCH(A818&amp;"ENTRADA",Movimientos!$R$2:$R$1998,0)),"-")</f>
        <v>-</v>
      </c>
      <c r="G818" s="3" t="str">
        <f>IFERROR(INDEX(Movimientos!$L$2:$L$1998,MATCH(A818&amp;"ENTRADA",Movimientos!$R$2:$R$1998,0)),"-")</f>
        <v>-</v>
      </c>
      <c r="H818" s="19" t="str">
        <f>IFERROR(IF(INDEX(Movimientos!$M$2:$M$1998,MATCH(A818&amp;"ENTRADA",Movimientos!$R$2:$R$1998,0))=0,"S/D",INDEX(Movimientos!$M$2:$M$1998,MATCH(A818&amp;"ENTRADA",Movimientos!$R$2:$R$1998,0))),"S/D")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5"/>
        <v>SIN STOCK</v>
      </c>
    </row>
    <row r="819" spans="1:11" ht="14.25">
      <c r="A819" s="18" t="s">
        <v>2962</v>
      </c>
      <c r="B819" s="3" t="str">
        <f>IFERROR(INDEX(Movimientos!$C$2:$C$1998,MATCH(A819&amp;"ENTRADA",Movimientos!$R$2:$R$1998,0)),"-")</f>
        <v>-</v>
      </c>
      <c r="C819" s="3" t="str">
        <f>IFERROR(INDEX(Movimientos!$D$2:$D$1998,MATCH(A819&amp;"ENTRADA",Movimientos!$R$2:$R$1998,0)),"-")</f>
        <v>-</v>
      </c>
      <c r="D819" s="3" t="str">
        <f>IFERROR(INDEX(Movimientos!$E$2:$E$1998,MATCH(A819&amp;"ENTRADA",Movimientos!$R$2:$R$1998,0)),"-")</f>
        <v>-</v>
      </c>
      <c r="E819" s="3" t="str">
        <f>IFERROR(INDEX(Movimientos!$F$2:$F$1998,MATCH(A819&amp;"ENTRADA",Movimientos!$R$2:$R$1998,0)),"-")</f>
        <v>-</v>
      </c>
      <c r="F819" s="3" t="str">
        <f>IFERROR(INDEX(Movimientos!$G$2:$G$1998,MATCH(A819&amp;"ENTRADA",Movimientos!$R$2:$R$1998,0)),"-")</f>
        <v>-</v>
      </c>
      <c r="G819" s="3" t="str">
        <f>IFERROR(INDEX(Movimientos!$L$2:$L$1998,MATCH(A819&amp;"ENTRADA",Movimientos!$R$2:$R$1998,0)),"-")</f>
        <v>-</v>
      </c>
      <c r="H819" s="19" t="str">
        <f>IFERROR(IF(INDEX(Movimientos!$M$2:$M$1998,MATCH(A819&amp;"ENTRADA",Movimientos!$R$2:$R$1998,0))=0,"S/D",INDEX(Movimientos!$M$2:$M$1998,MATCH(A819&amp;"ENTRADA",Movimientos!$R$2:$R$1998,0))),"S/D")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5"/>
        <v>SIN STOCK</v>
      </c>
    </row>
    <row r="820" spans="1:11" ht="14.25">
      <c r="A820" s="18" t="s">
        <v>2963</v>
      </c>
      <c r="B820" s="3" t="str">
        <f>IFERROR(INDEX(Movimientos!$C$2:$C$1998,MATCH(A820&amp;"ENTRADA",Movimientos!$R$2:$R$1998,0)),"-")</f>
        <v>-</v>
      </c>
      <c r="C820" s="3" t="str">
        <f>IFERROR(INDEX(Movimientos!$D$2:$D$1998,MATCH(A820&amp;"ENTRADA",Movimientos!$R$2:$R$1998,0)),"-")</f>
        <v>-</v>
      </c>
      <c r="D820" s="3" t="str">
        <f>IFERROR(INDEX(Movimientos!$E$2:$E$1998,MATCH(A820&amp;"ENTRADA",Movimientos!$R$2:$R$1998,0)),"-")</f>
        <v>-</v>
      </c>
      <c r="E820" s="3" t="str">
        <f>IFERROR(INDEX(Movimientos!$F$2:$F$1998,MATCH(A820&amp;"ENTRADA",Movimientos!$R$2:$R$1998,0)),"-")</f>
        <v>-</v>
      </c>
      <c r="F820" s="3" t="str">
        <f>IFERROR(INDEX(Movimientos!$G$2:$G$1998,MATCH(A820&amp;"ENTRADA",Movimientos!$R$2:$R$1998,0)),"-")</f>
        <v>-</v>
      </c>
      <c r="G820" s="3" t="str">
        <f>IFERROR(INDEX(Movimientos!$L$2:$L$1998,MATCH(A820&amp;"ENTRADA",Movimientos!$R$2:$R$1998,0)),"-")</f>
        <v>-</v>
      </c>
      <c r="H820" s="19" t="str">
        <f>IFERROR(IF(INDEX(Movimientos!$M$2:$M$1998,MATCH(A820&amp;"ENTRADA",Movimientos!$R$2:$R$1998,0))=0,"S/D",INDEX(Movimientos!$M$2:$M$1998,MATCH(A820&amp;"ENTRADA",Movimientos!$R$2:$R$1998,0))),"S/D")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5"/>
        <v>SIN STOCK</v>
      </c>
    </row>
    <row r="821" spans="1:11" ht="14.25">
      <c r="A821" s="18" t="s">
        <v>2964</v>
      </c>
      <c r="B821" s="3" t="str">
        <f>IFERROR(INDEX(Movimientos!$C$2:$C$1998,MATCH(A821&amp;"ENTRADA",Movimientos!$R$2:$R$1998,0)),"-")</f>
        <v>-</v>
      </c>
      <c r="C821" s="3" t="str">
        <f>IFERROR(INDEX(Movimientos!$D$2:$D$1998,MATCH(A821&amp;"ENTRADA",Movimientos!$R$2:$R$1998,0)),"-")</f>
        <v>-</v>
      </c>
      <c r="D821" s="3" t="str">
        <f>IFERROR(INDEX(Movimientos!$E$2:$E$1998,MATCH(A821&amp;"ENTRADA",Movimientos!$R$2:$R$1998,0)),"-")</f>
        <v>-</v>
      </c>
      <c r="E821" s="3" t="str">
        <f>IFERROR(INDEX(Movimientos!$F$2:$F$1998,MATCH(A821&amp;"ENTRADA",Movimientos!$R$2:$R$1998,0)),"-")</f>
        <v>-</v>
      </c>
      <c r="F821" s="3" t="str">
        <f>IFERROR(INDEX(Movimientos!$G$2:$G$1998,MATCH(A821&amp;"ENTRADA",Movimientos!$R$2:$R$1998,0)),"-")</f>
        <v>-</v>
      </c>
      <c r="G821" s="3" t="str">
        <f>IFERROR(INDEX(Movimientos!$L$2:$L$1998,MATCH(A821&amp;"ENTRADA",Movimientos!$R$2:$R$1998,0)),"-")</f>
        <v>-</v>
      </c>
      <c r="H821" s="19" t="str">
        <f>IFERROR(IF(INDEX(Movimientos!$M$2:$M$1998,MATCH(A821&amp;"ENTRADA",Movimientos!$R$2:$R$1998,0))=0,"S/D",INDEX(Movimientos!$M$2:$M$1998,MATCH(A821&amp;"ENTRADA",Movimientos!$R$2:$R$1998,0))),"S/D")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5"/>
        <v>SIN STOCK</v>
      </c>
    </row>
    <row r="822" spans="1:11" ht="14.25">
      <c r="A822" s="18" t="s">
        <v>2965</v>
      </c>
      <c r="B822" s="3" t="str">
        <f>IFERROR(INDEX(Movimientos!$C$2:$C$1998,MATCH(A822&amp;"ENTRADA",Movimientos!$R$2:$R$1998,0)),"-")</f>
        <v>-</v>
      </c>
      <c r="C822" s="3" t="str">
        <f>IFERROR(INDEX(Movimientos!$D$2:$D$1998,MATCH(A822&amp;"ENTRADA",Movimientos!$R$2:$R$1998,0)),"-")</f>
        <v>-</v>
      </c>
      <c r="D822" s="3" t="str">
        <f>IFERROR(INDEX(Movimientos!$E$2:$E$1998,MATCH(A822&amp;"ENTRADA",Movimientos!$R$2:$R$1998,0)),"-")</f>
        <v>-</v>
      </c>
      <c r="E822" s="3" t="str">
        <f>IFERROR(INDEX(Movimientos!$F$2:$F$1998,MATCH(A822&amp;"ENTRADA",Movimientos!$R$2:$R$1998,0)),"-")</f>
        <v>-</v>
      </c>
      <c r="F822" s="3" t="str">
        <f>IFERROR(INDEX(Movimientos!$G$2:$G$1998,MATCH(A822&amp;"ENTRADA",Movimientos!$R$2:$R$1998,0)),"-")</f>
        <v>-</v>
      </c>
      <c r="G822" s="3" t="str">
        <f>IFERROR(INDEX(Movimientos!$L$2:$L$1998,MATCH(A822&amp;"ENTRADA",Movimientos!$R$2:$R$1998,0)),"-")</f>
        <v>-</v>
      </c>
      <c r="H822" s="19" t="str">
        <f>IFERROR(IF(INDEX(Movimientos!$M$2:$M$1998,MATCH(A822&amp;"ENTRADA",Movimientos!$R$2:$R$1998,0))=0,"S/D",INDEX(Movimientos!$M$2:$M$1998,MATCH(A822&amp;"ENTRADA",Movimientos!$R$2:$R$1998,0))),"S/D")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5"/>
        <v>SIN STOCK</v>
      </c>
    </row>
    <row r="823" spans="1:11" ht="14.25">
      <c r="A823" s="18" t="s">
        <v>2966</v>
      </c>
      <c r="B823" s="3" t="str">
        <f>IFERROR(INDEX(Movimientos!$C$2:$C$1998,MATCH(A823&amp;"ENTRADA",Movimientos!$R$2:$R$1998,0)),"-")</f>
        <v>-</v>
      </c>
      <c r="C823" s="3" t="str">
        <f>IFERROR(INDEX(Movimientos!$D$2:$D$1998,MATCH(A823&amp;"ENTRADA",Movimientos!$R$2:$R$1998,0)),"-")</f>
        <v>-</v>
      </c>
      <c r="D823" s="3" t="str">
        <f>IFERROR(INDEX(Movimientos!$E$2:$E$1998,MATCH(A823&amp;"ENTRADA",Movimientos!$R$2:$R$1998,0)),"-")</f>
        <v>-</v>
      </c>
      <c r="E823" s="3" t="str">
        <f>IFERROR(INDEX(Movimientos!$F$2:$F$1998,MATCH(A823&amp;"ENTRADA",Movimientos!$R$2:$R$1998,0)),"-")</f>
        <v>-</v>
      </c>
      <c r="F823" s="3" t="str">
        <f>IFERROR(INDEX(Movimientos!$G$2:$G$1998,MATCH(A823&amp;"ENTRADA",Movimientos!$R$2:$R$1998,0)),"-")</f>
        <v>-</v>
      </c>
      <c r="G823" s="3" t="str">
        <f>IFERROR(INDEX(Movimientos!$L$2:$L$1998,MATCH(A823&amp;"ENTRADA",Movimientos!$R$2:$R$1998,0)),"-")</f>
        <v>-</v>
      </c>
      <c r="H823" s="19" t="str">
        <f>IFERROR(IF(INDEX(Movimientos!$M$2:$M$1998,MATCH(A823&amp;"ENTRADA",Movimientos!$R$2:$R$1998,0))=0,"S/D",INDEX(Movimientos!$M$2:$M$1998,MATCH(A823&amp;"ENTRADA",Movimientos!$R$2:$R$1998,0))),"S/D")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5"/>
        <v>SIN STOCK</v>
      </c>
    </row>
    <row r="824" spans="1:11" ht="14.25">
      <c r="A824" s="18" t="s">
        <v>2967</v>
      </c>
      <c r="B824" s="3" t="str">
        <f>IFERROR(INDEX(Movimientos!$C$2:$C$1998,MATCH(A824&amp;"ENTRADA",Movimientos!$R$2:$R$1998,0)),"-")</f>
        <v>-</v>
      </c>
      <c r="C824" s="3" t="str">
        <f>IFERROR(INDEX(Movimientos!$D$2:$D$1998,MATCH(A824&amp;"ENTRADA",Movimientos!$R$2:$R$1998,0)),"-")</f>
        <v>-</v>
      </c>
      <c r="D824" s="3" t="str">
        <f>IFERROR(INDEX(Movimientos!$E$2:$E$1998,MATCH(A824&amp;"ENTRADA",Movimientos!$R$2:$R$1998,0)),"-")</f>
        <v>-</v>
      </c>
      <c r="E824" s="3" t="str">
        <f>IFERROR(INDEX(Movimientos!$F$2:$F$1998,MATCH(A824&amp;"ENTRADA",Movimientos!$R$2:$R$1998,0)),"-")</f>
        <v>-</v>
      </c>
      <c r="F824" s="3" t="str">
        <f>IFERROR(INDEX(Movimientos!$G$2:$G$1998,MATCH(A824&amp;"ENTRADA",Movimientos!$R$2:$R$1998,0)),"-")</f>
        <v>-</v>
      </c>
      <c r="G824" s="3" t="str">
        <f>IFERROR(INDEX(Movimientos!$L$2:$L$1998,MATCH(A824&amp;"ENTRADA",Movimientos!$R$2:$R$1998,0)),"-")</f>
        <v>-</v>
      </c>
      <c r="H824" s="19" t="str">
        <f>IFERROR(IF(INDEX(Movimientos!$M$2:$M$1998,MATCH(A824&amp;"ENTRADA",Movimientos!$R$2:$R$1998,0))=0,"S/D",INDEX(Movimientos!$M$2:$M$1998,MATCH(A824&amp;"ENTRADA",Movimientos!$R$2:$R$1998,0))),"S/D")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5"/>
        <v>SIN STOCK</v>
      </c>
    </row>
    <row r="825" spans="1:11" ht="14.25">
      <c r="A825" s="18" t="s">
        <v>2968</v>
      </c>
      <c r="B825" s="3" t="str">
        <f>IFERROR(INDEX(Movimientos!$C$2:$C$1998,MATCH(A825&amp;"ENTRADA",Movimientos!$R$2:$R$1998,0)),"-")</f>
        <v>-</v>
      </c>
      <c r="C825" s="3" t="str">
        <f>IFERROR(INDEX(Movimientos!$D$2:$D$1998,MATCH(A825&amp;"ENTRADA",Movimientos!$R$2:$R$1998,0)),"-")</f>
        <v>-</v>
      </c>
      <c r="D825" s="3" t="str">
        <f>IFERROR(INDEX(Movimientos!$E$2:$E$1998,MATCH(A825&amp;"ENTRADA",Movimientos!$R$2:$R$1998,0)),"-")</f>
        <v>-</v>
      </c>
      <c r="E825" s="3" t="str">
        <f>IFERROR(INDEX(Movimientos!$F$2:$F$1998,MATCH(A825&amp;"ENTRADA",Movimientos!$R$2:$R$1998,0)),"-")</f>
        <v>-</v>
      </c>
      <c r="F825" s="3" t="str">
        <f>IFERROR(INDEX(Movimientos!$G$2:$G$1998,MATCH(A825&amp;"ENTRADA",Movimientos!$R$2:$R$1998,0)),"-")</f>
        <v>-</v>
      </c>
      <c r="G825" s="3" t="str">
        <f>IFERROR(INDEX(Movimientos!$L$2:$L$1998,MATCH(A825&amp;"ENTRADA",Movimientos!$R$2:$R$1998,0)),"-")</f>
        <v>-</v>
      </c>
      <c r="H825" s="19" t="str">
        <f>IFERROR(IF(INDEX(Movimientos!$M$2:$M$1998,MATCH(A825&amp;"ENTRADA",Movimientos!$R$2:$R$1998,0))=0,"S/D",INDEX(Movimientos!$M$2:$M$1998,MATCH(A825&amp;"ENTRADA",Movimientos!$R$2:$R$1998,0))),"S/D")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5"/>
        <v>SIN STOCK</v>
      </c>
    </row>
    <row r="826" spans="1:11" ht="14.25">
      <c r="A826" s="18" t="s">
        <v>2969</v>
      </c>
      <c r="B826" s="3" t="str">
        <f>IFERROR(INDEX(Movimientos!$C$2:$C$1998,MATCH(A826&amp;"ENTRADA",Movimientos!$R$2:$R$1998,0)),"-")</f>
        <v>-</v>
      </c>
      <c r="C826" s="3" t="str">
        <f>IFERROR(INDEX(Movimientos!$D$2:$D$1998,MATCH(A826&amp;"ENTRADA",Movimientos!$R$2:$R$1998,0)),"-")</f>
        <v>-</v>
      </c>
      <c r="D826" s="3" t="str">
        <f>IFERROR(INDEX(Movimientos!$E$2:$E$1998,MATCH(A826&amp;"ENTRADA",Movimientos!$R$2:$R$1998,0)),"-")</f>
        <v>-</v>
      </c>
      <c r="E826" s="3" t="str">
        <f>IFERROR(INDEX(Movimientos!$F$2:$F$1998,MATCH(A826&amp;"ENTRADA",Movimientos!$R$2:$R$1998,0)),"-")</f>
        <v>-</v>
      </c>
      <c r="F826" s="3" t="str">
        <f>IFERROR(INDEX(Movimientos!$G$2:$G$1998,MATCH(A826&amp;"ENTRADA",Movimientos!$R$2:$R$1998,0)),"-")</f>
        <v>-</v>
      </c>
      <c r="G826" s="3" t="str">
        <f>IFERROR(INDEX(Movimientos!$L$2:$L$1998,MATCH(A826&amp;"ENTRADA",Movimientos!$R$2:$R$1998,0)),"-")</f>
        <v>-</v>
      </c>
      <c r="H826" s="19" t="str">
        <f>IFERROR(IF(INDEX(Movimientos!$M$2:$M$1998,MATCH(A826&amp;"ENTRADA",Movimientos!$R$2:$R$1998,0))=0,"S/D",INDEX(Movimientos!$M$2:$M$1998,MATCH(A826&amp;"ENTRADA",Movimientos!$R$2:$R$1998,0))),"S/D")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5"/>
        <v>SIN STOCK</v>
      </c>
    </row>
    <row r="827" spans="1:11" ht="14.25">
      <c r="A827" s="18" t="s">
        <v>2970</v>
      </c>
      <c r="B827" s="3" t="str">
        <f>IFERROR(INDEX(Movimientos!$C$2:$C$1998,MATCH(A827&amp;"ENTRADA",Movimientos!$R$2:$R$1998,0)),"-")</f>
        <v>-</v>
      </c>
      <c r="C827" s="3" t="str">
        <f>IFERROR(INDEX(Movimientos!$D$2:$D$1998,MATCH(A827&amp;"ENTRADA",Movimientos!$R$2:$R$1998,0)),"-")</f>
        <v>-</v>
      </c>
      <c r="D827" s="3" t="str">
        <f>IFERROR(INDEX(Movimientos!$E$2:$E$1998,MATCH(A827&amp;"ENTRADA",Movimientos!$R$2:$R$1998,0)),"-")</f>
        <v>-</v>
      </c>
      <c r="E827" s="3" t="str">
        <f>IFERROR(INDEX(Movimientos!$F$2:$F$1998,MATCH(A827&amp;"ENTRADA",Movimientos!$R$2:$R$1998,0)),"-")</f>
        <v>-</v>
      </c>
      <c r="F827" s="3" t="str">
        <f>IFERROR(INDEX(Movimientos!$G$2:$G$1998,MATCH(A827&amp;"ENTRADA",Movimientos!$R$2:$R$1998,0)),"-")</f>
        <v>-</v>
      </c>
      <c r="G827" s="3" t="str">
        <f>IFERROR(INDEX(Movimientos!$L$2:$L$1998,MATCH(A827&amp;"ENTRADA",Movimientos!$R$2:$R$1998,0)),"-")</f>
        <v>-</v>
      </c>
      <c r="H827" s="19" t="str">
        <f>IFERROR(IF(INDEX(Movimientos!$M$2:$M$1998,MATCH(A827&amp;"ENTRADA",Movimientos!$R$2:$R$1998,0))=0,"S/D",INDEX(Movimientos!$M$2:$M$1998,MATCH(A827&amp;"ENTRADA",Movimientos!$R$2:$R$1998,0))),"S/D")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5"/>
        <v>SIN STOCK</v>
      </c>
    </row>
    <row r="828" spans="1:11" ht="14.25">
      <c r="A828" s="18" t="s">
        <v>2971</v>
      </c>
      <c r="B828" s="3" t="str">
        <f>IFERROR(INDEX(Movimientos!$C$2:$C$1998,MATCH(A828&amp;"ENTRADA",Movimientos!$R$2:$R$1998,0)),"-")</f>
        <v>-</v>
      </c>
      <c r="C828" s="3" t="str">
        <f>IFERROR(INDEX(Movimientos!$D$2:$D$1998,MATCH(A828&amp;"ENTRADA",Movimientos!$R$2:$R$1998,0)),"-")</f>
        <v>-</v>
      </c>
      <c r="D828" s="3" t="str">
        <f>IFERROR(INDEX(Movimientos!$E$2:$E$1998,MATCH(A828&amp;"ENTRADA",Movimientos!$R$2:$R$1998,0)),"-")</f>
        <v>-</v>
      </c>
      <c r="E828" s="3" t="str">
        <f>IFERROR(INDEX(Movimientos!$F$2:$F$1998,MATCH(A828&amp;"ENTRADA",Movimientos!$R$2:$R$1998,0)),"-")</f>
        <v>-</v>
      </c>
      <c r="F828" s="3" t="str">
        <f>IFERROR(INDEX(Movimientos!$G$2:$G$1998,MATCH(A828&amp;"ENTRADA",Movimientos!$R$2:$R$1998,0)),"-")</f>
        <v>-</v>
      </c>
      <c r="G828" s="3" t="str">
        <f>IFERROR(INDEX(Movimientos!$L$2:$L$1998,MATCH(A828&amp;"ENTRADA",Movimientos!$R$2:$R$1998,0)),"-")</f>
        <v>-</v>
      </c>
      <c r="H828" s="19" t="str">
        <f>IFERROR(IF(INDEX(Movimientos!$M$2:$M$1998,MATCH(A828&amp;"ENTRADA",Movimientos!$R$2:$R$1998,0))=0,"S/D",INDEX(Movimientos!$M$2:$M$1998,MATCH(A828&amp;"ENTRADA",Movimientos!$R$2:$R$1998,0))),"S/D")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5"/>
        <v>SIN STOCK</v>
      </c>
    </row>
    <row r="829" spans="1:11" ht="14.25">
      <c r="A829" s="18" t="s">
        <v>2972</v>
      </c>
      <c r="B829" s="3" t="str">
        <f>IFERROR(INDEX(Movimientos!$C$2:$C$1998,MATCH(A829&amp;"ENTRADA",Movimientos!$R$2:$R$1998,0)),"-")</f>
        <v>-</v>
      </c>
      <c r="C829" s="3" t="str">
        <f>IFERROR(INDEX(Movimientos!$D$2:$D$1998,MATCH(A829&amp;"ENTRADA",Movimientos!$R$2:$R$1998,0)),"-")</f>
        <v>-</v>
      </c>
      <c r="D829" s="3" t="str">
        <f>IFERROR(INDEX(Movimientos!$E$2:$E$1998,MATCH(A829&amp;"ENTRADA",Movimientos!$R$2:$R$1998,0)),"-")</f>
        <v>-</v>
      </c>
      <c r="E829" s="3" t="str">
        <f>IFERROR(INDEX(Movimientos!$F$2:$F$1998,MATCH(A829&amp;"ENTRADA",Movimientos!$R$2:$R$1998,0)),"-")</f>
        <v>-</v>
      </c>
      <c r="F829" s="3" t="str">
        <f>IFERROR(INDEX(Movimientos!$G$2:$G$1998,MATCH(A829&amp;"ENTRADA",Movimientos!$R$2:$R$1998,0)),"-")</f>
        <v>-</v>
      </c>
      <c r="G829" s="3" t="str">
        <f>IFERROR(INDEX(Movimientos!$L$2:$L$1998,MATCH(A829&amp;"ENTRADA",Movimientos!$R$2:$R$1998,0)),"-")</f>
        <v>-</v>
      </c>
      <c r="H829" s="19" t="str">
        <f>IFERROR(IF(INDEX(Movimientos!$M$2:$M$1998,MATCH(A829&amp;"ENTRADA",Movimientos!$R$2:$R$1998,0))=0,"S/D",INDEX(Movimientos!$M$2:$M$1998,MATCH(A829&amp;"ENTRADA",Movimientos!$R$2:$R$1998,0))),"S/D")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5"/>
        <v>SIN STOCK</v>
      </c>
    </row>
    <row r="830" spans="1:11" ht="14.25">
      <c r="A830" s="18" t="s">
        <v>2973</v>
      </c>
      <c r="B830" s="3" t="str">
        <f>IFERROR(INDEX(Movimientos!$C$2:$C$1998,MATCH(A830&amp;"ENTRADA",Movimientos!$R$2:$R$1998,0)),"-")</f>
        <v>-</v>
      </c>
      <c r="C830" s="3" t="str">
        <f>IFERROR(INDEX(Movimientos!$D$2:$D$1998,MATCH(A830&amp;"ENTRADA",Movimientos!$R$2:$R$1998,0)),"-")</f>
        <v>-</v>
      </c>
      <c r="D830" s="3" t="str">
        <f>IFERROR(INDEX(Movimientos!$E$2:$E$1998,MATCH(A830&amp;"ENTRADA",Movimientos!$R$2:$R$1998,0)),"-")</f>
        <v>-</v>
      </c>
      <c r="E830" s="3" t="str">
        <f>IFERROR(INDEX(Movimientos!$F$2:$F$1998,MATCH(A830&amp;"ENTRADA",Movimientos!$R$2:$R$1998,0)),"-")</f>
        <v>-</v>
      </c>
      <c r="F830" s="3" t="str">
        <f>IFERROR(INDEX(Movimientos!$G$2:$G$1998,MATCH(A830&amp;"ENTRADA",Movimientos!$R$2:$R$1998,0)),"-")</f>
        <v>-</v>
      </c>
      <c r="G830" s="3" t="str">
        <f>IFERROR(INDEX(Movimientos!$L$2:$L$1998,MATCH(A830&amp;"ENTRADA",Movimientos!$R$2:$R$1998,0)),"-")</f>
        <v>-</v>
      </c>
      <c r="H830" s="19" t="str">
        <f>IFERROR(IF(INDEX(Movimientos!$M$2:$M$1998,MATCH(A830&amp;"ENTRADA",Movimientos!$R$2:$R$1998,0))=0,"S/D",INDEX(Movimientos!$M$2:$M$1998,MATCH(A830&amp;"ENTRADA",Movimientos!$R$2:$R$1998,0))),"S/D")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5"/>
        <v>SIN STOCK</v>
      </c>
    </row>
    <row r="831" spans="1:11" ht="14.25">
      <c r="A831" s="18" t="s">
        <v>2974</v>
      </c>
      <c r="B831" s="3" t="str">
        <f>IFERROR(INDEX(Movimientos!$C$2:$C$1998,MATCH(A831&amp;"ENTRADA",Movimientos!$R$2:$R$1998,0)),"-")</f>
        <v>-</v>
      </c>
      <c r="C831" s="3" t="str">
        <f>IFERROR(INDEX(Movimientos!$D$2:$D$1998,MATCH(A831&amp;"ENTRADA",Movimientos!$R$2:$R$1998,0)),"-")</f>
        <v>-</v>
      </c>
      <c r="D831" s="3" t="str">
        <f>IFERROR(INDEX(Movimientos!$E$2:$E$1998,MATCH(A831&amp;"ENTRADA",Movimientos!$R$2:$R$1998,0)),"-")</f>
        <v>-</v>
      </c>
      <c r="E831" s="3" t="str">
        <f>IFERROR(INDEX(Movimientos!$F$2:$F$1998,MATCH(A831&amp;"ENTRADA",Movimientos!$R$2:$R$1998,0)),"-")</f>
        <v>-</v>
      </c>
      <c r="F831" s="3" t="str">
        <f>IFERROR(INDEX(Movimientos!$G$2:$G$1998,MATCH(A831&amp;"ENTRADA",Movimientos!$R$2:$R$1998,0)),"-")</f>
        <v>-</v>
      </c>
      <c r="G831" s="3" t="str">
        <f>IFERROR(INDEX(Movimientos!$L$2:$L$1998,MATCH(A831&amp;"ENTRADA",Movimientos!$R$2:$R$1998,0)),"-")</f>
        <v>-</v>
      </c>
      <c r="H831" s="19" t="str">
        <f>IFERROR(IF(INDEX(Movimientos!$M$2:$M$1998,MATCH(A831&amp;"ENTRADA",Movimientos!$R$2:$R$1998,0))=0,"S/D",INDEX(Movimientos!$M$2:$M$1998,MATCH(A831&amp;"ENTRADA",Movimientos!$R$2:$R$1998,0))),"S/D")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5"/>
        <v>SIN STOCK</v>
      </c>
    </row>
    <row r="832" spans="1:11" ht="14.25">
      <c r="A832" s="18" t="s">
        <v>2975</v>
      </c>
      <c r="B832" s="3" t="str">
        <f>IFERROR(INDEX(Movimientos!$C$2:$C$1998,MATCH(A832&amp;"ENTRADA",Movimientos!$R$2:$R$1998,0)),"-")</f>
        <v>-</v>
      </c>
      <c r="C832" s="3" t="str">
        <f>IFERROR(INDEX(Movimientos!$D$2:$D$1998,MATCH(A832&amp;"ENTRADA",Movimientos!$R$2:$R$1998,0)),"-")</f>
        <v>-</v>
      </c>
      <c r="D832" s="3" t="str">
        <f>IFERROR(INDEX(Movimientos!$E$2:$E$1998,MATCH(A832&amp;"ENTRADA",Movimientos!$R$2:$R$1998,0)),"-")</f>
        <v>-</v>
      </c>
      <c r="E832" s="3" t="str">
        <f>IFERROR(INDEX(Movimientos!$F$2:$F$1998,MATCH(A832&amp;"ENTRADA",Movimientos!$R$2:$R$1998,0)),"-")</f>
        <v>-</v>
      </c>
      <c r="F832" s="3" t="str">
        <f>IFERROR(INDEX(Movimientos!$G$2:$G$1998,MATCH(A832&amp;"ENTRADA",Movimientos!$R$2:$R$1998,0)),"-")</f>
        <v>-</v>
      </c>
      <c r="G832" s="3" t="str">
        <f>IFERROR(INDEX(Movimientos!$L$2:$L$1998,MATCH(A832&amp;"ENTRADA",Movimientos!$R$2:$R$1998,0)),"-")</f>
        <v>-</v>
      </c>
      <c r="H832" s="19" t="str">
        <f>IFERROR(IF(INDEX(Movimientos!$M$2:$M$1998,MATCH(A832&amp;"ENTRADA",Movimientos!$R$2:$R$1998,0))=0,"S/D",INDEX(Movimientos!$M$2:$M$1998,MATCH(A832&amp;"ENTRADA",Movimientos!$R$2:$R$1998,0))),"S/D")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ref="K832:K895" ca="1" si="27">IF(A832="","",IF(J832&lt;0.01,"SIN STOCK",IF(H832="S/D","OK",IF(H832&lt;TODAY(),"VENCIDO",IF(I832&gt;=180,"OK","PRÓXIMO A VENCER")))))</f>
        <v>SIN STOCK</v>
      </c>
    </row>
    <row r="833" spans="1:11" ht="14.25">
      <c r="A833" s="18" t="s">
        <v>2976</v>
      </c>
      <c r="B833" s="3" t="str">
        <f>IFERROR(INDEX(Movimientos!$C$2:$C$1998,MATCH(A833&amp;"ENTRADA",Movimientos!$R$2:$R$1998,0)),"-")</f>
        <v>-</v>
      </c>
      <c r="C833" s="3" t="str">
        <f>IFERROR(INDEX(Movimientos!$D$2:$D$1998,MATCH(A833&amp;"ENTRADA",Movimientos!$R$2:$R$1998,0)),"-")</f>
        <v>-</v>
      </c>
      <c r="D833" s="3" t="str">
        <f>IFERROR(INDEX(Movimientos!$E$2:$E$1998,MATCH(A833&amp;"ENTRADA",Movimientos!$R$2:$R$1998,0)),"-")</f>
        <v>-</v>
      </c>
      <c r="E833" s="3" t="str">
        <f>IFERROR(INDEX(Movimientos!$F$2:$F$1998,MATCH(A833&amp;"ENTRADA",Movimientos!$R$2:$R$1998,0)),"-")</f>
        <v>-</v>
      </c>
      <c r="F833" s="3" t="str">
        <f>IFERROR(INDEX(Movimientos!$G$2:$G$1998,MATCH(A833&amp;"ENTRADA",Movimientos!$R$2:$R$1998,0)),"-")</f>
        <v>-</v>
      </c>
      <c r="G833" s="3" t="str">
        <f>IFERROR(INDEX(Movimientos!$L$2:$L$1998,MATCH(A833&amp;"ENTRADA",Movimientos!$R$2:$R$1998,0)),"-")</f>
        <v>-</v>
      </c>
      <c r="H833" s="19" t="str">
        <f>IFERROR(IF(INDEX(Movimientos!$M$2:$M$1998,MATCH(A833&amp;"ENTRADA",Movimientos!$R$2:$R$1998,0))=0,"S/D",INDEX(Movimientos!$M$2:$M$1998,MATCH(A833&amp;"ENTRADA",Movimientos!$R$2:$R$1998,0))),"S/D")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SIN STOCK</v>
      </c>
    </row>
    <row r="834" spans="1:11" ht="14.25">
      <c r="A834" s="18" t="s">
        <v>2977</v>
      </c>
      <c r="B834" s="3" t="str">
        <f>IFERROR(INDEX(Movimientos!$C$2:$C$1998,MATCH(A834&amp;"ENTRADA",Movimientos!$R$2:$R$1998,0)),"-")</f>
        <v>-</v>
      </c>
      <c r="C834" s="3" t="str">
        <f>IFERROR(INDEX(Movimientos!$D$2:$D$1998,MATCH(A834&amp;"ENTRADA",Movimientos!$R$2:$R$1998,0)),"-")</f>
        <v>-</v>
      </c>
      <c r="D834" s="3" t="str">
        <f>IFERROR(INDEX(Movimientos!$E$2:$E$1998,MATCH(A834&amp;"ENTRADA",Movimientos!$R$2:$R$1998,0)),"-")</f>
        <v>-</v>
      </c>
      <c r="E834" s="3" t="str">
        <f>IFERROR(INDEX(Movimientos!$F$2:$F$1998,MATCH(A834&amp;"ENTRADA",Movimientos!$R$2:$R$1998,0)),"-")</f>
        <v>-</v>
      </c>
      <c r="F834" s="3" t="str">
        <f>IFERROR(INDEX(Movimientos!$G$2:$G$1998,MATCH(A834&amp;"ENTRADA",Movimientos!$R$2:$R$1998,0)),"-")</f>
        <v>-</v>
      </c>
      <c r="G834" s="3" t="str">
        <f>IFERROR(INDEX(Movimientos!$L$2:$L$1998,MATCH(A834&amp;"ENTRADA",Movimientos!$R$2:$R$1998,0)),"-")</f>
        <v>-</v>
      </c>
      <c r="H834" s="19" t="str">
        <f>IFERROR(IF(INDEX(Movimientos!$M$2:$M$1998,MATCH(A834&amp;"ENTRADA",Movimientos!$R$2:$R$1998,0))=0,"S/D",INDEX(Movimientos!$M$2:$M$1998,MATCH(A834&amp;"ENTRADA",Movimientos!$R$2:$R$1998,0))),"S/D")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SIN STOCK</v>
      </c>
    </row>
    <row r="835" spans="1:11" ht="14.25">
      <c r="A835" s="18" t="s">
        <v>2978</v>
      </c>
      <c r="B835" s="3" t="str">
        <f>IFERROR(INDEX(Movimientos!$C$2:$C$1998,MATCH(A835&amp;"ENTRADA",Movimientos!$R$2:$R$1998,0)),"-")</f>
        <v>-</v>
      </c>
      <c r="C835" s="3" t="str">
        <f>IFERROR(INDEX(Movimientos!$D$2:$D$1998,MATCH(A835&amp;"ENTRADA",Movimientos!$R$2:$R$1998,0)),"-")</f>
        <v>-</v>
      </c>
      <c r="D835" s="3" t="str">
        <f>IFERROR(INDEX(Movimientos!$E$2:$E$1998,MATCH(A835&amp;"ENTRADA",Movimientos!$R$2:$R$1998,0)),"-")</f>
        <v>-</v>
      </c>
      <c r="E835" s="3" t="str">
        <f>IFERROR(INDEX(Movimientos!$F$2:$F$1998,MATCH(A835&amp;"ENTRADA",Movimientos!$R$2:$R$1998,0)),"-")</f>
        <v>-</v>
      </c>
      <c r="F835" s="3" t="str">
        <f>IFERROR(INDEX(Movimientos!$G$2:$G$1998,MATCH(A835&amp;"ENTRADA",Movimientos!$R$2:$R$1998,0)),"-")</f>
        <v>-</v>
      </c>
      <c r="G835" s="3" t="str">
        <f>IFERROR(INDEX(Movimientos!$L$2:$L$1998,MATCH(A835&amp;"ENTRADA",Movimientos!$R$2:$R$1998,0)),"-")</f>
        <v>-</v>
      </c>
      <c r="H835" s="19" t="str">
        <f>IFERROR(IF(INDEX(Movimientos!$M$2:$M$1998,MATCH(A835&amp;"ENTRADA",Movimientos!$R$2:$R$1998,0))=0,"S/D",INDEX(Movimientos!$M$2:$M$1998,MATCH(A835&amp;"ENTRADA",Movimientos!$R$2:$R$1998,0))),"S/D")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SIN STOCK</v>
      </c>
    </row>
    <row r="836" spans="1:11" ht="14.25">
      <c r="A836" s="18" t="s">
        <v>2979</v>
      </c>
      <c r="B836" s="3" t="str">
        <f>IFERROR(INDEX(Movimientos!$C$2:$C$1998,MATCH(A836&amp;"ENTRADA",Movimientos!$R$2:$R$1998,0)),"-")</f>
        <v>-</v>
      </c>
      <c r="C836" s="3" t="str">
        <f>IFERROR(INDEX(Movimientos!$D$2:$D$1998,MATCH(A836&amp;"ENTRADA",Movimientos!$R$2:$R$1998,0)),"-")</f>
        <v>-</v>
      </c>
      <c r="D836" s="3" t="str">
        <f>IFERROR(INDEX(Movimientos!$E$2:$E$1998,MATCH(A836&amp;"ENTRADA",Movimientos!$R$2:$R$1998,0)),"-")</f>
        <v>-</v>
      </c>
      <c r="E836" s="3" t="str">
        <f>IFERROR(INDEX(Movimientos!$F$2:$F$1998,MATCH(A836&amp;"ENTRADA",Movimientos!$R$2:$R$1998,0)),"-")</f>
        <v>-</v>
      </c>
      <c r="F836" s="3" t="str">
        <f>IFERROR(INDEX(Movimientos!$G$2:$G$1998,MATCH(A836&amp;"ENTRADA",Movimientos!$R$2:$R$1998,0)),"-")</f>
        <v>-</v>
      </c>
      <c r="G836" s="3" t="str">
        <f>IFERROR(INDEX(Movimientos!$L$2:$L$1998,MATCH(A836&amp;"ENTRADA",Movimientos!$R$2:$R$1998,0)),"-")</f>
        <v>-</v>
      </c>
      <c r="H836" s="19" t="str">
        <f>IFERROR(IF(INDEX(Movimientos!$M$2:$M$1998,MATCH(A836&amp;"ENTRADA",Movimientos!$R$2:$R$1998,0))=0,"S/D",INDEX(Movimientos!$M$2:$M$1998,MATCH(A836&amp;"ENTRADA",Movimientos!$R$2:$R$1998,0))),"S/D")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SIN STOCK</v>
      </c>
    </row>
    <row r="837" spans="1:11" ht="14.25">
      <c r="A837" s="18" t="s">
        <v>2980</v>
      </c>
      <c r="B837" s="3" t="str">
        <f>IFERROR(INDEX(Movimientos!$C$2:$C$1998,MATCH(A837&amp;"ENTRADA",Movimientos!$R$2:$R$1998,0)),"-")</f>
        <v>-</v>
      </c>
      <c r="C837" s="3" t="str">
        <f>IFERROR(INDEX(Movimientos!$D$2:$D$1998,MATCH(A837&amp;"ENTRADA",Movimientos!$R$2:$R$1998,0)),"-")</f>
        <v>-</v>
      </c>
      <c r="D837" s="3" t="str">
        <f>IFERROR(INDEX(Movimientos!$E$2:$E$1998,MATCH(A837&amp;"ENTRADA",Movimientos!$R$2:$R$1998,0)),"-")</f>
        <v>-</v>
      </c>
      <c r="E837" s="3" t="str">
        <f>IFERROR(INDEX(Movimientos!$F$2:$F$1998,MATCH(A837&amp;"ENTRADA",Movimientos!$R$2:$R$1998,0)),"-")</f>
        <v>-</v>
      </c>
      <c r="F837" s="3" t="str">
        <f>IFERROR(INDEX(Movimientos!$G$2:$G$1998,MATCH(A837&amp;"ENTRADA",Movimientos!$R$2:$R$1998,0)),"-")</f>
        <v>-</v>
      </c>
      <c r="G837" s="3" t="str">
        <f>IFERROR(INDEX(Movimientos!$L$2:$L$1998,MATCH(A837&amp;"ENTRADA",Movimientos!$R$2:$R$1998,0)),"-")</f>
        <v>-</v>
      </c>
      <c r="H837" s="19" t="str">
        <f>IFERROR(IF(INDEX(Movimientos!$M$2:$M$1998,MATCH(A837&amp;"ENTRADA",Movimientos!$R$2:$R$1998,0))=0,"S/D",INDEX(Movimientos!$M$2:$M$1998,MATCH(A837&amp;"ENTRADA",Movimientos!$R$2:$R$1998,0))),"S/D")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SIN STOCK</v>
      </c>
    </row>
    <row r="838" spans="1:11" ht="14.25">
      <c r="A838" s="18" t="s">
        <v>2981</v>
      </c>
      <c r="B838" s="3" t="str">
        <f>IFERROR(INDEX(Movimientos!$C$2:$C$1998,MATCH(A838&amp;"ENTRADA",Movimientos!$R$2:$R$1998,0)),"-")</f>
        <v>-</v>
      </c>
      <c r="C838" s="3" t="str">
        <f>IFERROR(INDEX(Movimientos!$D$2:$D$1998,MATCH(A838&amp;"ENTRADA",Movimientos!$R$2:$R$1998,0)),"-")</f>
        <v>-</v>
      </c>
      <c r="D838" s="3" t="str">
        <f>IFERROR(INDEX(Movimientos!$E$2:$E$1998,MATCH(A838&amp;"ENTRADA",Movimientos!$R$2:$R$1998,0)),"-")</f>
        <v>-</v>
      </c>
      <c r="E838" s="3" t="str">
        <f>IFERROR(INDEX(Movimientos!$F$2:$F$1998,MATCH(A838&amp;"ENTRADA",Movimientos!$R$2:$R$1998,0)),"-")</f>
        <v>-</v>
      </c>
      <c r="F838" s="3" t="str">
        <f>IFERROR(INDEX(Movimientos!$G$2:$G$1998,MATCH(A838&amp;"ENTRADA",Movimientos!$R$2:$R$1998,0)),"-")</f>
        <v>-</v>
      </c>
      <c r="G838" s="3" t="str">
        <f>IFERROR(INDEX(Movimientos!$L$2:$L$1998,MATCH(A838&amp;"ENTRADA",Movimientos!$R$2:$R$1998,0)),"-")</f>
        <v>-</v>
      </c>
      <c r="H838" s="19" t="str">
        <f>IFERROR(IF(INDEX(Movimientos!$M$2:$M$1998,MATCH(A838&amp;"ENTRADA",Movimientos!$R$2:$R$1998,0))=0,"S/D",INDEX(Movimientos!$M$2:$M$1998,MATCH(A838&amp;"ENTRADA",Movimientos!$R$2:$R$1998,0))),"S/D")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SIN STOCK</v>
      </c>
    </row>
    <row r="839" spans="1:11" ht="14.25">
      <c r="A839" s="18" t="s">
        <v>2982</v>
      </c>
      <c r="B839" s="3" t="str">
        <f>IFERROR(INDEX(Movimientos!$C$2:$C$1998,MATCH(A839&amp;"ENTRADA",Movimientos!$R$2:$R$1998,0)),"-")</f>
        <v>-</v>
      </c>
      <c r="C839" s="3" t="str">
        <f>IFERROR(INDEX(Movimientos!$D$2:$D$1998,MATCH(A839&amp;"ENTRADA",Movimientos!$R$2:$R$1998,0)),"-")</f>
        <v>-</v>
      </c>
      <c r="D839" s="3" t="str">
        <f>IFERROR(INDEX(Movimientos!$E$2:$E$1998,MATCH(A839&amp;"ENTRADA",Movimientos!$R$2:$R$1998,0)),"-")</f>
        <v>-</v>
      </c>
      <c r="E839" s="3" t="str">
        <f>IFERROR(INDEX(Movimientos!$F$2:$F$1998,MATCH(A839&amp;"ENTRADA",Movimientos!$R$2:$R$1998,0)),"-")</f>
        <v>-</v>
      </c>
      <c r="F839" s="3" t="str">
        <f>IFERROR(INDEX(Movimientos!$G$2:$G$1998,MATCH(A839&amp;"ENTRADA",Movimientos!$R$2:$R$1998,0)),"-")</f>
        <v>-</v>
      </c>
      <c r="G839" s="3" t="str">
        <f>IFERROR(INDEX(Movimientos!$L$2:$L$1998,MATCH(A839&amp;"ENTRADA",Movimientos!$R$2:$R$1998,0)),"-")</f>
        <v>-</v>
      </c>
      <c r="H839" s="19" t="str">
        <f>IFERROR(IF(INDEX(Movimientos!$M$2:$M$1998,MATCH(A839&amp;"ENTRADA",Movimientos!$R$2:$R$1998,0))=0,"S/D",INDEX(Movimientos!$M$2:$M$1998,MATCH(A839&amp;"ENTRADA",Movimientos!$R$2:$R$1998,0))),"S/D")</f>
        <v>S/D</v>
      </c>
      <c r="I839" s="16" t="str">
        <f t="shared" ref="I839:I902" ca="1" si="28">IF(OR(A839="",H839="S/D"),"S/D",H839-TODAY())</f>
        <v>S/D</v>
      </c>
      <c r="J839" s="6">
        <f>IF(A839="","",SUMIFS(Movimientos!$K:$K,Movimientos!$H:$H,A839))</f>
        <v>0</v>
      </c>
      <c r="K839" s="14" t="str">
        <f t="shared" ca="1" si="27"/>
        <v>SIN STOCK</v>
      </c>
    </row>
    <row r="840" spans="1:11" ht="14.25">
      <c r="A840" s="18" t="s">
        <v>2983</v>
      </c>
      <c r="B840" s="3" t="str">
        <f>IFERROR(INDEX(Movimientos!$C$2:$C$1998,MATCH(A840&amp;"ENTRADA",Movimientos!$R$2:$R$1998,0)),"-")</f>
        <v>-</v>
      </c>
      <c r="C840" s="3" t="str">
        <f>IFERROR(INDEX(Movimientos!$D$2:$D$1998,MATCH(A840&amp;"ENTRADA",Movimientos!$R$2:$R$1998,0)),"-")</f>
        <v>-</v>
      </c>
      <c r="D840" s="3" t="str">
        <f>IFERROR(INDEX(Movimientos!$E$2:$E$1998,MATCH(A840&amp;"ENTRADA",Movimientos!$R$2:$R$1998,0)),"-")</f>
        <v>-</v>
      </c>
      <c r="E840" s="3" t="str">
        <f>IFERROR(INDEX(Movimientos!$F$2:$F$1998,MATCH(A840&amp;"ENTRADA",Movimientos!$R$2:$R$1998,0)),"-")</f>
        <v>-</v>
      </c>
      <c r="F840" s="3" t="str">
        <f>IFERROR(INDEX(Movimientos!$G$2:$G$1998,MATCH(A840&amp;"ENTRADA",Movimientos!$R$2:$R$1998,0)),"-")</f>
        <v>-</v>
      </c>
      <c r="G840" s="3" t="str">
        <f>IFERROR(INDEX(Movimientos!$L$2:$L$1998,MATCH(A840&amp;"ENTRADA",Movimientos!$R$2:$R$1998,0)),"-")</f>
        <v>-</v>
      </c>
      <c r="H840" s="19" t="str">
        <f>IFERROR(IF(INDEX(Movimientos!$M$2:$M$1998,MATCH(A840&amp;"ENTRADA",Movimientos!$R$2:$R$1998,0))=0,"S/D",INDEX(Movimientos!$M$2:$M$1998,MATCH(A840&amp;"ENTRADA",Movimientos!$R$2:$R$1998,0))),"S/D")</f>
        <v>S/D</v>
      </c>
      <c r="I840" s="16" t="str">
        <f t="shared" ca="1" si="28"/>
        <v>S/D</v>
      </c>
      <c r="J840" s="6">
        <f>IF(A840="","",SUMIFS(Movimientos!$K:$K,Movimientos!$H:$H,A840))</f>
        <v>0</v>
      </c>
      <c r="K840" s="14" t="str">
        <f t="shared" ca="1" si="27"/>
        <v>SIN STOCK</v>
      </c>
    </row>
    <row r="841" spans="1:11" ht="14.25">
      <c r="A841" s="18" t="s">
        <v>2984</v>
      </c>
      <c r="B841" s="3" t="str">
        <f>IFERROR(INDEX(Movimientos!$C$2:$C$1998,MATCH(A841&amp;"ENTRADA",Movimientos!$R$2:$R$1998,0)),"-")</f>
        <v>-</v>
      </c>
      <c r="C841" s="3" t="str">
        <f>IFERROR(INDEX(Movimientos!$D$2:$D$1998,MATCH(A841&amp;"ENTRADA",Movimientos!$R$2:$R$1998,0)),"-")</f>
        <v>-</v>
      </c>
      <c r="D841" s="3" t="str">
        <f>IFERROR(INDEX(Movimientos!$E$2:$E$1998,MATCH(A841&amp;"ENTRADA",Movimientos!$R$2:$R$1998,0)),"-")</f>
        <v>-</v>
      </c>
      <c r="E841" s="3" t="str">
        <f>IFERROR(INDEX(Movimientos!$F$2:$F$1998,MATCH(A841&amp;"ENTRADA",Movimientos!$R$2:$R$1998,0)),"-")</f>
        <v>-</v>
      </c>
      <c r="F841" s="3" t="str">
        <f>IFERROR(INDEX(Movimientos!$G$2:$G$1998,MATCH(A841&amp;"ENTRADA",Movimientos!$R$2:$R$1998,0)),"-")</f>
        <v>-</v>
      </c>
      <c r="G841" s="3" t="str">
        <f>IFERROR(INDEX(Movimientos!$L$2:$L$1998,MATCH(A841&amp;"ENTRADA",Movimientos!$R$2:$R$1998,0)),"-")</f>
        <v>-</v>
      </c>
      <c r="H841" s="19" t="str">
        <f>IFERROR(IF(INDEX(Movimientos!$M$2:$M$1998,MATCH(A841&amp;"ENTRADA",Movimientos!$R$2:$R$1998,0))=0,"S/D",INDEX(Movimientos!$M$2:$M$1998,MATCH(A841&amp;"ENTRADA",Movimientos!$R$2:$R$1998,0))),"S/D")</f>
        <v>S/D</v>
      </c>
      <c r="I841" s="16" t="str">
        <f t="shared" ca="1" si="28"/>
        <v>S/D</v>
      </c>
      <c r="J841" s="6">
        <f>IF(A841="","",SUMIFS(Movimientos!$K:$K,Movimientos!$H:$H,A841))</f>
        <v>0</v>
      </c>
      <c r="K841" s="14" t="str">
        <f t="shared" ca="1" si="27"/>
        <v>SIN STOCK</v>
      </c>
    </row>
    <row r="842" spans="1:11" ht="14.25">
      <c r="A842" s="18" t="s">
        <v>2985</v>
      </c>
      <c r="B842" s="3" t="str">
        <f>IFERROR(INDEX(Movimientos!$C$2:$C$1998,MATCH(A842&amp;"ENTRADA",Movimientos!$R$2:$R$1998,0)),"-")</f>
        <v>-</v>
      </c>
      <c r="C842" s="3" t="str">
        <f>IFERROR(INDEX(Movimientos!$D$2:$D$1998,MATCH(A842&amp;"ENTRADA",Movimientos!$R$2:$R$1998,0)),"-")</f>
        <v>-</v>
      </c>
      <c r="D842" s="3" t="str">
        <f>IFERROR(INDEX(Movimientos!$E$2:$E$1998,MATCH(A842&amp;"ENTRADA",Movimientos!$R$2:$R$1998,0)),"-")</f>
        <v>-</v>
      </c>
      <c r="E842" s="3" t="str">
        <f>IFERROR(INDEX(Movimientos!$F$2:$F$1998,MATCH(A842&amp;"ENTRADA",Movimientos!$R$2:$R$1998,0)),"-")</f>
        <v>-</v>
      </c>
      <c r="F842" s="3" t="str">
        <f>IFERROR(INDEX(Movimientos!$G$2:$G$1998,MATCH(A842&amp;"ENTRADA",Movimientos!$R$2:$R$1998,0)),"-")</f>
        <v>-</v>
      </c>
      <c r="G842" s="3" t="str">
        <f>IFERROR(INDEX(Movimientos!$L$2:$L$1998,MATCH(A842&amp;"ENTRADA",Movimientos!$R$2:$R$1998,0)),"-")</f>
        <v>-</v>
      </c>
      <c r="H842" s="19" t="str">
        <f>IFERROR(IF(INDEX(Movimientos!$M$2:$M$1998,MATCH(A842&amp;"ENTRADA",Movimientos!$R$2:$R$1998,0))=0,"S/D",INDEX(Movimientos!$M$2:$M$1998,MATCH(A842&amp;"ENTRADA",Movimientos!$R$2:$R$1998,0))),"S/D")</f>
        <v>S/D</v>
      </c>
      <c r="I842" s="16" t="str">
        <f t="shared" ca="1" si="28"/>
        <v>S/D</v>
      </c>
      <c r="J842" s="6">
        <f>IF(A842="","",SUMIFS(Movimientos!$K:$K,Movimientos!$H:$H,A842))</f>
        <v>0</v>
      </c>
      <c r="K842" s="14" t="str">
        <f t="shared" ca="1" si="27"/>
        <v>SIN STOCK</v>
      </c>
    </row>
    <row r="843" spans="1:11" ht="14.25">
      <c r="A843" s="18" t="s">
        <v>2986</v>
      </c>
      <c r="B843" s="3" t="str">
        <f>IFERROR(INDEX(Movimientos!$C$2:$C$1998,MATCH(A843&amp;"ENTRADA",Movimientos!$R$2:$R$1998,0)),"-")</f>
        <v>-</v>
      </c>
      <c r="C843" s="3" t="str">
        <f>IFERROR(INDEX(Movimientos!$D$2:$D$1998,MATCH(A843&amp;"ENTRADA",Movimientos!$R$2:$R$1998,0)),"-")</f>
        <v>-</v>
      </c>
      <c r="D843" s="3" t="str">
        <f>IFERROR(INDEX(Movimientos!$E$2:$E$1998,MATCH(A843&amp;"ENTRADA",Movimientos!$R$2:$R$1998,0)),"-")</f>
        <v>-</v>
      </c>
      <c r="E843" s="3" t="str">
        <f>IFERROR(INDEX(Movimientos!$F$2:$F$1998,MATCH(A843&amp;"ENTRADA",Movimientos!$R$2:$R$1998,0)),"-")</f>
        <v>-</v>
      </c>
      <c r="F843" s="3" t="str">
        <f>IFERROR(INDEX(Movimientos!$G$2:$G$1998,MATCH(A843&amp;"ENTRADA",Movimientos!$R$2:$R$1998,0)),"-")</f>
        <v>-</v>
      </c>
      <c r="G843" s="3" t="str">
        <f>IFERROR(INDEX(Movimientos!$L$2:$L$1998,MATCH(A843&amp;"ENTRADA",Movimientos!$R$2:$R$1998,0)),"-")</f>
        <v>-</v>
      </c>
      <c r="H843" s="19" t="str">
        <f>IFERROR(IF(INDEX(Movimientos!$M$2:$M$1998,MATCH(A843&amp;"ENTRADA",Movimientos!$R$2:$R$1998,0))=0,"S/D",INDEX(Movimientos!$M$2:$M$1998,MATCH(A843&amp;"ENTRADA",Movimientos!$R$2:$R$1998,0))),"S/D")</f>
        <v>S/D</v>
      </c>
      <c r="I843" s="16" t="str">
        <f t="shared" ca="1" si="28"/>
        <v>S/D</v>
      </c>
      <c r="J843" s="6">
        <f>IF(A843="","",SUMIFS(Movimientos!$K:$K,Movimientos!$H:$H,A843))</f>
        <v>0</v>
      </c>
      <c r="K843" s="14" t="str">
        <f t="shared" ca="1" si="27"/>
        <v>SIN STOCK</v>
      </c>
    </row>
    <row r="844" spans="1:11" ht="14.25">
      <c r="A844" s="18" t="s">
        <v>2987</v>
      </c>
      <c r="B844" s="3" t="str">
        <f>IFERROR(INDEX(Movimientos!$C$2:$C$1998,MATCH(A844&amp;"ENTRADA",Movimientos!$R$2:$R$1998,0)),"-")</f>
        <v>-</v>
      </c>
      <c r="C844" s="3" t="str">
        <f>IFERROR(INDEX(Movimientos!$D$2:$D$1998,MATCH(A844&amp;"ENTRADA",Movimientos!$R$2:$R$1998,0)),"-")</f>
        <v>-</v>
      </c>
      <c r="D844" s="3" t="str">
        <f>IFERROR(INDEX(Movimientos!$E$2:$E$1998,MATCH(A844&amp;"ENTRADA",Movimientos!$R$2:$R$1998,0)),"-")</f>
        <v>-</v>
      </c>
      <c r="E844" s="3" t="str">
        <f>IFERROR(INDEX(Movimientos!$F$2:$F$1998,MATCH(A844&amp;"ENTRADA",Movimientos!$R$2:$R$1998,0)),"-")</f>
        <v>-</v>
      </c>
      <c r="F844" s="3" t="str">
        <f>IFERROR(INDEX(Movimientos!$G$2:$G$1998,MATCH(A844&amp;"ENTRADA",Movimientos!$R$2:$R$1998,0)),"-")</f>
        <v>-</v>
      </c>
      <c r="G844" s="3" t="str">
        <f>IFERROR(INDEX(Movimientos!$L$2:$L$1998,MATCH(A844&amp;"ENTRADA",Movimientos!$R$2:$R$1998,0)),"-")</f>
        <v>-</v>
      </c>
      <c r="H844" s="19" t="str">
        <f>IFERROR(IF(INDEX(Movimientos!$M$2:$M$1998,MATCH(A844&amp;"ENTRADA",Movimientos!$R$2:$R$1998,0))=0,"S/D",INDEX(Movimientos!$M$2:$M$1998,MATCH(A844&amp;"ENTRADA",Movimientos!$R$2:$R$1998,0))),"S/D")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7"/>
        <v>SIN STOCK</v>
      </c>
    </row>
    <row r="845" spans="1:11" ht="14.25">
      <c r="A845" s="18" t="s">
        <v>2988</v>
      </c>
      <c r="B845" s="3" t="str">
        <f>IFERROR(INDEX(Movimientos!$C$2:$C$1998,MATCH(A845&amp;"ENTRADA",Movimientos!$R$2:$R$1998,0)),"-")</f>
        <v>-</v>
      </c>
      <c r="C845" s="3" t="str">
        <f>IFERROR(INDEX(Movimientos!$D$2:$D$1998,MATCH(A845&amp;"ENTRADA",Movimientos!$R$2:$R$1998,0)),"-")</f>
        <v>-</v>
      </c>
      <c r="D845" s="3" t="str">
        <f>IFERROR(INDEX(Movimientos!$E$2:$E$1998,MATCH(A845&amp;"ENTRADA",Movimientos!$R$2:$R$1998,0)),"-")</f>
        <v>-</v>
      </c>
      <c r="E845" s="3" t="str">
        <f>IFERROR(INDEX(Movimientos!$F$2:$F$1998,MATCH(A845&amp;"ENTRADA",Movimientos!$R$2:$R$1998,0)),"-")</f>
        <v>-</v>
      </c>
      <c r="F845" s="3" t="str">
        <f>IFERROR(INDEX(Movimientos!$G$2:$G$1998,MATCH(A845&amp;"ENTRADA",Movimientos!$R$2:$R$1998,0)),"-")</f>
        <v>-</v>
      </c>
      <c r="G845" s="3" t="str">
        <f>IFERROR(INDEX(Movimientos!$L$2:$L$1998,MATCH(A845&amp;"ENTRADA",Movimientos!$R$2:$R$1998,0)),"-")</f>
        <v>-</v>
      </c>
      <c r="H845" s="19" t="str">
        <f>IFERROR(IF(INDEX(Movimientos!$M$2:$M$1998,MATCH(A845&amp;"ENTRADA",Movimientos!$R$2:$R$1998,0))=0,"S/D",INDEX(Movimientos!$M$2:$M$1998,MATCH(A845&amp;"ENTRADA",Movimientos!$R$2:$R$1998,0))),"S/D")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7"/>
        <v>SIN STOCK</v>
      </c>
    </row>
    <row r="846" spans="1:11" ht="14.25">
      <c r="A846" s="18" t="s">
        <v>2989</v>
      </c>
      <c r="B846" s="3" t="str">
        <f>IFERROR(INDEX(Movimientos!$C$2:$C$1998,MATCH(A846&amp;"ENTRADA",Movimientos!$R$2:$R$1998,0)),"-")</f>
        <v>-</v>
      </c>
      <c r="C846" s="3" t="str">
        <f>IFERROR(INDEX(Movimientos!$D$2:$D$1998,MATCH(A846&amp;"ENTRADA",Movimientos!$R$2:$R$1998,0)),"-")</f>
        <v>-</v>
      </c>
      <c r="D846" s="3" t="str">
        <f>IFERROR(INDEX(Movimientos!$E$2:$E$1998,MATCH(A846&amp;"ENTRADA",Movimientos!$R$2:$R$1998,0)),"-")</f>
        <v>-</v>
      </c>
      <c r="E846" s="3" t="str">
        <f>IFERROR(INDEX(Movimientos!$F$2:$F$1998,MATCH(A846&amp;"ENTRADA",Movimientos!$R$2:$R$1998,0)),"-")</f>
        <v>-</v>
      </c>
      <c r="F846" s="3" t="str">
        <f>IFERROR(INDEX(Movimientos!$G$2:$G$1998,MATCH(A846&amp;"ENTRADA",Movimientos!$R$2:$R$1998,0)),"-")</f>
        <v>-</v>
      </c>
      <c r="G846" s="3" t="str">
        <f>IFERROR(INDEX(Movimientos!$L$2:$L$1998,MATCH(A846&amp;"ENTRADA",Movimientos!$R$2:$R$1998,0)),"-")</f>
        <v>-</v>
      </c>
      <c r="H846" s="19" t="str">
        <f>IFERROR(IF(INDEX(Movimientos!$M$2:$M$1998,MATCH(A846&amp;"ENTRADA",Movimientos!$R$2:$R$1998,0))=0,"S/D",INDEX(Movimientos!$M$2:$M$1998,MATCH(A846&amp;"ENTRADA",Movimientos!$R$2:$R$1998,0))),"S/D")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7"/>
        <v>SIN STOCK</v>
      </c>
    </row>
    <row r="847" spans="1:11" ht="14.25">
      <c r="A847" s="18" t="s">
        <v>2990</v>
      </c>
      <c r="B847" s="3" t="str">
        <f>IFERROR(INDEX(Movimientos!$C$2:$C$1998,MATCH(A847&amp;"ENTRADA",Movimientos!$R$2:$R$1998,0)),"-")</f>
        <v>-</v>
      </c>
      <c r="C847" s="3" t="str">
        <f>IFERROR(INDEX(Movimientos!$D$2:$D$1998,MATCH(A847&amp;"ENTRADA",Movimientos!$R$2:$R$1998,0)),"-")</f>
        <v>-</v>
      </c>
      <c r="D847" s="3" t="str">
        <f>IFERROR(INDEX(Movimientos!$E$2:$E$1998,MATCH(A847&amp;"ENTRADA",Movimientos!$R$2:$R$1998,0)),"-")</f>
        <v>-</v>
      </c>
      <c r="E847" s="3" t="str">
        <f>IFERROR(INDEX(Movimientos!$F$2:$F$1998,MATCH(A847&amp;"ENTRADA",Movimientos!$R$2:$R$1998,0)),"-")</f>
        <v>-</v>
      </c>
      <c r="F847" s="3" t="str">
        <f>IFERROR(INDEX(Movimientos!$G$2:$G$1998,MATCH(A847&amp;"ENTRADA",Movimientos!$R$2:$R$1998,0)),"-")</f>
        <v>-</v>
      </c>
      <c r="G847" s="3" t="str">
        <f>IFERROR(INDEX(Movimientos!$L$2:$L$1998,MATCH(A847&amp;"ENTRADA",Movimientos!$R$2:$R$1998,0)),"-")</f>
        <v>-</v>
      </c>
      <c r="H847" s="19" t="str">
        <f>IFERROR(IF(INDEX(Movimientos!$M$2:$M$1998,MATCH(A847&amp;"ENTRADA",Movimientos!$R$2:$R$1998,0))=0,"S/D",INDEX(Movimientos!$M$2:$M$1998,MATCH(A847&amp;"ENTRADA",Movimientos!$R$2:$R$1998,0))),"S/D")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7"/>
        <v>SIN STOCK</v>
      </c>
    </row>
    <row r="848" spans="1:11" ht="14.25">
      <c r="A848" s="18" t="s">
        <v>2991</v>
      </c>
      <c r="B848" s="3" t="str">
        <f>IFERROR(INDEX(Movimientos!$C$2:$C$1998,MATCH(A848&amp;"ENTRADA",Movimientos!$R$2:$R$1998,0)),"-")</f>
        <v>-</v>
      </c>
      <c r="C848" s="3" t="str">
        <f>IFERROR(INDEX(Movimientos!$D$2:$D$1998,MATCH(A848&amp;"ENTRADA",Movimientos!$R$2:$R$1998,0)),"-")</f>
        <v>-</v>
      </c>
      <c r="D848" s="3" t="str">
        <f>IFERROR(INDEX(Movimientos!$E$2:$E$1998,MATCH(A848&amp;"ENTRADA",Movimientos!$R$2:$R$1998,0)),"-")</f>
        <v>-</v>
      </c>
      <c r="E848" s="3" t="str">
        <f>IFERROR(INDEX(Movimientos!$F$2:$F$1998,MATCH(A848&amp;"ENTRADA",Movimientos!$R$2:$R$1998,0)),"-")</f>
        <v>-</v>
      </c>
      <c r="F848" s="3" t="str">
        <f>IFERROR(INDEX(Movimientos!$G$2:$G$1998,MATCH(A848&amp;"ENTRADA",Movimientos!$R$2:$R$1998,0)),"-")</f>
        <v>-</v>
      </c>
      <c r="G848" s="3" t="str">
        <f>IFERROR(INDEX(Movimientos!$L$2:$L$1998,MATCH(A848&amp;"ENTRADA",Movimientos!$R$2:$R$1998,0)),"-")</f>
        <v>-</v>
      </c>
      <c r="H848" s="19" t="str">
        <f>IFERROR(IF(INDEX(Movimientos!$M$2:$M$1998,MATCH(A848&amp;"ENTRADA",Movimientos!$R$2:$R$1998,0))=0,"S/D",INDEX(Movimientos!$M$2:$M$1998,MATCH(A848&amp;"ENTRADA",Movimientos!$R$2:$R$1998,0))),"S/D")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7"/>
        <v>SIN STOCK</v>
      </c>
    </row>
    <row r="849" spans="1:11" ht="14.25">
      <c r="A849" s="18" t="s">
        <v>2992</v>
      </c>
      <c r="B849" s="3" t="str">
        <f>IFERROR(INDEX(Movimientos!$C$2:$C$1998,MATCH(A849&amp;"ENTRADA",Movimientos!$R$2:$R$1998,0)),"-")</f>
        <v>-</v>
      </c>
      <c r="C849" s="3" t="str">
        <f>IFERROR(INDEX(Movimientos!$D$2:$D$1998,MATCH(A849&amp;"ENTRADA",Movimientos!$R$2:$R$1998,0)),"-")</f>
        <v>-</v>
      </c>
      <c r="D849" s="3" t="str">
        <f>IFERROR(INDEX(Movimientos!$E$2:$E$1998,MATCH(A849&amp;"ENTRADA",Movimientos!$R$2:$R$1998,0)),"-")</f>
        <v>-</v>
      </c>
      <c r="E849" s="3" t="str">
        <f>IFERROR(INDEX(Movimientos!$F$2:$F$1998,MATCH(A849&amp;"ENTRADA",Movimientos!$R$2:$R$1998,0)),"-")</f>
        <v>-</v>
      </c>
      <c r="F849" s="3" t="str">
        <f>IFERROR(INDEX(Movimientos!$G$2:$G$1998,MATCH(A849&amp;"ENTRADA",Movimientos!$R$2:$R$1998,0)),"-")</f>
        <v>-</v>
      </c>
      <c r="G849" s="3" t="str">
        <f>IFERROR(INDEX(Movimientos!$L$2:$L$1998,MATCH(A849&amp;"ENTRADA",Movimientos!$R$2:$R$1998,0)),"-")</f>
        <v>-</v>
      </c>
      <c r="H849" s="19" t="str">
        <f>IFERROR(IF(INDEX(Movimientos!$M$2:$M$1998,MATCH(A849&amp;"ENTRADA",Movimientos!$R$2:$R$1998,0))=0,"S/D",INDEX(Movimientos!$M$2:$M$1998,MATCH(A849&amp;"ENTRADA",Movimientos!$R$2:$R$1998,0))),"S/D")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7"/>
        <v>SIN STOCK</v>
      </c>
    </row>
    <row r="850" spans="1:11" ht="14.25">
      <c r="A850" s="18" t="s">
        <v>2993</v>
      </c>
      <c r="B850" s="3" t="str">
        <f>IFERROR(INDEX(Movimientos!$C$2:$C$1998,MATCH(A850&amp;"ENTRADA",Movimientos!$R$2:$R$1998,0)),"-")</f>
        <v>-</v>
      </c>
      <c r="C850" s="3" t="str">
        <f>IFERROR(INDEX(Movimientos!$D$2:$D$1998,MATCH(A850&amp;"ENTRADA",Movimientos!$R$2:$R$1998,0)),"-")</f>
        <v>-</v>
      </c>
      <c r="D850" s="3" t="str">
        <f>IFERROR(INDEX(Movimientos!$E$2:$E$1998,MATCH(A850&amp;"ENTRADA",Movimientos!$R$2:$R$1998,0)),"-")</f>
        <v>-</v>
      </c>
      <c r="E850" s="3" t="str">
        <f>IFERROR(INDEX(Movimientos!$F$2:$F$1998,MATCH(A850&amp;"ENTRADA",Movimientos!$R$2:$R$1998,0)),"-")</f>
        <v>-</v>
      </c>
      <c r="F850" s="3" t="str">
        <f>IFERROR(INDEX(Movimientos!$G$2:$G$1998,MATCH(A850&amp;"ENTRADA",Movimientos!$R$2:$R$1998,0)),"-")</f>
        <v>-</v>
      </c>
      <c r="G850" s="3" t="str">
        <f>IFERROR(INDEX(Movimientos!$L$2:$L$1998,MATCH(A850&amp;"ENTRADA",Movimientos!$R$2:$R$1998,0)),"-")</f>
        <v>-</v>
      </c>
      <c r="H850" s="19" t="str">
        <f>IFERROR(IF(INDEX(Movimientos!$M$2:$M$1998,MATCH(A850&amp;"ENTRADA",Movimientos!$R$2:$R$1998,0))=0,"S/D",INDEX(Movimientos!$M$2:$M$1998,MATCH(A850&amp;"ENTRADA",Movimientos!$R$2:$R$1998,0))),"S/D")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7"/>
        <v>SIN STOCK</v>
      </c>
    </row>
    <row r="851" spans="1:11" ht="14.25">
      <c r="A851" s="18" t="s">
        <v>2994</v>
      </c>
      <c r="B851" s="3" t="str">
        <f>IFERROR(INDEX(Movimientos!$C$2:$C$1998,MATCH(A851&amp;"ENTRADA",Movimientos!$R$2:$R$1998,0)),"-")</f>
        <v>-</v>
      </c>
      <c r="C851" s="3" t="str">
        <f>IFERROR(INDEX(Movimientos!$D$2:$D$1998,MATCH(A851&amp;"ENTRADA",Movimientos!$R$2:$R$1998,0)),"-")</f>
        <v>-</v>
      </c>
      <c r="D851" s="3" t="str">
        <f>IFERROR(INDEX(Movimientos!$E$2:$E$1998,MATCH(A851&amp;"ENTRADA",Movimientos!$R$2:$R$1998,0)),"-")</f>
        <v>-</v>
      </c>
      <c r="E851" s="3" t="str">
        <f>IFERROR(INDEX(Movimientos!$F$2:$F$1998,MATCH(A851&amp;"ENTRADA",Movimientos!$R$2:$R$1998,0)),"-")</f>
        <v>-</v>
      </c>
      <c r="F851" s="3" t="str">
        <f>IFERROR(INDEX(Movimientos!$G$2:$G$1998,MATCH(A851&amp;"ENTRADA",Movimientos!$R$2:$R$1998,0)),"-")</f>
        <v>-</v>
      </c>
      <c r="G851" s="3" t="str">
        <f>IFERROR(INDEX(Movimientos!$L$2:$L$1998,MATCH(A851&amp;"ENTRADA",Movimientos!$R$2:$R$1998,0)),"-")</f>
        <v>-</v>
      </c>
      <c r="H851" s="19" t="str">
        <f>IFERROR(IF(INDEX(Movimientos!$M$2:$M$1998,MATCH(A851&amp;"ENTRADA",Movimientos!$R$2:$R$1998,0))=0,"S/D",INDEX(Movimientos!$M$2:$M$1998,MATCH(A851&amp;"ENTRADA",Movimientos!$R$2:$R$1998,0))),"S/D")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7"/>
        <v>SIN STOCK</v>
      </c>
    </row>
    <row r="852" spans="1:11" ht="14.25">
      <c r="A852" s="18" t="s">
        <v>2995</v>
      </c>
      <c r="B852" s="3" t="str">
        <f>IFERROR(INDEX(Movimientos!$C$2:$C$1998,MATCH(A852&amp;"ENTRADA",Movimientos!$R$2:$R$1998,0)),"-")</f>
        <v>-</v>
      </c>
      <c r="C852" s="3" t="str">
        <f>IFERROR(INDEX(Movimientos!$D$2:$D$1998,MATCH(A852&amp;"ENTRADA",Movimientos!$R$2:$R$1998,0)),"-")</f>
        <v>-</v>
      </c>
      <c r="D852" s="3" t="str">
        <f>IFERROR(INDEX(Movimientos!$E$2:$E$1998,MATCH(A852&amp;"ENTRADA",Movimientos!$R$2:$R$1998,0)),"-")</f>
        <v>-</v>
      </c>
      <c r="E852" s="3" t="str">
        <f>IFERROR(INDEX(Movimientos!$F$2:$F$1998,MATCH(A852&amp;"ENTRADA",Movimientos!$R$2:$R$1998,0)),"-")</f>
        <v>-</v>
      </c>
      <c r="F852" s="3" t="str">
        <f>IFERROR(INDEX(Movimientos!$G$2:$G$1998,MATCH(A852&amp;"ENTRADA",Movimientos!$R$2:$R$1998,0)),"-")</f>
        <v>-</v>
      </c>
      <c r="G852" s="3" t="str">
        <f>IFERROR(INDEX(Movimientos!$L$2:$L$1998,MATCH(A852&amp;"ENTRADA",Movimientos!$R$2:$R$1998,0)),"-")</f>
        <v>-</v>
      </c>
      <c r="H852" s="19" t="str">
        <f>IFERROR(IF(INDEX(Movimientos!$M$2:$M$1998,MATCH(A852&amp;"ENTRADA",Movimientos!$R$2:$R$1998,0))=0,"S/D",INDEX(Movimientos!$M$2:$M$1998,MATCH(A852&amp;"ENTRADA",Movimientos!$R$2:$R$1998,0))),"S/D")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7"/>
        <v>SIN STOCK</v>
      </c>
    </row>
    <row r="853" spans="1:11" ht="14.25">
      <c r="A853" s="18" t="s">
        <v>2996</v>
      </c>
      <c r="B853" s="3" t="str">
        <f>IFERROR(INDEX(Movimientos!$C$2:$C$1998,MATCH(A853&amp;"ENTRADA",Movimientos!$R$2:$R$1998,0)),"-")</f>
        <v>-</v>
      </c>
      <c r="C853" s="3" t="str">
        <f>IFERROR(INDEX(Movimientos!$D$2:$D$1998,MATCH(A853&amp;"ENTRADA",Movimientos!$R$2:$R$1998,0)),"-")</f>
        <v>-</v>
      </c>
      <c r="D853" s="3" t="str">
        <f>IFERROR(INDEX(Movimientos!$E$2:$E$1998,MATCH(A853&amp;"ENTRADA",Movimientos!$R$2:$R$1998,0)),"-")</f>
        <v>-</v>
      </c>
      <c r="E853" s="3" t="str">
        <f>IFERROR(INDEX(Movimientos!$F$2:$F$1998,MATCH(A853&amp;"ENTRADA",Movimientos!$R$2:$R$1998,0)),"-")</f>
        <v>-</v>
      </c>
      <c r="F853" s="3" t="str">
        <f>IFERROR(INDEX(Movimientos!$G$2:$G$1998,MATCH(A853&amp;"ENTRADA",Movimientos!$R$2:$R$1998,0)),"-")</f>
        <v>-</v>
      </c>
      <c r="G853" s="3" t="str">
        <f>IFERROR(INDEX(Movimientos!$L$2:$L$1998,MATCH(A853&amp;"ENTRADA",Movimientos!$R$2:$R$1998,0)),"-")</f>
        <v>-</v>
      </c>
      <c r="H853" s="19" t="str">
        <f>IFERROR(IF(INDEX(Movimientos!$M$2:$M$1998,MATCH(A853&amp;"ENTRADA",Movimientos!$R$2:$R$1998,0))=0,"S/D",INDEX(Movimientos!$M$2:$M$1998,MATCH(A853&amp;"ENTRADA",Movimientos!$R$2:$R$1998,0))),"S/D")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7"/>
        <v>SIN STOCK</v>
      </c>
    </row>
    <row r="854" spans="1:11" ht="14.25">
      <c r="A854" s="18" t="s">
        <v>2997</v>
      </c>
      <c r="B854" s="3" t="str">
        <f>IFERROR(INDEX(Movimientos!$C$2:$C$1998,MATCH(A854&amp;"ENTRADA",Movimientos!$R$2:$R$1998,0)),"-")</f>
        <v>-</v>
      </c>
      <c r="C854" s="3" t="str">
        <f>IFERROR(INDEX(Movimientos!$D$2:$D$1998,MATCH(A854&amp;"ENTRADA",Movimientos!$R$2:$R$1998,0)),"-")</f>
        <v>-</v>
      </c>
      <c r="D854" s="3" t="str">
        <f>IFERROR(INDEX(Movimientos!$E$2:$E$1998,MATCH(A854&amp;"ENTRADA",Movimientos!$R$2:$R$1998,0)),"-")</f>
        <v>-</v>
      </c>
      <c r="E854" s="3" t="str">
        <f>IFERROR(INDEX(Movimientos!$F$2:$F$1998,MATCH(A854&amp;"ENTRADA",Movimientos!$R$2:$R$1998,0)),"-")</f>
        <v>-</v>
      </c>
      <c r="F854" s="3" t="str">
        <f>IFERROR(INDEX(Movimientos!$G$2:$G$1998,MATCH(A854&amp;"ENTRADA",Movimientos!$R$2:$R$1998,0)),"-")</f>
        <v>-</v>
      </c>
      <c r="G854" s="3" t="str">
        <f>IFERROR(INDEX(Movimientos!$L$2:$L$1998,MATCH(A854&amp;"ENTRADA",Movimientos!$R$2:$R$1998,0)),"-")</f>
        <v>-</v>
      </c>
      <c r="H854" s="19" t="str">
        <f>IFERROR(IF(INDEX(Movimientos!$M$2:$M$1998,MATCH(A854&amp;"ENTRADA",Movimientos!$R$2:$R$1998,0))=0,"S/D",INDEX(Movimientos!$M$2:$M$1998,MATCH(A854&amp;"ENTRADA",Movimientos!$R$2:$R$1998,0))),"S/D")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7"/>
        <v>SIN STOCK</v>
      </c>
    </row>
    <row r="855" spans="1:11" ht="14.25">
      <c r="A855" s="18" t="s">
        <v>2998</v>
      </c>
      <c r="B855" s="3" t="str">
        <f>IFERROR(INDEX(Movimientos!$C$2:$C$1998,MATCH(A855&amp;"ENTRADA",Movimientos!$R$2:$R$1998,0)),"-")</f>
        <v>-</v>
      </c>
      <c r="C855" s="3" t="str">
        <f>IFERROR(INDEX(Movimientos!$D$2:$D$1998,MATCH(A855&amp;"ENTRADA",Movimientos!$R$2:$R$1998,0)),"-")</f>
        <v>-</v>
      </c>
      <c r="D855" s="3" t="str">
        <f>IFERROR(INDEX(Movimientos!$E$2:$E$1998,MATCH(A855&amp;"ENTRADA",Movimientos!$R$2:$R$1998,0)),"-")</f>
        <v>-</v>
      </c>
      <c r="E855" s="3" t="str">
        <f>IFERROR(INDEX(Movimientos!$F$2:$F$1998,MATCH(A855&amp;"ENTRADA",Movimientos!$R$2:$R$1998,0)),"-")</f>
        <v>-</v>
      </c>
      <c r="F855" s="3" t="str">
        <f>IFERROR(INDEX(Movimientos!$G$2:$G$1998,MATCH(A855&amp;"ENTRADA",Movimientos!$R$2:$R$1998,0)),"-")</f>
        <v>-</v>
      </c>
      <c r="G855" s="3" t="str">
        <f>IFERROR(INDEX(Movimientos!$L$2:$L$1998,MATCH(A855&amp;"ENTRADA",Movimientos!$R$2:$R$1998,0)),"-")</f>
        <v>-</v>
      </c>
      <c r="H855" s="19" t="str">
        <f>IFERROR(IF(INDEX(Movimientos!$M$2:$M$1998,MATCH(A855&amp;"ENTRADA",Movimientos!$R$2:$R$1998,0))=0,"S/D",INDEX(Movimientos!$M$2:$M$1998,MATCH(A855&amp;"ENTRADA",Movimientos!$R$2:$R$1998,0))),"S/D")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7"/>
        <v>SIN STOCK</v>
      </c>
    </row>
    <row r="856" spans="1:11" ht="14.25">
      <c r="A856" s="18" t="s">
        <v>2999</v>
      </c>
      <c r="B856" s="3" t="str">
        <f>IFERROR(INDEX(Movimientos!$C$2:$C$1998,MATCH(A856&amp;"ENTRADA",Movimientos!$R$2:$R$1998,0)),"-")</f>
        <v>-</v>
      </c>
      <c r="C856" s="3" t="str">
        <f>IFERROR(INDEX(Movimientos!$D$2:$D$1998,MATCH(A856&amp;"ENTRADA",Movimientos!$R$2:$R$1998,0)),"-")</f>
        <v>-</v>
      </c>
      <c r="D856" s="3" t="str">
        <f>IFERROR(INDEX(Movimientos!$E$2:$E$1998,MATCH(A856&amp;"ENTRADA",Movimientos!$R$2:$R$1998,0)),"-")</f>
        <v>-</v>
      </c>
      <c r="E856" s="3" t="str">
        <f>IFERROR(INDEX(Movimientos!$F$2:$F$1998,MATCH(A856&amp;"ENTRADA",Movimientos!$R$2:$R$1998,0)),"-")</f>
        <v>-</v>
      </c>
      <c r="F856" s="3" t="str">
        <f>IFERROR(INDEX(Movimientos!$G$2:$G$1998,MATCH(A856&amp;"ENTRADA",Movimientos!$R$2:$R$1998,0)),"-")</f>
        <v>-</v>
      </c>
      <c r="G856" s="3" t="str">
        <f>IFERROR(INDEX(Movimientos!$L$2:$L$1998,MATCH(A856&amp;"ENTRADA",Movimientos!$R$2:$R$1998,0)),"-")</f>
        <v>-</v>
      </c>
      <c r="H856" s="19" t="str">
        <f>IFERROR(IF(INDEX(Movimientos!$M$2:$M$1998,MATCH(A856&amp;"ENTRADA",Movimientos!$R$2:$R$1998,0))=0,"S/D",INDEX(Movimientos!$M$2:$M$1998,MATCH(A856&amp;"ENTRADA",Movimientos!$R$2:$R$1998,0))),"S/D")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7"/>
        <v>SIN STOCK</v>
      </c>
    </row>
    <row r="857" spans="1:11" ht="14.25">
      <c r="A857" s="18" t="s">
        <v>3000</v>
      </c>
      <c r="B857" s="3" t="str">
        <f>IFERROR(INDEX(Movimientos!$C$2:$C$1998,MATCH(A857&amp;"ENTRADA",Movimientos!$R$2:$R$1998,0)),"-")</f>
        <v>-</v>
      </c>
      <c r="C857" s="3" t="str">
        <f>IFERROR(INDEX(Movimientos!$D$2:$D$1998,MATCH(A857&amp;"ENTRADA",Movimientos!$R$2:$R$1998,0)),"-")</f>
        <v>-</v>
      </c>
      <c r="D857" s="3" t="str">
        <f>IFERROR(INDEX(Movimientos!$E$2:$E$1998,MATCH(A857&amp;"ENTRADA",Movimientos!$R$2:$R$1998,0)),"-")</f>
        <v>-</v>
      </c>
      <c r="E857" s="3" t="str">
        <f>IFERROR(INDEX(Movimientos!$F$2:$F$1998,MATCH(A857&amp;"ENTRADA",Movimientos!$R$2:$R$1998,0)),"-")</f>
        <v>-</v>
      </c>
      <c r="F857" s="3" t="str">
        <f>IFERROR(INDEX(Movimientos!$G$2:$G$1998,MATCH(A857&amp;"ENTRADA",Movimientos!$R$2:$R$1998,0)),"-")</f>
        <v>-</v>
      </c>
      <c r="G857" s="3" t="str">
        <f>IFERROR(INDEX(Movimientos!$L$2:$L$1998,MATCH(A857&amp;"ENTRADA",Movimientos!$R$2:$R$1998,0)),"-")</f>
        <v>-</v>
      </c>
      <c r="H857" s="19" t="str">
        <f>IFERROR(IF(INDEX(Movimientos!$M$2:$M$1998,MATCH(A857&amp;"ENTRADA",Movimientos!$R$2:$R$1998,0))=0,"S/D",INDEX(Movimientos!$M$2:$M$1998,MATCH(A857&amp;"ENTRADA",Movimientos!$R$2:$R$1998,0))),"S/D")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7"/>
        <v>SIN STOCK</v>
      </c>
    </row>
    <row r="858" spans="1:11" ht="14.25">
      <c r="A858" s="18" t="s">
        <v>3001</v>
      </c>
      <c r="B858" s="3" t="str">
        <f>IFERROR(INDEX(Movimientos!$C$2:$C$1998,MATCH(A858&amp;"ENTRADA",Movimientos!$R$2:$R$1998,0)),"-")</f>
        <v>-</v>
      </c>
      <c r="C858" s="3" t="str">
        <f>IFERROR(INDEX(Movimientos!$D$2:$D$1998,MATCH(A858&amp;"ENTRADA",Movimientos!$R$2:$R$1998,0)),"-")</f>
        <v>-</v>
      </c>
      <c r="D858" s="3" t="str">
        <f>IFERROR(INDEX(Movimientos!$E$2:$E$1998,MATCH(A858&amp;"ENTRADA",Movimientos!$R$2:$R$1998,0)),"-")</f>
        <v>-</v>
      </c>
      <c r="E858" s="3" t="str">
        <f>IFERROR(INDEX(Movimientos!$F$2:$F$1998,MATCH(A858&amp;"ENTRADA",Movimientos!$R$2:$R$1998,0)),"-")</f>
        <v>-</v>
      </c>
      <c r="F858" s="3" t="str">
        <f>IFERROR(INDEX(Movimientos!$G$2:$G$1998,MATCH(A858&amp;"ENTRADA",Movimientos!$R$2:$R$1998,0)),"-")</f>
        <v>-</v>
      </c>
      <c r="G858" s="3" t="str">
        <f>IFERROR(INDEX(Movimientos!$L$2:$L$1998,MATCH(A858&amp;"ENTRADA",Movimientos!$R$2:$R$1998,0)),"-")</f>
        <v>-</v>
      </c>
      <c r="H858" s="19" t="str">
        <f>IFERROR(IF(INDEX(Movimientos!$M$2:$M$1998,MATCH(A858&amp;"ENTRADA",Movimientos!$R$2:$R$1998,0))=0,"S/D",INDEX(Movimientos!$M$2:$M$1998,MATCH(A858&amp;"ENTRADA",Movimientos!$R$2:$R$1998,0))),"S/D")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7"/>
        <v>SIN STOCK</v>
      </c>
    </row>
    <row r="859" spans="1:11" ht="14.25">
      <c r="A859" s="18" t="s">
        <v>3002</v>
      </c>
      <c r="B859" s="3" t="str">
        <f>IFERROR(INDEX(Movimientos!$C$2:$C$1998,MATCH(A859&amp;"ENTRADA",Movimientos!$R$2:$R$1998,0)),"-")</f>
        <v>-</v>
      </c>
      <c r="C859" s="3" t="str">
        <f>IFERROR(INDEX(Movimientos!$D$2:$D$1998,MATCH(A859&amp;"ENTRADA",Movimientos!$R$2:$R$1998,0)),"-")</f>
        <v>-</v>
      </c>
      <c r="D859" s="3" t="str">
        <f>IFERROR(INDEX(Movimientos!$E$2:$E$1998,MATCH(A859&amp;"ENTRADA",Movimientos!$R$2:$R$1998,0)),"-")</f>
        <v>-</v>
      </c>
      <c r="E859" s="3" t="str">
        <f>IFERROR(INDEX(Movimientos!$F$2:$F$1998,MATCH(A859&amp;"ENTRADA",Movimientos!$R$2:$R$1998,0)),"-")</f>
        <v>-</v>
      </c>
      <c r="F859" s="3" t="str">
        <f>IFERROR(INDEX(Movimientos!$G$2:$G$1998,MATCH(A859&amp;"ENTRADA",Movimientos!$R$2:$R$1998,0)),"-")</f>
        <v>-</v>
      </c>
      <c r="G859" s="3" t="str">
        <f>IFERROR(INDEX(Movimientos!$L$2:$L$1998,MATCH(A859&amp;"ENTRADA",Movimientos!$R$2:$R$1998,0)),"-")</f>
        <v>-</v>
      </c>
      <c r="H859" s="19" t="str">
        <f>IFERROR(IF(INDEX(Movimientos!$M$2:$M$1998,MATCH(A859&amp;"ENTRADA",Movimientos!$R$2:$R$1998,0))=0,"S/D",INDEX(Movimientos!$M$2:$M$1998,MATCH(A859&amp;"ENTRADA",Movimientos!$R$2:$R$1998,0))),"S/D")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7"/>
        <v>SIN STOCK</v>
      </c>
    </row>
    <row r="860" spans="1:11" ht="14.25">
      <c r="A860" s="18" t="s">
        <v>3003</v>
      </c>
      <c r="B860" s="3" t="str">
        <f>IFERROR(INDEX(Movimientos!$C$2:$C$1998,MATCH(A860&amp;"ENTRADA",Movimientos!$R$2:$R$1998,0)),"-")</f>
        <v>-</v>
      </c>
      <c r="C860" s="3" t="str">
        <f>IFERROR(INDEX(Movimientos!$D$2:$D$1998,MATCH(A860&amp;"ENTRADA",Movimientos!$R$2:$R$1998,0)),"-")</f>
        <v>-</v>
      </c>
      <c r="D860" s="3" t="str">
        <f>IFERROR(INDEX(Movimientos!$E$2:$E$1998,MATCH(A860&amp;"ENTRADA",Movimientos!$R$2:$R$1998,0)),"-")</f>
        <v>-</v>
      </c>
      <c r="E860" s="3" t="str">
        <f>IFERROR(INDEX(Movimientos!$F$2:$F$1998,MATCH(A860&amp;"ENTRADA",Movimientos!$R$2:$R$1998,0)),"-")</f>
        <v>-</v>
      </c>
      <c r="F860" s="3" t="str">
        <f>IFERROR(INDEX(Movimientos!$G$2:$G$1998,MATCH(A860&amp;"ENTRADA",Movimientos!$R$2:$R$1998,0)),"-")</f>
        <v>-</v>
      </c>
      <c r="G860" s="3" t="str">
        <f>IFERROR(INDEX(Movimientos!$L$2:$L$1998,MATCH(A860&amp;"ENTRADA",Movimientos!$R$2:$R$1998,0)),"-")</f>
        <v>-</v>
      </c>
      <c r="H860" s="19" t="str">
        <f>IFERROR(IF(INDEX(Movimientos!$M$2:$M$1998,MATCH(A860&amp;"ENTRADA",Movimientos!$R$2:$R$1998,0))=0,"S/D",INDEX(Movimientos!$M$2:$M$1998,MATCH(A860&amp;"ENTRADA",Movimientos!$R$2:$R$1998,0))),"S/D")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7"/>
        <v>SIN STOCK</v>
      </c>
    </row>
    <row r="861" spans="1:11" ht="14.25">
      <c r="A861" s="18" t="s">
        <v>3004</v>
      </c>
      <c r="B861" s="3" t="str">
        <f>IFERROR(INDEX(Movimientos!$C$2:$C$1998,MATCH(A861&amp;"ENTRADA",Movimientos!$R$2:$R$1998,0)),"-")</f>
        <v>-</v>
      </c>
      <c r="C861" s="3" t="str">
        <f>IFERROR(INDEX(Movimientos!$D$2:$D$1998,MATCH(A861&amp;"ENTRADA",Movimientos!$R$2:$R$1998,0)),"-")</f>
        <v>-</v>
      </c>
      <c r="D861" s="3" t="str">
        <f>IFERROR(INDEX(Movimientos!$E$2:$E$1998,MATCH(A861&amp;"ENTRADA",Movimientos!$R$2:$R$1998,0)),"-")</f>
        <v>-</v>
      </c>
      <c r="E861" s="3" t="str">
        <f>IFERROR(INDEX(Movimientos!$F$2:$F$1998,MATCH(A861&amp;"ENTRADA",Movimientos!$R$2:$R$1998,0)),"-")</f>
        <v>-</v>
      </c>
      <c r="F861" s="3" t="str">
        <f>IFERROR(INDEX(Movimientos!$G$2:$G$1998,MATCH(A861&amp;"ENTRADA",Movimientos!$R$2:$R$1998,0)),"-")</f>
        <v>-</v>
      </c>
      <c r="G861" s="3" t="str">
        <f>IFERROR(INDEX(Movimientos!$L$2:$L$1998,MATCH(A861&amp;"ENTRADA",Movimientos!$R$2:$R$1998,0)),"-")</f>
        <v>-</v>
      </c>
      <c r="H861" s="19" t="str">
        <f>IFERROR(IF(INDEX(Movimientos!$M$2:$M$1998,MATCH(A861&amp;"ENTRADA",Movimientos!$R$2:$R$1998,0))=0,"S/D",INDEX(Movimientos!$M$2:$M$1998,MATCH(A861&amp;"ENTRADA",Movimientos!$R$2:$R$1998,0))),"S/D")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7"/>
        <v>SIN STOCK</v>
      </c>
    </row>
    <row r="862" spans="1:11" ht="14.25">
      <c r="A862" s="18" t="s">
        <v>3005</v>
      </c>
      <c r="B862" s="3" t="str">
        <f>IFERROR(INDEX(Movimientos!$C$2:$C$1998,MATCH(A862&amp;"ENTRADA",Movimientos!$R$2:$R$1998,0)),"-")</f>
        <v>-</v>
      </c>
      <c r="C862" s="3" t="str">
        <f>IFERROR(INDEX(Movimientos!$D$2:$D$1998,MATCH(A862&amp;"ENTRADA",Movimientos!$R$2:$R$1998,0)),"-")</f>
        <v>-</v>
      </c>
      <c r="D862" s="3" t="str">
        <f>IFERROR(INDEX(Movimientos!$E$2:$E$1998,MATCH(A862&amp;"ENTRADA",Movimientos!$R$2:$R$1998,0)),"-")</f>
        <v>-</v>
      </c>
      <c r="E862" s="3" t="str">
        <f>IFERROR(INDEX(Movimientos!$F$2:$F$1998,MATCH(A862&amp;"ENTRADA",Movimientos!$R$2:$R$1998,0)),"-")</f>
        <v>-</v>
      </c>
      <c r="F862" s="3" t="str">
        <f>IFERROR(INDEX(Movimientos!$G$2:$G$1998,MATCH(A862&amp;"ENTRADA",Movimientos!$R$2:$R$1998,0)),"-")</f>
        <v>-</v>
      </c>
      <c r="G862" s="3" t="str">
        <f>IFERROR(INDEX(Movimientos!$L$2:$L$1998,MATCH(A862&amp;"ENTRADA",Movimientos!$R$2:$R$1998,0)),"-")</f>
        <v>-</v>
      </c>
      <c r="H862" s="19" t="str">
        <f>IFERROR(IF(INDEX(Movimientos!$M$2:$M$1998,MATCH(A862&amp;"ENTRADA",Movimientos!$R$2:$R$1998,0))=0,"S/D",INDEX(Movimientos!$M$2:$M$1998,MATCH(A862&amp;"ENTRADA",Movimientos!$R$2:$R$1998,0))),"S/D")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7"/>
        <v>SIN STOCK</v>
      </c>
    </row>
    <row r="863" spans="1:11" ht="14.25">
      <c r="A863" s="18" t="s">
        <v>3006</v>
      </c>
      <c r="B863" s="3" t="str">
        <f>IFERROR(INDEX(Movimientos!$C$2:$C$1998,MATCH(A863&amp;"ENTRADA",Movimientos!$R$2:$R$1998,0)),"-")</f>
        <v>-</v>
      </c>
      <c r="C863" s="3" t="str">
        <f>IFERROR(INDEX(Movimientos!$D$2:$D$1998,MATCH(A863&amp;"ENTRADA",Movimientos!$R$2:$R$1998,0)),"-")</f>
        <v>-</v>
      </c>
      <c r="D863" s="3" t="str">
        <f>IFERROR(INDEX(Movimientos!$E$2:$E$1998,MATCH(A863&amp;"ENTRADA",Movimientos!$R$2:$R$1998,0)),"-")</f>
        <v>-</v>
      </c>
      <c r="E863" s="3" t="str">
        <f>IFERROR(INDEX(Movimientos!$F$2:$F$1998,MATCH(A863&amp;"ENTRADA",Movimientos!$R$2:$R$1998,0)),"-")</f>
        <v>-</v>
      </c>
      <c r="F863" s="3" t="str">
        <f>IFERROR(INDEX(Movimientos!$G$2:$G$1998,MATCH(A863&amp;"ENTRADA",Movimientos!$R$2:$R$1998,0)),"-")</f>
        <v>-</v>
      </c>
      <c r="G863" s="3" t="str">
        <f>IFERROR(INDEX(Movimientos!$L$2:$L$1998,MATCH(A863&amp;"ENTRADA",Movimientos!$R$2:$R$1998,0)),"-")</f>
        <v>-</v>
      </c>
      <c r="H863" s="19" t="str">
        <f>IFERROR(IF(INDEX(Movimientos!$M$2:$M$1998,MATCH(A863&amp;"ENTRADA",Movimientos!$R$2:$R$1998,0))=0,"S/D",INDEX(Movimientos!$M$2:$M$1998,MATCH(A863&amp;"ENTRADA",Movimientos!$R$2:$R$1998,0))),"S/D")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7"/>
        <v>SIN STOCK</v>
      </c>
    </row>
    <row r="864" spans="1:11" ht="14.25">
      <c r="A864" s="18" t="s">
        <v>3007</v>
      </c>
      <c r="B864" s="3" t="str">
        <f>IFERROR(INDEX(Movimientos!$C$2:$C$1998,MATCH(A864&amp;"ENTRADA",Movimientos!$R$2:$R$1998,0)),"-")</f>
        <v>-</v>
      </c>
      <c r="C864" s="3" t="str">
        <f>IFERROR(INDEX(Movimientos!$D$2:$D$1998,MATCH(A864&amp;"ENTRADA",Movimientos!$R$2:$R$1998,0)),"-")</f>
        <v>-</v>
      </c>
      <c r="D864" s="3" t="str">
        <f>IFERROR(INDEX(Movimientos!$E$2:$E$1998,MATCH(A864&amp;"ENTRADA",Movimientos!$R$2:$R$1998,0)),"-")</f>
        <v>-</v>
      </c>
      <c r="E864" s="3" t="str">
        <f>IFERROR(INDEX(Movimientos!$F$2:$F$1998,MATCH(A864&amp;"ENTRADA",Movimientos!$R$2:$R$1998,0)),"-")</f>
        <v>-</v>
      </c>
      <c r="F864" s="3" t="str">
        <f>IFERROR(INDEX(Movimientos!$G$2:$G$1998,MATCH(A864&amp;"ENTRADA",Movimientos!$R$2:$R$1998,0)),"-")</f>
        <v>-</v>
      </c>
      <c r="G864" s="3" t="str">
        <f>IFERROR(INDEX(Movimientos!$L$2:$L$1998,MATCH(A864&amp;"ENTRADA",Movimientos!$R$2:$R$1998,0)),"-")</f>
        <v>-</v>
      </c>
      <c r="H864" s="19" t="str">
        <f>IFERROR(IF(INDEX(Movimientos!$M$2:$M$1998,MATCH(A864&amp;"ENTRADA",Movimientos!$R$2:$R$1998,0))=0,"S/D",INDEX(Movimientos!$M$2:$M$1998,MATCH(A864&amp;"ENTRADA",Movimientos!$R$2:$R$1998,0))),"S/D")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7"/>
        <v>SIN STOCK</v>
      </c>
    </row>
    <row r="865" spans="1:11" ht="14.25">
      <c r="A865" s="18" t="s">
        <v>3008</v>
      </c>
      <c r="B865" s="3" t="str">
        <f>IFERROR(INDEX(Movimientos!$C$2:$C$1998,MATCH(A865&amp;"ENTRADA",Movimientos!$R$2:$R$1998,0)),"-")</f>
        <v>-</v>
      </c>
      <c r="C865" s="3" t="str">
        <f>IFERROR(INDEX(Movimientos!$D$2:$D$1998,MATCH(A865&amp;"ENTRADA",Movimientos!$R$2:$R$1998,0)),"-")</f>
        <v>-</v>
      </c>
      <c r="D865" s="3" t="str">
        <f>IFERROR(INDEX(Movimientos!$E$2:$E$1998,MATCH(A865&amp;"ENTRADA",Movimientos!$R$2:$R$1998,0)),"-")</f>
        <v>-</v>
      </c>
      <c r="E865" s="3" t="str">
        <f>IFERROR(INDEX(Movimientos!$F$2:$F$1998,MATCH(A865&amp;"ENTRADA",Movimientos!$R$2:$R$1998,0)),"-")</f>
        <v>-</v>
      </c>
      <c r="F865" s="3" t="str">
        <f>IFERROR(INDEX(Movimientos!$G$2:$G$1998,MATCH(A865&amp;"ENTRADA",Movimientos!$R$2:$R$1998,0)),"-")</f>
        <v>-</v>
      </c>
      <c r="G865" s="3" t="str">
        <f>IFERROR(INDEX(Movimientos!$L$2:$L$1998,MATCH(A865&amp;"ENTRADA",Movimientos!$R$2:$R$1998,0)),"-")</f>
        <v>-</v>
      </c>
      <c r="H865" s="19" t="str">
        <f>IFERROR(IF(INDEX(Movimientos!$M$2:$M$1998,MATCH(A865&amp;"ENTRADA",Movimientos!$R$2:$R$1998,0))=0,"S/D",INDEX(Movimientos!$M$2:$M$1998,MATCH(A865&amp;"ENTRADA",Movimientos!$R$2:$R$1998,0))),"S/D")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7"/>
        <v>SIN STOCK</v>
      </c>
    </row>
    <row r="866" spans="1:11" ht="14.25">
      <c r="A866" s="18" t="s">
        <v>3009</v>
      </c>
      <c r="B866" s="3" t="str">
        <f>IFERROR(INDEX(Movimientos!$C$2:$C$1998,MATCH(A866&amp;"ENTRADA",Movimientos!$R$2:$R$1998,0)),"-")</f>
        <v>-</v>
      </c>
      <c r="C866" s="3" t="str">
        <f>IFERROR(INDEX(Movimientos!$D$2:$D$1998,MATCH(A866&amp;"ENTRADA",Movimientos!$R$2:$R$1998,0)),"-")</f>
        <v>-</v>
      </c>
      <c r="D866" s="3" t="str">
        <f>IFERROR(INDEX(Movimientos!$E$2:$E$1998,MATCH(A866&amp;"ENTRADA",Movimientos!$R$2:$R$1998,0)),"-")</f>
        <v>-</v>
      </c>
      <c r="E866" s="3" t="str">
        <f>IFERROR(INDEX(Movimientos!$F$2:$F$1998,MATCH(A866&amp;"ENTRADA",Movimientos!$R$2:$R$1998,0)),"-")</f>
        <v>-</v>
      </c>
      <c r="F866" s="3" t="str">
        <f>IFERROR(INDEX(Movimientos!$G$2:$G$1998,MATCH(A866&amp;"ENTRADA",Movimientos!$R$2:$R$1998,0)),"-")</f>
        <v>-</v>
      </c>
      <c r="G866" s="3" t="str">
        <f>IFERROR(INDEX(Movimientos!$L$2:$L$1998,MATCH(A866&amp;"ENTRADA",Movimientos!$R$2:$R$1998,0)),"-")</f>
        <v>-</v>
      </c>
      <c r="H866" s="19" t="str">
        <f>IFERROR(IF(INDEX(Movimientos!$M$2:$M$1998,MATCH(A866&amp;"ENTRADA",Movimientos!$R$2:$R$1998,0))=0,"S/D",INDEX(Movimientos!$M$2:$M$1998,MATCH(A866&amp;"ENTRADA",Movimientos!$R$2:$R$1998,0))),"S/D")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7"/>
        <v>SIN STOCK</v>
      </c>
    </row>
    <row r="867" spans="1:11" ht="14.25">
      <c r="A867" s="18" t="s">
        <v>3010</v>
      </c>
      <c r="B867" s="3" t="str">
        <f>IFERROR(INDEX(Movimientos!$C$2:$C$1998,MATCH(A867&amp;"ENTRADA",Movimientos!$R$2:$R$1998,0)),"-")</f>
        <v>-</v>
      </c>
      <c r="C867" s="3" t="str">
        <f>IFERROR(INDEX(Movimientos!$D$2:$D$1998,MATCH(A867&amp;"ENTRADA",Movimientos!$R$2:$R$1998,0)),"-")</f>
        <v>-</v>
      </c>
      <c r="D867" s="3" t="str">
        <f>IFERROR(INDEX(Movimientos!$E$2:$E$1998,MATCH(A867&amp;"ENTRADA",Movimientos!$R$2:$R$1998,0)),"-")</f>
        <v>-</v>
      </c>
      <c r="E867" s="3" t="str">
        <f>IFERROR(INDEX(Movimientos!$F$2:$F$1998,MATCH(A867&amp;"ENTRADA",Movimientos!$R$2:$R$1998,0)),"-")</f>
        <v>-</v>
      </c>
      <c r="F867" s="3" t="str">
        <f>IFERROR(INDEX(Movimientos!$G$2:$G$1998,MATCH(A867&amp;"ENTRADA",Movimientos!$R$2:$R$1998,0)),"-")</f>
        <v>-</v>
      </c>
      <c r="G867" s="3" t="str">
        <f>IFERROR(INDEX(Movimientos!$L$2:$L$1998,MATCH(A867&amp;"ENTRADA",Movimientos!$R$2:$R$1998,0)),"-")</f>
        <v>-</v>
      </c>
      <c r="H867" s="19" t="str">
        <f>IFERROR(IF(INDEX(Movimientos!$M$2:$M$1998,MATCH(A867&amp;"ENTRADA",Movimientos!$R$2:$R$1998,0))=0,"S/D",INDEX(Movimientos!$M$2:$M$1998,MATCH(A867&amp;"ENTRADA",Movimientos!$R$2:$R$1998,0))),"S/D")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7"/>
        <v>SIN STOCK</v>
      </c>
    </row>
    <row r="868" spans="1:11" ht="14.25">
      <c r="A868" s="18" t="s">
        <v>3011</v>
      </c>
      <c r="B868" s="3" t="str">
        <f>IFERROR(INDEX(Movimientos!$C$2:$C$1998,MATCH(A868&amp;"ENTRADA",Movimientos!$R$2:$R$1998,0)),"-")</f>
        <v>-</v>
      </c>
      <c r="C868" s="3" t="str">
        <f>IFERROR(INDEX(Movimientos!$D$2:$D$1998,MATCH(A868&amp;"ENTRADA",Movimientos!$R$2:$R$1998,0)),"-")</f>
        <v>-</v>
      </c>
      <c r="D868" s="3" t="str">
        <f>IFERROR(INDEX(Movimientos!$E$2:$E$1998,MATCH(A868&amp;"ENTRADA",Movimientos!$R$2:$R$1998,0)),"-")</f>
        <v>-</v>
      </c>
      <c r="E868" s="3" t="str">
        <f>IFERROR(INDEX(Movimientos!$F$2:$F$1998,MATCH(A868&amp;"ENTRADA",Movimientos!$R$2:$R$1998,0)),"-")</f>
        <v>-</v>
      </c>
      <c r="F868" s="3" t="str">
        <f>IFERROR(INDEX(Movimientos!$G$2:$G$1998,MATCH(A868&amp;"ENTRADA",Movimientos!$R$2:$R$1998,0)),"-")</f>
        <v>-</v>
      </c>
      <c r="G868" s="3" t="str">
        <f>IFERROR(INDEX(Movimientos!$L$2:$L$1998,MATCH(A868&amp;"ENTRADA",Movimientos!$R$2:$R$1998,0)),"-")</f>
        <v>-</v>
      </c>
      <c r="H868" s="19" t="str">
        <f>IFERROR(IF(INDEX(Movimientos!$M$2:$M$1998,MATCH(A868&amp;"ENTRADA",Movimientos!$R$2:$R$1998,0))=0,"S/D",INDEX(Movimientos!$M$2:$M$1998,MATCH(A868&amp;"ENTRADA",Movimientos!$R$2:$R$1998,0))),"S/D")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7"/>
        <v>SIN STOCK</v>
      </c>
    </row>
    <row r="869" spans="1:11" ht="14.25">
      <c r="A869" s="18" t="s">
        <v>3012</v>
      </c>
      <c r="B869" s="3" t="str">
        <f>IFERROR(INDEX(Movimientos!$C$2:$C$1998,MATCH(A869&amp;"ENTRADA",Movimientos!$R$2:$R$1998,0)),"-")</f>
        <v>-</v>
      </c>
      <c r="C869" s="3" t="str">
        <f>IFERROR(INDEX(Movimientos!$D$2:$D$1998,MATCH(A869&amp;"ENTRADA",Movimientos!$R$2:$R$1998,0)),"-")</f>
        <v>-</v>
      </c>
      <c r="D869" s="3" t="str">
        <f>IFERROR(INDEX(Movimientos!$E$2:$E$1998,MATCH(A869&amp;"ENTRADA",Movimientos!$R$2:$R$1998,0)),"-")</f>
        <v>-</v>
      </c>
      <c r="E869" s="3" t="str">
        <f>IFERROR(INDEX(Movimientos!$F$2:$F$1998,MATCH(A869&amp;"ENTRADA",Movimientos!$R$2:$R$1998,0)),"-")</f>
        <v>-</v>
      </c>
      <c r="F869" s="3" t="str">
        <f>IFERROR(INDEX(Movimientos!$G$2:$G$1998,MATCH(A869&amp;"ENTRADA",Movimientos!$R$2:$R$1998,0)),"-")</f>
        <v>-</v>
      </c>
      <c r="G869" s="3" t="str">
        <f>IFERROR(INDEX(Movimientos!$L$2:$L$1998,MATCH(A869&amp;"ENTRADA",Movimientos!$R$2:$R$1998,0)),"-")</f>
        <v>-</v>
      </c>
      <c r="H869" s="19" t="str">
        <f>IFERROR(IF(INDEX(Movimientos!$M$2:$M$1998,MATCH(A869&amp;"ENTRADA",Movimientos!$R$2:$R$1998,0))=0,"S/D",INDEX(Movimientos!$M$2:$M$1998,MATCH(A869&amp;"ENTRADA",Movimientos!$R$2:$R$1998,0))),"S/D")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7"/>
        <v>SIN STOCK</v>
      </c>
    </row>
    <row r="870" spans="1:11" ht="14.25">
      <c r="A870" s="18" t="s">
        <v>3013</v>
      </c>
      <c r="B870" s="3" t="str">
        <f>IFERROR(INDEX(Movimientos!$C$2:$C$1998,MATCH(A870&amp;"ENTRADA",Movimientos!$R$2:$R$1998,0)),"-")</f>
        <v>-</v>
      </c>
      <c r="C870" s="3" t="str">
        <f>IFERROR(INDEX(Movimientos!$D$2:$D$1998,MATCH(A870&amp;"ENTRADA",Movimientos!$R$2:$R$1998,0)),"-")</f>
        <v>-</v>
      </c>
      <c r="D870" s="3" t="str">
        <f>IFERROR(INDEX(Movimientos!$E$2:$E$1998,MATCH(A870&amp;"ENTRADA",Movimientos!$R$2:$R$1998,0)),"-")</f>
        <v>-</v>
      </c>
      <c r="E870" s="3" t="str">
        <f>IFERROR(INDEX(Movimientos!$F$2:$F$1998,MATCH(A870&amp;"ENTRADA",Movimientos!$R$2:$R$1998,0)),"-")</f>
        <v>-</v>
      </c>
      <c r="F870" s="3" t="str">
        <f>IFERROR(INDEX(Movimientos!$G$2:$G$1998,MATCH(A870&amp;"ENTRADA",Movimientos!$R$2:$R$1998,0)),"-")</f>
        <v>-</v>
      </c>
      <c r="G870" s="3" t="str">
        <f>IFERROR(INDEX(Movimientos!$L$2:$L$1998,MATCH(A870&amp;"ENTRADA",Movimientos!$R$2:$R$1998,0)),"-")</f>
        <v>-</v>
      </c>
      <c r="H870" s="19" t="str">
        <f>IFERROR(IF(INDEX(Movimientos!$M$2:$M$1998,MATCH(A870&amp;"ENTRADA",Movimientos!$R$2:$R$1998,0))=0,"S/D",INDEX(Movimientos!$M$2:$M$1998,MATCH(A870&amp;"ENTRADA",Movimientos!$R$2:$R$1998,0))),"S/D")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7"/>
        <v>SIN STOCK</v>
      </c>
    </row>
    <row r="871" spans="1:11" ht="14.25">
      <c r="A871" s="18" t="s">
        <v>3014</v>
      </c>
      <c r="B871" s="3" t="str">
        <f>IFERROR(INDEX(Movimientos!$C$2:$C$1998,MATCH(A871&amp;"ENTRADA",Movimientos!$R$2:$R$1998,0)),"-")</f>
        <v>-</v>
      </c>
      <c r="C871" s="3" t="str">
        <f>IFERROR(INDEX(Movimientos!$D$2:$D$1998,MATCH(A871&amp;"ENTRADA",Movimientos!$R$2:$R$1998,0)),"-")</f>
        <v>-</v>
      </c>
      <c r="D871" s="3" t="str">
        <f>IFERROR(INDEX(Movimientos!$E$2:$E$1998,MATCH(A871&amp;"ENTRADA",Movimientos!$R$2:$R$1998,0)),"-")</f>
        <v>-</v>
      </c>
      <c r="E871" s="3" t="str">
        <f>IFERROR(INDEX(Movimientos!$F$2:$F$1998,MATCH(A871&amp;"ENTRADA",Movimientos!$R$2:$R$1998,0)),"-")</f>
        <v>-</v>
      </c>
      <c r="F871" s="3" t="str">
        <f>IFERROR(INDEX(Movimientos!$G$2:$G$1998,MATCH(A871&amp;"ENTRADA",Movimientos!$R$2:$R$1998,0)),"-")</f>
        <v>-</v>
      </c>
      <c r="G871" s="3" t="str">
        <f>IFERROR(INDEX(Movimientos!$L$2:$L$1998,MATCH(A871&amp;"ENTRADA",Movimientos!$R$2:$R$1998,0)),"-")</f>
        <v>-</v>
      </c>
      <c r="H871" s="19" t="str">
        <f>IFERROR(IF(INDEX(Movimientos!$M$2:$M$1998,MATCH(A871&amp;"ENTRADA",Movimientos!$R$2:$R$1998,0))=0,"S/D",INDEX(Movimientos!$M$2:$M$1998,MATCH(A871&amp;"ENTRADA",Movimientos!$R$2:$R$1998,0))),"S/D")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7"/>
        <v>SIN STOCK</v>
      </c>
    </row>
    <row r="872" spans="1:11" ht="14.25">
      <c r="A872" s="18" t="s">
        <v>3015</v>
      </c>
      <c r="B872" s="3" t="str">
        <f>IFERROR(INDEX(Movimientos!$C$2:$C$1998,MATCH(A872&amp;"ENTRADA",Movimientos!$R$2:$R$1998,0)),"-")</f>
        <v>-</v>
      </c>
      <c r="C872" s="3" t="str">
        <f>IFERROR(INDEX(Movimientos!$D$2:$D$1998,MATCH(A872&amp;"ENTRADA",Movimientos!$R$2:$R$1998,0)),"-")</f>
        <v>-</v>
      </c>
      <c r="D872" s="3" t="str">
        <f>IFERROR(INDEX(Movimientos!$E$2:$E$1998,MATCH(A872&amp;"ENTRADA",Movimientos!$R$2:$R$1998,0)),"-")</f>
        <v>-</v>
      </c>
      <c r="E872" s="3" t="str">
        <f>IFERROR(INDEX(Movimientos!$F$2:$F$1998,MATCH(A872&amp;"ENTRADA",Movimientos!$R$2:$R$1998,0)),"-")</f>
        <v>-</v>
      </c>
      <c r="F872" s="3" t="str">
        <f>IFERROR(INDEX(Movimientos!$G$2:$G$1998,MATCH(A872&amp;"ENTRADA",Movimientos!$R$2:$R$1998,0)),"-")</f>
        <v>-</v>
      </c>
      <c r="G872" s="3" t="str">
        <f>IFERROR(INDEX(Movimientos!$L$2:$L$1998,MATCH(A872&amp;"ENTRADA",Movimientos!$R$2:$R$1998,0)),"-")</f>
        <v>-</v>
      </c>
      <c r="H872" s="19" t="str">
        <f>IFERROR(IF(INDEX(Movimientos!$M$2:$M$1998,MATCH(A872&amp;"ENTRADA",Movimientos!$R$2:$R$1998,0))=0,"S/D",INDEX(Movimientos!$M$2:$M$1998,MATCH(A872&amp;"ENTRADA",Movimientos!$R$2:$R$1998,0))),"S/D")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7"/>
        <v>SIN STOCK</v>
      </c>
    </row>
    <row r="873" spans="1:11" ht="14.25">
      <c r="A873" s="18" t="s">
        <v>3016</v>
      </c>
      <c r="B873" s="3" t="str">
        <f>IFERROR(INDEX(Movimientos!$C$2:$C$1998,MATCH(A873&amp;"ENTRADA",Movimientos!$R$2:$R$1998,0)),"-")</f>
        <v>-</v>
      </c>
      <c r="C873" s="3" t="str">
        <f>IFERROR(INDEX(Movimientos!$D$2:$D$1998,MATCH(A873&amp;"ENTRADA",Movimientos!$R$2:$R$1998,0)),"-")</f>
        <v>-</v>
      </c>
      <c r="D873" s="3" t="str">
        <f>IFERROR(INDEX(Movimientos!$E$2:$E$1998,MATCH(A873&amp;"ENTRADA",Movimientos!$R$2:$R$1998,0)),"-")</f>
        <v>-</v>
      </c>
      <c r="E873" s="3" t="str">
        <f>IFERROR(INDEX(Movimientos!$F$2:$F$1998,MATCH(A873&amp;"ENTRADA",Movimientos!$R$2:$R$1998,0)),"-")</f>
        <v>-</v>
      </c>
      <c r="F873" s="3" t="str">
        <f>IFERROR(INDEX(Movimientos!$G$2:$G$1998,MATCH(A873&amp;"ENTRADA",Movimientos!$R$2:$R$1998,0)),"-")</f>
        <v>-</v>
      </c>
      <c r="G873" s="3" t="str">
        <f>IFERROR(INDEX(Movimientos!$L$2:$L$1998,MATCH(A873&amp;"ENTRADA",Movimientos!$R$2:$R$1998,0)),"-")</f>
        <v>-</v>
      </c>
      <c r="H873" s="19" t="str">
        <f>IFERROR(IF(INDEX(Movimientos!$M$2:$M$1998,MATCH(A873&amp;"ENTRADA",Movimientos!$R$2:$R$1998,0))=0,"S/D",INDEX(Movimientos!$M$2:$M$1998,MATCH(A873&amp;"ENTRADA",Movimientos!$R$2:$R$1998,0))),"S/D")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7"/>
        <v>SIN STOCK</v>
      </c>
    </row>
    <row r="874" spans="1:11" ht="14.25">
      <c r="A874" s="18" t="s">
        <v>3017</v>
      </c>
      <c r="B874" s="3" t="str">
        <f>IFERROR(INDEX(Movimientos!$C$2:$C$1998,MATCH(A874&amp;"ENTRADA",Movimientos!$R$2:$R$1998,0)),"-")</f>
        <v>-</v>
      </c>
      <c r="C874" s="3" t="str">
        <f>IFERROR(INDEX(Movimientos!$D$2:$D$1998,MATCH(A874&amp;"ENTRADA",Movimientos!$R$2:$R$1998,0)),"-")</f>
        <v>-</v>
      </c>
      <c r="D874" s="3" t="str">
        <f>IFERROR(INDEX(Movimientos!$E$2:$E$1998,MATCH(A874&amp;"ENTRADA",Movimientos!$R$2:$R$1998,0)),"-")</f>
        <v>-</v>
      </c>
      <c r="E874" s="3" t="str">
        <f>IFERROR(INDEX(Movimientos!$F$2:$F$1998,MATCH(A874&amp;"ENTRADA",Movimientos!$R$2:$R$1998,0)),"-")</f>
        <v>-</v>
      </c>
      <c r="F874" s="3" t="str">
        <f>IFERROR(INDEX(Movimientos!$G$2:$G$1998,MATCH(A874&amp;"ENTRADA",Movimientos!$R$2:$R$1998,0)),"-")</f>
        <v>-</v>
      </c>
      <c r="G874" s="3" t="str">
        <f>IFERROR(INDEX(Movimientos!$L$2:$L$1998,MATCH(A874&amp;"ENTRADA",Movimientos!$R$2:$R$1998,0)),"-")</f>
        <v>-</v>
      </c>
      <c r="H874" s="19" t="str">
        <f>IFERROR(IF(INDEX(Movimientos!$M$2:$M$1998,MATCH(A874&amp;"ENTRADA",Movimientos!$R$2:$R$1998,0))=0,"S/D",INDEX(Movimientos!$M$2:$M$1998,MATCH(A874&amp;"ENTRADA",Movimientos!$R$2:$R$1998,0))),"S/D")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7"/>
        <v>SIN STOCK</v>
      </c>
    </row>
    <row r="875" spans="1:11" ht="14.25">
      <c r="A875" s="18" t="s">
        <v>3018</v>
      </c>
      <c r="B875" s="3" t="str">
        <f>IFERROR(INDEX(Movimientos!$C$2:$C$1998,MATCH(A875&amp;"ENTRADA",Movimientos!$R$2:$R$1998,0)),"-")</f>
        <v>-</v>
      </c>
      <c r="C875" s="3" t="str">
        <f>IFERROR(INDEX(Movimientos!$D$2:$D$1998,MATCH(A875&amp;"ENTRADA",Movimientos!$R$2:$R$1998,0)),"-")</f>
        <v>-</v>
      </c>
      <c r="D875" s="3" t="str">
        <f>IFERROR(INDEX(Movimientos!$E$2:$E$1998,MATCH(A875&amp;"ENTRADA",Movimientos!$R$2:$R$1998,0)),"-")</f>
        <v>-</v>
      </c>
      <c r="E875" s="3" t="str">
        <f>IFERROR(INDEX(Movimientos!$F$2:$F$1998,MATCH(A875&amp;"ENTRADA",Movimientos!$R$2:$R$1998,0)),"-")</f>
        <v>-</v>
      </c>
      <c r="F875" s="3" t="str">
        <f>IFERROR(INDEX(Movimientos!$G$2:$G$1998,MATCH(A875&amp;"ENTRADA",Movimientos!$R$2:$R$1998,0)),"-")</f>
        <v>-</v>
      </c>
      <c r="G875" s="3" t="str">
        <f>IFERROR(INDEX(Movimientos!$L$2:$L$1998,MATCH(A875&amp;"ENTRADA",Movimientos!$R$2:$R$1998,0)),"-")</f>
        <v>-</v>
      </c>
      <c r="H875" s="19" t="str">
        <f>IFERROR(IF(INDEX(Movimientos!$M$2:$M$1998,MATCH(A875&amp;"ENTRADA",Movimientos!$R$2:$R$1998,0))=0,"S/D",INDEX(Movimientos!$M$2:$M$1998,MATCH(A875&amp;"ENTRADA",Movimientos!$R$2:$R$1998,0))),"S/D")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7"/>
        <v>SIN STOCK</v>
      </c>
    </row>
    <row r="876" spans="1:11" ht="14.25">
      <c r="A876" s="18" t="s">
        <v>3019</v>
      </c>
      <c r="B876" s="3" t="str">
        <f>IFERROR(INDEX(Movimientos!$C$2:$C$1998,MATCH(A876&amp;"ENTRADA",Movimientos!$R$2:$R$1998,0)),"-")</f>
        <v>-</v>
      </c>
      <c r="C876" s="3" t="str">
        <f>IFERROR(INDEX(Movimientos!$D$2:$D$1998,MATCH(A876&amp;"ENTRADA",Movimientos!$R$2:$R$1998,0)),"-")</f>
        <v>-</v>
      </c>
      <c r="D876" s="3" t="str">
        <f>IFERROR(INDEX(Movimientos!$E$2:$E$1998,MATCH(A876&amp;"ENTRADA",Movimientos!$R$2:$R$1998,0)),"-")</f>
        <v>-</v>
      </c>
      <c r="E876" s="3" t="str">
        <f>IFERROR(INDEX(Movimientos!$F$2:$F$1998,MATCH(A876&amp;"ENTRADA",Movimientos!$R$2:$R$1998,0)),"-")</f>
        <v>-</v>
      </c>
      <c r="F876" s="3" t="str">
        <f>IFERROR(INDEX(Movimientos!$G$2:$G$1998,MATCH(A876&amp;"ENTRADA",Movimientos!$R$2:$R$1998,0)),"-")</f>
        <v>-</v>
      </c>
      <c r="G876" s="3" t="str">
        <f>IFERROR(INDEX(Movimientos!$L$2:$L$1998,MATCH(A876&amp;"ENTRADA",Movimientos!$R$2:$R$1998,0)),"-")</f>
        <v>-</v>
      </c>
      <c r="H876" s="19" t="str">
        <f>IFERROR(IF(INDEX(Movimientos!$M$2:$M$1998,MATCH(A876&amp;"ENTRADA",Movimientos!$R$2:$R$1998,0))=0,"S/D",INDEX(Movimientos!$M$2:$M$1998,MATCH(A876&amp;"ENTRADA",Movimientos!$R$2:$R$1998,0))),"S/D")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7"/>
        <v>SIN STOCK</v>
      </c>
    </row>
    <row r="877" spans="1:11" ht="14.25">
      <c r="A877" s="18" t="s">
        <v>3020</v>
      </c>
      <c r="B877" s="3" t="str">
        <f>IFERROR(INDEX(Movimientos!$C$2:$C$1998,MATCH(A877&amp;"ENTRADA",Movimientos!$R$2:$R$1998,0)),"-")</f>
        <v>-</v>
      </c>
      <c r="C877" s="3" t="str">
        <f>IFERROR(INDEX(Movimientos!$D$2:$D$1998,MATCH(A877&amp;"ENTRADA",Movimientos!$R$2:$R$1998,0)),"-")</f>
        <v>-</v>
      </c>
      <c r="D877" s="3" t="str">
        <f>IFERROR(INDEX(Movimientos!$E$2:$E$1998,MATCH(A877&amp;"ENTRADA",Movimientos!$R$2:$R$1998,0)),"-")</f>
        <v>-</v>
      </c>
      <c r="E877" s="3" t="str">
        <f>IFERROR(INDEX(Movimientos!$F$2:$F$1998,MATCH(A877&amp;"ENTRADA",Movimientos!$R$2:$R$1998,0)),"-")</f>
        <v>-</v>
      </c>
      <c r="F877" s="3" t="str">
        <f>IFERROR(INDEX(Movimientos!$G$2:$G$1998,MATCH(A877&amp;"ENTRADA",Movimientos!$R$2:$R$1998,0)),"-")</f>
        <v>-</v>
      </c>
      <c r="G877" s="3" t="str">
        <f>IFERROR(INDEX(Movimientos!$L$2:$L$1998,MATCH(A877&amp;"ENTRADA",Movimientos!$R$2:$R$1998,0)),"-")</f>
        <v>-</v>
      </c>
      <c r="H877" s="19" t="str">
        <f>IFERROR(IF(INDEX(Movimientos!$M$2:$M$1998,MATCH(A877&amp;"ENTRADA",Movimientos!$R$2:$R$1998,0))=0,"S/D",INDEX(Movimientos!$M$2:$M$1998,MATCH(A877&amp;"ENTRADA",Movimientos!$R$2:$R$1998,0))),"S/D")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7"/>
        <v>SIN STOCK</v>
      </c>
    </row>
    <row r="878" spans="1:11" ht="14.25">
      <c r="A878" s="18" t="s">
        <v>3021</v>
      </c>
      <c r="B878" s="3" t="str">
        <f>IFERROR(INDEX(Movimientos!$C$2:$C$1998,MATCH(A878&amp;"ENTRADA",Movimientos!$R$2:$R$1998,0)),"-")</f>
        <v>-</v>
      </c>
      <c r="C878" s="3" t="str">
        <f>IFERROR(INDEX(Movimientos!$D$2:$D$1998,MATCH(A878&amp;"ENTRADA",Movimientos!$R$2:$R$1998,0)),"-")</f>
        <v>-</v>
      </c>
      <c r="D878" s="3" t="str">
        <f>IFERROR(INDEX(Movimientos!$E$2:$E$1998,MATCH(A878&amp;"ENTRADA",Movimientos!$R$2:$R$1998,0)),"-")</f>
        <v>-</v>
      </c>
      <c r="E878" s="3" t="str">
        <f>IFERROR(INDEX(Movimientos!$F$2:$F$1998,MATCH(A878&amp;"ENTRADA",Movimientos!$R$2:$R$1998,0)),"-")</f>
        <v>-</v>
      </c>
      <c r="F878" s="3" t="str">
        <f>IFERROR(INDEX(Movimientos!$G$2:$G$1998,MATCH(A878&amp;"ENTRADA",Movimientos!$R$2:$R$1998,0)),"-")</f>
        <v>-</v>
      </c>
      <c r="G878" s="3" t="str">
        <f>IFERROR(INDEX(Movimientos!$L$2:$L$1998,MATCH(A878&amp;"ENTRADA",Movimientos!$R$2:$R$1998,0)),"-")</f>
        <v>-</v>
      </c>
      <c r="H878" s="19" t="str">
        <f>IFERROR(IF(INDEX(Movimientos!$M$2:$M$1998,MATCH(A878&amp;"ENTRADA",Movimientos!$R$2:$R$1998,0))=0,"S/D",INDEX(Movimientos!$M$2:$M$1998,MATCH(A878&amp;"ENTRADA",Movimientos!$R$2:$R$1998,0))),"S/D")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7"/>
        <v>SIN STOCK</v>
      </c>
    </row>
    <row r="879" spans="1:11" ht="14.25">
      <c r="A879" s="18" t="s">
        <v>3022</v>
      </c>
      <c r="B879" s="3" t="str">
        <f>IFERROR(INDEX(Movimientos!$C$2:$C$1998,MATCH(A879&amp;"ENTRADA",Movimientos!$R$2:$R$1998,0)),"-")</f>
        <v>-</v>
      </c>
      <c r="C879" s="3" t="str">
        <f>IFERROR(INDEX(Movimientos!$D$2:$D$1998,MATCH(A879&amp;"ENTRADA",Movimientos!$R$2:$R$1998,0)),"-")</f>
        <v>-</v>
      </c>
      <c r="D879" s="3" t="str">
        <f>IFERROR(INDEX(Movimientos!$E$2:$E$1998,MATCH(A879&amp;"ENTRADA",Movimientos!$R$2:$R$1998,0)),"-")</f>
        <v>-</v>
      </c>
      <c r="E879" s="3" t="str">
        <f>IFERROR(INDEX(Movimientos!$F$2:$F$1998,MATCH(A879&amp;"ENTRADA",Movimientos!$R$2:$R$1998,0)),"-")</f>
        <v>-</v>
      </c>
      <c r="F879" s="3" t="str">
        <f>IFERROR(INDEX(Movimientos!$G$2:$G$1998,MATCH(A879&amp;"ENTRADA",Movimientos!$R$2:$R$1998,0)),"-")</f>
        <v>-</v>
      </c>
      <c r="G879" s="3" t="str">
        <f>IFERROR(INDEX(Movimientos!$L$2:$L$1998,MATCH(A879&amp;"ENTRADA",Movimientos!$R$2:$R$1998,0)),"-")</f>
        <v>-</v>
      </c>
      <c r="H879" s="19" t="str">
        <f>IFERROR(IF(INDEX(Movimientos!$M$2:$M$1998,MATCH(A879&amp;"ENTRADA",Movimientos!$R$2:$R$1998,0))=0,"S/D",INDEX(Movimientos!$M$2:$M$1998,MATCH(A879&amp;"ENTRADA",Movimientos!$R$2:$R$1998,0))),"S/D")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7"/>
        <v>SIN STOCK</v>
      </c>
    </row>
    <row r="880" spans="1:11" ht="14.25">
      <c r="A880" s="18" t="s">
        <v>3023</v>
      </c>
      <c r="B880" s="3" t="str">
        <f>IFERROR(INDEX(Movimientos!$C$2:$C$1998,MATCH(A880&amp;"ENTRADA",Movimientos!$R$2:$R$1998,0)),"-")</f>
        <v>-</v>
      </c>
      <c r="C880" s="3" t="str">
        <f>IFERROR(INDEX(Movimientos!$D$2:$D$1998,MATCH(A880&amp;"ENTRADA",Movimientos!$R$2:$R$1998,0)),"-")</f>
        <v>-</v>
      </c>
      <c r="D880" s="3" t="str">
        <f>IFERROR(INDEX(Movimientos!$E$2:$E$1998,MATCH(A880&amp;"ENTRADA",Movimientos!$R$2:$R$1998,0)),"-")</f>
        <v>-</v>
      </c>
      <c r="E880" s="3" t="str">
        <f>IFERROR(INDEX(Movimientos!$F$2:$F$1998,MATCH(A880&amp;"ENTRADA",Movimientos!$R$2:$R$1998,0)),"-")</f>
        <v>-</v>
      </c>
      <c r="F880" s="3" t="str">
        <f>IFERROR(INDEX(Movimientos!$G$2:$G$1998,MATCH(A880&amp;"ENTRADA",Movimientos!$R$2:$R$1998,0)),"-")</f>
        <v>-</v>
      </c>
      <c r="G880" s="3" t="str">
        <f>IFERROR(INDEX(Movimientos!$L$2:$L$1998,MATCH(A880&amp;"ENTRADA",Movimientos!$R$2:$R$1998,0)),"-")</f>
        <v>-</v>
      </c>
      <c r="H880" s="19" t="str">
        <f>IFERROR(IF(INDEX(Movimientos!$M$2:$M$1998,MATCH(A880&amp;"ENTRADA",Movimientos!$R$2:$R$1998,0))=0,"S/D",INDEX(Movimientos!$M$2:$M$1998,MATCH(A880&amp;"ENTRADA",Movimientos!$R$2:$R$1998,0))),"S/D")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7"/>
        <v>SIN STOCK</v>
      </c>
    </row>
    <row r="881" spans="1:11" ht="14.25">
      <c r="A881" s="18" t="s">
        <v>3024</v>
      </c>
      <c r="B881" s="3" t="str">
        <f>IFERROR(INDEX(Movimientos!$C$2:$C$1998,MATCH(A881&amp;"ENTRADA",Movimientos!$R$2:$R$1998,0)),"-")</f>
        <v>-</v>
      </c>
      <c r="C881" s="3" t="str">
        <f>IFERROR(INDEX(Movimientos!$D$2:$D$1998,MATCH(A881&amp;"ENTRADA",Movimientos!$R$2:$R$1998,0)),"-")</f>
        <v>-</v>
      </c>
      <c r="D881" s="3" t="str">
        <f>IFERROR(INDEX(Movimientos!$E$2:$E$1998,MATCH(A881&amp;"ENTRADA",Movimientos!$R$2:$R$1998,0)),"-")</f>
        <v>-</v>
      </c>
      <c r="E881" s="3" t="str">
        <f>IFERROR(INDEX(Movimientos!$F$2:$F$1998,MATCH(A881&amp;"ENTRADA",Movimientos!$R$2:$R$1998,0)),"-")</f>
        <v>-</v>
      </c>
      <c r="F881" s="3" t="str">
        <f>IFERROR(INDEX(Movimientos!$G$2:$G$1998,MATCH(A881&amp;"ENTRADA",Movimientos!$R$2:$R$1998,0)),"-")</f>
        <v>-</v>
      </c>
      <c r="G881" s="3" t="str">
        <f>IFERROR(INDEX(Movimientos!$L$2:$L$1998,MATCH(A881&amp;"ENTRADA",Movimientos!$R$2:$R$1998,0)),"-")</f>
        <v>-</v>
      </c>
      <c r="H881" s="19" t="str">
        <f>IFERROR(IF(INDEX(Movimientos!$M$2:$M$1998,MATCH(A881&amp;"ENTRADA",Movimientos!$R$2:$R$1998,0))=0,"S/D",INDEX(Movimientos!$M$2:$M$1998,MATCH(A881&amp;"ENTRADA",Movimientos!$R$2:$R$1998,0))),"S/D")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7"/>
        <v>SIN STOCK</v>
      </c>
    </row>
    <row r="882" spans="1:11" ht="14.25">
      <c r="A882" s="18" t="s">
        <v>3025</v>
      </c>
      <c r="B882" s="3" t="str">
        <f>IFERROR(INDEX(Movimientos!$C$2:$C$1998,MATCH(A882&amp;"ENTRADA",Movimientos!$R$2:$R$1998,0)),"-")</f>
        <v>-</v>
      </c>
      <c r="C882" s="3" t="str">
        <f>IFERROR(INDEX(Movimientos!$D$2:$D$1998,MATCH(A882&amp;"ENTRADA",Movimientos!$R$2:$R$1998,0)),"-")</f>
        <v>-</v>
      </c>
      <c r="D882" s="3" t="str">
        <f>IFERROR(INDEX(Movimientos!$E$2:$E$1998,MATCH(A882&amp;"ENTRADA",Movimientos!$R$2:$R$1998,0)),"-")</f>
        <v>-</v>
      </c>
      <c r="E882" s="3" t="str">
        <f>IFERROR(INDEX(Movimientos!$F$2:$F$1998,MATCH(A882&amp;"ENTRADA",Movimientos!$R$2:$R$1998,0)),"-")</f>
        <v>-</v>
      </c>
      <c r="F882" s="3" t="str">
        <f>IFERROR(INDEX(Movimientos!$G$2:$G$1998,MATCH(A882&amp;"ENTRADA",Movimientos!$R$2:$R$1998,0)),"-")</f>
        <v>-</v>
      </c>
      <c r="G882" s="3" t="str">
        <f>IFERROR(INDEX(Movimientos!$L$2:$L$1998,MATCH(A882&amp;"ENTRADA",Movimientos!$R$2:$R$1998,0)),"-")</f>
        <v>-</v>
      </c>
      <c r="H882" s="19" t="str">
        <f>IFERROR(IF(INDEX(Movimientos!$M$2:$M$1998,MATCH(A882&amp;"ENTRADA",Movimientos!$R$2:$R$1998,0))=0,"S/D",INDEX(Movimientos!$M$2:$M$1998,MATCH(A882&amp;"ENTRADA",Movimientos!$R$2:$R$1998,0))),"S/D")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7"/>
        <v>SIN STOCK</v>
      </c>
    </row>
    <row r="883" spans="1:11" ht="14.25">
      <c r="A883" s="18" t="s">
        <v>3026</v>
      </c>
      <c r="B883" s="3" t="str">
        <f>IFERROR(INDEX(Movimientos!$C$2:$C$1998,MATCH(A883&amp;"ENTRADA",Movimientos!$R$2:$R$1998,0)),"-")</f>
        <v>-</v>
      </c>
      <c r="C883" s="3" t="str">
        <f>IFERROR(INDEX(Movimientos!$D$2:$D$1998,MATCH(A883&amp;"ENTRADA",Movimientos!$R$2:$R$1998,0)),"-")</f>
        <v>-</v>
      </c>
      <c r="D883" s="3" t="str">
        <f>IFERROR(INDEX(Movimientos!$E$2:$E$1998,MATCH(A883&amp;"ENTRADA",Movimientos!$R$2:$R$1998,0)),"-")</f>
        <v>-</v>
      </c>
      <c r="E883" s="3" t="str">
        <f>IFERROR(INDEX(Movimientos!$F$2:$F$1998,MATCH(A883&amp;"ENTRADA",Movimientos!$R$2:$R$1998,0)),"-")</f>
        <v>-</v>
      </c>
      <c r="F883" s="3" t="str">
        <f>IFERROR(INDEX(Movimientos!$G$2:$G$1998,MATCH(A883&amp;"ENTRADA",Movimientos!$R$2:$R$1998,0)),"-")</f>
        <v>-</v>
      </c>
      <c r="G883" s="3" t="str">
        <f>IFERROR(INDEX(Movimientos!$L$2:$L$1998,MATCH(A883&amp;"ENTRADA",Movimientos!$R$2:$R$1998,0)),"-")</f>
        <v>-</v>
      </c>
      <c r="H883" s="19" t="str">
        <f>IFERROR(IF(INDEX(Movimientos!$M$2:$M$1998,MATCH(A883&amp;"ENTRADA",Movimientos!$R$2:$R$1998,0))=0,"S/D",INDEX(Movimientos!$M$2:$M$1998,MATCH(A883&amp;"ENTRADA",Movimientos!$R$2:$R$1998,0))),"S/D")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7"/>
        <v>SIN STOCK</v>
      </c>
    </row>
    <row r="884" spans="1:11" ht="14.25">
      <c r="A884" s="18" t="s">
        <v>3027</v>
      </c>
      <c r="B884" s="3" t="str">
        <f>IFERROR(INDEX(Movimientos!$C$2:$C$1998,MATCH(A884&amp;"ENTRADA",Movimientos!$R$2:$R$1998,0)),"-")</f>
        <v>-</v>
      </c>
      <c r="C884" s="3" t="str">
        <f>IFERROR(INDEX(Movimientos!$D$2:$D$1998,MATCH(A884&amp;"ENTRADA",Movimientos!$R$2:$R$1998,0)),"-")</f>
        <v>-</v>
      </c>
      <c r="D884" s="3" t="str">
        <f>IFERROR(INDEX(Movimientos!$E$2:$E$1998,MATCH(A884&amp;"ENTRADA",Movimientos!$R$2:$R$1998,0)),"-")</f>
        <v>-</v>
      </c>
      <c r="E884" s="3" t="str">
        <f>IFERROR(INDEX(Movimientos!$F$2:$F$1998,MATCH(A884&amp;"ENTRADA",Movimientos!$R$2:$R$1998,0)),"-")</f>
        <v>-</v>
      </c>
      <c r="F884" s="3" t="str">
        <f>IFERROR(INDEX(Movimientos!$G$2:$G$1998,MATCH(A884&amp;"ENTRADA",Movimientos!$R$2:$R$1998,0)),"-")</f>
        <v>-</v>
      </c>
      <c r="G884" s="3" t="str">
        <f>IFERROR(INDEX(Movimientos!$L$2:$L$1998,MATCH(A884&amp;"ENTRADA",Movimientos!$R$2:$R$1998,0)),"-")</f>
        <v>-</v>
      </c>
      <c r="H884" s="19" t="str">
        <f>IFERROR(IF(INDEX(Movimientos!$M$2:$M$1998,MATCH(A884&amp;"ENTRADA",Movimientos!$R$2:$R$1998,0))=0,"S/D",INDEX(Movimientos!$M$2:$M$1998,MATCH(A884&amp;"ENTRADA",Movimientos!$R$2:$R$1998,0))),"S/D")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7"/>
        <v>SIN STOCK</v>
      </c>
    </row>
    <row r="885" spans="1:11" ht="14.25">
      <c r="A885" s="18" t="s">
        <v>3028</v>
      </c>
      <c r="B885" s="3" t="str">
        <f>IFERROR(INDEX(Movimientos!$C$2:$C$1998,MATCH(A885&amp;"ENTRADA",Movimientos!$R$2:$R$1998,0)),"-")</f>
        <v>-</v>
      </c>
      <c r="C885" s="3" t="str">
        <f>IFERROR(INDEX(Movimientos!$D$2:$D$1998,MATCH(A885&amp;"ENTRADA",Movimientos!$R$2:$R$1998,0)),"-")</f>
        <v>-</v>
      </c>
      <c r="D885" s="3" t="str">
        <f>IFERROR(INDEX(Movimientos!$E$2:$E$1998,MATCH(A885&amp;"ENTRADA",Movimientos!$R$2:$R$1998,0)),"-")</f>
        <v>-</v>
      </c>
      <c r="E885" s="3" t="str">
        <f>IFERROR(INDEX(Movimientos!$F$2:$F$1998,MATCH(A885&amp;"ENTRADA",Movimientos!$R$2:$R$1998,0)),"-")</f>
        <v>-</v>
      </c>
      <c r="F885" s="3" t="str">
        <f>IFERROR(INDEX(Movimientos!$G$2:$G$1998,MATCH(A885&amp;"ENTRADA",Movimientos!$R$2:$R$1998,0)),"-")</f>
        <v>-</v>
      </c>
      <c r="G885" s="3" t="str">
        <f>IFERROR(INDEX(Movimientos!$L$2:$L$1998,MATCH(A885&amp;"ENTRADA",Movimientos!$R$2:$R$1998,0)),"-")</f>
        <v>-</v>
      </c>
      <c r="H885" s="19" t="str">
        <f>IFERROR(IF(INDEX(Movimientos!$M$2:$M$1998,MATCH(A885&amp;"ENTRADA",Movimientos!$R$2:$R$1998,0))=0,"S/D",INDEX(Movimientos!$M$2:$M$1998,MATCH(A885&amp;"ENTRADA",Movimientos!$R$2:$R$1998,0))),"S/D")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7"/>
        <v>SIN STOCK</v>
      </c>
    </row>
    <row r="886" spans="1:11" ht="14.25">
      <c r="A886" s="18" t="s">
        <v>3029</v>
      </c>
      <c r="B886" s="3" t="str">
        <f>IFERROR(INDEX(Movimientos!$C$2:$C$1998,MATCH(A886&amp;"ENTRADA",Movimientos!$R$2:$R$1998,0)),"-")</f>
        <v>-</v>
      </c>
      <c r="C886" s="3" t="str">
        <f>IFERROR(INDEX(Movimientos!$D$2:$D$1998,MATCH(A886&amp;"ENTRADA",Movimientos!$R$2:$R$1998,0)),"-")</f>
        <v>-</v>
      </c>
      <c r="D886" s="3" t="str">
        <f>IFERROR(INDEX(Movimientos!$E$2:$E$1998,MATCH(A886&amp;"ENTRADA",Movimientos!$R$2:$R$1998,0)),"-")</f>
        <v>-</v>
      </c>
      <c r="E886" s="3" t="str">
        <f>IFERROR(INDEX(Movimientos!$F$2:$F$1998,MATCH(A886&amp;"ENTRADA",Movimientos!$R$2:$R$1998,0)),"-")</f>
        <v>-</v>
      </c>
      <c r="F886" s="3" t="str">
        <f>IFERROR(INDEX(Movimientos!$G$2:$G$1998,MATCH(A886&amp;"ENTRADA",Movimientos!$R$2:$R$1998,0)),"-")</f>
        <v>-</v>
      </c>
      <c r="G886" s="3" t="str">
        <f>IFERROR(INDEX(Movimientos!$L$2:$L$1998,MATCH(A886&amp;"ENTRADA",Movimientos!$R$2:$R$1998,0)),"-")</f>
        <v>-</v>
      </c>
      <c r="H886" s="19" t="str">
        <f>IFERROR(IF(INDEX(Movimientos!$M$2:$M$1998,MATCH(A886&amp;"ENTRADA",Movimientos!$R$2:$R$1998,0))=0,"S/D",INDEX(Movimientos!$M$2:$M$1998,MATCH(A886&amp;"ENTRADA",Movimientos!$R$2:$R$1998,0))),"S/D")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7"/>
        <v>SIN STOCK</v>
      </c>
    </row>
    <row r="887" spans="1:11" ht="14.25">
      <c r="A887" s="18" t="s">
        <v>3030</v>
      </c>
      <c r="B887" s="3" t="str">
        <f>IFERROR(INDEX(Movimientos!$C$2:$C$1998,MATCH(A887&amp;"ENTRADA",Movimientos!$R$2:$R$1998,0)),"-")</f>
        <v>-</v>
      </c>
      <c r="C887" s="3" t="str">
        <f>IFERROR(INDEX(Movimientos!$D$2:$D$1998,MATCH(A887&amp;"ENTRADA",Movimientos!$R$2:$R$1998,0)),"-")</f>
        <v>-</v>
      </c>
      <c r="D887" s="3" t="str">
        <f>IFERROR(INDEX(Movimientos!$E$2:$E$1998,MATCH(A887&amp;"ENTRADA",Movimientos!$R$2:$R$1998,0)),"-")</f>
        <v>-</v>
      </c>
      <c r="E887" s="3" t="str">
        <f>IFERROR(INDEX(Movimientos!$F$2:$F$1998,MATCH(A887&amp;"ENTRADA",Movimientos!$R$2:$R$1998,0)),"-")</f>
        <v>-</v>
      </c>
      <c r="F887" s="3" t="str">
        <f>IFERROR(INDEX(Movimientos!$G$2:$G$1998,MATCH(A887&amp;"ENTRADA",Movimientos!$R$2:$R$1998,0)),"-")</f>
        <v>-</v>
      </c>
      <c r="G887" s="3" t="str">
        <f>IFERROR(INDEX(Movimientos!$L$2:$L$1998,MATCH(A887&amp;"ENTRADA",Movimientos!$R$2:$R$1998,0)),"-")</f>
        <v>-</v>
      </c>
      <c r="H887" s="19" t="str">
        <f>IFERROR(IF(INDEX(Movimientos!$M$2:$M$1998,MATCH(A887&amp;"ENTRADA",Movimientos!$R$2:$R$1998,0))=0,"S/D",INDEX(Movimientos!$M$2:$M$1998,MATCH(A887&amp;"ENTRADA",Movimientos!$R$2:$R$1998,0))),"S/D")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7"/>
        <v>SIN STOCK</v>
      </c>
    </row>
    <row r="888" spans="1:11" ht="14.25">
      <c r="A888" s="18" t="s">
        <v>3031</v>
      </c>
      <c r="B888" s="3" t="str">
        <f>IFERROR(INDEX(Movimientos!$C$2:$C$1998,MATCH(A888&amp;"ENTRADA",Movimientos!$R$2:$R$1998,0)),"-")</f>
        <v>-</v>
      </c>
      <c r="C888" s="3" t="str">
        <f>IFERROR(INDEX(Movimientos!$D$2:$D$1998,MATCH(A888&amp;"ENTRADA",Movimientos!$R$2:$R$1998,0)),"-")</f>
        <v>-</v>
      </c>
      <c r="D888" s="3" t="str">
        <f>IFERROR(INDEX(Movimientos!$E$2:$E$1998,MATCH(A888&amp;"ENTRADA",Movimientos!$R$2:$R$1998,0)),"-")</f>
        <v>-</v>
      </c>
      <c r="E888" s="3" t="str">
        <f>IFERROR(INDEX(Movimientos!$F$2:$F$1998,MATCH(A888&amp;"ENTRADA",Movimientos!$R$2:$R$1998,0)),"-")</f>
        <v>-</v>
      </c>
      <c r="F888" s="3" t="str">
        <f>IFERROR(INDEX(Movimientos!$G$2:$G$1998,MATCH(A888&amp;"ENTRADA",Movimientos!$R$2:$R$1998,0)),"-")</f>
        <v>-</v>
      </c>
      <c r="G888" s="3" t="str">
        <f>IFERROR(INDEX(Movimientos!$L$2:$L$1998,MATCH(A888&amp;"ENTRADA",Movimientos!$R$2:$R$1998,0)),"-")</f>
        <v>-</v>
      </c>
      <c r="H888" s="19" t="str">
        <f>IFERROR(IF(INDEX(Movimientos!$M$2:$M$1998,MATCH(A888&amp;"ENTRADA",Movimientos!$R$2:$R$1998,0))=0,"S/D",INDEX(Movimientos!$M$2:$M$1998,MATCH(A888&amp;"ENTRADA",Movimientos!$R$2:$R$1998,0))),"S/D")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7"/>
        <v>SIN STOCK</v>
      </c>
    </row>
    <row r="889" spans="1:11" ht="14.25">
      <c r="A889" s="18" t="s">
        <v>3032</v>
      </c>
      <c r="B889" s="3" t="str">
        <f>IFERROR(INDEX(Movimientos!$C$2:$C$1998,MATCH(A889&amp;"ENTRADA",Movimientos!$R$2:$R$1998,0)),"-")</f>
        <v>-</v>
      </c>
      <c r="C889" s="3" t="str">
        <f>IFERROR(INDEX(Movimientos!$D$2:$D$1998,MATCH(A889&amp;"ENTRADA",Movimientos!$R$2:$R$1998,0)),"-")</f>
        <v>-</v>
      </c>
      <c r="D889" s="3" t="str">
        <f>IFERROR(INDEX(Movimientos!$E$2:$E$1998,MATCH(A889&amp;"ENTRADA",Movimientos!$R$2:$R$1998,0)),"-")</f>
        <v>-</v>
      </c>
      <c r="E889" s="3" t="str">
        <f>IFERROR(INDEX(Movimientos!$F$2:$F$1998,MATCH(A889&amp;"ENTRADA",Movimientos!$R$2:$R$1998,0)),"-")</f>
        <v>-</v>
      </c>
      <c r="F889" s="3" t="str">
        <f>IFERROR(INDEX(Movimientos!$G$2:$G$1998,MATCH(A889&amp;"ENTRADA",Movimientos!$R$2:$R$1998,0)),"-")</f>
        <v>-</v>
      </c>
      <c r="G889" s="3" t="str">
        <f>IFERROR(INDEX(Movimientos!$L$2:$L$1998,MATCH(A889&amp;"ENTRADA",Movimientos!$R$2:$R$1998,0)),"-")</f>
        <v>-</v>
      </c>
      <c r="H889" s="19" t="str">
        <f>IFERROR(IF(INDEX(Movimientos!$M$2:$M$1998,MATCH(A889&amp;"ENTRADA",Movimientos!$R$2:$R$1998,0))=0,"S/D",INDEX(Movimientos!$M$2:$M$1998,MATCH(A889&amp;"ENTRADA",Movimientos!$R$2:$R$1998,0))),"S/D")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7"/>
        <v>SIN STOCK</v>
      </c>
    </row>
    <row r="890" spans="1:11" ht="14.25">
      <c r="A890" s="18" t="s">
        <v>3033</v>
      </c>
      <c r="B890" s="3" t="str">
        <f>IFERROR(INDEX(Movimientos!$C$2:$C$1998,MATCH(A890&amp;"ENTRADA",Movimientos!$R$2:$R$1998,0)),"-")</f>
        <v>-</v>
      </c>
      <c r="C890" s="3" t="str">
        <f>IFERROR(INDEX(Movimientos!$D$2:$D$1998,MATCH(A890&amp;"ENTRADA",Movimientos!$R$2:$R$1998,0)),"-")</f>
        <v>-</v>
      </c>
      <c r="D890" s="3" t="str">
        <f>IFERROR(INDEX(Movimientos!$E$2:$E$1998,MATCH(A890&amp;"ENTRADA",Movimientos!$R$2:$R$1998,0)),"-")</f>
        <v>-</v>
      </c>
      <c r="E890" s="3" t="str">
        <f>IFERROR(INDEX(Movimientos!$F$2:$F$1998,MATCH(A890&amp;"ENTRADA",Movimientos!$R$2:$R$1998,0)),"-")</f>
        <v>-</v>
      </c>
      <c r="F890" s="3" t="str">
        <f>IFERROR(INDEX(Movimientos!$G$2:$G$1998,MATCH(A890&amp;"ENTRADA",Movimientos!$R$2:$R$1998,0)),"-")</f>
        <v>-</v>
      </c>
      <c r="G890" s="3" t="str">
        <f>IFERROR(INDEX(Movimientos!$L$2:$L$1998,MATCH(A890&amp;"ENTRADA",Movimientos!$R$2:$R$1998,0)),"-")</f>
        <v>-</v>
      </c>
      <c r="H890" s="19" t="str">
        <f>IFERROR(IF(INDEX(Movimientos!$M$2:$M$1998,MATCH(A890&amp;"ENTRADA",Movimientos!$R$2:$R$1998,0))=0,"S/D",INDEX(Movimientos!$M$2:$M$1998,MATCH(A890&amp;"ENTRADA",Movimientos!$R$2:$R$1998,0))),"S/D")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7"/>
        <v>SIN STOCK</v>
      </c>
    </row>
    <row r="891" spans="1:11" ht="14.25">
      <c r="A891" s="18" t="s">
        <v>3034</v>
      </c>
      <c r="B891" s="3" t="str">
        <f>IFERROR(INDEX(Movimientos!$C$2:$C$1998,MATCH(A891&amp;"ENTRADA",Movimientos!$R$2:$R$1998,0)),"-")</f>
        <v>-</v>
      </c>
      <c r="C891" s="3" t="str">
        <f>IFERROR(INDEX(Movimientos!$D$2:$D$1998,MATCH(A891&amp;"ENTRADA",Movimientos!$R$2:$R$1998,0)),"-")</f>
        <v>-</v>
      </c>
      <c r="D891" s="3" t="str">
        <f>IFERROR(INDEX(Movimientos!$E$2:$E$1998,MATCH(A891&amp;"ENTRADA",Movimientos!$R$2:$R$1998,0)),"-")</f>
        <v>-</v>
      </c>
      <c r="E891" s="3" t="str">
        <f>IFERROR(INDEX(Movimientos!$F$2:$F$1998,MATCH(A891&amp;"ENTRADA",Movimientos!$R$2:$R$1998,0)),"-")</f>
        <v>-</v>
      </c>
      <c r="F891" s="3" t="str">
        <f>IFERROR(INDEX(Movimientos!$G$2:$G$1998,MATCH(A891&amp;"ENTRADA",Movimientos!$R$2:$R$1998,0)),"-")</f>
        <v>-</v>
      </c>
      <c r="G891" s="3" t="str">
        <f>IFERROR(INDEX(Movimientos!$L$2:$L$1998,MATCH(A891&amp;"ENTRADA",Movimientos!$R$2:$R$1998,0)),"-")</f>
        <v>-</v>
      </c>
      <c r="H891" s="19" t="str">
        <f>IFERROR(IF(INDEX(Movimientos!$M$2:$M$1998,MATCH(A891&amp;"ENTRADA",Movimientos!$R$2:$R$1998,0))=0,"S/D",INDEX(Movimientos!$M$2:$M$1998,MATCH(A891&amp;"ENTRADA",Movimientos!$R$2:$R$1998,0))),"S/D")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7"/>
        <v>SIN STOCK</v>
      </c>
    </row>
    <row r="892" spans="1:11" ht="14.25">
      <c r="A892" s="18" t="s">
        <v>3035</v>
      </c>
      <c r="B892" s="3" t="str">
        <f>IFERROR(INDEX(Movimientos!$C$2:$C$1998,MATCH(A892&amp;"ENTRADA",Movimientos!$R$2:$R$1998,0)),"-")</f>
        <v>-</v>
      </c>
      <c r="C892" s="3" t="str">
        <f>IFERROR(INDEX(Movimientos!$D$2:$D$1998,MATCH(A892&amp;"ENTRADA",Movimientos!$R$2:$R$1998,0)),"-")</f>
        <v>-</v>
      </c>
      <c r="D892" s="3" t="str">
        <f>IFERROR(INDEX(Movimientos!$E$2:$E$1998,MATCH(A892&amp;"ENTRADA",Movimientos!$R$2:$R$1998,0)),"-")</f>
        <v>-</v>
      </c>
      <c r="E892" s="3" t="str">
        <f>IFERROR(INDEX(Movimientos!$F$2:$F$1998,MATCH(A892&amp;"ENTRADA",Movimientos!$R$2:$R$1998,0)),"-")</f>
        <v>-</v>
      </c>
      <c r="F892" s="3" t="str">
        <f>IFERROR(INDEX(Movimientos!$G$2:$G$1998,MATCH(A892&amp;"ENTRADA",Movimientos!$R$2:$R$1998,0)),"-")</f>
        <v>-</v>
      </c>
      <c r="G892" s="3" t="str">
        <f>IFERROR(INDEX(Movimientos!$L$2:$L$1998,MATCH(A892&amp;"ENTRADA",Movimientos!$R$2:$R$1998,0)),"-")</f>
        <v>-</v>
      </c>
      <c r="H892" s="19" t="str">
        <f>IFERROR(IF(INDEX(Movimientos!$M$2:$M$1998,MATCH(A892&amp;"ENTRADA",Movimientos!$R$2:$R$1998,0))=0,"S/D",INDEX(Movimientos!$M$2:$M$1998,MATCH(A892&amp;"ENTRADA",Movimientos!$R$2:$R$1998,0))),"S/D")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7"/>
        <v>SIN STOCK</v>
      </c>
    </row>
    <row r="893" spans="1:11" ht="14.25">
      <c r="A893" s="18" t="s">
        <v>3036</v>
      </c>
      <c r="B893" s="3" t="str">
        <f>IFERROR(INDEX(Movimientos!$C$2:$C$1998,MATCH(A893&amp;"ENTRADA",Movimientos!$R$2:$R$1998,0)),"-")</f>
        <v>-</v>
      </c>
      <c r="C893" s="3" t="str">
        <f>IFERROR(INDEX(Movimientos!$D$2:$D$1998,MATCH(A893&amp;"ENTRADA",Movimientos!$R$2:$R$1998,0)),"-")</f>
        <v>-</v>
      </c>
      <c r="D893" s="3" t="str">
        <f>IFERROR(INDEX(Movimientos!$E$2:$E$1998,MATCH(A893&amp;"ENTRADA",Movimientos!$R$2:$R$1998,0)),"-")</f>
        <v>-</v>
      </c>
      <c r="E893" s="3" t="str">
        <f>IFERROR(INDEX(Movimientos!$F$2:$F$1998,MATCH(A893&amp;"ENTRADA",Movimientos!$R$2:$R$1998,0)),"-")</f>
        <v>-</v>
      </c>
      <c r="F893" s="3" t="str">
        <f>IFERROR(INDEX(Movimientos!$G$2:$G$1998,MATCH(A893&amp;"ENTRADA",Movimientos!$R$2:$R$1998,0)),"-")</f>
        <v>-</v>
      </c>
      <c r="G893" s="3" t="str">
        <f>IFERROR(INDEX(Movimientos!$L$2:$L$1998,MATCH(A893&amp;"ENTRADA",Movimientos!$R$2:$R$1998,0)),"-")</f>
        <v>-</v>
      </c>
      <c r="H893" s="19" t="str">
        <f>IFERROR(IF(INDEX(Movimientos!$M$2:$M$1998,MATCH(A893&amp;"ENTRADA",Movimientos!$R$2:$R$1998,0))=0,"S/D",INDEX(Movimientos!$M$2:$M$1998,MATCH(A893&amp;"ENTRADA",Movimientos!$R$2:$R$1998,0))),"S/D")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7"/>
        <v>SIN STOCK</v>
      </c>
    </row>
    <row r="894" spans="1:11" ht="14.25">
      <c r="A894" s="18" t="s">
        <v>3037</v>
      </c>
      <c r="B894" s="3" t="str">
        <f>IFERROR(INDEX(Movimientos!$C$2:$C$1998,MATCH(A894&amp;"ENTRADA",Movimientos!$R$2:$R$1998,0)),"-")</f>
        <v>-</v>
      </c>
      <c r="C894" s="3" t="str">
        <f>IFERROR(INDEX(Movimientos!$D$2:$D$1998,MATCH(A894&amp;"ENTRADA",Movimientos!$R$2:$R$1998,0)),"-")</f>
        <v>-</v>
      </c>
      <c r="D894" s="3" t="str">
        <f>IFERROR(INDEX(Movimientos!$E$2:$E$1998,MATCH(A894&amp;"ENTRADA",Movimientos!$R$2:$R$1998,0)),"-")</f>
        <v>-</v>
      </c>
      <c r="E894" s="3" t="str">
        <f>IFERROR(INDEX(Movimientos!$F$2:$F$1998,MATCH(A894&amp;"ENTRADA",Movimientos!$R$2:$R$1998,0)),"-")</f>
        <v>-</v>
      </c>
      <c r="F894" s="3" t="str">
        <f>IFERROR(INDEX(Movimientos!$G$2:$G$1998,MATCH(A894&amp;"ENTRADA",Movimientos!$R$2:$R$1998,0)),"-")</f>
        <v>-</v>
      </c>
      <c r="G894" s="3" t="str">
        <f>IFERROR(INDEX(Movimientos!$L$2:$L$1998,MATCH(A894&amp;"ENTRADA",Movimientos!$R$2:$R$1998,0)),"-")</f>
        <v>-</v>
      </c>
      <c r="H894" s="19" t="str">
        <f>IFERROR(IF(INDEX(Movimientos!$M$2:$M$1998,MATCH(A894&amp;"ENTRADA",Movimientos!$R$2:$R$1998,0))=0,"S/D",INDEX(Movimientos!$M$2:$M$1998,MATCH(A894&amp;"ENTRADA",Movimientos!$R$2:$R$1998,0))),"S/D")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7"/>
        <v>SIN STOCK</v>
      </c>
    </row>
    <row r="895" spans="1:11" ht="14.25">
      <c r="A895" s="18" t="s">
        <v>3038</v>
      </c>
      <c r="B895" s="3" t="str">
        <f>IFERROR(INDEX(Movimientos!$C$2:$C$1998,MATCH(A895&amp;"ENTRADA",Movimientos!$R$2:$R$1998,0)),"-")</f>
        <v>-</v>
      </c>
      <c r="C895" s="3" t="str">
        <f>IFERROR(INDEX(Movimientos!$D$2:$D$1998,MATCH(A895&amp;"ENTRADA",Movimientos!$R$2:$R$1998,0)),"-")</f>
        <v>-</v>
      </c>
      <c r="D895" s="3" t="str">
        <f>IFERROR(INDEX(Movimientos!$E$2:$E$1998,MATCH(A895&amp;"ENTRADA",Movimientos!$R$2:$R$1998,0)),"-")</f>
        <v>-</v>
      </c>
      <c r="E895" s="3" t="str">
        <f>IFERROR(INDEX(Movimientos!$F$2:$F$1998,MATCH(A895&amp;"ENTRADA",Movimientos!$R$2:$R$1998,0)),"-")</f>
        <v>-</v>
      </c>
      <c r="F895" s="3" t="str">
        <f>IFERROR(INDEX(Movimientos!$G$2:$G$1998,MATCH(A895&amp;"ENTRADA",Movimientos!$R$2:$R$1998,0)),"-")</f>
        <v>-</v>
      </c>
      <c r="G895" s="3" t="str">
        <f>IFERROR(INDEX(Movimientos!$L$2:$L$1998,MATCH(A895&amp;"ENTRADA",Movimientos!$R$2:$R$1998,0)),"-")</f>
        <v>-</v>
      </c>
      <c r="H895" s="19" t="str">
        <f>IFERROR(IF(INDEX(Movimientos!$M$2:$M$1998,MATCH(A895&amp;"ENTRADA",Movimientos!$R$2:$R$1998,0))=0,"S/D",INDEX(Movimientos!$M$2:$M$1998,MATCH(A895&amp;"ENTRADA",Movimientos!$R$2:$R$1998,0))),"S/D")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7"/>
        <v>SIN STOCK</v>
      </c>
    </row>
    <row r="896" spans="1:11" ht="14.25">
      <c r="A896" s="18" t="s">
        <v>3039</v>
      </c>
      <c r="B896" s="3" t="str">
        <f>IFERROR(INDEX(Movimientos!$C$2:$C$1998,MATCH(A896&amp;"ENTRADA",Movimientos!$R$2:$R$1998,0)),"-")</f>
        <v>-</v>
      </c>
      <c r="C896" s="3" t="str">
        <f>IFERROR(INDEX(Movimientos!$D$2:$D$1998,MATCH(A896&amp;"ENTRADA",Movimientos!$R$2:$R$1998,0)),"-")</f>
        <v>-</v>
      </c>
      <c r="D896" s="3" t="str">
        <f>IFERROR(INDEX(Movimientos!$E$2:$E$1998,MATCH(A896&amp;"ENTRADA",Movimientos!$R$2:$R$1998,0)),"-")</f>
        <v>-</v>
      </c>
      <c r="E896" s="3" t="str">
        <f>IFERROR(INDEX(Movimientos!$F$2:$F$1998,MATCH(A896&amp;"ENTRADA",Movimientos!$R$2:$R$1998,0)),"-")</f>
        <v>-</v>
      </c>
      <c r="F896" s="3" t="str">
        <f>IFERROR(INDEX(Movimientos!$G$2:$G$1998,MATCH(A896&amp;"ENTRADA",Movimientos!$R$2:$R$1998,0)),"-")</f>
        <v>-</v>
      </c>
      <c r="G896" s="3" t="str">
        <f>IFERROR(INDEX(Movimientos!$L$2:$L$1998,MATCH(A896&amp;"ENTRADA",Movimientos!$R$2:$R$1998,0)),"-")</f>
        <v>-</v>
      </c>
      <c r="H896" s="19" t="str">
        <f>IFERROR(IF(INDEX(Movimientos!$M$2:$M$1998,MATCH(A896&amp;"ENTRADA",Movimientos!$R$2:$R$1998,0))=0,"S/D",INDEX(Movimientos!$M$2:$M$1998,MATCH(A896&amp;"ENTRADA",Movimientos!$R$2:$R$1998,0))),"S/D")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ref="K896:K959" ca="1" si="29">IF(A896="","",IF(J896&lt;0.01,"SIN STOCK",IF(H896="S/D","OK",IF(H896&lt;TODAY(),"VENCIDO",IF(I896&gt;=180,"OK","PRÓXIMO A VENCER")))))</f>
        <v>SIN STOCK</v>
      </c>
    </row>
    <row r="897" spans="1:11" ht="14.25">
      <c r="A897" s="18" t="s">
        <v>3040</v>
      </c>
      <c r="B897" s="3" t="str">
        <f>IFERROR(INDEX(Movimientos!$C$2:$C$1998,MATCH(A897&amp;"ENTRADA",Movimientos!$R$2:$R$1998,0)),"-")</f>
        <v>-</v>
      </c>
      <c r="C897" s="3" t="str">
        <f>IFERROR(INDEX(Movimientos!$D$2:$D$1998,MATCH(A897&amp;"ENTRADA",Movimientos!$R$2:$R$1998,0)),"-")</f>
        <v>-</v>
      </c>
      <c r="D897" s="3" t="str">
        <f>IFERROR(INDEX(Movimientos!$E$2:$E$1998,MATCH(A897&amp;"ENTRADA",Movimientos!$R$2:$R$1998,0)),"-")</f>
        <v>-</v>
      </c>
      <c r="E897" s="3" t="str">
        <f>IFERROR(INDEX(Movimientos!$F$2:$F$1998,MATCH(A897&amp;"ENTRADA",Movimientos!$R$2:$R$1998,0)),"-")</f>
        <v>-</v>
      </c>
      <c r="F897" s="3" t="str">
        <f>IFERROR(INDEX(Movimientos!$G$2:$G$1998,MATCH(A897&amp;"ENTRADA",Movimientos!$R$2:$R$1998,0)),"-")</f>
        <v>-</v>
      </c>
      <c r="G897" s="3" t="str">
        <f>IFERROR(INDEX(Movimientos!$L$2:$L$1998,MATCH(A897&amp;"ENTRADA",Movimientos!$R$2:$R$1998,0)),"-")</f>
        <v>-</v>
      </c>
      <c r="H897" s="19" t="str">
        <f>IFERROR(IF(INDEX(Movimientos!$M$2:$M$1998,MATCH(A897&amp;"ENTRADA",Movimientos!$R$2:$R$1998,0))=0,"S/D",INDEX(Movimientos!$M$2:$M$1998,MATCH(A897&amp;"ENTRADA",Movimientos!$R$2:$R$1998,0))),"S/D")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SIN STOCK</v>
      </c>
    </row>
    <row r="898" spans="1:11" ht="14.25">
      <c r="A898" s="18" t="s">
        <v>3041</v>
      </c>
      <c r="B898" s="3" t="str">
        <f>IFERROR(INDEX(Movimientos!$C$2:$C$1998,MATCH(A898&amp;"ENTRADA",Movimientos!$R$2:$R$1998,0)),"-")</f>
        <v>-</v>
      </c>
      <c r="C898" s="3" t="str">
        <f>IFERROR(INDEX(Movimientos!$D$2:$D$1998,MATCH(A898&amp;"ENTRADA",Movimientos!$R$2:$R$1998,0)),"-")</f>
        <v>-</v>
      </c>
      <c r="D898" s="3" t="str">
        <f>IFERROR(INDEX(Movimientos!$E$2:$E$1998,MATCH(A898&amp;"ENTRADA",Movimientos!$R$2:$R$1998,0)),"-")</f>
        <v>-</v>
      </c>
      <c r="E898" s="3" t="str">
        <f>IFERROR(INDEX(Movimientos!$F$2:$F$1998,MATCH(A898&amp;"ENTRADA",Movimientos!$R$2:$R$1998,0)),"-")</f>
        <v>-</v>
      </c>
      <c r="F898" s="3" t="str">
        <f>IFERROR(INDEX(Movimientos!$G$2:$G$1998,MATCH(A898&amp;"ENTRADA",Movimientos!$R$2:$R$1998,0)),"-")</f>
        <v>-</v>
      </c>
      <c r="G898" s="3" t="str">
        <f>IFERROR(INDEX(Movimientos!$L$2:$L$1998,MATCH(A898&amp;"ENTRADA",Movimientos!$R$2:$R$1998,0)),"-")</f>
        <v>-</v>
      </c>
      <c r="H898" s="19" t="str">
        <f>IFERROR(IF(INDEX(Movimientos!$M$2:$M$1998,MATCH(A898&amp;"ENTRADA",Movimientos!$R$2:$R$1998,0))=0,"S/D",INDEX(Movimientos!$M$2:$M$1998,MATCH(A898&amp;"ENTRADA",Movimientos!$R$2:$R$1998,0))),"S/D")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SIN STOCK</v>
      </c>
    </row>
    <row r="899" spans="1:11" ht="14.25">
      <c r="A899" s="18" t="s">
        <v>3042</v>
      </c>
      <c r="B899" s="3" t="str">
        <f>IFERROR(INDEX(Movimientos!$C$2:$C$1998,MATCH(A899&amp;"ENTRADA",Movimientos!$R$2:$R$1998,0)),"-")</f>
        <v>-</v>
      </c>
      <c r="C899" s="3" t="str">
        <f>IFERROR(INDEX(Movimientos!$D$2:$D$1998,MATCH(A899&amp;"ENTRADA",Movimientos!$R$2:$R$1998,0)),"-")</f>
        <v>-</v>
      </c>
      <c r="D899" s="3" t="str">
        <f>IFERROR(INDEX(Movimientos!$E$2:$E$1998,MATCH(A899&amp;"ENTRADA",Movimientos!$R$2:$R$1998,0)),"-")</f>
        <v>-</v>
      </c>
      <c r="E899" s="3" t="str">
        <f>IFERROR(INDEX(Movimientos!$F$2:$F$1998,MATCH(A899&amp;"ENTRADA",Movimientos!$R$2:$R$1998,0)),"-")</f>
        <v>-</v>
      </c>
      <c r="F899" s="3" t="str">
        <f>IFERROR(INDEX(Movimientos!$G$2:$G$1998,MATCH(A899&amp;"ENTRADA",Movimientos!$R$2:$R$1998,0)),"-")</f>
        <v>-</v>
      </c>
      <c r="G899" s="3" t="str">
        <f>IFERROR(INDEX(Movimientos!$L$2:$L$1998,MATCH(A899&amp;"ENTRADA",Movimientos!$R$2:$R$1998,0)),"-")</f>
        <v>-</v>
      </c>
      <c r="H899" s="19" t="str">
        <f>IFERROR(IF(INDEX(Movimientos!$M$2:$M$1998,MATCH(A899&amp;"ENTRADA",Movimientos!$R$2:$R$1998,0))=0,"S/D",INDEX(Movimientos!$M$2:$M$1998,MATCH(A899&amp;"ENTRADA",Movimientos!$R$2:$R$1998,0))),"S/D")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SIN STOCK</v>
      </c>
    </row>
    <row r="900" spans="1:11" ht="14.25">
      <c r="A900" s="18" t="s">
        <v>3043</v>
      </c>
      <c r="B900" s="3" t="str">
        <f>IFERROR(INDEX(Movimientos!$C$2:$C$1998,MATCH(A900&amp;"ENTRADA",Movimientos!$R$2:$R$1998,0)),"-")</f>
        <v>-</v>
      </c>
      <c r="C900" s="3" t="str">
        <f>IFERROR(INDEX(Movimientos!$D$2:$D$1998,MATCH(A900&amp;"ENTRADA",Movimientos!$R$2:$R$1998,0)),"-")</f>
        <v>-</v>
      </c>
      <c r="D900" s="3" t="str">
        <f>IFERROR(INDEX(Movimientos!$E$2:$E$1998,MATCH(A900&amp;"ENTRADA",Movimientos!$R$2:$R$1998,0)),"-")</f>
        <v>-</v>
      </c>
      <c r="E900" s="3" t="str">
        <f>IFERROR(INDEX(Movimientos!$F$2:$F$1998,MATCH(A900&amp;"ENTRADA",Movimientos!$R$2:$R$1998,0)),"-")</f>
        <v>-</v>
      </c>
      <c r="F900" s="3" t="str">
        <f>IFERROR(INDEX(Movimientos!$G$2:$G$1998,MATCH(A900&amp;"ENTRADA",Movimientos!$R$2:$R$1998,0)),"-")</f>
        <v>-</v>
      </c>
      <c r="G900" s="3" t="str">
        <f>IFERROR(INDEX(Movimientos!$L$2:$L$1998,MATCH(A900&amp;"ENTRADA",Movimientos!$R$2:$R$1998,0)),"-")</f>
        <v>-</v>
      </c>
      <c r="H900" s="19" t="str">
        <f>IFERROR(IF(INDEX(Movimientos!$M$2:$M$1998,MATCH(A900&amp;"ENTRADA",Movimientos!$R$2:$R$1998,0))=0,"S/D",INDEX(Movimientos!$M$2:$M$1998,MATCH(A900&amp;"ENTRADA",Movimientos!$R$2:$R$1998,0))),"S/D")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SIN STOCK</v>
      </c>
    </row>
    <row r="901" spans="1:11" ht="14.25">
      <c r="A901" s="18" t="s">
        <v>3044</v>
      </c>
      <c r="B901" s="3" t="str">
        <f>IFERROR(INDEX(Movimientos!$C$2:$C$1998,MATCH(A901&amp;"ENTRADA",Movimientos!$R$2:$R$1998,0)),"-")</f>
        <v>-</v>
      </c>
      <c r="C901" s="3" t="str">
        <f>IFERROR(INDEX(Movimientos!$D$2:$D$1998,MATCH(A901&amp;"ENTRADA",Movimientos!$R$2:$R$1998,0)),"-")</f>
        <v>-</v>
      </c>
      <c r="D901" s="3" t="str">
        <f>IFERROR(INDEX(Movimientos!$E$2:$E$1998,MATCH(A901&amp;"ENTRADA",Movimientos!$R$2:$R$1998,0)),"-")</f>
        <v>-</v>
      </c>
      <c r="E901" s="3" t="str">
        <f>IFERROR(INDEX(Movimientos!$F$2:$F$1998,MATCH(A901&amp;"ENTRADA",Movimientos!$R$2:$R$1998,0)),"-")</f>
        <v>-</v>
      </c>
      <c r="F901" s="3" t="str">
        <f>IFERROR(INDEX(Movimientos!$G$2:$G$1998,MATCH(A901&amp;"ENTRADA",Movimientos!$R$2:$R$1998,0)),"-")</f>
        <v>-</v>
      </c>
      <c r="G901" s="3" t="str">
        <f>IFERROR(INDEX(Movimientos!$L$2:$L$1998,MATCH(A901&amp;"ENTRADA",Movimientos!$R$2:$R$1998,0)),"-")</f>
        <v>-</v>
      </c>
      <c r="H901" s="19" t="str">
        <f>IFERROR(IF(INDEX(Movimientos!$M$2:$M$1998,MATCH(A901&amp;"ENTRADA",Movimientos!$R$2:$R$1998,0))=0,"S/D",INDEX(Movimientos!$M$2:$M$1998,MATCH(A901&amp;"ENTRADA",Movimientos!$R$2:$R$1998,0))),"S/D")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SIN STOCK</v>
      </c>
    </row>
    <row r="902" spans="1:11" ht="14.25">
      <c r="A902" s="18" t="s">
        <v>3045</v>
      </c>
      <c r="B902" s="3" t="str">
        <f>IFERROR(INDEX(Movimientos!$C$2:$C$1998,MATCH(A902&amp;"ENTRADA",Movimientos!$R$2:$R$1998,0)),"-")</f>
        <v>-</v>
      </c>
      <c r="C902" s="3" t="str">
        <f>IFERROR(INDEX(Movimientos!$D$2:$D$1998,MATCH(A902&amp;"ENTRADA",Movimientos!$R$2:$R$1998,0)),"-")</f>
        <v>-</v>
      </c>
      <c r="D902" s="3" t="str">
        <f>IFERROR(INDEX(Movimientos!$E$2:$E$1998,MATCH(A902&amp;"ENTRADA",Movimientos!$R$2:$R$1998,0)),"-")</f>
        <v>-</v>
      </c>
      <c r="E902" s="3" t="str">
        <f>IFERROR(INDEX(Movimientos!$F$2:$F$1998,MATCH(A902&amp;"ENTRADA",Movimientos!$R$2:$R$1998,0)),"-")</f>
        <v>-</v>
      </c>
      <c r="F902" s="3" t="str">
        <f>IFERROR(INDEX(Movimientos!$G$2:$G$1998,MATCH(A902&amp;"ENTRADA",Movimientos!$R$2:$R$1998,0)),"-")</f>
        <v>-</v>
      </c>
      <c r="G902" s="3" t="str">
        <f>IFERROR(INDEX(Movimientos!$L$2:$L$1998,MATCH(A902&amp;"ENTRADA",Movimientos!$R$2:$R$1998,0)),"-")</f>
        <v>-</v>
      </c>
      <c r="H902" s="19" t="str">
        <f>IFERROR(IF(INDEX(Movimientos!$M$2:$M$1998,MATCH(A902&amp;"ENTRADA",Movimientos!$R$2:$R$1998,0))=0,"S/D",INDEX(Movimientos!$M$2:$M$1998,MATCH(A902&amp;"ENTRADA",Movimientos!$R$2:$R$1998,0))),"S/D")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SIN STOCK</v>
      </c>
    </row>
    <row r="903" spans="1:11" ht="14.25">
      <c r="A903" s="18" t="s">
        <v>3046</v>
      </c>
      <c r="B903" s="3" t="str">
        <f>IFERROR(INDEX(Movimientos!$C$2:$C$1998,MATCH(A903&amp;"ENTRADA",Movimientos!$R$2:$R$1998,0)),"-")</f>
        <v>-</v>
      </c>
      <c r="C903" s="3" t="str">
        <f>IFERROR(INDEX(Movimientos!$D$2:$D$1998,MATCH(A903&amp;"ENTRADA",Movimientos!$R$2:$R$1998,0)),"-")</f>
        <v>-</v>
      </c>
      <c r="D903" s="3" t="str">
        <f>IFERROR(INDEX(Movimientos!$E$2:$E$1998,MATCH(A903&amp;"ENTRADA",Movimientos!$R$2:$R$1998,0)),"-")</f>
        <v>-</v>
      </c>
      <c r="E903" s="3" t="str">
        <f>IFERROR(INDEX(Movimientos!$F$2:$F$1998,MATCH(A903&amp;"ENTRADA",Movimientos!$R$2:$R$1998,0)),"-")</f>
        <v>-</v>
      </c>
      <c r="F903" s="3" t="str">
        <f>IFERROR(INDEX(Movimientos!$G$2:$G$1998,MATCH(A903&amp;"ENTRADA",Movimientos!$R$2:$R$1998,0)),"-")</f>
        <v>-</v>
      </c>
      <c r="G903" s="3" t="str">
        <f>IFERROR(INDEX(Movimientos!$L$2:$L$1998,MATCH(A903&amp;"ENTRADA",Movimientos!$R$2:$R$1998,0)),"-")</f>
        <v>-</v>
      </c>
      <c r="H903" s="19" t="str">
        <f>IFERROR(IF(INDEX(Movimientos!$M$2:$M$1998,MATCH(A903&amp;"ENTRADA",Movimientos!$R$2:$R$1998,0))=0,"S/D",INDEX(Movimientos!$M$2:$M$1998,MATCH(A903&amp;"ENTRADA",Movimientos!$R$2:$R$1998,0))),"S/D")</f>
        <v>S/D</v>
      </c>
      <c r="I903" s="16" t="str">
        <f t="shared" ref="I903:I966" ca="1" si="30">IF(OR(A903="",H903="S/D"),"S/D",H903-TODAY())</f>
        <v>S/D</v>
      </c>
      <c r="J903" s="6">
        <f>IF(A903="","",SUMIFS(Movimientos!$K:$K,Movimientos!$H:$H,A903))</f>
        <v>0</v>
      </c>
      <c r="K903" s="14" t="str">
        <f t="shared" ca="1" si="29"/>
        <v>SIN STOCK</v>
      </c>
    </row>
    <row r="904" spans="1:11" ht="14.25">
      <c r="A904" s="18" t="s">
        <v>3047</v>
      </c>
      <c r="B904" s="3" t="str">
        <f>IFERROR(INDEX(Movimientos!$C$2:$C$1998,MATCH(A904&amp;"ENTRADA",Movimientos!$R$2:$R$1998,0)),"-")</f>
        <v>-</v>
      </c>
      <c r="C904" s="3" t="str">
        <f>IFERROR(INDEX(Movimientos!$D$2:$D$1998,MATCH(A904&amp;"ENTRADA",Movimientos!$R$2:$R$1998,0)),"-")</f>
        <v>-</v>
      </c>
      <c r="D904" s="3" t="str">
        <f>IFERROR(INDEX(Movimientos!$E$2:$E$1998,MATCH(A904&amp;"ENTRADA",Movimientos!$R$2:$R$1998,0)),"-")</f>
        <v>-</v>
      </c>
      <c r="E904" s="3" t="str">
        <f>IFERROR(INDEX(Movimientos!$F$2:$F$1998,MATCH(A904&amp;"ENTRADA",Movimientos!$R$2:$R$1998,0)),"-")</f>
        <v>-</v>
      </c>
      <c r="F904" s="3" t="str">
        <f>IFERROR(INDEX(Movimientos!$G$2:$G$1998,MATCH(A904&amp;"ENTRADA",Movimientos!$R$2:$R$1998,0)),"-")</f>
        <v>-</v>
      </c>
      <c r="G904" s="3" t="str">
        <f>IFERROR(INDEX(Movimientos!$L$2:$L$1998,MATCH(A904&amp;"ENTRADA",Movimientos!$R$2:$R$1998,0)),"-")</f>
        <v>-</v>
      </c>
      <c r="H904" s="19" t="str">
        <f>IFERROR(IF(INDEX(Movimientos!$M$2:$M$1998,MATCH(A904&amp;"ENTRADA",Movimientos!$R$2:$R$1998,0))=0,"S/D",INDEX(Movimientos!$M$2:$M$1998,MATCH(A904&amp;"ENTRADA",Movimientos!$R$2:$R$1998,0))),"S/D")</f>
        <v>S/D</v>
      </c>
      <c r="I904" s="16" t="str">
        <f t="shared" ca="1" si="30"/>
        <v>S/D</v>
      </c>
      <c r="J904" s="6">
        <f>IF(A904="","",SUMIFS(Movimientos!$K:$K,Movimientos!$H:$H,A904))</f>
        <v>0</v>
      </c>
      <c r="K904" s="14" t="str">
        <f t="shared" ca="1" si="29"/>
        <v>SIN STOCK</v>
      </c>
    </row>
    <row r="905" spans="1:11" ht="14.25">
      <c r="A905" s="18" t="s">
        <v>3048</v>
      </c>
      <c r="B905" s="3" t="str">
        <f>IFERROR(INDEX(Movimientos!$C$2:$C$1998,MATCH(A905&amp;"ENTRADA",Movimientos!$R$2:$R$1998,0)),"-")</f>
        <v>-</v>
      </c>
      <c r="C905" s="3" t="str">
        <f>IFERROR(INDEX(Movimientos!$D$2:$D$1998,MATCH(A905&amp;"ENTRADA",Movimientos!$R$2:$R$1998,0)),"-")</f>
        <v>-</v>
      </c>
      <c r="D905" s="3" t="str">
        <f>IFERROR(INDEX(Movimientos!$E$2:$E$1998,MATCH(A905&amp;"ENTRADA",Movimientos!$R$2:$R$1998,0)),"-")</f>
        <v>-</v>
      </c>
      <c r="E905" s="3" t="str">
        <f>IFERROR(INDEX(Movimientos!$F$2:$F$1998,MATCH(A905&amp;"ENTRADA",Movimientos!$R$2:$R$1998,0)),"-")</f>
        <v>-</v>
      </c>
      <c r="F905" s="3" t="str">
        <f>IFERROR(INDEX(Movimientos!$G$2:$G$1998,MATCH(A905&amp;"ENTRADA",Movimientos!$R$2:$R$1998,0)),"-")</f>
        <v>-</v>
      </c>
      <c r="G905" s="3" t="str">
        <f>IFERROR(INDEX(Movimientos!$L$2:$L$1998,MATCH(A905&amp;"ENTRADA",Movimientos!$R$2:$R$1998,0)),"-")</f>
        <v>-</v>
      </c>
      <c r="H905" s="19" t="str">
        <f>IFERROR(IF(INDEX(Movimientos!$M$2:$M$1998,MATCH(A905&amp;"ENTRADA",Movimientos!$R$2:$R$1998,0))=0,"S/D",INDEX(Movimientos!$M$2:$M$1998,MATCH(A905&amp;"ENTRADA",Movimientos!$R$2:$R$1998,0))),"S/D")</f>
        <v>S/D</v>
      </c>
      <c r="I905" s="16" t="str">
        <f t="shared" ca="1" si="30"/>
        <v>S/D</v>
      </c>
      <c r="J905" s="6">
        <f>IF(A905="","",SUMIFS(Movimientos!$K:$K,Movimientos!$H:$H,A905))</f>
        <v>0</v>
      </c>
      <c r="K905" s="14" t="str">
        <f t="shared" ca="1" si="29"/>
        <v>SIN STOCK</v>
      </c>
    </row>
    <row r="906" spans="1:11" ht="14.25">
      <c r="A906" s="18" t="s">
        <v>3049</v>
      </c>
      <c r="B906" s="3" t="str">
        <f>IFERROR(INDEX(Movimientos!$C$2:$C$1998,MATCH(A906&amp;"ENTRADA",Movimientos!$R$2:$R$1998,0)),"-")</f>
        <v>-</v>
      </c>
      <c r="C906" s="3" t="str">
        <f>IFERROR(INDEX(Movimientos!$D$2:$D$1998,MATCH(A906&amp;"ENTRADA",Movimientos!$R$2:$R$1998,0)),"-")</f>
        <v>-</v>
      </c>
      <c r="D906" s="3" t="str">
        <f>IFERROR(INDEX(Movimientos!$E$2:$E$1998,MATCH(A906&amp;"ENTRADA",Movimientos!$R$2:$R$1998,0)),"-")</f>
        <v>-</v>
      </c>
      <c r="E906" s="3" t="str">
        <f>IFERROR(INDEX(Movimientos!$F$2:$F$1998,MATCH(A906&amp;"ENTRADA",Movimientos!$R$2:$R$1998,0)),"-")</f>
        <v>-</v>
      </c>
      <c r="F906" s="3" t="str">
        <f>IFERROR(INDEX(Movimientos!$G$2:$G$1998,MATCH(A906&amp;"ENTRADA",Movimientos!$R$2:$R$1998,0)),"-")</f>
        <v>-</v>
      </c>
      <c r="G906" s="3" t="str">
        <f>IFERROR(INDEX(Movimientos!$L$2:$L$1998,MATCH(A906&amp;"ENTRADA",Movimientos!$R$2:$R$1998,0)),"-")</f>
        <v>-</v>
      </c>
      <c r="H906" s="19" t="str">
        <f>IFERROR(IF(INDEX(Movimientos!$M$2:$M$1998,MATCH(A906&amp;"ENTRADA",Movimientos!$R$2:$R$1998,0))=0,"S/D",INDEX(Movimientos!$M$2:$M$1998,MATCH(A906&amp;"ENTRADA",Movimientos!$R$2:$R$1998,0))),"S/D")</f>
        <v>S/D</v>
      </c>
      <c r="I906" s="16" t="str">
        <f t="shared" ca="1" si="30"/>
        <v>S/D</v>
      </c>
      <c r="J906" s="6">
        <f>IF(A906="","",SUMIFS(Movimientos!$K:$K,Movimientos!$H:$H,A906))</f>
        <v>0</v>
      </c>
      <c r="K906" s="14" t="str">
        <f t="shared" ca="1" si="29"/>
        <v>SIN STOCK</v>
      </c>
    </row>
    <row r="907" spans="1:11" ht="14.25">
      <c r="A907" s="18" t="s">
        <v>3050</v>
      </c>
      <c r="B907" s="3" t="str">
        <f>IFERROR(INDEX(Movimientos!$C$2:$C$1998,MATCH(A907&amp;"ENTRADA",Movimientos!$R$2:$R$1998,0)),"-")</f>
        <v>-</v>
      </c>
      <c r="C907" s="3" t="str">
        <f>IFERROR(INDEX(Movimientos!$D$2:$D$1998,MATCH(A907&amp;"ENTRADA",Movimientos!$R$2:$R$1998,0)),"-")</f>
        <v>-</v>
      </c>
      <c r="D907" s="3" t="str">
        <f>IFERROR(INDEX(Movimientos!$E$2:$E$1998,MATCH(A907&amp;"ENTRADA",Movimientos!$R$2:$R$1998,0)),"-")</f>
        <v>-</v>
      </c>
      <c r="E907" s="3" t="str">
        <f>IFERROR(INDEX(Movimientos!$F$2:$F$1998,MATCH(A907&amp;"ENTRADA",Movimientos!$R$2:$R$1998,0)),"-")</f>
        <v>-</v>
      </c>
      <c r="F907" s="3" t="str">
        <f>IFERROR(INDEX(Movimientos!$G$2:$G$1998,MATCH(A907&amp;"ENTRADA",Movimientos!$R$2:$R$1998,0)),"-")</f>
        <v>-</v>
      </c>
      <c r="G907" s="3" t="str">
        <f>IFERROR(INDEX(Movimientos!$L$2:$L$1998,MATCH(A907&amp;"ENTRADA",Movimientos!$R$2:$R$1998,0)),"-")</f>
        <v>-</v>
      </c>
      <c r="H907" s="19" t="str">
        <f>IFERROR(IF(INDEX(Movimientos!$M$2:$M$1998,MATCH(A907&amp;"ENTRADA",Movimientos!$R$2:$R$1998,0))=0,"S/D",INDEX(Movimientos!$M$2:$M$1998,MATCH(A907&amp;"ENTRADA",Movimientos!$R$2:$R$1998,0))),"S/D")</f>
        <v>S/D</v>
      </c>
      <c r="I907" s="16" t="str">
        <f t="shared" ca="1" si="30"/>
        <v>S/D</v>
      </c>
      <c r="J907" s="6">
        <f>IF(A907="","",SUMIFS(Movimientos!$K:$K,Movimientos!$H:$H,A907))</f>
        <v>0</v>
      </c>
      <c r="K907" s="14" t="str">
        <f t="shared" ca="1" si="29"/>
        <v>SIN STOCK</v>
      </c>
    </row>
    <row r="908" spans="1:11" ht="14.25">
      <c r="A908" s="18" t="s">
        <v>3051</v>
      </c>
      <c r="B908" s="3" t="str">
        <f>IFERROR(INDEX(Movimientos!$C$2:$C$1998,MATCH(A908&amp;"ENTRADA",Movimientos!$R$2:$R$1998,0)),"-")</f>
        <v>-</v>
      </c>
      <c r="C908" s="3" t="str">
        <f>IFERROR(INDEX(Movimientos!$D$2:$D$1998,MATCH(A908&amp;"ENTRADA",Movimientos!$R$2:$R$1998,0)),"-")</f>
        <v>-</v>
      </c>
      <c r="D908" s="3" t="str">
        <f>IFERROR(INDEX(Movimientos!$E$2:$E$1998,MATCH(A908&amp;"ENTRADA",Movimientos!$R$2:$R$1998,0)),"-")</f>
        <v>-</v>
      </c>
      <c r="E908" s="3" t="str">
        <f>IFERROR(INDEX(Movimientos!$F$2:$F$1998,MATCH(A908&amp;"ENTRADA",Movimientos!$R$2:$R$1998,0)),"-")</f>
        <v>-</v>
      </c>
      <c r="F908" s="3" t="str">
        <f>IFERROR(INDEX(Movimientos!$G$2:$G$1998,MATCH(A908&amp;"ENTRADA",Movimientos!$R$2:$R$1998,0)),"-")</f>
        <v>-</v>
      </c>
      <c r="G908" s="3" t="str">
        <f>IFERROR(INDEX(Movimientos!$L$2:$L$1998,MATCH(A908&amp;"ENTRADA",Movimientos!$R$2:$R$1998,0)),"-")</f>
        <v>-</v>
      </c>
      <c r="H908" s="19" t="str">
        <f>IFERROR(IF(INDEX(Movimientos!$M$2:$M$1998,MATCH(A908&amp;"ENTRADA",Movimientos!$R$2:$R$1998,0))=0,"S/D",INDEX(Movimientos!$M$2:$M$1998,MATCH(A908&amp;"ENTRADA",Movimientos!$R$2:$R$1998,0))),"S/D")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29"/>
        <v>SIN STOCK</v>
      </c>
    </row>
    <row r="909" spans="1:11" ht="14.25">
      <c r="A909" s="18" t="s">
        <v>3052</v>
      </c>
      <c r="B909" s="3" t="str">
        <f>IFERROR(INDEX(Movimientos!$C$2:$C$1998,MATCH(A909&amp;"ENTRADA",Movimientos!$R$2:$R$1998,0)),"-")</f>
        <v>-</v>
      </c>
      <c r="C909" s="3" t="str">
        <f>IFERROR(INDEX(Movimientos!$D$2:$D$1998,MATCH(A909&amp;"ENTRADA",Movimientos!$R$2:$R$1998,0)),"-")</f>
        <v>-</v>
      </c>
      <c r="D909" s="3" t="str">
        <f>IFERROR(INDEX(Movimientos!$E$2:$E$1998,MATCH(A909&amp;"ENTRADA",Movimientos!$R$2:$R$1998,0)),"-")</f>
        <v>-</v>
      </c>
      <c r="E909" s="3" t="str">
        <f>IFERROR(INDEX(Movimientos!$F$2:$F$1998,MATCH(A909&amp;"ENTRADA",Movimientos!$R$2:$R$1998,0)),"-")</f>
        <v>-</v>
      </c>
      <c r="F909" s="3" t="str">
        <f>IFERROR(INDEX(Movimientos!$G$2:$G$1998,MATCH(A909&amp;"ENTRADA",Movimientos!$R$2:$R$1998,0)),"-")</f>
        <v>-</v>
      </c>
      <c r="G909" s="3" t="str">
        <f>IFERROR(INDEX(Movimientos!$L$2:$L$1998,MATCH(A909&amp;"ENTRADA",Movimientos!$R$2:$R$1998,0)),"-")</f>
        <v>-</v>
      </c>
      <c r="H909" s="19" t="str">
        <f>IFERROR(IF(INDEX(Movimientos!$M$2:$M$1998,MATCH(A909&amp;"ENTRADA",Movimientos!$R$2:$R$1998,0))=0,"S/D",INDEX(Movimientos!$M$2:$M$1998,MATCH(A909&amp;"ENTRADA",Movimientos!$R$2:$R$1998,0))),"S/D")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29"/>
        <v>SIN STOCK</v>
      </c>
    </row>
    <row r="910" spans="1:11" ht="14.25">
      <c r="A910" s="18" t="s">
        <v>3053</v>
      </c>
      <c r="B910" s="3" t="str">
        <f>IFERROR(INDEX(Movimientos!$C$2:$C$1998,MATCH(A910&amp;"ENTRADA",Movimientos!$R$2:$R$1998,0)),"-")</f>
        <v>-</v>
      </c>
      <c r="C910" s="3" t="str">
        <f>IFERROR(INDEX(Movimientos!$D$2:$D$1998,MATCH(A910&amp;"ENTRADA",Movimientos!$R$2:$R$1998,0)),"-")</f>
        <v>-</v>
      </c>
      <c r="D910" s="3" t="str">
        <f>IFERROR(INDEX(Movimientos!$E$2:$E$1998,MATCH(A910&amp;"ENTRADA",Movimientos!$R$2:$R$1998,0)),"-")</f>
        <v>-</v>
      </c>
      <c r="E910" s="3" t="str">
        <f>IFERROR(INDEX(Movimientos!$F$2:$F$1998,MATCH(A910&amp;"ENTRADA",Movimientos!$R$2:$R$1998,0)),"-")</f>
        <v>-</v>
      </c>
      <c r="F910" s="3" t="str">
        <f>IFERROR(INDEX(Movimientos!$G$2:$G$1998,MATCH(A910&amp;"ENTRADA",Movimientos!$R$2:$R$1998,0)),"-")</f>
        <v>-</v>
      </c>
      <c r="G910" s="3" t="str">
        <f>IFERROR(INDEX(Movimientos!$L$2:$L$1998,MATCH(A910&amp;"ENTRADA",Movimientos!$R$2:$R$1998,0)),"-")</f>
        <v>-</v>
      </c>
      <c r="H910" s="19" t="str">
        <f>IFERROR(IF(INDEX(Movimientos!$M$2:$M$1998,MATCH(A910&amp;"ENTRADA",Movimientos!$R$2:$R$1998,0))=0,"S/D",INDEX(Movimientos!$M$2:$M$1998,MATCH(A910&amp;"ENTRADA",Movimientos!$R$2:$R$1998,0))),"S/D")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29"/>
        <v>SIN STOCK</v>
      </c>
    </row>
    <row r="911" spans="1:11" ht="14.25">
      <c r="A911" s="18" t="s">
        <v>3054</v>
      </c>
      <c r="B911" s="3" t="str">
        <f>IFERROR(INDEX(Movimientos!$C$2:$C$1998,MATCH(A911&amp;"ENTRADA",Movimientos!$R$2:$R$1998,0)),"-")</f>
        <v>-</v>
      </c>
      <c r="C911" s="3" t="str">
        <f>IFERROR(INDEX(Movimientos!$D$2:$D$1998,MATCH(A911&amp;"ENTRADA",Movimientos!$R$2:$R$1998,0)),"-")</f>
        <v>-</v>
      </c>
      <c r="D911" s="3" t="str">
        <f>IFERROR(INDEX(Movimientos!$E$2:$E$1998,MATCH(A911&amp;"ENTRADA",Movimientos!$R$2:$R$1998,0)),"-")</f>
        <v>-</v>
      </c>
      <c r="E911" s="3" t="str">
        <f>IFERROR(INDEX(Movimientos!$F$2:$F$1998,MATCH(A911&amp;"ENTRADA",Movimientos!$R$2:$R$1998,0)),"-")</f>
        <v>-</v>
      </c>
      <c r="F911" s="3" t="str">
        <f>IFERROR(INDEX(Movimientos!$G$2:$G$1998,MATCH(A911&amp;"ENTRADA",Movimientos!$R$2:$R$1998,0)),"-")</f>
        <v>-</v>
      </c>
      <c r="G911" s="3" t="str">
        <f>IFERROR(INDEX(Movimientos!$L$2:$L$1998,MATCH(A911&amp;"ENTRADA",Movimientos!$R$2:$R$1998,0)),"-")</f>
        <v>-</v>
      </c>
      <c r="H911" s="19" t="str">
        <f>IFERROR(IF(INDEX(Movimientos!$M$2:$M$1998,MATCH(A911&amp;"ENTRADA",Movimientos!$R$2:$R$1998,0))=0,"S/D",INDEX(Movimientos!$M$2:$M$1998,MATCH(A911&amp;"ENTRADA",Movimientos!$R$2:$R$1998,0))),"S/D")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29"/>
        <v>SIN STOCK</v>
      </c>
    </row>
    <row r="912" spans="1:11" ht="14.25">
      <c r="A912" s="18" t="s">
        <v>3055</v>
      </c>
      <c r="B912" s="3" t="str">
        <f>IFERROR(INDEX(Movimientos!$C$2:$C$1998,MATCH(A912&amp;"ENTRADA",Movimientos!$R$2:$R$1998,0)),"-")</f>
        <v>-</v>
      </c>
      <c r="C912" s="3" t="str">
        <f>IFERROR(INDEX(Movimientos!$D$2:$D$1998,MATCH(A912&amp;"ENTRADA",Movimientos!$R$2:$R$1998,0)),"-")</f>
        <v>-</v>
      </c>
      <c r="D912" s="3" t="str">
        <f>IFERROR(INDEX(Movimientos!$E$2:$E$1998,MATCH(A912&amp;"ENTRADA",Movimientos!$R$2:$R$1998,0)),"-")</f>
        <v>-</v>
      </c>
      <c r="E912" s="3" t="str">
        <f>IFERROR(INDEX(Movimientos!$F$2:$F$1998,MATCH(A912&amp;"ENTRADA",Movimientos!$R$2:$R$1998,0)),"-")</f>
        <v>-</v>
      </c>
      <c r="F912" s="3" t="str">
        <f>IFERROR(INDEX(Movimientos!$G$2:$G$1998,MATCH(A912&amp;"ENTRADA",Movimientos!$R$2:$R$1998,0)),"-")</f>
        <v>-</v>
      </c>
      <c r="G912" s="3" t="str">
        <f>IFERROR(INDEX(Movimientos!$L$2:$L$1998,MATCH(A912&amp;"ENTRADA",Movimientos!$R$2:$R$1998,0)),"-")</f>
        <v>-</v>
      </c>
      <c r="H912" s="19" t="str">
        <f>IFERROR(IF(INDEX(Movimientos!$M$2:$M$1998,MATCH(A912&amp;"ENTRADA",Movimientos!$R$2:$R$1998,0))=0,"S/D",INDEX(Movimientos!$M$2:$M$1998,MATCH(A912&amp;"ENTRADA",Movimientos!$R$2:$R$1998,0))),"S/D")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29"/>
        <v>SIN STOCK</v>
      </c>
    </row>
    <row r="913" spans="1:11" ht="14.25">
      <c r="A913" s="18" t="s">
        <v>3056</v>
      </c>
      <c r="B913" s="3" t="str">
        <f>IFERROR(INDEX(Movimientos!$C$2:$C$1998,MATCH(A913&amp;"ENTRADA",Movimientos!$R$2:$R$1998,0)),"-")</f>
        <v>-</v>
      </c>
      <c r="C913" s="3" t="str">
        <f>IFERROR(INDEX(Movimientos!$D$2:$D$1998,MATCH(A913&amp;"ENTRADA",Movimientos!$R$2:$R$1998,0)),"-")</f>
        <v>-</v>
      </c>
      <c r="D913" s="3" t="str">
        <f>IFERROR(INDEX(Movimientos!$E$2:$E$1998,MATCH(A913&amp;"ENTRADA",Movimientos!$R$2:$R$1998,0)),"-")</f>
        <v>-</v>
      </c>
      <c r="E913" s="3" t="str">
        <f>IFERROR(INDEX(Movimientos!$F$2:$F$1998,MATCH(A913&amp;"ENTRADA",Movimientos!$R$2:$R$1998,0)),"-")</f>
        <v>-</v>
      </c>
      <c r="F913" s="3" t="str">
        <f>IFERROR(INDEX(Movimientos!$G$2:$G$1998,MATCH(A913&amp;"ENTRADA",Movimientos!$R$2:$R$1998,0)),"-")</f>
        <v>-</v>
      </c>
      <c r="G913" s="3" t="str">
        <f>IFERROR(INDEX(Movimientos!$L$2:$L$1998,MATCH(A913&amp;"ENTRADA",Movimientos!$R$2:$R$1998,0)),"-")</f>
        <v>-</v>
      </c>
      <c r="H913" s="19" t="str">
        <f>IFERROR(IF(INDEX(Movimientos!$M$2:$M$1998,MATCH(A913&amp;"ENTRADA",Movimientos!$R$2:$R$1998,0))=0,"S/D",INDEX(Movimientos!$M$2:$M$1998,MATCH(A913&amp;"ENTRADA",Movimientos!$R$2:$R$1998,0))),"S/D")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29"/>
        <v>SIN STOCK</v>
      </c>
    </row>
    <row r="914" spans="1:11" ht="14.25">
      <c r="A914" s="18" t="s">
        <v>3057</v>
      </c>
      <c r="B914" s="3" t="str">
        <f>IFERROR(INDEX(Movimientos!$C$2:$C$1998,MATCH(A914&amp;"ENTRADA",Movimientos!$R$2:$R$1998,0)),"-")</f>
        <v>-</v>
      </c>
      <c r="C914" s="3" t="str">
        <f>IFERROR(INDEX(Movimientos!$D$2:$D$1998,MATCH(A914&amp;"ENTRADA",Movimientos!$R$2:$R$1998,0)),"-")</f>
        <v>-</v>
      </c>
      <c r="D914" s="3" t="str">
        <f>IFERROR(INDEX(Movimientos!$E$2:$E$1998,MATCH(A914&amp;"ENTRADA",Movimientos!$R$2:$R$1998,0)),"-")</f>
        <v>-</v>
      </c>
      <c r="E914" s="3" t="str">
        <f>IFERROR(INDEX(Movimientos!$F$2:$F$1998,MATCH(A914&amp;"ENTRADA",Movimientos!$R$2:$R$1998,0)),"-")</f>
        <v>-</v>
      </c>
      <c r="F914" s="3" t="str">
        <f>IFERROR(INDEX(Movimientos!$G$2:$G$1998,MATCH(A914&amp;"ENTRADA",Movimientos!$R$2:$R$1998,0)),"-")</f>
        <v>-</v>
      </c>
      <c r="G914" s="3" t="str">
        <f>IFERROR(INDEX(Movimientos!$L$2:$L$1998,MATCH(A914&amp;"ENTRADA",Movimientos!$R$2:$R$1998,0)),"-")</f>
        <v>-</v>
      </c>
      <c r="H914" s="19" t="str">
        <f>IFERROR(IF(INDEX(Movimientos!$M$2:$M$1998,MATCH(A914&amp;"ENTRADA",Movimientos!$R$2:$R$1998,0))=0,"S/D",INDEX(Movimientos!$M$2:$M$1998,MATCH(A914&amp;"ENTRADA",Movimientos!$R$2:$R$1998,0))),"S/D")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29"/>
        <v>SIN STOCK</v>
      </c>
    </row>
    <row r="915" spans="1:11" ht="14.25">
      <c r="A915" s="18" t="s">
        <v>3058</v>
      </c>
      <c r="B915" s="3" t="str">
        <f>IFERROR(INDEX(Movimientos!$C$2:$C$1998,MATCH(A915&amp;"ENTRADA",Movimientos!$R$2:$R$1998,0)),"-")</f>
        <v>-</v>
      </c>
      <c r="C915" s="3" t="str">
        <f>IFERROR(INDEX(Movimientos!$D$2:$D$1998,MATCH(A915&amp;"ENTRADA",Movimientos!$R$2:$R$1998,0)),"-")</f>
        <v>-</v>
      </c>
      <c r="D915" s="3" t="str">
        <f>IFERROR(INDEX(Movimientos!$E$2:$E$1998,MATCH(A915&amp;"ENTRADA",Movimientos!$R$2:$R$1998,0)),"-")</f>
        <v>-</v>
      </c>
      <c r="E915" s="3" t="str">
        <f>IFERROR(INDEX(Movimientos!$F$2:$F$1998,MATCH(A915&amp;"ENTRADA",Movimientos!$R$2:$R$1998,0)),"-")</f>
        <v>-</v>
      </c>
      <c r="F915" s="3" t="str">
        <f>IFERROR(INDEX(Movimientos!$G$2:$G$1998,MATCH(A915&amp;"ENTRADA",Movimientos!$R$2:$R$1998,0)),"-")</f>
        <v>-</v>
      </c>
      <c r="G915" s="3" t="str">
        <f>IFERROR(INDEX(Movimientos!$L$2:$L$1998,MATCH(A915&amp;"ENTRADA",Movimientos!$R$2:$R$1998,0)),"-")</f>
        <v>-</v>
      </c>
      <c r="H915" s="19" t="str">
        <f>IFERROR(IF(INDEX(Movimientos!$M$2:$M$1998,MATCH(A915&amp;"ENTRADA",Movimientos!$R$2:$R$1998,0))=0,"S/D",INDEX(Movimientos!$M$2:$M$1998,MATCH(A915&amp;"ENTRADA",Movimientos!$R$2:$R$1998,0))),"S/D")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29"/>
        <v>SIN STOCK</v>
      </c>
    </row>
    <row r="916" spans="1:11" ht="14.25">
      <c r="A916" s="18" t="s">
        <v>3059</v>
      </c>
      <c r="B916" s="3" t="str">
        <f>IFERROR(INDEX(Movimientos!$C$2:$C$1998,MATCH(A916&amp;"ENTRADA",Movimientos!$R$2:$R$1998,0)),"-")</f>
        <v>-</v>
      </c>
      <c r="C916" s="3" t="str">
        <f>IFERROR(INDEX(Movimientos!$D$2:$D$1998,MATCH(A916&amp;"ENTRADA",Movimientos!$R$2:$R$1998,0)),"-")</f>
        <v>-</v>
      </c>
      <c r="D916" s="3" t="str">
        <f>IFERROR(INDEX(Movimientos!$E$2:$E$1998,MATCH(A916&amp;"ENTRADA",Movimientos!$R$2:$R$1998,0)),"-")</f>
        <v>-</v>
      </c>
      <c r="E916" s="3" t="str">
        <f>IFERROR(INDEX(Movimientos!$F$2:$F$1998,MATCH(A916&amp;"ENTRADA",Movimientos!$R$2:$R$1998,0)),"-")</f>
        <v>-</v>
      </c>
      <c r="F916" s="3" t="str">
        <f>IFERROR(INDEX(Movimientos!$G$2:$G$1998,MATCH(A916&amp;"ENTRADA",Movimientos!$R$2:$R$1998,0)),"-")</f>
        <v>-</v>
      </c>
      <c r="G916" s="3" t="str">
        <f>IFERROR(INDEX(Movimientos!$L$2:$L$1998,MATCH(A916&amp;"ENTRADA",Movimientos!$R$2:$R$1998,0)),"-")</f>
        <v>-</v>
      </c>
      <c r="H916" s="19" t="str">
        <f>IFERROR(IF(INDEX(Movimientos!$M$2:$M$1998,MATCH(A916&amp;"ENTRADA",Movimientos!$R$2:$R$1998,0))=0,"S/D",INDEX(Movimientos!$M$2:$M$1998,MATCH(A916&amp;"ENTRADA",Movimientos!$R$2:$R$1998,0))),"S/D")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29"/>
        <v>SIN STOCK</v>
      </c>
    </row>
    <row r="917" spans="1:11" ht="14.25">
      <c r="A917" s="18" t="s">
        <v>3060</v>
      </c>
      <c r="B917" s="3" t="str">
        <f>IFERROR(INDEX(Movimientos!$C$2:$C$1998,MATCH(A917&amp;"ENTRADA",Movimientos!$R$2:$R$1998,0)),"-")</f>
        <v>-</v>
      </c>
      <c r="C917" s="3" t="str">
        <f>IFERROR(INDEX(Movimientos!$D$2:$D$1998,MATCH(A917&amp;"ENTRADA",Movimientos!$R$2:$R$1998,0)),"-")</f>
        <v>-</v>
      </c>
      <c r="D917" s="3" t="str">
        <f>IFERROR(INDEX(Movimientos!$E$2:$E$1998,MATCH(A917&amp;"ENTRADA",Movimientos!$R$2:$R$1998,0)),"-")</f>
        <v>-</v>
      </c>
      <c r="E917" s="3" t="str">
        <f>IFERROR(INDEX(Movimientos!$F$2:$F$1998,MATCH(A917&amp;"ENTRADA",Movimientos!$R$2:$R$1998,0)),"-")</f>
        <v>-</v>
      </c>
      <c r="F917" s="3" t="str">
        <f>IFERROR(INDEX(Movimientos!$G$2:$G$1998,MATCH(A917&amp;"ENTRADA",Movimientos!$R$2:$R$1998,0)),"-")</f>
        <v>-</v>
      </c>
      <c r="G917" s="3" t="str">
        <f>IFERROR(INDEX(Movimientos!$L$2:$L$1998,MATCH(A917&amp;"ENTRADA",Movimientos!$R$2:$R$1998,0)),"-")</f>
        <v>-</v>
      </c>
      <c r="H917" s="19" t="str">
        <f>IFERROR(IF(INDEX(Movimientos!$M$2:$M$1998,MATCH(A917&amp;"ENTRADA",Movimientos!$R$2:$R$1998,0))=0,"S/D",INDEX(Movimientos!$M$2:$M$1998,MATCH(A917&amp;"ENTRADA",Movimientos!$R$2:$R$1998,0))),"S/D")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29"/>
        <v>SIN STOCK</v>
      </c>
    </row>
    <row r="918" spans="1:11" ht="14.25">
      <c r="A918" s="18" t="s">
        <v>3061</v>
      </c>
      <c r="B918" s="3" t="str">
        <f>IFERROR(INDEX(Movimientos!$C$2:$C$1998,MATCH(A918&amp;"ENTRADA",Movimientos!$R$2:$R$1998,0)),"-")</f>
        <v>-</v>
      </c>
      <c r="C918" s="3" t="str">
        <f>IFERROR(INDEX(Movimientos!$D$2:$D$1998,MATCH(A918&amp;"ENTRADA",Movimientos!$R$2:$R$1998,0)),"-")</f>
        <v>-</v>
      </c>
      <c r="D918" s="3" t="str">
        <f>IFERROR(INDEX(Movimientos!$E$2:$E$1998,MATCH(A918&amp;"ENTRADA",Movimientos!$R$2:$R$1998,0)),"-")</f>
        <v>-</v>
      </c>
      <c r="E918" s="3" t="str">
        <f>IFERROR(INDEX(Movimientos!$F$2:$F$1998,MATCH(A918&amp;"ENTRADA",Movimientos!$R$2:$R$1998,0)),"-")</f>
        <v>-</v>
      </c>
      <c r="F918" s="3" t="str">
        <f>IFERROR(INDEX(Movimientos!$G$2:$G$1998,MATCH(A918&amp;"ENTRADA",Movimientos!$R$2:$R$1998,0)),"-")</f>
        <v>-</v>
      </c>
      <c r="G918" s="3" t="str">
        <f>IFERROR(INDEX(Movimientos!$L$2:$L$1998,MATCH(A918&amp;"ENTRADA",Movimientos!$R$2:$R$1998,0)),"-")</f>
        <v>-</v>
      </c>
      <c r="H918" s="19" t="str">
        <f>IFERROR(IF(INDEX(Movimientos!$M$2:$M$1998,MATCH(A918&amp;"ENTRADA",Movimientos!$R$2:$R$1998,0))=0,"S/D",INDEX(Movimientos!$M$2:$M$1998,MATCH(A918&amp;"ENTRADA",Movimientos!$R$2:$R$1998,0))),"S/D")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29"/>
        <v>SIN STOCK</v>
      </c>
    </row>
    <row r="919" spans="1:11" ht="14.25">
      <c r="A919" s="18" t="s">
        <v>3062</v>
      </c>
      <c r="B919" s="3" t="str">
        <f>IFERROR(INDEX(Movimientos!$C$2:$C$1998,MATCH(A919&amp;"ENTRADA",Movimientos!$R$2:$R$1998,0)),"-")</f>
        <v>-</v>
      </c>
      <c r="C919" s="3" t="str">
        <f>IFERROR(INDEX(Movimientos!$D$2:$D$1998,MATCH(A919&amp;"ENTRADA",Movimientos!$R$2:$R$1998,0)),"-")</f>
        <v>-</v>
      </c>
      <c r="D919" s="3" t="str">
        <f>IFERROR(INDEX(Movimientos!$E$2:$E$1998,MATCH(A919&amp;"ENTRADA",Movimientos!$R$2:$R$1998,0)),"-")</f>
        <v>-</v>
      </c>
      <c r="E919" s="3" t="str">
        <f>IFERROR(INDEX(Movimientos!$F$2:$F$1998,MATCH(A919&amp;"ENTRADA",Movimientos!$R$2:$R$1998,0)),"-")</f>
        <v>-</v>
      </c>
      <c r="F919" s="3" t="str">
        <f>IFERROR(INDEX(Movimientos!$G$2:$G$1998,MATCH(A919&amp;"ENTRADA",Movimientos!$R$2:$R$1998,0)),"-")</f>
        <v>-</v>
      </c>
      <c r="G919" s="3" t="str">
        <f>IFERROR(INDEX(Movimientos!$L$2:$L$1998,MATCH(A919&amp;"ENTRADA",Movimientos!$R$2:$R$1998,0)),"-")</f>
        <v>-</v>
      </c>
      <c r="H919" s="19" t="str">
        <f>IFERROR(IF(INDEX(Movimientos!$M$2:$M$1998,MATCH(A919&amp;"ENTRADA",Movimientos!$R$2:$R$1998,0))=0,"S/D",INDEX(Movimientos!$M$2:$M$1998,MATCH(A919&amp;"ENTRADA",Movimientos!$R$2:$R$1998,0))),"S/D")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29"/>
        <v>SIN STOCK</v>
      </c>
    </row>
    <row r="920" spans="1:11" ht="14.25">
      <c r="A920" s="18" t="s">
        <v>3063</v>
      </c>
      <c r="B920" s="3" t="str">
        <f>IFERROR(INDEX(Movimientos!$C$2:$C$1998,MATCH(A920&amp;"ENTRADA",Movimientos!$R$2:$R$1998,0)),"-")</f>
        <v>-</v>
      </c>
      <c r="C920" s="3" t="str">
        <f>IFERROR(INDEX(Movimientos!$D$2:$D$1998,MATCH(A920&amp;"ENTRADA",Movimientos!$R$2:$R$1998,0)),"-")</f>
        <v>-</v>
      </c>
      <c r="D920" s="3" t="str">
        <f>IFERROR(INDEX(Movimientos!$E$2:$E$1998,MATCH(A920&amp;"ENTRADA",Movimientos!$R$2:$R$1998,0)),"-")</f>
        <v>-</v>
      </c>
      <c r="E920" s="3" t="str">
        <f>IFERROR(INDEX(Movimientos!$F$2:$F$1998,MATCH(A920&amp;"ENTRADA",Movimientos!$R$2:$R$1998,0)),"-")</f>
        <v>-</v>
      </c>
      <c r="F920" s="3" t="str">
        <f>IFERROR(INDEX(Movimientos!$G$2:$G$1998,MATCH(A920&amp;"ENTRADA",Movimientos!$R$2:$R$1998,0)),"-")</f>
        <v>-</v>
      </c>
      <c r="G920" s="3" t="str">
        <f>IFERROR(INDEX(Movimientos!$L$2:$L$1998,MATCH(A920&amp;"ENTRADA",Movimientos!$R$2:$R$1998,0)),"-")</f>
        <v>-</v>
      </c>
      <c r="H920" s="19" t="str">
        <f>IFERROR(IF(INDEX(Movimientos!$M$2:$M$1998,MATCH(A920&amp;"ENTRADA",Movimientos!$R$2:$R$1998,0))=0,"S/D",INDEX(Movimientos!$M$2:$M$1998,MATCH(A920&amp;"ENTRADA",Movimientos!$R$2:$R$1998,0))),"S/D")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29"/>
        <v>SIN STOCK</v>
      </c>
    </row>
    <row r="921" spans="1:11" ht="14.25">
      <c r="A921" s="18" t="s">
        <v>3064</v>
      </c>
      <c r="B921" s="3" t="str">
        <f>IFERROR(INDEX(Movimientos!$C$2:$C$1998,MATCH(A921&amp;"ENTRADA",Movimientos!$R$2:$R$1998,0)),"-")</f>
        <v>-</v>
      </c>
      <c r="C921" s="3" t="str">
        <f>IFERROR(INDEX(Movimientos!$D$2:$D$1998,MATCH(A921&amp;"ENTRADA",Movimientos!$R$2:$R$1998,0)),"-")</f>
        <v>-</v>
      </c>
      <c r="D921" s="3" t="str">
        <f>IFERROR(INDEX(Movimientos!$E$2:$E$1998,MATCH(A921&amp;"ENTRADA",Movimientos!$R$2:$R$1998,0)),"-")</f>
        <v>-</v>
      </c>
      <c r="E921" s="3" t="str">
        <f>IFERROR(INDEX(Movimientos!$F$2:$F$1998,MATCH(A921&amp;"ENTRADA",Movimientos!$R$2:$R$1998,0)),"-")</f>
        <v>-</v>
      </c>
      <c r="F921" s="3" t="str">
        <f>IFERROR(INDEX(Movimientos!$G$2:$G$1998,MATCH(A921&amp;"ENTRADA",Movimientos!$R$2:$R$1998,0)),"-")</f>
        <v>-</v>
      </c>
      <c r="G921" s="3" t="str">
        <f>IFERROR(INDEX(Movimientos!$L$2:$L$1998,MATCH(A921&amp;"ENTRADA",Movimientos!$R$2:$R$1998,0)),"-")</f>
        <v>-</v>
      </c>
      <c r="H921" s="19" t="str">
        <f>IFERROR(IF(INDEX(Movimientos!$M$2:$M$1998,MATCH(A921&amp;"ENTRADA",Movimientos!$R$2:$R$1998,0))=0,"S/D",INDEX(Movimientos!$M$2:$M$1998,MATCH(A921&amp;"ENTRADA",Movimientos!$R$2:$R$1998,0))),"S/D")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29"/>
        <v>SIN STOCK</v>
      </c>
    </row>
    <row r="922" spans="1:11" ht="14.25">
      <c r="A922" s="18" t="s">
        <v>3065</v>
      </c>
      <c r="B922" s="3" t="str">
        <f>IFERROR(INDEX(Movimientos!$C$2:$C$1998,MATCH(A922&amp;"ENTRADA",Movimientos!$R$2:$R$1998,0)),"-")</f>
        <v>-</v>
      </c>
      <c r="C922" s="3" t="str">
        <f>IFERROR(INDEX(Movimientos!$D$2:$D$1998,MATCH(A922&amp;"ENTRADA",Movimientos!$R$2:$R$1998,0)),"-")</f>
        <v>-</v>
      </c>
      <c r="D922" s="3" t="str">
        <f>IFERROR(INDEX(Movimientos!$E$2:$E$1998,MATCH(A922&amp;"ENTRADA",Movimientos!$R$2:$R$1998,0)),"-")</f>
        <v>-</v>
      </c>
      <c r="E922" s="3" t="str">
        <f>IFERROR(INDEX(Movimientos!$F$2:$F$1998,MATCH(A922&amp;"ENTRADA",Movimientos!$R$2:$R$1998,0)),"-")</f>
        <v>-</v>
      </c>
      <c r="F922" s="3" t="str">
        <f>IFERROR(INDEX(Movimientos!$G$2:$G$1998,MATCH(A922&amp;"ENTRADA",Movimientos!$R$2:$R$1998,0)),"-")</f>
        <v>-</v>
      </c>
      <c r="G922" s="3" t="str">
        <f>IFERROR(INDEX(Movimientos!$L$2:$L$1998,MATCH(A922&amp;"ENTRADA",Movimientos!$R$2:$R$1998,0)),"-")</f>
        <v>-</v>
      </c>
      <c r="H922" s="19" t="str">
        <f>IFERROR(IF(INDEX(Movimientos!$M$2:$M$1998,MATCH(A922&amp;"ENTRADA",Movimientos!$R$2:$R$1998,0))=0,"S/D",INDEX(Movimientos!$M$2:$M$1998,MATCH(A922&amp;"ENTRADA",Movimientos!$R$2:$R$1998,0))),"S/D")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29"/>
        <v>SIN STOCK</v>
      </c>
    </row>
    <row r="923" spans="1:11" ht="14.25">
      <c r="A923" s="18" t="s">
        <v>3066</v>
      </c>
      <c r="B923" s="3" t="str">
        <f>IFERROR(INDEX(Movimientos!$C$2:$C$1998,MATCH(A923&amp;"ENTRADA",Movimientos!$R$2:$R$1998,0)),"-")</f>
        <v>-</v>
      </c>
      <c r="C923" s="3" t="str">
        <f>IFERROR(INDEX(Movimientos!$D$2:$D$1998,MATCH(A923&amp;"ENTRADA",Movimientos!$R$2:$R$1998,0)),"-")</f>
        <v>-</v>
      </c>
      <c r="D923" s="3" t="str">
        <f>IFERROR(INDEX(Movimientos!$E$2:$E$1998,MATCH(A923&amp;"ENTRADA",Movimientos!$R$2:$R$1998,0)),"-")</f>
        <v>-</v>
      </c>
      <c r="E923" s="3" t="str">
        <f>IFERROR(INDEX(Movimientos!$F$2:$F$1998,MATCH(A923&amp;"ENTRADA",Movimientos!$R$2:$R$1998,0)),"-")</f>
        <v>-</v>
      </c>
      <c r="F923" s="3" t="str">
        <f>IFERROR(INDEX(Movimientos!$G$2:$G$1998,MATCH(A923&amp;"ENTRADA",Movimientos!$R$2:$R$1998,0)),"-")</f>
        <v>-</v>
      </c>
      <c r="G923" s="3" t="str">
        <f>IFERROR(INDEX(Movimientos!$L$2:$L$1998,MATCH(A923&amp;"ENTRADA",Movimientos!$R$2:$R$1998,0)),"-")</f>
        <v>-</v>
      </c>
      <c r="H923" s="19" t="str">
        <f>IFERROR(IF(INDEX(Movimientos!$M$2:$M$1998,MATCH(A923&amp;"ENTRADA",Movimientos!$R$2:$R$1998,0))=0,"S/D",INDEX(Movimientos!$M$2:$M$1998,MATCH(A923&amp;"ENTRADA",Movimientos!$R$2:$R$1998,0))),"S/D")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29"/>
        <v>SIN STOCK</v>
      </c>
    </row>
    <row r="924" spans="1:11" ht="14.25">
      <c r="A924" s="18" t="s">
        <v>3067</v>
      </c>
      <c r="B924" s="3" t="str">
        <f>IFERROR(INDEX(Movimientos!$C$2:$C$1998,MATCH(A924&amp;"ENTRADA",Movimientos!$R$2:$R$1998,0)),"-")</f>
        <v>-</v>
      </c>
      <c r="C924" s="3" t="str">
        <f>IFERROR(INDEX(Movimientos!$D$2:$D$1998,MATCH(A924&amp;"ENTRADA",Movimientos!$R$2:$R$1998,0)),"-")</f>
        <v>-</v>
      </c>
      <c r="D924" s="3" t="str">
        <f>IFERROR(INDEX(Movimientos!$E$2:$E$1998,MATCH(A924&amp;"ENTRADA",Movimientos!$R$2:$R$1998,0)),"-")</f>
        <v>-</v>
      </c>
      <c r="E924" s="3" t="str">
        <f>IFERROR(INDEX(Movimientos!$F$2:$F$1998,MATCH(A924&amp;"ENTRADA",Movimientos!$R$2:$R$1998,0)),"-")</f>
        <v>-</v>
      </c>
      <c r="F924" s="3" t="str">
        <f>IFERROR(INDEX(Movimientos!$G$2:$G$1998,MATCH(A924&amp;"ENTRADA",Movimientos!$R$2:$R$1998,0)),"-")</f>
        <v>-</v>
      </c>
      <c r="G924" s="3" t="str">
        <f>IFERROR(INDEX(Movimientos!$L$2:$L$1998,MATCH(A924&amp;"ENTRADA",Movimientos!$R$2:$R$1998,0)),"-")</f>
        <v>-</v>
      </c>
      <c r="H924" s="19" t="str">
        <f>IFERROR(IF(INDEX(Movimientos!$M$2:$M$1998,MATCH(A924&amp;"ENTRADA",Movimientos!$R$2:$R$1998,0))=0,"S/D",INDEX(Movimientos!$M$2:$M$1998,MATCH(A924&amp;"ENTRADA",Movimientos!$R$2:$R$1998,0))),"S/D")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29"/>
        <v>SIN STOCK</v>
      </c>
    </row>
    <row r="925" spans="1:11" ht="14.25">
      <c r="A925" s="18" t="s">
        <v>3068</v>
      </c>
      <c r="B925" s="3" t="str">
        <f>IFERROR(INDEX(Movimientos!$C$2:$C$1998,MATCH(A925&amp;"ENTRADA",Movimientos!$R$2:$R$1998,0)),"-")</f>
        <v>-</v>
      </c>
      <c r="C925" s="3" t="str">
        <f>IFERROR(INDEX(Movimientos!$D$2:$D$1998,MATCH(A925&amp;"ENTRADA",Movimientos!$R$2:$R$1998,0)),"-")</f>
        <v>-</v>
      </c>
      <c r="D925" s="3" t="str">
        <f>IFERROR(INDEX(Movimientos!$E$2:$E$1998,MATCH(A925&amp;"ENTRADA",Movimientos!$R$2:$R$1998,0)),"-")</f>
        <v>-</v>
      </c>
      <c r="E925" s="3" t="str">
        <f>IFERROR(INDEX(Movimientos!$F$2:$F$1998,MATCH(A925&amp;"ENTRADA",Movimientos!$R$2:$R$1998,0)),"-")</f>
        <v>-</v>
      </c>
      <c r="F925" s="3" t="str">
        <f>IFERROR(INDEX(Movimientos!$G$2:$G$1998,MATCH(A925&amp;"ENTRADA",Movimientos!$R$2:$R$1998,0)),"-")</f>
        <v>-</v>
      </c>
      <c r="G925" s="3" t="str">
        <f>IFERROR(INDEX(Movimientos!$L$2:$L$1998,MATCH(A925&amp;"ENTRADA",Movimientos!$R$2:$R$1998,0)),"-")</f>
        <v>-</v>
      </c>
      <c r="H925" s="19" t="str">
        <f>IFERROR(IF(INDEX(Movimientos!$M$2:$M$1998,MATCH(A925&amp;"ENTRADA",Movimientos!$R$2:$R$1998,0))=0,"S/D",INDEX(Movimientos!$M$2:$M$1998,MATCH(A925&amp;"ENTRADA",Movimientos!$R$2:$R$1998,0))),"S/D")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29"/>
        <v>SIN STOCK</v>
      </c>
    </row>
    <row r="926" spans="1:11" ht="14.25">
      <c r="A926" s="18" t="s">
        <v>3069</v>
      </c>
      <c r="B926" s="3" t="str">
        <f>IFERROR(INDEX(Movimientos!$C$2:$C$1998,MATCH(A926&amp;"ENTRADA",Movimientos!$R$2:$R$1998,0)),"-")</f>
        <v>-</v>
      </c>
      <c r="C926" s="3" t="str">
        <f>IFERROR(INDEX(Movimientos!$D$2:$D$1998,MATCH(A926&amp;"ENTRADA",Movimientos!$R$2:$R$1998,0)),"-")</f>
        <v>-</v>
      </c>
      <c r="D926" s="3" t="str">
        <f>IFERROR(INDEX(Movimientos!$E$2:$E$1998,MATCH(A926&amp;"ENTRADA",Movimientos!$R$2:$R$1998,0)),"-")</f>
        <v>-</v>
      </c>
      <c r="E926" s="3" t="str">
        <f>IFERROR(INDEX(Movimientos!$F$2:$F$1998,MATCH(A926&amp;"ENTRADA",Movimientos!$R$2:$R$1998,0)),"-")</f>
        <v>-</v>
      </c>
      <c r="F926" s="3" t="str">
        <f>IFERROR(INDEX(Movimientos!$G$2:$G$1998,MATCH(A926&amp;"ENTRADA",Movimientos!$R$2:$R$1998,0)),"-")</f>
        <v>-</v>
      </c>
      <c r="G926" s="3" t="str">
        <f>IFERROR(INDEX(Movimientos!$L$2:$L$1998,MATCH(A926&amp;"ENTRADA",Movimientos!$R$2:$R$1998,0)),"-")</f>
        <v>-</v>
      </c>
      <c r="H926" s="19" t="str">
        <f>IFERROR(IF(INDEX(Movimientos!$M$2:$M$1998,MATCH(A926&amp;"ENTRADA",Movimientos!$R$2:$R$1998,0))=0,"S/D",INDEX(Movimientos!$M$2:$M$1998,MATCH(A926&amp;"ENTRADA",Movimientos!$R$2:$R$1998,0))),"S/D")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29"/>
        <v>SIN STOCK</v>
      </c>
    </row>
    <row r="927" spans="1:11" ht="14.25">
      <c r="A927" s="18" t="s">
        <v>3070</v>
      </c>
      <c r="B927" s="3" t="str">
        <f>IFERROR(INDEX(Movimientos!$C$2:$C$1998,MATCH(A927&amp;"ENTRADA",Movimientos!$R$2:$R$1998,0)),"-")</f>
        <v>-</v>
      </c>
      <c r="C927" s="3" t="str">
        <f>IFERROR(INDEX(Movimientos!$D$2:$D$1998,MATCH(A927&amp;"ENTRADA",Movimientos!$R$2:$R$1998,0)),"-")</f>
        <v>-</v>
      </c>
      <c r="D927" s="3" t="str">
        <f>IFERROR(INDEX(Movimientos!$E$2:$E$1998,MATCH(A927&amp;"ENTRADA",Movimientos!$R$2:$R$1998,0)),"-")</f>
        <v>-</v>
      </c>
      <c r="E927" s="3" t="str">
        <f>IFERROR(INDEX(Movimientos!$F$2:$F$1998,MATCH(A927&amp;"ENTRADA",Movimientos!$R$2:$R$1998,0)),"-")</f>
        <v>-</v>
      </c>
      <c r="F927" s="3" t="str">
        <f>IFERROR(INDEX(Movimientos!$G$2:$G$1998,MATCH(A927&amp;"ENTRADA",Movimientos!$R$2:$R$1998,0)),"-")</f>
        <v>-</v>
      </c>
      <c r="G927" s="3" t="str">
        <f>IFERROR(INDEX(Movimientos!$L$2:$L$1998,MATCH(A927&amp;"ENTRADA",Movimientos!$R$2:$R$1998,0)),"-")</f>
        <v>-</v>
      </c>
      <c r="H927" s="19" t="str">
        <f>IFERROR(IF(INDEX(Movimientos!$M$2:$M$1998,MATCH(A927&amp;"ENTRADA",Movimientos!$R$2:$R$1998,0))=0,"S/D",INDEX(Movimientos!$M$2:$M$1998,MATCH(A927&amp;"ENTRADA",Movimientos!$R$2:$R$1998,0))),"S/D")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29"/>
        <v>SIN STOCK</v>
      </c>
    </row>
    <row r="928" spans="1:11" ht="14.25">
      <c r="A928" s="18" t="s">
        <v>3071</v>
      </c>
      <c r="B928" s="3" t="str">
        <f>IFERROR(INDEX(Movimientos!$C$2:$C$1998,MATCH(A928&amp;"ENTRADA",Movimientos!$R$2:$R$1998,0)),"-")</f>
        <v>-</v>
      </c>
      <c r="C928" s="3" t="str">
        <f>IFERROR(INDEX(Movimientos!$D$2:$D$1998,MATCH(A928&amp;"ENTRADA",Movimientos!$R$2:$R$1998,0)),"-")</f>
        <v>-</v>
      </c>
      <c r="D928" s="3" t="str">
        <f>IFERROR(INDEX(Movimientos!$E$2:$E$1998,MATCH(A928&amp;"ENTRADA",Movimientos!$R$2:$R$1998,0)),"-")</f>
        <v>-</v>
      </c>
      <c r="E928" s="3" t="str">
        <f>IFERROR(INDEX(Movimientos!$F$2:$F$1998,MATCH(A928&amp;"ENTRADA",Movimientos!$R$2:$R$1998,0)),"-")</f>
        <v>-</v>
      </c>
      <c r="F928" s="3" t="str">
        <f>IFERROR(INDEX(Movimientos!$G$2:$G$1998,MATCH(A928&amp;"ENTRADA",Movimientos!$R$2:$R$1998,0)),"-")</f>
        <v>-</v>
      </c>
      <c r="G928" s="3" t="str">
        <f>IFERROR(INDEX(Movimientos!$L$2:$L$1998,MATCH(A928&amp;"ENTRADA",Movimientos!$R$2:$R$1998,0)),"-")</f>
        <v>-</v>
      </c>
      <c r="H928" s="19" t="str">
        <f>IFERROR(IF(INDEX(Movimientos!$M$2:$M$1998,MATCH(A928&amp;"ENTRADA",Movimientos!$R$2:$R$1998,0))=0,"S/D",INDEX(Movimientos!$M$2:$M$1998,MATCH(A928&amp;"ENTRADA",Movimientos!$R$2:$R$1998,0))),"S/D")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29"/>
        <v>SIN STOCK</v>
      </c>
    </row>
    <row r="929" spans="1:11" ht="14.25">
      <c r="A929" s="18" t="s">
        <v>3072</v>
      </c>
      <c r="B929" s="3" t="str">
        <f>IFERROR(INDEX(Movimientos!$C$2:$C$1998,MATCH(A929&amp;"ENTRADA",Movimientos!$R$2:$R$1998,0)),"-")</f>
        <v>-</v>
      </c>
      <c r="C929" s="3" t="str">
        <f>IFERROR(INDEX(Movimientos!$D$2:$D$1998,MATCH(A929&amp;"ENTRADA",Movimientos!$R$2:$R$1998,0)),"-")</f>
        <v>-</v>
      </c>
      <c r="D929" s="3" t="str">
        <f>IFERROR(INDEX(Movimientos!$E$2:$E$1998,MATCH(A929&amp;"ENTRADA",Movimientos!$R$2:$R$1998,0)),"-")</f>
        <v>-</v>
      </c>
      <c r="E929" s="3" t="str">
        <f>IFERROR(INDEX(Movimientos!$F$2:$F$1998,MATCH(A929&amp;"ENTRADA",Movimientos!$R$2:$R$1998,0)),"-")</f>
        <v>-</v>
      </c>
      <c r="F929" s="3" t="str">
        <f>IFERROR(INDEX(Movimientos!$G$2:$G$1998,MATCH(A929&amp;"ENTRADA",Movimientos!$R$2:$R$1998,0)),"-")</f>
        <v>-</v>
      </c>
      <c r="G929" s="3" t="str">
        <f>IFERROR(INDEX(Movimientos!$L$2:$L$1998,MATCH(A929&amp;"ENTRADA",Movimientos!$R$2:$R$1998,0)),"-")</f>
        <v>-</v>
      </c>
      <c r="H929" s="19" t="str">
        <f>IFERROR(IF(INDEX(Movimientos!$M$2:$M$1998,MATCH(A929&amp;"ENTRADA",Movimientos!$R$2:$R$1998,0))=0,"S/D",INDEX(Movimientos!$M$2:$M$1998,MATCH(A929&amp;"ENTRADA",Movimientos!$R$2:$R$1998,0))),"S/D")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29"/>
        <v>SIN STOCK</v>
      </c>
    </row>
    <row r="930" spans="1:11" ht="14.25">
      <c r="A930" s="18" t="s">
        <v>3073</v>
      </c>
      <c r="B930" s="3" t="str">
        <f>IFERROR(INDEX(Movimientos!$C$2:$C$1998,MATCH(A930&amp;"ENTRADA",Movimientos!$R$2:$R$1998,0)),"-")</f>
        <v>-</v>
      </c>
      <c r="C930" s="3" t="str">
        <f>IFERROR(INDEX(Movimientos!$D$2:$D$1998,MATCH(A930&amp;"ENTRADA",Movimientos!$R$2:$R$1998,0)),"-")</f>
        <v>-</v>
      </c>
      <c r="D930" s="3" t="str">
        <f>IFERROR(INDEX(Movimientos!$E$2:$E$1998,MATCH(A930&amp;"ENTRADA",Movimientos!$R$2:$R$1998,0)),"-")</f>
        <v>-</v>
      </c>
      <c r="E930" s="3" t="str">
        <f>IFERROR(INDEX(Movimientos!$F$2:$F$1998,MATCH(A930&amp;"ENTRADA",Movimientos!$R$2:$R$1998,0)),"-")</f>
        <v>-</v>
      </c>
      <c r="F930" s="3" t="str">
        <f>IFERROR(INDEX(Movimientos!$G$2:$G$1998,MATCH(A930&amp;"ENTRADA",Movimientos!$R$2:$R$1998,0)),"-")</f>
        <v>-</v>
      </c>
      <c r="G930" s="3" t="str">
        <f>IFERROR(INDEX(Movimientos!$L$2:$L$1998,MATCH(A930&amp;"ENTRADA",Movimientos!$R$2:$R$1998,0)),"-")</f>
        <v>-</v>
      </c>
      <c r="H930" s="19" t="str">
        <f>IFERROR(IF(INDEX(Movimientos!$M$2:$M$1998,MATCH(A930&amp;"ENTRADA",Movimientos!$R$2:$R$1998,0))=0,"S/D",INDEX(Movimientos!$M$2:$M$1998,MATCH(A930&amp;"ENTRADA",Movimientos!$R$2:$R$1998,0))),"S/D")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29"/>
        <v>SIN STOCK</v>
      </c>
    </row>
    <row r="931" spans="1:11" ht="14.25">
      <c r="A931" s="18" t="s">
        <v>3074</v>
      </c>
      <c r="B931" s="3" t="str">
        <f>IFERROR(INDEX(Movimientos!$C$2:$C$1998,MATCH(A931&amp;"ENTRADA",Movimientos!$R$2:$R$1998,0)),"-")</f>
        <v>-</v>
      </c>
      <c r="C931" s="3" t="str">
        <f>IFERROR(INDEX(Movimientos!$D$2:$D$1998,MATCH(A931&amp;"ENTRADA",Movimientos!$R$2:$R$1998,0)),"-")</f>
        <v>-</v>
      </c>
      <c r="D931" s="3" t="str">
        <f>IFERROR(INDEX(Movimientos!$E$2:$E$1998,MATCH(A931&amp;"ENTRADA",Movimientos!$R$2:$R$1998,0)),"-")</f>
        <v>-</v>
      </c>
      <c r="E931" s="3" t="str">
        <f>IFERROR(INDEX(Movimientos!$F$2:$F$1998,MATCH(A931&amp;"ENTRADA",Movimientos!$R$2:$R$1998,0)),"-")</f>
        <v>-</v>
      </c>
      <c r="F931" s="3" t="str">
        <f>IFERROR(INDEX(Movimientos!$G$2:$G$1998,MATCH(A931&amp;"ENTRADA",Movimientos!$R$2:$R$1998,0)),"-")</f>
        <v>-</v>
      </c>
      <c r="G931" s="3" t="str">
        <f>IFERROR(INDEX(Movimientos!$L$2:$L$1998,MATCH(A931&amp;"ENTRADA",Movimientos!$R$2:$R$1998,0)),"-")</f>
        <v>-</v>
      </c>
      <c r="H931" s="19" t="str">
        <f>IFERROR(IF(INDEX(Movimientos!$M$2:$M$1998,MATCH(A931&amp;"ENTRADA",Movimientos!$R$2:$R$1998,0))=0,"S/D",INDEX(Movimientos!$M$2:$M$1998,MATCH(A931&amp;"ENTRADA",Movimientos!$R$2:$R$1998,0))),"S/D")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29"/>
        <v>SIN STOCK</v>
      </c>
    </row>
    <row r="932" spans="1:11" ht="14.25">
      <c r="A932" s="18" t="s">
        <v>3075</v>
      </c>
      <c r="B932" s="3" t="str">
        <f>IFERROR(INDEX(Movimientos!$C$2:$C$1998,MATCH(A932&amp;"ENTRADA",Movimientos!$R$2:$R$1998,0)),"-")</f>
        <v>-</v>
      </c>
      <c r="C932" s="3" t="str">
        <f>IFERROR(INDEX(Movimientos!$D$2:$D$1998,MATCH(A932&amp;"ENTRADA",Movimientos!$R$2:$R$1998,0)),"-")</f>
        <v>-</v>
      </c>
      <c r="D932" s="3" t="str">
        <f>IFERROR(INDEX(Movimientos!$E$2:$E$1998,MATCH(A932&amp;"ENTRADA",Movimientos!$R$2:$R$1998,0)),"-")</f>
        <v>-</v>
      </c>
      <c r="E932" s="3" t="str">
        <f>IFERROR(INDEX(Movimientos!$F$2:$F$1998,MATCH(A932&amp;"ENTRADA",Movimientos!$R$2:$R$1998,0)),"-")</f>
        <v>-</v>
      </c>
      <c r="F932" s="3" t="str">
        <f>IFERROR(INDEX(Movimientos!$G$2:$G$1998,MATCH(A932&amp;"ENTRADA",Movimientos!$R$2:$R$1998,0)),"-")</f>
        <v>-</v>
      </c>
      <c r="G932" s="3" t="str">
        <f>IFERROR(INDEX(Movimientos!$L$2:$L$1998,MATCH(A932&amp;"ENTRADA",Movimientos!$R$2:$R$1998,0)),"-")</f>
        <v>-</v>
      </c>
      <c r="H932" s="19" t="str">
        <f>IFERROR(IF(INDEX(Movimientos!$M$2:$M$1998,MATCH(A932&amp;"ENTRADA",Movimientos!$R$2:$R$1998,0))=0,"S/D",INDEX(Movimientos!$M$2:$M$1998,MATCH(A932&amp;"ENTRADA",Movimientos!$R$2:$R$1998,0))),"S/D")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29"/>
        <v>SIN STOCK</v>
      </c>
    </row>
    <row r="933" spans="1:11" ht="14.25">
      <c r="A933" s="18" t="s">
        <v>3076</v>
      </c>
      <c r="B933" s="3" t="str">
        <f>IFERROR(INDEX(Movimientos!$C$2:$C$1998,MATCH(A933&amp;"ENTRADA",Movimientos!$R$2:$R$1998,0)),"-")</f>
        <v>-</v>
      </c>
      <c r="C933" s="3" t="str">
        <f>IFERROR(INDEX(Movimientos!$D$2:$D$1998,MATCH(A933&amp;"ENTRADA",Movimientos!$R$2:$R$1998,0)),"-")</f>
        <v>-</v>
      </c>
      <c r="D933" s="3" t="str">
        <f>IFERROR(INDEX(Movimientos!$E$2:$E$1998,MATCH(A933&amp;"ENTRADA",Movimientos!$R$2:$R$1998,0)),"-")</f>
        <v>-</v>
      </c>
      <c r="E933" s="3" t="str">
        <f>IFERROR(INDEX(Movimientos!$F$2:$F$1998,MATCH(A933&amp;"ENTRADA",Movimientos!$R$2:$R$1998,0)),"-")</f>
        <v>-</v>
      </c>
      <c r="F933" s="3" t="str">
        <f>IFERROR(INDEX(Movimientos!$G$2:$G$1998,MATCH(A933&amp;"ENTRADA",Movimientos!$R$2:$R$1998,0)),"-")</f>
        <v>-</v>
      </c>
      <c r="G933" s="3" t="str">
        <f>IFERROR(INDEX(Movimientos!$L$2:$L$1998,MATCH(A933&amp;"ENTRADA",Movimientos!$R$2:$R$1998,0)),"-")</f>
        <v>-</v>
      </c>
      <c r="H933" s="19" t="str">
        <f>IFERROR(IF(INDEX(Movimientos!$M$2:$M$1998,MATCH(A933&amp;"ENTRADA",Movimientos!$R$2:$R$1998,0))=0,"S/D",INDEX(Movimientos!$M$2:$M$1998,MATCH(A933&amp;"ENTRADA",Movimientos!$R$2:$R$1998,0))),"S/D")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29"/>
        <v>SIN STOCK</v>
      </c>
    </row>
    <row r="934" spans="1:11" ht="14.25">
      <c r="A934" s="18" t="s">
        <v>3077</v>
      </c>
      <c r="B934" s="3" t="str">
        <f>IFERROR(INDEX(Movimientos!$C$2:$C$1998,MATCH(A934&amp;"ENTRADA",Movimientos!$R$2:$R$1998,0)),"-")</f>
        <v>-</v>
      </c>
      <c r="C934" s="3" t="str">
        <f>IFERROR(INDEX(Movimientos!$D$2:$D$1998,MATCH(A934&amp;"ENTRADA",Movimientos!$R$2:$R$1998,0)),"-")</f>
        <v>-</v>
      </c>
      <c r="D934" s="3" t="str">
        <f>IFERROR(INDEX(Movimientos!$E$2:$E$1998,MATCH(A934&amp;"ENTRADA",Movimientos!$R$2:$R$1998,0)),"-")</f>
        <v>-</v>
      </c>
      <c r="E934" s="3" t="str">
        <f>IFERROR(INDEX(Movimientos!$F$2:$F$1998,MATCH(A934&amp;"ENTRADA",Movimientos!$R$2:$R$1998,0)),"-")</f>
        <v>-</v>
      </c>
      <c r="F934" s="3" t="str">
        <f>IFERROR(INDEX(Movimientos!$G$2:$G$1998,MATCH(A934&amp;"ENTRADA",Movimientos!$R$2:$R$1998,0)),"-")</f>
        <v>-</v>
      </c>
      <c r="G934" s="3" t="str">
        <f>IFERROR(INDEX(Movimientos!$L$2:$L$1998,MATCH(A934&amp;"ENTRADA",Movimientos!$R$2:$R$1998,0)),"-")</f>
        <v>-</v>
      </c>
      <c r="H934" s="19" t="str">
        <f>IFERROR(IF(INDEX(Movimientos!$M$2:$M$1998,MATCH(A934&amp;"ENTRADA",Movimientos!$R$2:$R$1998,0))=0,"S/D",INDEX(Movimientos!$M$2:$M$1998,MATCH(A934&amp;"ENTRADA",Movimientos!$R$2:$R$1998,0))),"S/D")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29"/>
        <v>SIN STOCK</v>
      </c>
    </row>
    <row r="935" spans="1:11" ht="14.25">
      <c r="A935" s="18" t="s">
        <v>3078</v>
      </c>
      <c r="B935" s="3" t="str">
        <f>IFERROR(INDEX(Movimientos!$C$2:$C$1998,MATCH(A935&amp;"ENTRADA",Movimientos!$R$2:$R$1998,0)),"-")</f>
        <v>-</v>
      </c>
      <c r="C935" s="3" t="str">
        <f>IFERROR(INDEX(Movimientos!$D$2:$D$1998,MATCH(A935&amp;"ENTRADA",Movimientos!$R$2:$R$1998,0)),"-")</f>
        <v>-</v>
      </c>
      <c r="D935" s="3" t="str">
        <f>IFERROR(INDEX(Movimientos!$E$2:$E$1998,MATCH(A935&amp;"ENTRADA",Movimientos!$R$2:$R$1998,0)),"-")</f>
        <v>-</v>
      </c>
      <c r="E935" s="3" t="str">
        <f>IFERROR(INDEX(Movimientos!$F$2:$F$1998,MATCH(A935&amp;"ENTRADA",Movimientos!$R$2:$R$1998,0)),"-")</f>
        <v>-</v>
      </c>
      <c r="F935" s="3" t="str">
        <f>IFERROR(INDEX(Movimientos!$G$2:$G$1998,MATCH(A935&amp;"ENTRADA",Movimientos!$R$2:$R$1998,0)),"-")</f>
        <v>-</v>
      </c>
      <c r="G935" s="3" t="str">
        <f>IFERROR(INDEX(Movimientos!$L$2:$L$1998,MATCH(A935&amp;"ENTRADA",Movimientos!$R$2:$R$1998,0)),"-")</f>
        <v>-</v>
      </c>
      <c r="H935" s="19" t="str">
        <f>IFERROR(IF(INDEX(Movimientos!$M$2:$M$1998,MATCH(A935&amp;"ENTRADA",Movimientos!$R$2:$R$1998,0))=0,"S/D",INDEX(Movimientos!$M$2:$M$1998,MATCH(A935&amp;"ENTRADA",Movimientos!$R$2:$R$1998,0))),"S/D")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29"/>
        <v>SIN STOCK</v>
      </c>
    </row>
    <row r="936" spans="1:11" ht="14.25">
      <c r="A936" s="18" t="s">
        <v>3079</v>
      </c>
      <c r="B936" s="3" t="str">
        <f>IFERROR(INDEX(Movimientos!$C$2:$C$1998,MATCH(A936&amp;"ENTRADA",Movimientos!$R$2:$R$1998,0)),"-")</f>
        <v>-</v>
      </c>
      <c r="C936" s="3" t="str">
        <f>IFERROR(INDEX(Movimientos!$D$2:$D$1998,MATCH(A936&amp;"ENTRADA",Movimientos!$R$2:$R$1998,0)),"-")</f>
        <v>-</v>
      </c>
      <c r="D936" s="3" t="str">
        <f>IFERROR(INDEX(Movimientos!$E$2:$E$1998,MATCH(A936&amp;"ENTRADA",Movimientos!$R$2:$R$1998,0)),"-")</f>
        <v>-</v>
      </c>
      <c r="E936" s="3" t="str">
        <f>IFERROR(INDEX(Movimientos!$F$2:$F$1998,MATCH(A936&amp;"ENTRADA",Movimientos!$R$2:$R$1998,0)),"-")</f>
        <v>-</v>
      </c>
      <c r="F936" s="3" t="str">
        <f>IFERROR(INDEX(Movimientos!$G$2:$G$1998,MATCH(A936&amp;"ENTRADA",Movimientos!$R$2:$R$1998,0)),"-")</f>
        <v>-</v>
      </c>
      <c r="G936" s="3" t="str">
        <f>IFERROR(INDEX(Movimientos!$L$2:$L$1998,MATCH(A936&amp;"ENTRADA",Movimientos!$R$2:$R$1998,0)),"-")</f>
        <v>-</v>
      </c>
      <c r="H936" s="19" t="str">
        <f>IFERROR(IF(INDEX(Movimientos!$M$2:$M$1998,MATCH(A936&amp;"ENTRADA",Movimientos!$R$2:$R$1998,0))=0,"S/D",INDEX(Movimientos!$M$2:$M$1998,MATCH(A936&amp;"ENTRADA",Movimientos!$R$2:$R$1998,0))),"S/D")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29"/>
        <v>SIN STOCK</v>
      </c>
    </row>
    <row r="937" spans="1:11" ht="14.25">
      <c r="A937" s="18" t="s">
        <v>3080</v>
      </c>
      <c r="B937" s="3" t="str">
        <f>IFERROR(INDEX(Movimientos!$C$2:$C$1998,MATCH(A937&amp;"ENTRADA",Movimientos!$R$2:$R$1998,0)),"-")</f>
        <v>-</v>
      </c>
      <c r="C937" s="3" t="str">
        <f>IFERROR(INDEX(Movimientos!$D$2:$D$1998,MATCH(A937&amp;"ENTRADA",Movimientos!$R$2:$R$1998,0)),"-")</f>
        <v>-</v>
      </c>
      <c r="D937" s="3" t="str">
        <f>IFERROR(INDEX(Movimientos!$E$2:$E$1998,MATCH(A937&amp;"ENTRADA",Movimientos!$R$2:$R$1998,0)),"-")</f>
        <v>-</v>
      </c>
      <c r="E937" s="3" t="str">
        <f>IFERROR(INDEX(Movimientos!$F$2:$F$1998,MATCH(A937&amp;"ENTRADA",Movimientos!$R$2:$R$1998,0)),"-")</f>
        <v>-</v>
      </c>
      <c r="F937" s="3" t="str">
        <f>IFERROR(INDEX(Movimientos!$G$2:$G$1998,MATCH(A937&amp;"ENTRADA",Movimientos!$R$2:$R$1998,0)),"-")</f>
        <v>-</v>
      </c>
      <c r="G937" s="3" t="str">
        <f>IFERROR(INDEX(Movimientos!$L$2:$L$1998,MATCH(A937&amp;"ENTRADA",Movimientos!$R$2:$R$1998,0)),"-")</f>
        <v>-</v>
      </c>
      <c r="H937" s="19" t="str">
        <f>IFERROR(IF(INDEX(Movimientos!$M$2:$M$1998,MATCH(A937&amp;"ENTRADA",Movimientos!$R$2:$R$1998,0))=0,"S/D",INDEX(Movimientos!$M$2:$M$1998,MATCH(A937&amp;"ENTRADA",Movimientos!$R$2:$R$1998,0))),"S/D")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29"/>
        <v>SIN STOCK</v>
      </c>
    </row>
    <row r="938" spans="1:11" ht="14.25">
      <c r="A938" s="18" t="s">
        <v>3081</v>
      </c>
      <c r="B938" s="3" t="str">
        <f>IFERROR(INDEX(Movimientos!$C$2:$C$1998,MATCH(A938&amp;"ENTRADA",Movimientos!$R$2:$R$1998,0)),"-")</f>
        <v>-</v>
      </c>
      <c r="C938" s="3" t="str">
        <f>IFERROR(INDEX(Movimientos!$D$2:$D$1998,MATCH(A938&amp;"ENTRADA",Movimientos!$R$2:$R$1998,0)),"-")</f>
        <v>-</v>
      </c>
      <c r="D938" s="3" t="str">
        <f>IFERROR(INDEX(Movimientos!$E$2:$E$1998,MATCH(A938&amp;"ENTRADA",Movimientos!$R$2:$R$1998,0)),"-")</f>
        <v>-</v>
      </c>
      <c r="E938" s="3" t="str">
        <f>IFERROR(INDEX(Movimientos!$F$2:$F$1998,MATCH(A938&amp;"ENTRADA",Movimientos!$R$2:$R$1998,0)),"-")</f>
        <v>-</v>
      </c>
      <c r="F938" s="3" t="str">
        <f>IFERROR(INDEX(Movimientos!$G$2:$G$1998,MATCH(A938&amp;"ENTRADA",Movimientos!$R$2:$R$1998,0)),"-")</f>
        <v>-</v>
      </c>
      <c r="G938" s="3" t="str">
        <f>IFERROR(INDEX(Movimientos!$L$2:$L$1998,MATCH(A938&amp;"ENTRADA",Movimientos!$R$2:$R$1998,0)),"-")</f>
        <v>-</v>
      </c>
      <c r="H938" s="19" t="str">
        <f>IFERROR(IF(INDEX(Movimientos!$M$2:$M$1998,MATCH(A938&amp;"ENTRADA",Movimientos!$R$2:$R$1998,0))=0,"S/D",INDEX(Movimientos!$M$2:$M$1998,MATCH(A938&amp;"ENTRADA",Movimientos!$R$2:$R$1998,0))),"S/D")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29"/>
        <v>SIN STOCK</v>
      </c>
    </row>
    <row r="939" spans="1:11" ht="14.25">
      <c r="A939" s="18" t="s">
        <v>3082</v>
      </c>
      <c r="B939" s="3" t="str">
        <f>IFERROR(INDEX(Movimientos!$C$2:$C$1998,MATCH(A939&amp;"ENTRADA",Movimientos!$R$2:$R$1998,0)),"-")</f>
        <v>-</v>
      </c>
      <c r="C939" s="3" t="str">
        <f>IFERROR(INDEX(Movimientos!$D$2:$D$1998,MATCH(A939&amp;"ENTRADA",Movimientos!$R$2:$R$1998,0)),"-")</f>
        <v>-</v>
      </c>
      <c r="D939" s="3" t="str">
        <f>IFERROR(INDEX(Movimientos!$E$2:$E$1998,MATCH(A939&amp;"ENTRADA",Movimientos!$R$2:$R$1998,0)),"-")</f>
        <v>-</v>
      </c>
      <c r="E939" s="3" t="str">
        <f>IFERROR(INDEX(Movimientos!$F$2:$F$1998,MATCH(A939&amp;"ENTRADA",Movimientos!$R$2:$R$1998,0)),"-")</f>
        <v>-</v>
      </c>
      <c r="F939" s="3" t="str">
        <f>IFERROR(INDEX(Movimientos!$G$2:$G$1998,MATCH(A939&amp;"ENTRADA",Movimientos!$R$2:$R$1998,0)),"-")</f>
        <v>-</v>
      </c>
      <c r="G939" s="3" t="str">
        <f>IFERROR(INDEX(Movimientos!$L$2:$L$1998,MATCH(A939&amp;"ENTRADA",Movimientos!$R$2:$R$1998,0)),"-")</f>
        <v>-</v>
      </c>
      <c r="H939" s="19" t="str">
        <f>IFERROR(IF(INDEX(Movimientos!$M$2:$M$1998,MATCH(A939&amp;"ENTRADA",Movimientos!$R$2:$R$1998,0))=0,"S/D",INDEX(Movimientos!$M$2:$M$1998,MATCH(A939&amp;"ENTRADA",Movimientos!$R$2:$R$1998,0))),"S/D")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29"/>
        <v>SIN STOCK</v>
      </c>
    </row>
    <row r="940" spans="1:11" ht="14.25">
      <c r="A940" s="18" t="s">
        <v>3083</v>
      </c>
      <c r="B940" s="3" t="str">
        <f>IFERROR(INDEX(Movimientos!$C$2:$C$1998,MATCH(A940&amp;"ENTRADA",Movimientos!$R$2:$R$1998,0)),"-")</f>
        <v>-</v>
      </c>
      <c r="C940" s="3" t="str">
        <f>IFERROR(INDEX(Movimientos!$D$2:$D$1998,MATCH(A940&amp;"ENTRADA",Movimientos!$R$2:$R$1998,0)),"-")</f>
        <v>-</v>
      </c>
      <c r="D940" s="3" t="str">
        <f>IFERROR(INDEX(Movimientos!$E$2:$E$1998,MATCH(A940&amp;"ENTRADA",Movimientos!$R$2:$R$1998,0)),"-")</f>
        <v>-</v>
      </c>
      <c r="E940" s="3" t="str">
        <f>IFERROR(INDEX(Movimientos!$F$2:$F$1998,MATCH(A940&amp;"ENTRADA",Movimientos!$R$2:$R$1998,0)),"-")</f>
        <v>-</v>
      </c>
      <c r="F940" s="3" t="str">
        <f>IFERROR(INDEX(Movimientos!$G$2:$G$1998,MATCH(A940&amp;"ENTRADA",Movimientos!$R$2:$R$1998,0)),"-")</f>
        <v>-</v>
      </c>
      <c r="G940" s="3" t="str">
        <f>IFERROR(INDEX(Movimientos!$L$2:$L$1998,MATCH(A940&amp;"ENTRADA",Movimientos!$R$2:$R$1998,0)),"-")</f>
        <v>-</v>
      </c>
      <c r="H940" s="19" t="str">
        <f>IFERROR(IF(INDEX(Movimientos!$M$2:$M$1998,MATCH(A940&amp;"ENTRADA",Movimientos!$R$2:$R$1998,0))=0,"S/D",INDEX(Movimientos!$M$2:$M$1998,MATCH(A940&amp;"ENTRADA",Movimientos!$R$2:$R$1998,0))),"S/D")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29"/>
        <v>SIN STOCK</v>
      </c>
    </row>
    <row r="941" spans="1:11" ht="14.25">
      <c r="A941" s="18" t="s">
        <v>3084</v>
      </c>
      <c r="B941" s="3" t="str">
        <f>IFERROR(INDEX(Movimientos!$C$2:$C$1998,MATCH(A941&amp;"ENTRADA",Movimientos!$R$2:$R$1998,0)),"-")</f>
        <v>-</v>
      </c>
      <c r="C941" s="3" t="str">
        <f>IFERROR(INDEX(Movimientos!$D$2:$D$1998,MATCH(A941&amp;"ENTRADA",Movimientos!$R$2:$R$1998,0)),"-")</f>
        <v>-</v>
      </c>
      <c r="D941" s="3" t="str">
        <f>IFERROR(INDEX(Movimientos!$E$2:$E$1998,MATCH(A941&amp;"ENTRADA",Movimientos!$R$2:$R$1998,0)),"-")</f>
        <v>-</v>
      </c>
      <c r="E941" s="3" t="str">
        <f>IFERROR(INDEX(Movimientos!$F$2:$F$1998,MATCH(A941&amp;"ENTRADA",Movimientos!$R$2:$R$1998,0)),"-")</f>
        <v>-</v>
      </c>
      <c r="F941" s="3" t="str">
        <f>IFERROR(INDEX(Movimientos!$G$2:$G$1998,MATCH(A941&amp;"ENTRADA",Movimientos!$R$2:$R$1998,0)),"-")</f>
        <v>-</v>
      </c>
      <c r="G941" s="3" t="str">
        <f>IFERROR(INDEX(Movimientos!$L$2:$L$1998,MATCH(A941&amp;"ENTRADA",Movimientos!$R$2:$R$1998,0)),"-")</f>
        <v>-</v>
      </c>
      <c r="H941" s="19" t="str">
        <f>IFERROR(IF(INDEX(Movimientos!$M$2:$M$1998,MATCH(A941&amp;"ENTRADA",Movimientos!$R$2:$R$1998,0))=0,"S/D",INDEX(Movimientos!$M$2:$M$1998,MATCH(A941&amp;"ENTRADA",Movimientos!$R$2:$R$1998,0))),"S/D")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29"/>
        <v>SIN STOCK</v>
      </c>
    </row>
    <row r="942" spans="1:11" ht="14.25">
      <c r="A942" s="18" t="s">
        <v>3085</v>
      </c>
      <c r="B942" s="3" t="str">
        <f>IFERROR(INDEX(Movimientos!$C$2:$C$1998,MATCH(A942&amp;"ENTRADA",Movimientos!$R$2:$R$1998,0)),"-")</f>
        <v>-</v>
      </c>
      <c r="C942" s="3" t="str">
        <f>IFERROR(INDEX(Movimientos!$D$2:$D$1998,MATCH(A942&amp;"ENTRADA",Movimientos!$R$2:$R$1998,0)),"-")</f>
        <v>-</v>
      </c>
      <c r="D942" s="3" t="str">
        <f>IFERROR(INDEX(Movimientos!$E$2:$E$1998,MATCH(A942&amp;"ENTRADA",Movimientos!$R$2:$R$1998,0)),"-")</f>
        <v>-</v>
      </c>
      <c r="E942" s="3" t="str">
        <f>IFERROR(INDEX(Movimientos!$F$2:$F$1998,MATCH(A942&amp;"ENTRADA",Movimientos!$R$2:$R$1998,0)),"-")</f>
        <v>-</v>
      </c>
      <c r="F942" s="3" t="str">
        <f>IFERROR(INDEX(Movimientos!$G$2:$G$1998,MATCH(A942&amp;"ENTRADA",Movimientos!$R$2:$R$1998,0)),"-")</f>
        <v>-</v>
      </c>
      <c r="G942" s="3" t="str">
        <f>IFERROR(INDEX(Movimientos!$L$2:$L$1998,MATCH(A942&amp;"ENTRADA",Movimientos!$R$2:$R$1998,0)),"-")</f>
        <v>-</v>
      </c>
      <c r="H942" s="19" t="str">
        <f>IFERROR(IF(INDEX(Movimientos!$M$2:$M$1998,MATCH(A942&amp;"ENTRADA",Movimientos!$R$2:$R$1998,0))=0,"S/D",INDEX(Movimientos!$M$2:$M$1998,MATCH(A942&amp;"ENTRADA",Movimientos!$R$2:$R$1998,0))),"S/D")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29"/>
        <v>SIN STOCK</v>
      </c>
    </row>
    <row r="943" spans="1:11" ht="14.25">
      <c r="A943" s="18" t="s">
        <v>3086</v>
      </c>
      <c r="B943" s="3" t="str">
        <f>IFERROR(INDEX(Movimientos!$C$2:$C$1998,MATCH(A943&amp;"ENTRADA",Movimientos!$R$2:$R$1998,0)),"-")</f>
        <v>-</v>
      </c>
      <c r="C943" s="3" t="str">
        <f>IFERROR(INDEX(Movimientos!$D$2:$D$1998,MATCH(A943&amp;"ENTRADA",Movimientos!$R$2:$R$1998,0)),"-")</f>
        <v>-</v>
      </c>
      <c r="D943" s="3" t="str">
        <f>IFERROR(INDEX(Movimientos!$E$2:$E$1998,MATCH(A943&amp;"ENTRADA",Movimientos!$R$2:$R$1998,0)),"-")</f>
        <v>-</v>
      </c>
      <c r="E943" s="3" t="str">
        <f>IFERROR(INDEX(Movimientos!$F$2:$F$1998,MATCH(A943&amp;"ENTRADA",Movimientos!$R$2:$R$1998,0)),"-")</f>
        <v>-</v>
      </c>
      <c r="F943" s="3" t="str">
        <f>IFERROR(INDEX(Movimientos!$G$2:$G$1998,MATCH(A943&amp;"ENTRADA",Movimientos!$R$2:$R$1998,0)),"-")</f>
        <v>-</v>
      </c>
      <c r="G943" s="3" t="str">
        <f>IFERROR(INDEX(Movimientos!$L$2:$L$1998,MATCH(A943&amp;"ENTRADA",Movimientos!$R$2:$R$1998,0)),"-")</f>
        <v>-</v>
      </c>
      <c r="H943" s="19" t="str">
        <f>IFERROR(IF(INDEX(Movimientos!$M$2:$M$1998,MATCH(A943&amp;"ENTRADA",Movimientos!$R$2:$R$1998,0))=0,"S/D",INDEX(Movimientos!$M$2:$M$1998,MATCH(A943&amp;"ENTRADA",Movimientos!$R$2:$R$1998,0))),"S/D")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29"/>
        <v>SIN STOCK</v>
      </c>
    </row>
    <row r="944" spans="1:11" ht="14.25">
      <c r="A944" s="18" t="s">
        <v>3087</v>
      </c>
      <c r="B944" s="3" t="str">
        <f>IFERROR(INDEX(Movimientos!$C$2:$C$1998,MATCH(A944&amp;"ENTRADA",Movimientos!$R$2:$R$1998,0)),"-")</f>
        <v>-</v>
      </c>
      <c r="C944" s="3" t="str">
        <f>IFERROR(INDEX(Movimientos!$D$2:$D$1998,MATCH(A944&amp;"ENTRADA",Movimientos!$R$2:$R$1998,0)),"-")</f>
        <v>-</v>
      </c>
      <c r="D944" s="3" t="str">
        <f>IFERROR(INDEX(Movimientos!$E$2:$E$1998,MATCH(A944&amp;"ENTRADA",Movimientos!$R$2:$R$1998,0)),"-")</f>
        <v>-</v>
      </c>
      <c r="E944" s="3" t="str">
        <f>IFERROR(INDEX(Movimientos!$F$2:$F$1998,MATCH(A944&amp;"ENTRADA",Movimientos!$R$2:$R$1998,0)),"-")</f>
        <v>-</v>
      </c>
      <c r="F944" s="3" t="str">
        <f>IFERROR(INDEX(Movimientos!$G$2:$G$1998,MATCH(A944&amp;"ENTRADA",Movimientos!$R$2:$R$1998,0)),"-")</f>
        <v>-</v>
      </c>
      <c r="G944" s="3" t="str">
        <f>IFERROR(INDEX(Movimientos!$L$2:$L$1998,MATCH(A944&amp;"ENTRADA",Movimientos!$R$2:$R$1998,0)),"-")</f>
        <v>-</v>
      </c>
      <c r="H944" s="19" t="str">
        <f>IFERROR(IF(INDEX(Movimientos!$M$2:$M$1998,MATCH(A944&amp;"ENTRADA",Movimientos!$R$2:$R$1998,0))=0,"S/D",INDEX(Movimientos!$M$2:$M$1998,MATCH(A944&amp;"ENTRADA",Movimientos!$R$2:$R$1998,0))),"S/D")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29"/>
        <v>SIN STOCK</v>
      </c>
    </row>
    <row r="945" spans="1:11" ht="14.25">
      <c r="A945" s="18" t="s">
        <v>3088</v>
      </c>
      <c r="B945" s="3" t="str">
        <f>IFERROR(INDEX(Movimientos!$C$2:$C$1998,MATCH(A945&amp;"ENTRADA",Movimientos!$R$2:$R$1998,0)),"-")</f>
        <v>-</v>
      </c>
      <c r="C945" s="3" t="str">
        <f>IFERROR(INDEX(Movimientos!$D$2:$D$1998,MATCH(A945&amp;"ENTRADA",Movimientos!$R$2:$R$1998,0)),"-")</f>
        <v>-</v>
      </c>
      <c r="D945" s="3" t="str">
        <f>IFERROR(INDEX(Movimientos!$E$2:$E$1998,MATCH(A945&amp;"ENTRADA",Movimientos!$R$2:$R$1998,0)),"-")</f>
        <v>-</v>
      </c>
      <c r="E945" s="3" t="str">
        <f>IFERROR(INDEX(Movimientos!$F$2:$F$1998,MATCH(A945&amp;"ENTRADA",Movimientos!$R$2:$R$1998,0)),"-")</f>
        <v>-</v>
      </c>
      <c r="F945" s="3" t="str">
        <f>IFERROR(INDEX(Movimientos!$G$2:$G$1998,MATCH(A945&amp;"ENTRADA",Movimientos!$R$2:$R$1998,0)),"-")</f>
        <v>-</v>
      </c>
      <c r="G945" s="3" t="str">
        <f>IFERROR(INDEX(Movimientos!$L$2:$L$1998,MATCH(A945&amp;"ENTRADA",Movimientos!$R$2:$R$1998,0)),"-")</f>
        <v>-</v>
      </c>
      <c r="H945" s="19" t="str">
        <f>IFERROR(IF(INDEX(Movimientos!$M$2:$M$1998,MATCH(A945&amp;"ENTRADA",Movimientos!$R$2:$R$1998,0))=0,"S/D",INDEX(Movimientos!$M$2:$M$1998,MATCH(A945&amp;"ENTRADA",Movimientos!$R$2:$R$1998,0))),"S/D")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29"/>
        <v>SIN STOCK</v>
      </c>
    </row>
    <row r="946" spans="1:11" ht="14.25">
      <c r="A946" s="18" t="s">
        <v>3089</v>
      </c>
      <c r="B946" s="3" t="str">
        <f>IFERROR(INDEX(Movimientos!$C$2:$C$1998,MATCH(A946&amp;"ENTRADA",Movimientos!$R$2:$R$1998,0)),"-")</f>
        <v>-</v>
      </c>
      <c r="C946" s="3" t="str">
        <f>IFERROR(INDEX(Movimientos!$D$2:$D$1998,MATCH(A946&amp;"ENTRADA",Movimientos!$R$2:$R$1998,0)),"-")</f>
        <v>-</v>
      </c>
      <c r="D946" s="3" t="str">
        <f>IFERROR(INDEX(Movimientos!$E$2:$E$1998,MATCH(A946&amp;"ENTRADA",Movimientos!$R$2:$R$1998,0)),"-")</f>
        <v>-</v>
      </c>
      <c r="E946" s="3" t="str">
        <f>IFERROR(INDEX(Movimientos!$F$2:$F$1998,MATCH(A946&amp;"ENTRADA",Movimientos!$R$2:$R$1998,0)),"-")</f>
        <v>-</v>
      </c>
      <c r="F946" s="3" t="str">
        <f>IFERROR(INDEX(Movimientos!$G$2:$G$1998,MATCH(A946&amp;"ENTRADA",Movimientos!$R$2:$R$1998,0)),"-")</f>
        <v>-</v>
      </c>
      <c r="G946" s="3" t="str">
        <f>IFERROR(INDEX(Movimientos!$L$2:$L$1998,MATCH(A946&amp;"ENTRADA",Movimientos!$R$2:$R$1998,0)),"-")</f>
        <v>-</v>
      </c>
      <c r="H946" s="19" t="str">
        <f>IFERROR(IF(INDEX(Movimientos!$M$2:$M$1998,MATCH(A946&amp;"ENTRADA",Movimientos!$R$2:$R$1998,0))=0,"S/D",INDEX(Movimientos!$M$2:$M$1998,MATCH(A946&amp;"ENTRADA",Movimientos!$R$2:$R$1998,0))),"S/D")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29"/>
        <v>SIN STOCK</v>
      </c>
    </row>
    <row r="947" spans="1:11" ht="14.25">
      <c r="A947" s="18" t="s">
        <v>3090</v>
      </c>
      <c r="B947" s="3" t="str">
        <f>IFERROR(INDEX(Movimientos!$C$2:$C$1998,MATCH(A947&amp;"ENTRADA",Movimientos!$R$2:$R$1998,0)),"-")</f>
        <v>-</v>
      </c>
      <c r="C947" s="3" t="str">
        <f>IFERROR(INDEX(Movimientos!$D$2:$D$1998,MATCH(A947&amp;"ENTRADA",Movimientos!$R$2:$R$1998,0)),"-")</f>
        <v>-</v>
      </c>
      <c r="D947" s="3" t="str">
        <f>IFERROR(INDEX(Movimientos!$E$2:$E$1998,MATCH(A947&amp;"ENTRADA",Movimientos!$R$2:$R$1998,0)),"-")</f>
        <v>-</v>
      </c>
      <c r="E947" s="3" t="str">
        <f>IFERROR(INDEX(Movimientos!$F$2:$F$1998,MATCH(A947&amp;"ENTRADA",Movimientos!$R$2:$R$1998,0)),"-")</f>
        <v>-</v>
      </c>
      <c r="F947" s="3" t="str">
        <f>IFERROR(INDEX(Movimientos!$G$2:$G$1998,MATCH(A947&amp;"ENTRADA",Movimientos!$R$2:$R$1998,0)),"-")</f>
        <v>-</v>
      </c>
      <c r="G947" s="3" t="str">
        <f>IFERROR(INDEX(Movimientos!$L$2:$L$1998,MATCH(A947&amp;"ENTRADA",Movimientos!$R$2:$R$1998,0)),"-")</f>
        <v>-</v>
      </c>
      <c r="H947" s="19" t="str">
        <f>IFERROR(IF(INDEX(Movimientos!$M$2:$M$1998,MATCH(A947&amp;"ENTRADA",Movimientos!$R$2:$R$1998,0))=0,"S/D",INDEX(Movimientos!$M$2:$M$1998,MATCH(A947&amp;"ENTRADA",Movimientos!$R$2:$R$1998,0))),"S/D")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29"/>
        <v>SIN STOCK</v>
      </c>
    </row>
    <row r="948" spans="1:11" ht="14.25">
      <c r="A948" s="18" t="s">
        <v>3091</v>
      </c>
      <c r="B948" s="3" t="str">
        <f>IFERROR(INDEX(Movimientos!$C$2:$C$1998,MATCH(A948&amp;"ENTRADA",Movimientos!$R$2:$R$1998,0)),"-")</f>
        <v>-</v>
      </c>
      <c r="C948" s="3" t="str">
        <f>IFERROR(INDEX(Movimientos!$D$2:$D$1998,MATCH(A948&amp;"ENTRADA",Movimientos!$R$2:$R$1998,0)),"-")</f>
        <v>-</v>
      </c>
      <c r="D948" s="3" t="str">
        <f>IFERROR(INDEX(Movimientos!$E$2:$E$1998,MATCH(A948&amp;"ENTRADA",Movimientos!$R$2:$R$1998,0)),"-")</f>
        <v>-</v>
      </c>
      <c r="E948" s="3" t="str">
        <f>IFERROR(INDEX(Movimientos!$F$2:$F$1998,MATCH(A948&amp;"ENTRADA",Movimientos!$R$2:$R$1998,0)),"-")</f>
        <v>-</v>
      </c>
      <c r="F948" s="3" t="str">
        <f>IFERROR(INDEX(Movimientos!$G$2:$G$1998,MATCH(A948&amp;"ENTRADA",Movimientos!$R$2:$R$1998,0)),"-")</f>
        <v>-</v>
      </c>
      <c r="G948" s="3" t="str">
        <f>IFERROR(INDEX(Movimientos!$L$2:$L$1998,MATCH(A948&amp;"ENTRADA",Movimientos!$R$2:$R$1998,0)),"-")</f>
        <v>-</v>
      </c>
      <c r="H948" s="19" t="str">
        <f>IFERROR(IF(INDEX(Movimientos!$M$2:$M$1998,MATCH(A948&amp;"ENTRADA",Movimientos!$R$2:$R$1998,0))=0,"S/D",INDEX(Movimientos!$M$2:$M$1998,MATCH(A948&amp;"ENTRADA",Movimientos!$R$2:$R$1998,0))),"S/D")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29"/>
        <v>SIN STOCK</v>
      </c>
    </row>
    <row r="949" spans="1:11" ht="14.25">
      <c r="A949" s="18" t="s">
        <v>3092</v>
      </c>
      <c r="B949" s="3" t="str">
        <f>IFERROR(INDEX(Movimientos!$C$2:$C$1998,MATCH(A949&amp;"ENTRADA",Movimientos!$R$2:$R$1998,0)),"-")</f>
        <v>-</v>
      </c>
      <c r="C949" s="3" t="str">
        <f>IFERROR(INDEX(Movimientos!$D$2:$D$1998,MATCH(A949&amp;"ENTRADA",Movimientos!$R$2:$R$1998,0)),"-")</f>
        <v>-</v>
      </c>
      <c r="D949" s="3" t="str">
        <f>IFERROR(INDEX(Movimientos!$E$2:$E$1998,MATCH(A949&amp;"ENTRADA",Movimientos!$R$2:$R$1998,0)),"-")</f>
        <v>-</v>
      </c>
      <c r="E949" s="3" t="str">
        <f>IFERROR(INDEX(Movimientos!$F$2:$F$1998,MATCH(A949&amp;"ENTRADA",Movimientos!$R$2:$R$1998,0)),"-")</f>
        <v>-</v>
      </c>
      <c r="F949" s="3" t="str">
        <f>IFERROR(INDEX(Movimientos!$G$2:$G$1998,MATCH(A949&amp;"ENTRADA",Movimientos!$R$2:$R$1998,0)),"-")</f>
        <v>-</v>
      </c>
      <c r="G949" s="3" t="str">
        <f>IFERROR(INDEX(Movimientos!$L$2:$L$1998,MATCH(A949&amp;"ENTRADA",Movimientos!$R$2:$R$1998,0)),"-")</f>
        <v>-</v>
      </c>
      <c r="H949" s="19" t="str">
        <f>IFERROR(IF(INDEX(Movimientos!$M$2:$M$1998,MATCH(A949&amp;"ENTRADA",Movimientos!$R$2:$R$1998,0))=0,"S/D",INDEX(Movimientos!$M$2:$M$1998,MATCH(A949&amp;"ENTRADA",Movimientos!$R$2:$R$1998,0))),"S/D")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29"/>
        <v>SIN STOCK</v>
      </c>
    </row>
    <row r="950" spans="1:11" ht="14.25">
      <c r="A950" s="18" t="s">
        <v>3093</v>
      </c>
      <c r="B950" s="3" t="str">
        <f>IFERROR(INDEX(Movimientos!$C$2:$C$1998,MATCH(A950&amp;"ENTRADA",Movimientos!$R$2:$R$1998,0)),"-")</f>
        <v>-</v>
      </c>
      <c r="C950" s="3" t="str">
        <f>IFERROR(INDEX(Movimientos!$D$2:$D$1998,MATCH(A950&amp;"ENTRADA",Movimientos!$R$2:$R$1998,0)),"-")</f>
        <v>-</v>
      </c>
      <c r="D950" s="3" t="str">
        <f>IFERROR(INDEX(Movimientos!$E$2:$E$1998,MATCH(A950&amp;"ENTRADA",Movimientos!$R$2:$R$1998,0)),"-")</f>
        <v>-</v>
      </c>
      <c r="E950" s="3" t="str">
        <f>IFERROR(INDEX(Movimientos!$F$2:$F$1998,MATCH(A950&amp;"ENTRADA",Movimientos!$R$2:$R$1998,0)),"-")</f>
        <v>-</v>
      </c>
      <c r="F950" s="3" t="str">
        <f>IFERROR(INDEX(Movimientos!$G$2:$G$1998,MATCH(A950&amp;"ENTRADA",Movimientos!$R$2:$R$1998,0)),"-")</f>
        <v>-</v>
      </c>
      <c r="G950" s="3" t="str">
        <f>IFERROR(INDEX(Movimientos!$L$2:$L$1998,MATCH(A950&amp;"ENTRADA",Movimientos!$R$2:$R$1998,0)),"-")</f>
        <v>-</v>
      </c>
      <c r="H950" s="19" t="str">
        <f>IFERROR(IF(INDEX(Movimientos!$M$2:$M$1998,MATCH(A950&amp;"ENTRADA",Movimientos!$R$2:$R$1998,0))=0,"S/D",INDEX(Movimientos!$M$2:$M$1998,MATCH(A950&amp;"ENTRADA",Movimientos!$R$2:$R$1998,0))),"S/D")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29"/>
        <v>SIN STOCK</v>
      </c>
    </row>
    <row r="951" spans="1:11" ht="14.25">
      <c r="A951" s="18" t="s">
        <v>3094</v>
      </c>
      <c r="B951" s="3" t="str">
        <f>IFERROR(INDEX(Movimientos!$C$2:$C$1998,MATCH(A951&amp;"ENTRADA",Movimientos!$R$2:$R$1998,0)),"-")</f>
        <v>-</v>
      </c>
      <c r="C951" s="3" t="str">
        <f>IFERROR(INDEX(Movimientos!$D$2:$D$1998,MATCH(A951&amp;"ENTRADA",Movimientos!$R$2:$R$1998,0)),"-")</f>
        <v>-</v>
      </c>
      <c r="D951" s="3" t="str">
        <f>IFERROR(INDEX(Movimientos!$E$2:$E$1998,MATCH(A951&amp;"ENTRADA",Movimientos!$R$2:$R$1998,0)),"-")</f>
        <v>-</v>
      </c>
      <c r="E951" s="3" t="str">
        <f>IFERROR(INDEX(Movimientos!$F$2:$F$1998,MATCH(A951&amp;"ENTRADA",Movimientos!$R$2:$R$1998,0)),"-")</f>
        <v>-</v>
      </c>
      <c r="F951" s="3" t="str">
        <f>IFERROR(INDEX(Movimientos!$G$2:$G$1998,MATCH(A951&amp;"ENTRADA",Movimientos!$R$2:$R$1998,0)),"-")</f>
        <v>-</v>
      </c>
      <c r="G951" s="3" t="str">
        <f>IFERROR(INDEX(Movimientos!$L$2:$L$1998,MATCH(A951&amp;"ENTRADA",Movimientos!$R$2:$R$1998,0)),"-")</f>
        <v>-</v>
      </c>
      <c r="H951" s="19" t="str">
        <f>IFERROR(IF(INDEX(Movimientos!$M$2:$M$1998,MATCH(A951&amp;"ENTRADA",Movimientos!$R$2:$R$1998,0))=0,"S/D",INDEX(Movimientos!$M$2:$M$1998,MATCH(A951&amp;"ENTRADA",Movimientos!$R$2:$R$1998,0))),"S/D")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29"/>
        <v>SIN STOCK</v>
      </c>
    </row>
    <row r="952" spans="1:11" ht="14.25">
      <c r="A952" s="18" t="s">
        <v>3095</v>
      </c>
      <c r="B952" s="3" t="str">
        <f>IFERROR(INDEX(Movimientos!$C$2:$C$1998,MATCH(A952&amp;"ENTRADA",Movimientos!$R$2:$R$1998,0)),"-")</f>
        <v>-</v>
      </c>
      <c r="C952" s="3" t="str">
        <f>IFERROR(INDEX(Movimientos!$D$2:$D$1998,MATCH(A952&amp;"ENTRADA",Movimientos!$R$2:$R$1998,0)),"-")</f>
        <v>-</v>
      </c>
      <c r="D952" s="3" t="str">
        <f>IFERROR(INDEX(Movimientos!$E$2:$E$1998,MATCH(A952&amp;"ENTRADA",Movimientos!$R$2:$R$1998,0)),"-")</f>
        <v>-</v>
      </c>
      <c r="E952" s="3" t="str">
        <f>IFERROR(INDEX(Movimientos!$F$2:$F$1998,MATCH(A952&amp;"ENTRADA",Movimientos!$R$2:$R$1998,0)),"-")</f>
        <v>-</v>
      </c>
      <c r="F952" s="3" t="str">
        <f>IFERROR(INDEX(Movimientos!$G$2:$G$1998,MATCH(A952&amp;"ENTRADA",Movimientos!$R$2:$R$1998,0)),"-")</f>
        <v>-</v>
      </c>
      <c r="G952" s="3" t="str">
        <f>IFERROR(INDEX(Movimientos!$L$2:$L$1998,MATCH(A952&amp;"ENTRADA",Movimientos!$R$2:$R$1998,0)),"-")</f>
        <v>-</v>
      </c>
      <c r="H952" s="19" t="str">
        <f>IFERROR(IF(INDEX(Movimientos!$M$2:$M$1998,MATCH(A952&amp;"ENTRADA",Movimientos!$R$2:$R$1998,0))=0,"S/D",INDEX(Movimientos!$M$2:$M$1998,MATCH(A952&amp;"ENTRADA",Movimientos!$R$2:$R$1998,0))),"S/D")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29"/>
        <v>SIN STOCK</v>
      </c>
    </row>
    <row r="953" spans="1:11" ht="14.25">
      <c r="A953" s="18" t="s">
        <v>3096</v>
      </c>
      <c r="B953" s="3" t="str">
        <f>IFERROR(INDEX(Movimientos!$C$2:$C$1998,MATCH(A953&amp;"ENTRADA",Movimientos!$R$2:$R$1998,0)),"-")</f>
        <v>-</v>
      </c>
      <c r="C953" s="3" t="str">
        <f>IFERROR(INDEX(Movimientos!$D$2:$D$1998,MATCH(A953&amp;"ENTRADA",Movimientos!$R$2:$R$1998,0)),"-")</f>
        <v>-</v>
      </c>
      <c r="D953" s="3" t="str">
        <f>IFERROR(INDEX(Movimientos!$E$2:$E$1998,MATCH(A953&amp;"ENTRADA",Movimientos!$R$2:$R$1998,0)),"-")</f>
        <v>-</v>
      </c>
      <c r="E953" s="3" t="str">
        <f>IFERROR(INDEX(Movimientos!$F$2:$F$1998,MATCH(A953&amp;"ENTRADA",Movimientos!$R$2:$R$1998,0)),"-")</f>
        <v>-</v>
      </c>
      <c r="F953" s="3" t="str">
        <f>IFERROR(INDEX(Movimientos!$G$2:$G$1998,MATCH(A953&amp;"ENTRADA",Movimientos!$R$2:$R$1998,0)),"-")</f>
        <v>-</v>
      </c>
      <c r="G953" s="3" t="str">
        <f>IFERROR(INDEX(Movimientos!$L$2:$L$1998,MATCH(A953&amp;"ENTRADA",Movimientos!$R$2:$R$1998,0)),"-")</f>
        <v>-</v>
      </c>
      <c r="H953" s="19" t="str">
        <f>IFERROR(IF(INDEX(Movimientos!$M$2:$M$1998,MATCH(A953&amp;"ENTRADA",Movimientos!$R$2:$R$1998,0))=0,"S/D",INDEX(Movimientos!$M$2:$M$1998,MATCH(A953&amp;"ENTRADA",Movimientos!$R$2:$R$1998,0))),"S/D")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29"/>
        <v>SIN STOCK</v>
      </c>
    </row>
    <row r="954" spans="1:11" ht="14.25">
      <c r="A954" s="18" t="s">
        <v>3097</v>
      </c>
      <c r="B954" s="3" t="str">
        <f>IFERROR(INDEX(Movimientos!$C$2:$C$1998,MATCH(A954&amp;"ENTRADA",Movimientos!$R$2:$R$1998,0)),"-")</f>
        <v>-</v>
      </c>
      <c r="C954" s="3" t="str">
        <f>IFERROR(INDEX(Movimientos!$D$2:$D$1998,MATCH(A954&amp;"ENTRADA",Movimientos!$R$2:$R$1998,0)),"-")</f>
        <v>-</v>
      </c>
      <c r="D954" s="3" t="str">
        <f>IFERROR(INDEX(Movimientos!$E$2:$E$1998,MATCH(A954&amp;"ENTRADA",Movimientos!$R$2:$R$1998,0)),"-")</f>
        <v>-</v>
      </c>
      <c r="E954" s="3" t="str">
        <f>IFERROR(INDEX(Movimientos!$F$2:$F$1998,MATCH(A954&amp;"ENTRADA",Movimientos!$R$2:$R$1998,0)),"-")</f>
        <v>-</v>
      </c>
      <c r="F954" s="3" t="str">
        <f>IFERROR(INDEX(Movimientos!$G$2:$G$1998,MATCH(A954&amp;"ENTRADA",Movimientos!$R$2:$R$1998,0)),"-")</f>
        <v>-</v>
      </c>
      <c r="G954" s="3" t="str">
        <f>IFERROR(INDEX(Movimientos!$L$2:$L$1998,MATCH(A954&amp;"ENTRADA",Movimientos!$R$2:$R$1998,0)),"-")</f>
        <v>-</v>
      </c>
      <c r="H954" s="19" t="str">
        <f>IFERROR(IF(INDEX(Movimientos!$M$2:$M$1998,MATCH(A954&amp;"ENTRADA",Movimientos!$R$2:$R$1998,0))=0,"S/D",INDEX(Movimientos!$M$2:$M$1998,MATCH(A954&amp;"ENTRADA",Movimientos!$R$2:$R$1998,0))),"S/D")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29"/>
        <v>SIN STOCK</v>
      </c>
    </row>
    <row r="955" spans="1:11" ht="14.25">
      <c r="A955" s="18" t="s">
        <v>3098</v>
      </c>
      <c r="B955" s="3" t="str">
        <f>IFERROR(INDEX(Movimientos!$C$2:$C$1998,MATCH(A955&amp;"ENTRADA",Movimientos!$R$2:$R$1998,0)),"-")</f>
        <v>-</v>
      </c>
      <c r="C955" s="3" t="str">
        <f>IFERROR(INDEX(Movimientos!$D$2:$D$1998,MATCH(A955&amp;"ENTRADA",Movimientos!$R$2:$R$1998,0)),"-")</f>
        <v>-</v>
      </c>
      <c r="D955" s="3" t="str">
        <f>IFERROR(INDEX(Movimientos!$E$2:$E$1998,MATCH(A955&amp;"ENTRADA",Movimientos!$R$2:$R$1998,0)),"-")</f>
        <v>-</v>
      </c>
      <c r="E955" s="3" t="str">
        <f>IFERROR(INDEX(Movimientos!$F$2:$F$1998,MATCH(A955&amp;"ENTRADA",Movimientos!$R$2:$R$1998,0)),"-")</f>
        <v>-</v>
      </c>
      <c r="F955" s="3" t="str">
        <f>IFERROR(INDEX(Movimientos!$G$2:$G$1998,MATCH(A955&amp;"ENTRADA",Movimientos!$R$2:$R$1998,0)),"-")</f>
        <v>-</v>
      </c>
      <c r="G955" s="3" t="str">
        <f>IFERROR(INDEX(Movimientos!$L$2:$L$1998,MATCH(A955&amp;"ENTRADA",Movimientos!$R$2:$R$1998,0)),"-")</f>
        <v>-</v>
      </c>
      <c r="H955" s="19" t="str">
        <f>IFERROR(IF(INDEX(Movimientos!$M$2:$M$1998,MATCH(A955&amp;"ENTRADA",Movimientos!$R$2:$R$1998,0))=0,"S/D",INDEX(Movimientos!$M$2:$M$1998,MATCH(A955&amp;"ENTRADA",Movimientos!$R$2:$R$1998,0))),"S/D")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29"/>
        <v>SIN STOCK</v>
      </c>
    </row>
    <row r="956" spans="1:11" ht="14.25">
      <c r="A956" s="18" t="s">
        <v>3099</v>
      </c>
      <c r="B956" s="3" t="str">
        <f>IFERROR(INDEX(Movimientos!$C$2:$C$1998,MATCH(A956&amp;"ENTRADA",Movimientos!$R$2:$R$1998,0)),"-")</f>
        <v>-</v>
      </c>
      <c r="C956" s="3" t="str">
        <f>IFERROR(INDEX(Movimientos!$D$2:$D$1998,MATCH(A956&amp;"ENTRADA",Movimientos!$R$2:$R$1998,0)),"-")</f>
        <v>-</v>
      </c>
      <c r="D956" s="3" t="str">
        <f>IFERROR(INDEX(Movimientos!$E$2:$E$1998,MATCH(A956&amp;"ENTRADA",Movimientos!$R$2:$R$1998,0)),"-")</f>
        <v>-</v>
      </c>
      <c r="E956" s="3" t="str">
        <f>IFERROR(INDEX(Movimientos!$F$2:$F$1998,MATCH(A956&amp;"ENTRADA",Movimientos!$R$2:$R$1998,0)),"-")</f>
        <v>-</v>
      </c>
      <c r="F956" s="3" t="str">
        <f>IFERROR(INDEX(Movimientos!$G$2:$G$1998,MATCH(A956&amp;"ENTRADA",Movimientos!$R$2:$R$1998,0)),"-")</f>
        <v>-</v>
      </c>
      <c r="G956" s="3" t="str">
        <f>IFERROR(INDEX(Movimientos!$L$2:$L$1998,MATCH(A956&amp;"ENTRADA",Movimientos!$R$2:$R$1998,0)),"-")</f>
        <v>-</v>
      </c>
      <c r="H956" s="19" t="str">
        <f>IFERROR(IF(INDEX(Movimientos!$M$2:$M$1998,MATCH(A956&amp;"ENTRADA",Movimientos!$R$2:$R$1998,0))=0,"S/D",INDEX(Movimientos!$M$2:$M$1998,MATCH(A956&amp;"ENTRADA",Movimientos!$R$2:$R$1998,0))),"S/D")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29"/>
        <v>SIN STOCK</v>
      </c>
    </row>
    <row r="957" spans="1:11" ht="14.25">
      <c r="A957" s="18" t="s">
        <v>3100</v>
      </c>
      <c r="B957" s="3" t="str">
        <f>IFERROR(INDEX(Movimientos!$C$2:$C$1998,MATCH(A957&amp;"ENTRADA",Movimientos!$R$2:$R$1998,0)),"-")</f>
        <v>-</v>
      </c>
      <c r="C957" s="3" t="str">
        <f>IFERROR(INDEX(Movimientos!$D$2:$D$1998,MATCH(A957&amp;"ENTRADA",Movimientos!$R$2:$R$1998,0)),"-")</f>
        <v>-</v>
      </c>
      <c r="D957" s="3" t="str">
        <f>IFERROR(INDEX(Movimientos!$E$2:$E$1998,MATCH(A957&amp;"ENTRADA",Movimientos!$R$2:$R$1998,0)),"-")</f>
        <v>-</v>
      </c>
      <c r="E957" s="3" t="str">
        <f>IFERROR(INDEX(Movimientos!$F$2:$F$1998,MATCH(A957&amp;"ENTRADA",Movimientos!$R$2:$R$1998,0)),"-")</f>
        <v>-</v>
      </c>
      <c r="F957" s="3" t="str">
        <f>IFERROR(INDEX(Movimientos!$G$2:$G$1998,MATCH(A957&amp;"ENTRADA",Movimientos!$R$2:$R$1998,0)),"-")</f>
        <v>-</v>
      </c>
      <c r="G957" s="3" t="str">
        <f>IFERROR(INDEX(Movimientos!$L$2:$L$1998,MATCH(A957&amp;"ENTRADA",Movimientos!$R$2:$R$1998,0)),"-")</f>
        <v>-</v>
      </c>
      <c r="H957" s="19" t="str">
        <f>IFERROR(IF(INDEX(Movimientos!$M$2:$M$1998,MATCH(A957&amp;"ENTRADA",Movimientos!$R$2:$R$1998,0))=0,"S/D",INDEX(Movimientos!$M$2:$M$1998,MATCH(A957&amp;"ENTRADA",Movimientos!$R$2:$R$1998,0))),"S/D")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29"/>
        <v>SIN STOCK</v>
      </c>
    </row>
    <row r="958" spans="1:11" ht="14.25">
      <c r="A958" s="18" t="s">
        <v>3101</v>
      </c>
      <c r="B958" s="3" t="str">
        <f>IFERROR(INDEX(Movimientos!$C$2:$C$1998,MATCH(A958&amp;"ENTRADA",Movimientos!$R$2:$R$1998,0)),"-")</f>
        <v>-</v>
      </c>
      <c r="C958" s="3" t="str">
        <f>IFERROR(INDEX(Movimientos!$D$2:$D$1998,MATCH(A958&amp;"ENTRADA",Movimientos!$R$2:$R$1998,0)),"-")</f>
        <v>-</v>
      </c>
      <c r="D958" s="3" t="str">
        <f>IFERROR(INDEX(Movimientos!$E$2:$E$1998,MATCH(A958&amp;"ENTRADA",Movimientos!$R$2:$R$1998,0)),"-")</f>
        <v>-</v>
      </c>
      <c r="E958" s="3" t="str">
        <f>IFERROR(INDEX(Movimientos!$F$2:$F$1998,MATCH(A958&amp;"ENTRADA",Movimientos!$R$2:$R$1998,0)),"-")</f>
        <v>-</v>
      </c>
      <c r="F958" s="3" t="str">
        <f>IFERROR(INDEX(Movimientos!$G$2:$G$1998,MATCH(A958&amp;"ENTRADA",Movimientos!$R$2:$R$1998,0)),"-")</f>
        <v>-</v>
      </c>
      <c r="G958" s="3" t="str">
        <f>IFERROR(INDEX(Movimientos!$L$2:$L$1998,MATCH(A958&amp;"ENTRADA",Movimientos!$R$2:$R$1998,0)),"-")</f>
        <v>-</v>
      </c>
      <c r="H958" s="19" t="str">
        <f>IFERROR(IF(INDEX(Movimientos!$M$2:$M$1998,MATCH(A958&amp;"ENTRADA",Movimientos!$R$2:$R$1998,0))=0,"S/D",INDEX(Movimientos!$M$2:$M$1998,MATCH(A958&amp;"ENTRADA",Movimientos!$R$2:$R$1998,0))),"S/D")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29"/>
        <v>SIN STOCK</v>
      </c>
    </row>
    <row r="959" spans="1:11" ht="14.25">
      <c r="A959" s="18" t="s">
        <v>3102</v>
      </c>
      <c r="B959" s="3" t="str">
        <f>IFERROR(INDEX(Movimientos!$C$2:$C$1998,MATCH(A959&amp;"ENTRADA",Movimientos!$R$2:$R$1998,0)),"-")</f>
        <v>-</v>
      </c>
      <c r="C959" s="3" t="str">
        <f>IFERROR(INDEX(Movimientos!$D$2:$D$1998,MATCH(A959&amp;"ENTRADA",Movimientos!$R$2:$R$1998,0)),"-")</f>
        <v>-</v>
      </c>
      <c r="D959" s="3" t="str">
        <f>IFERROR(INDEX(Movimientos!$E$2:$E$1998,MATCH(A959&amp;"ENTRADA",Movimientos!$R$2:$R$1998,0)),"-")</f>
        <v>-</v>
      </c>
      <c r="E959" s="3" t="str">
        <f>IFERROR(INDEX(Movimientos!$F$2:$F$1998,MATCH(A959&amp;"ENTRADA",Movimientos!$R$2:$R$1998,0)),"-")</f>
        <v>-</v>
      </c>
      <c r="F959" s="3" t="str">
        <f>IFERROR(INDEX(Movimientos!$G$2:$G$1998,MATCH(A959&amp;"ENTRADA",Movimientos!$R$2:$R$1998,0)),"-")</f>
        <v>-</v>
      </c>
      <c r="G959" s="3" t="str">
        <f>IFERROR(INDEX(Movimientos!$L$2:$L$1998,MATCH(A959&amp;"ENTRADA",Movimientos!$R$2:$R$1998,0)),"-")</f>
        <v>-</v>
      </c>
      <c r="H959" s="19" t="str">
        <f>IFERROR(IF(INDEX(Movimientos!$M$2:$M$1998,MATCH(A959&amp;"ENTRADA",Movimientos!$R$2:$R$1998,0))=0,"S/D",INDEX(Movimientos!$M$2:$M$1998,MATCH(A959&amp;"ENTRADA",Movimientos!$R$2:$R$1998,0))),"S/D")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29"/>
        <v>SIN STOCK</v>
      </c>
    </row>
    <row r="960" spans="1:11" ht="14.25">
      <c r="A960" s="18" t="s">
        <v>3103</v>
      </c>
      <c r="B960" s="3" t="str">
        <f>IFERROR(INDEX(Movimientos!$C$2:$C$1998,MATCH(A960&amp;"ENTRADA",Movimientos!$R$2:$R$1998,0)),"-")</f>
        <v>-</v>
      </c>
      <c r="C960" s="3" t="str">
        <f>IFERROR(INDEX(Movimientos!$D$2:$D$1998,MATCH(A960&amp;"ENTRADA",Movimientos!$R$2:$R$1998,0)),"-")</f>
        <v>-</v>
      </c>
      <c r="D960" s="3" t="str">
        <f>IFERROR(INDEX(Movimientos!$E$2:$E$1998,MATCH(A960&amp;"ENTRADA",Movimientos!$R$2:$R$1998,0)),"-")</f>
        <v>-</v>
      </c>
      <c r="E960" s="3" t="str">
        <f>IFERROR(INDEX(Movimientos!$F$2:$F$1998,MATCH(A960&amp;"ENTRADA",Movimientos!$R$2:$R$1998,0)),"-")</f>
        <v>-</v>
      </c>
      <c r="F960" s="3" t="str">
        <f>IFERROR(INDEX(Movimientos!$G$2:$G$1998,MATCH(A960&amp;"ENTRADA",Movimientos!$R$2:$R$1998,0)),"-")</f>
        <v>-</v>
      </c>
      <c r="G960" s="3" t="str">
        <f>IFERROR(INDEX(Movimientos!$L$2:$L$1998,MATCH(A960&amp;"ENTRADA",Movimientos!$R$2:$R$1998,0)),"-")</f>
        <v>-</v>
      </c>
      <c r="H960" s="19" t="str">
        <f>IFERROR(IF(INDEX(Movimientos!$M$2:$M$1998,MATCH(A960&amp;"ENTRADA",Movimientos!$R$2:$R$1998,0))=0,"S/D",INDEX(Movimientos!$M$2:$M$1998,MATCH(A960&amp;"ENTRADA",Movimientos!$R$2:$R$1998,0))),"S/D")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ref="K960:K1005" ca="1" si="31">IF(A960="","",IF(J960&lt;0.01,"SIN STOCK",IF(H960="S/D","OK",IF(H960&lt;TODAY(),"VENCIDO",IF(I960&gt;=180,"OK","PRÓXIMO A VENCER")))))</f>
        <v>SIN STOCK</v>
      </c>
    </row>
    <row r="961" spans="1:11" ht="14.25">
      <c r="A961" s="18" t="s">
        <v>3104</v>
      </c>
      <c r="B961" s="3" t="str">
        <f>IFERROR(INDEX(Movimientos!$C$2:$C$1998,MATCH(A961&amp;"ENTRADA",Movimientos!$R$2:$R$1998,0)),"-")</f>
        <v>-</v>
      </c>
      <c r="C961" s="3" t="str">
        <f>IFERROR(INDEX(Movimientos!$D$2:$D$1998,MATCH(A961&amp;"ENTRADA",Movimientos!$R$2:$R$1998,0)),"-")</f>
        <v>-</v>
      </c>
      <c r="D961" s="3" t="str">
        <f>IFERROR(INDEX(Movimientos!$E$2:$E$1998,MATCH(A961&amp;"ENTRADA",Movimientos!$R$2:$R$1998,0)),"-")</f>
        <v>-</v>
      </c>
      <c r="E961" s="3" t="str">
        <f>IFERROR(INDEX(Movimientos!$F$2:$F$1998,MATCH(A961&amp;"ENTRADA",Movimientos!$R$2:$R$1998,0)),"-")</f>
        <v>-</v>
      </c>
      <c r="F961" s="3" t="str">
        <f>IFERROR(INDEX(Movimientos!$G$2:$G$1998,MATCH(A961&amp;"ENTRADA",Movimientos!$R$2:$R$1998,0)),"-")</f>
        <v>-</v>
      </c>
      <c r="G961" s="3" t="str">
        <f>IFERROR(INDEX(Movimientos!$L$2:$L$1998,MATCH(A961&amp;"ENTRADA",Movimientos!$R$2:$R$1998,0)),"-")</f>
        <v>-</v>
      </c>
      <c r="H961" s="19" t="str">
        <f>IFERROR(IF(INDEX(Movimientos!$M$2:$M$1998,MATCH(A961&amp;"ENTRADA",Movimientos!$R$2:$R$1998,0))=0,"S/D",INDEX(Movimientos!$M$2:$M$1998,MATCH(A961&amp;"ENTRADA",Movimientos!$R$2:$R$1998,0))),"S/D")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SIN STOCK</v>
      </c>
    </row>
    <row r="962" spans="1:11" ht="14.25">
      <c r="A962" s="18" t="s">
        <v>3105</v>
      </c>
      <c r="B962" s="3" t="str">
        <f>IFERROR(INDEX(Movimientos!$C$2:$C$1998,MATCH(A962&amp;"ENTRADA",Movimientos!$R$2:$R$1998,0)),"-")</f>
        <v>-</v>
      </c>
      <c r="C962" s="3" t="str">
        <f>IFERROR(INDEX(Movimientos!$D$2:$D$1998,MATCH(A962&amp;"ENTRADA",Movimientos!$R$2:$R$1998,0)),"-")</f>
        <v>-</v>
      </c>
      <c r="D962" s="3" t="str">
        <f>IFERROR(INDEX(Movimientos!$E$2:$E$1998,MATCH(A962&amp;"ENTRADA",Movimientos!$R$2:$R$1998,0)),"-")</f>
        <v>-</v>
      </c>
      <c r="E962" s="3" t="str">
        <f>IFERROR(INDEX(Movimientos!$F$2:$F$1998,MATCH(A962&amp;"ENTRADA",Movimientos!$R$2:$R$1998,0)),"-")</f>
        <v>-</v>
      </c>
      <c r="F962" s="3" t="str">
        <f>IFERROR(INDEX(Movimientos!$G$2:$G$1998,MATCH(A962&amp;"ENTRADA",Movimientos!$R$2:$R$1998,0)),"-")</f>
        <v>-</v>
      </c>
      <c r="G962" s="3" t="str">
        <f>IFERROR(INDEX(Movimientos!$L$2:$L$1998,MATCH(A962&amp;"ENTRADA",Movimientos!$R$2:$R$1998,0)),"-")</f>
        <v>-</v>
      </c>
      <c r="H962" s="19" t="str">
        <f>IFERROR(IF(INDEX(Movimientos!$M$2:$M$1998,MATCH(A962&amp;"ENTRADA",Movimientos!$R$2:$R$1998,0))=0,"S/D",INDEX(Movimientos!$M$2:$M$1998,MATCH(A962&amp;"ENTRADA",Movimientos!$R$2:$R$1998,0))),"S/D")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SIN STOCK</v>
      </c>
    </row>
    <row r="963" spans="1:11" ht="14.25">
      <c r="A963" s="18" t="s">
        <v>3106</v>
      </c>
      <c r="B963" s="3" t="str">
        <f>IFERROR(INDEX(Movimientos!$C$2:$C$1998,MATCH(A963&amp;"ENTRADA",Movimientos!$R$2:$R$1998,0)),"-")</f>
        <v>-</v>
      </c>
      <c r="C963" s="3" t="str">
        <f>IFERROR(INDEX(Movimientos!$D$2:$D$1998,MATCH(A963&amp;"ENTRADA",Movimientos!$R$2:$R$1998,0)),"-")</f>
        <v>-</v>
      </c>
      <c r="D963" s="3" t="str">
        <f>IFERROR(INDEX(Movimientos!$E$2:$E$1998,MATCH(A963&amp;"ENTRADA",Movimientos!$R$2:$R$1998,0)),"-")</f>
        <v>-</v>
      </c>
      <c r="E963" s="3" t="str">
        <f>IFERROR(INDEX(Movimientos!$F$2:$F$1998,MATCH(A963&amp;"ENTRADA",Movimientos!$R$2:$R$1998,0)),"-")</f>
        <v>-</v>
      </c>
      <c r="F963" s="3" t="str">
        <f>IFERROR(INDEX(Movimientos!$G$2:$G$1998,MATCH(A963&amp;"ENTRADA",Movimientos!$R$2:$R$1998,0)),"-")</f>
        <v>-</v>
      </c>
      <c r="G963" s="3" t="str">
        <f>IFERROR(INDEX(Movimientos!$L$2:$L$1998,MATCH(A963&amp;"ENTRADA",Movimientos!$R$2:$R$1998,0)),"-")</f>
        <v>-</v>
      </c>
      <c r="H963" s="19" t="str">
        <f>IFERROR(IF(INDEX(Movimientos!$M$2:$M$1998,MATCH(A963&amp;"ENTRADA",Movimientos!$R$2:$R$1998,0))=0,"S/D",INDEX(Movimientos!$M$2:$M$1998,MATCH(A963&amp;"ENTRADA",Movimientos!$R$2:$R$1998,0))),"S/D")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SIN STOCK</v>
      </c>
    </row>
    <row r="964" spans="1:11" ht="14.25">
      <c r="A964" s="18" t="s">
        <v>3107</v>
      </c>
      <c r="B964" s="3" t="str">
        <f>IFERROR(INDEX(Movimientos!$C$2:$C$1998,MATCH(A964&amp;"ENTRADA",Movimientos!$R$2:$R$1998,0)),"-")</f>
        <v>-</v>
      </c>
      <c r="C964" s="3" t="str">
        <f>IFERROR(INDEX(Movimientos!$D$2:$D$1998,MATCH(A964&amp;"ENTRADA",Movimientos!$R$2:$R$1998,0)),"-")</f>
        <v>-</v>
      </c>
      <c r="D964" s="3" t="str">
        <f>IFERROR(INDEX(Movimientos!$E$2:$E$1998,MATCH(A964&amp;"ENTRADA",Movimientos!$R$2:$R$1998,0)),"-")</f>
        <v>-</v>
      </c>
      <c r="E964" s="3" t="str">
        <f>IFERROR(INDEX(Movimientos!$F$2:$F$1998,MATCH(A964&amp;"ENTRADA",Movimientos!$R$2:$R$1998,0)),"-")</f>
        <v>-</v>
      </c>
      <c r="F964" s="3" t="str">
        <f>IFERROR(INDEX(Movimientos!$G$2:$G$1998,MATCH(A964&amp;"ENTRADA",Movimientos!$R$2:$R$1998,0)),"-")</f>
        <v>-</v>
      </c>
      <c r="G964" s="3" t="str">
        <f>IFERROR(INDEX(Movimientos!$L$2:$L$1998,MATCH(A964&amp;"ENTRADA",Movimientos!$R$2:$R$1998,0)),"-")</f>
        <v>-</v>
      </c>
      <c r="H964" s="19" t="str">
        <f>IFERROR(IF(INDEX(Movimientos!$M$2:$M$1998,MATCH(A964&amp;"ENTRADA",Movimientos!$R$2:$R$1998,0))=0,"S/D",INDEX(Movimientos!$M$2:$M$1998,MATCH(A964&amp;"ENTRADA",Movimientos!$R$2:$R$1998,0))),"S/D")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SIN STOCK</v>
      </c>
    </row>
    <row r="965" spans="1:11" ht="14.25">
      <c r="A965" s="18" t="s">
        <v>3108</v>
      </c>
      <c r="B965" s="3" t="str">
        <f>IFERROR(INDEX(Movimientos!$C$2:$C$1998,MATCH(A965&amp;"ENTRADA",Movimientos!$R$2:$R$1998,0)),"-")</f>
        <v>-</v>
      </c>
      <c r="C965" s="3" t="str">
        <f>IFERROR(INDEX(Movimientos!$D$2:$D$1998,MATCH(A965&amp;"ENTRADA",Movimientos!$R$2:$R$1998,0)),"-")</f>
        <v>-</v>
      </c>
      <c r="D965" s="3" t="str">
        <f>IFERROR(INDEX(Movimientos!$E$2:$E$1998,MATCH(A965&amp;"ENTRADA",Movimientos!$R$2:$R$1998,0)),"-")</f>
        <v>-</v>
      </c>
      <c r="E965" s="3" t="str">
        <f>IFERROR(INDEX(Movimientos!$F$2:$F$1998,MATCH(A965&amp;"ENTRADA",Movimientos!$R$2:$R$1998,0)),"-")</f>
        <v>-</v>
      </c>
      <c r="F965" s="3" t="str">
        <f>IFERROR(INDEX(Movimientos!$G$2:$G$1998,MATCH(A965&amp;"ENTRADA",Movimientos!$R$2:$R$1998,0)),"-")</f>
        <v>-</v>
      </c>
      <c r="G965" s="3" t="str">
        <f>IFERROR(INDEX(Movimientos!$L$2:$L$1998,MATCH(A965&amp;"ENTRADA",Movimientos!$R$2:$R$1998,0)),"-")</f>
        <v>-</v>
      </c>
      <c r="H965" s="19" t="str">
        <f>IFERROR(IF(INDEX(Movimientos!$M$2:$M$1998,MATCH(A965&amp;"ENTRADA",Movimientos!$R$2:$R$1998,0))=0,"S/D",INDEX(Movimientos!$M$2:$M$1998,MATCH(A965&amp;"ENTRADA",Movimientos!$R$2:$R$1998,0))),"S/D")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SIN STOCK</v>
      </c>
    </row>
    <row r="966" spans="1:11" ht="14.25">
      <c r="A966" s="18" t="s">
        <v>3109</v>
      </c>
      <c r="B966" s="3" t="str">
        <f>IFERROR(INDEX(Movimientos!$C$2:$C$1998,MATCH(A966&amp;"ENTRADA",Movimientos!$R$2:$R$1998,0)),"-")</f>
        <v>-</v>
      </c>
      <c r="C966" s="3" t="str">
        <f>IFERROR(INDEX(Movimientos!$D$2:$D$1998,MATCH(A966&amp;"ENTRADA",Movimientos!$R$2:$R$1998,0)),"-")</f>
        <v>-</v>
      </c>
      <c r="D966" s="3" t="str">
        <f>IFERROR(INDEX(Movimientos!$E$2:$E$1998,MATCH(A966&amp;"ENTRADA",Movimientos!$R$2:$R$1998,0)),"-")</f>
        <v>-</v>
      </c>
      <c r="E966" s="3" t="str">
        <f>IFERROR(INDEX(Movimientos!$F$2:$F$1998,MATCH(A966&amp;"ENTRADA",Movimientos!$R$2:$R$1998,0)),"-")</f>
        <v>-</v>
      </c>
      <c r="F966" s="3" t="str">
        <f>IFERROR(INDEX(Movimientos!$G$2:$G$1998,MATCH(A966&amp;"ENTRADA",Movimientos!$R$2:$R$1998,0)),"-")</f>
        <v>-</v>
      </c>
      <c r="G966" s="3" t="str">
        <f>IFERROR(INDEX(Movimientos!$L$2:$L$1998,MATCH(A966&amp;"ENTRADA",Movimientos!$R$2:$R$1998,0)),"-")</f>
        <v>-</v>
      </c>
      <c r="H966" s="19" t="str">
        <f>IFERROR(IF(INDEX(Movimientos!$M$2:$M$1998,MATCH(A966&amp;"ENTRADA",Movimientos!$R$2:$R$1998,0))=0,"S/D",INDEX(Movimientos!$M$2:$M$1998,MATCH(A966&amp;"ENTRADA",Movimientos!$R$2:$R$1998,0))),"S/D")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SIN STOCK</v>
      </c>
    </row>
    <row r="967" spans="1:11" ht="14.25">
      <c r="A967" s="18" t="s">
        <v>3110</v>
      </c>
      <c r="B967" s="3" t="str">
        <f>IFERROR(INDEX(Movimientos!$C$2:$C$1998,MATCH(A967&amp;"ENTRADA",Movimientos!$R$2:$R$1998,0)),"-")</f>
        <v>-</v>
      </c>
      <c r="C967" s="3" t="str">
        <f>IFERROR(INDEX(Movimientos!$D$2:$D$1998,MATCH(A967&amp;"ENTRADA",Movimientos!$R$2:$R$1998,0)),"-")</f>
        <v>-</v>
      </c>
      <c r="D967" s="3" t="str">
        <f>IFERROR(INDEX(Movimientos!$E$2:$E$1998,MATCH(A967&amp;"ENTRADA",Movimientos!$R$2:$R$1998,0)),"-")</f>
        <v>-</v>
      </c>
      <c r="E967" s="3" t="str">
        <f>IFERROR(INDEX(Movimientos!$F$2:$F$1998,MATCH(A967&amp;"ENTRADA",Movimientos!$R$2:$R$1998,0)),"-")</f>
        <v>-</v>
      </c>
      <c r="F967" s="3" t="str">
        <f>IFERROR(INDEX(Movimientos!$G$2:$G$1998,MATCH(A967&amp;"ENTRADA",Movimientos!$R$2:$R$1998,0)),"-")</f>
        <v>-</v>
      </c>
      <c r="G967" s="3" t="str">
        <f>IFERROR(INDEX(Movimientos!$L$2:$L$1998,MATCH(A967&amp;"ENTRADA",Movimientos!$R$2:$R$1998,0)),"-")</f>
        <v>-</v>
      </c>
      <c r="H967" s="19" t="str">
        <f>IFERROR(IF(INDEX(Movimientos!$M$2:$M$1998,MATCH(A967&amp;"ENTRADA",Movimientos!$R$2:$R$1998,0))=0,"S/D",INDEX(Movimientos!$M$2:$M$1998,MATCH(A967&amp;"ENTRADA",Movimientos!$R$2:$R$1998,0))),"S/D")</f>
        <v>S/D</v>
      </c>
      <c r="I967" s="16" t="str">
        <f t="shared" ref="I967:I998" ca="1" si="32">IF(OR(A967="",H967="S/D"),"S/D",H967-TODAY())</f>
        <v>S/D</v>
      </c>
      <c r="J967" s="6">
        <f>IF(A967="","",SUMIFS(Movimientos!$K:$K,Movimientos!$H:$H,A967))</f>
        <v>0</v>
      </c>
      <c r="K967" s="14" t="str">
        <f t="shared" ca="1" si="31"/>
        <v>SIN STOCK</v>
      </c>
    </row>
    <row r="968" spans="1:11" ht="14.25">
      <c r="A968" s="18" t="s">
        <v>3111</v>
      </c>
      <c r="B968" s="3" t="str">
        <f>IFERROR(INDEX(Movimientos!$C$2:$C$1998,MATCH(A968&amp;"ENTRADA",Movimientos!$R$2:$R$1998,0)),"-")</f>
        <v>-</v>
      </c>
      <c r="C968" s="3" t="str">
        <f>IFERROR(INDEX(Movimientos!$D$2:$D$1998,MATCH(A968&amp;"ENTRADA",Movimientos!$R$2:$R$1998,0)),"-")</f>
        <v>-</v>
      </c>
      <c r="D968" s="3" t="str">
        <f>IFERROR(INDEX(Movimientos!$E$2:$E$1998,MATCH(A968&amp;"ENTRADA",Movimientos!$R$2:$R$1998,0)),"-")</f>
        <v>-</v>
      </c>
      <c r="E968" s="3" t="str">
        <f>IFERROR(INDEX(Movimientos!$F$2:$F$1998,MATCH(A968&amp;"ENTRADA",Movimientos!$R$2:$R$1998,0)),"-")</f>
        <v>-</v>
      </c>
      <c r="F968" s="3" t="str">
        <f>IFERROR(INDEX(Movimientos!$G$2:$G$1998,MATCH(A968&amp;"ENTRADA",Movimientos!$R$2:$R$1998,0)),"-")</f>
        <v>-</v>
      </c>
      <c r="G968" s="3" t="str">
        <f>IFERROR(INDEX(Movimientos!$L$2:$L$1998,MATCH(A968&amp;"ENTRADA",Movimientos!$R$2:$R$1998,0)),"-")</f>
        <v>-</v>
      </c>
      <c r="H968" s="19" t="str">
        <f>IFERROR(IF(INDEX(Movimientos!$M$2:$M$1998,MATCH(A968&amp;"ENTRADA",Movimientos!$R$2:$R$1998,0))=0,"S/D",INDEX(Movimientos!$M$2:$M$1998,MATCH(A968&amp;"ENTRADA",Movimientos!$R$2:$R$1998,0))),"S/D")</f>
        <v>S/D</v>
      </c>
      <c r="I968" s="16" t="str">
        <f t="shared" ca="1" si="32"/>
        <v>S/D</v>
      </c>
      <c r="J968" s="6">
        <f>IF(A968="","",SUMIFS(Movimientos!$K:$K,Movimientos!$H:$H,A968))</f>
        <v>0</v>
      </c>
      <c r="K968" s="14" t="str">
        <f t="shared" ca="1" si="31"/>
        <v>SIN STOCK</v>
      </c>
    </row>
    <row r="969" spans="1:11" ht="14.25">
      <c r="A969" s="18" t="s">
        <v>3112</v>
      </c>
      <c r="B969" s="3" t="str">
        <f>IFERROR(INDEX(Movimientos!$C$2:$C$1998,MATCH(A969&amp;"ENTRADA",Movimientos!$R$2:$R$1998,0)),"-")</f>
        <v>-</v>
      </c>
      <c r="C969" s="3" t="str">
        <f>IFERROR(INDEX(Movimientos!$D$2:$D$1998,MATCH(A969&amp;"ENTRADA",Movimientos!$R$2:$R$1998,0)),"-")</f>
        <v>-</v>
      </c>
      <c r="D969" s="3" t="str">
        <f>IFERROR(INDEX(Movimientos!$E$2:$E$1998,MATCH(A969&amp;"ENTRADA",Movimientos!$R$2:$R$1998,0)),"-")</f>
        <v>-</v>
      </c>
      <c r="E969" s="3" t="str">
        <f>IFERROR(INDEX(Movimientos!$F$2:$F$1998,MATCH(A969&amp;"ENTRADA",Movimientos!$R$2:$R$1998,0)),"-")</f>
        <v>-</v>
      </c>
      <c r="F969" s="3" t="str">
        <f>IFERROR(INDEX(Movimientos!$G$2:$G$1998,MATCH(A969&amp;"ENTRADA",Movimientos!$R$2:$R$1998,0)),"-")</f>
        <v>-</v>
      </c>
      <c r="G969" s="3" t="str">
        <f>IFERROR(INDEX(Movimientos!$L$2:$L$1998,MATCH(A969&amp;"ENTRADA",Movimientos!$R$2:$R$1998,0)),"-")</f>
        <v>-</v>
      </c>
      <c r="H969" s="19" t="str">
        <f>IFERROR(IF(INDEX(Movimientos!$M$2:$M$1998,MATCH(A969&amp;"ENTRADA",Movimientos!$R$2:$R$1998,0))=0,"S/D",INDEX(Movimientos!$M$2:$M$1998,MATCH(A969&amp;"ENTRADA",Movimientos!$R$2:$R$1998,0))),"S/D")</f>
        <v>S/D</v>
      </c>
      <c r="I969" s="16" t="str">
        <f t="shared" ca="1" si="32"/>
        <v>S/D</v>
      </c>
      <c r="J969" s="6">
        <f>IF(A969="","",SUMIFS(Movimientos!$K:$K,Movimientos!$H:$H,A969))</f>
        <v>0</v>
      </c>
      <c r="K969" s="14" t="str">
        <f t="shared" ca="1" si="31"/>
        <v>SIN STOCK</v>
      </c>
    </row>
    <row r="970" spans="1:11" ht="14.25">
      <c r="A970" s="18" t="s">
        <v>3113</v>
      </c>
      <c r="B970" s="3" t="str">
        <f>IFERROR(INDEX(Movimientos!$C$2:$C$1998,MATCH(A970&amp;"ENTRADA",Movimientos!$R$2:$R$1998,0)),"-")</f>
        <v>-</v>
      </c>
      <c r="C970" s="3" t="str">
        <f>IFERROR(INDEX(Movimientos!$D$2:$D$1998,MATCH(A970&amp;"ENTRADA",Movimientos!$R$2:$R$1998,0)),"-")</f>
        <v>-</v>
      </c>
      <c r="D970" s="3" t="str">
        <f>IFERROR(INDEX(Movimientos!$E$2:$E$1998,MATCH(A970&amp;"ENTRADA",Movimientos!$R$2:$R$1998,0)),"-")</f>
        <v>-</v>
      </c>
      <c r="E970" s="3" t="str">
        <f>IFERROR(INDEX(Movimientos!$F$2:$F$1998,MATCH(A970&amp;"ENTRADA",Movimientos!$R$2:$R$1998,0)),"-")</f>
        <v>-</v>
      </c>
      <c r="F970" s="3" t="str">
        <f>IFERROR(INDEX(Movimientos!$G$2:$G$1998,MATCH(A970&amp;"ENTRADA",Movimientos!$R$2:$R$1998,0)),"-")</f>
        <v>-</v>
      </c>
      <c r="G970" s="3" t="str">
        <f>IFERROR(INDEX(Movimientos!$L$2:$L$1998,MATCH(A970&amp;"ENTRADA",Movimientos!$R$2:$R$1998,0)),"-")</f>
        <v>-</v>
      </c>
      <c r="H970" s="19" t="str">
        <f>IFERROR(IF(INDEX(Movimientos!$M$2:$M$1998,MATCH(A970&amp;"ENTRADA",Movimientos!$R$2:$R$1998,0))=0,"S/D",INDEX(Movimientos!$M$2:$M$1998,MATCH(A970&amp;"ENTRADA",Movimientos!$R$2:$R$1998,0))),"S/D")</f>
        <v>S/D</v>
      </c>
      <c r="I970" s="16" t="str">
        <f t="shared" ca="1" si="32"/>
        <v>S/D</v>
      </c>
      <c r="J970" s="6">
        <f>IF(A970="","",SUMIFS(Movimientos!$K:$K,Movimientos!$H:$H,A970))</f>
        <v>0</v>
      </c>
      <c r="K970" s="14" t="str">
        <f t="shared" ca="1" si="31"/>
        <v>SIN STOCK</v>
      </c>
    </row>
    <row r="971" spans="1:11" ht="14.25">
      <c r="A971" s="18" t="s">
        <v>3114</v>
      </c>
      <c r="B971" s="3" t="str">
        <f>IFERROR(INDEX(Movimientos!$C$2:$C$1998,MATCH(A971&amp;"ENTRADA",Movimientos!$R$2:$R$1998,0)),"-")</f>
        <v>-</v>
      </c>
      <c r="C971" s="3" t="str">
        <f>IFERROR(INDEX(Movimientos!$D$2:$D$1998,MATCH(A971&amp;"ENTRADA",Movimientos!$R$2:$R$1998,0)),"-")</f>
        <v>-</v>
      </c>
      <c r="D971" s="3" t="str">
        <f>IFERROR(INDEX(Movimientos!$E$2:$E$1998,MATCH(A971&amp;"ENTRADA",Movimientos!$R$2:$R$1998,0)),"-")</f>
        <v>-</v>
      </c>
      <c r="E971" s="3" t="str">
        <f>IFERROR(INDEX(Movimientos!$F$2:$F$1998,MATCH(A971&amp;"ENTRADA",Movimientos!$R$2:$R$1998,0)),"-")</f>
        <v>-</v>
      </c>
      <c r="F971" s="3" t="str">
        <f>IFERROR(INDEX(Movimientos!$G$2:$G$1998,MATCH(A971&amp;"ENTRADA",Movimientos!$R$2:$R$1998,0)),"-")</f>
        <v>-</v>
      </c>
      <c r="G971" s="3" t="str">
        <f>IFERROR(INDEX(Movimientos!$L$2:$L$1998,MATCH(A971&amp;"ENTRADA",Movimientos!$R$2:$R$1998,0)),"-")</f>
        <v>-</v>
      </c>
      <c r="H971" s="19" t="str">
        <f>IFERROR(IF(INDEX(Movimientos!$M$2:$M$1998,MATCH(A971&amp;"ENTRADA",Movimientos!$R$2:$R$1998,0))=0,"S/D",INDEX(Movimientos!$M$2:$M$1998,MATCH(A971&amp;"ENTRADA",Movimientos!$R$2:$R$1998,0))),"S/D")</f>
        <v>S/D</v>
      </c>
      <c r="I971" s="16" t="str">
        <f t="shared" ca="1" si="32"/>
        <v>S/D</v>
      </c>
      <c r="J971" s="6">
        <f>IF(A971="","",SUMIFS(Movimientos!$K:$K,Movimientos!$H:$H,A971))</f>
        <v>0</v>
      </c>
      <c r="K971" s="14" t="str">
        <f t="shared" ca="1" si="31"/>
        <v>SIN STOCK</v>
      </c>
    </row>
    <row r="972" spans="1:11" ht="14.25">
      <c r="A972" s="18" t="s">
        <v>3115</v>
      </c>
      <c r="B972" s="3" t="str">
        <f>IFERROR(INDEX(Movimientos!$C$2:$C$1998,MATCH(A972&amp;"ENTRADA",Movimientos!$R$2:$R$1998,0)),"-")</f>
        <v>-</v>
      </c>
      <c r="C972" s="3" t="str">
        <f>IFERROR(INDEX(Movimientos!$D$2:$D$1998,MATCH(A972&amp;"ENTRADA",Movimientos!$R$2:$R$1998,0)),"-")</f>
        <v>-</v>
      </c>
      <c r="D972" s="3" t="str">
        <f>IFERROR(INDEX(Movimientos!$E$2:$E$1998,MATCH(A972&amp;"ENTRADA",Movimientos!$R$2:$R$1998,0)),"-")</f>
        <v>-</v>
      </c>
      <c r="E972" s="3" t="str">
        <f>IFERROR(INDEX(Movimientos!$F$2:$F$1998,MATCH(A972&amp;"ENTRADA",Movimientos!$R$2:$R$1998,0)),"-")</f>
        <v>-</v>
      </c>
      <c r="F972" s="3" t="str">
        <f>IFERROR(INDEX(Movimientos!$G$2:$G$1998,MATCH(A972&amp;"ENTRADA",Movimientos!$R$2:$R$1998,0)),"-")</f>
        <v>-</v>
      </c>
      <c r="G972" s="3" t="str">
        <f>IFERROR(INDEX(Movimientos!$L$2:$L$1998,MATCH(A972&amp;"ENTRADA",Movimientos!$R$2:$R$1998,0)),"-")</f>
        <v>-</v>
      </c>
      <c r="H972" s="19" t="str">
        <f>IFERROR(IF(INDEX(Movimientos!$M$2:$M$1998,MATCH(A972&amp;"ENTRADA",Movimientos!$R$2:$R$1998,0))=0,"S/D",INDEX(Movimientos!$M$2:$M$1998,MATCH(A972&amp;"ENTRADA",Movimientos!$R$2:$R$1998,0))),"S/D")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1"/>
        <v>SIN STOCK</v>
      </c>
    </row>
    <row r="973" spans="1:11" ht="14.25">
      <c r="A973" s="18" t="s">
        <v>3116</v>
      </c>
      <c r="B973" s="3" t="str">
        <f>IFERROR(INDEX(Movimientos!$C$2:$C$1998,MATCH(A973&amp;"ENTRADA",Movimientos!$R$2:$R$1998,0)),"-")</f>
        <v>-</v>
      </c>
      <c r="C973" s="3" t="str">
        <f>IFERROR(INDEX(Movimientos!$D$2:$D$1998,MATCH(A973&amp;"ENTRADA",Movimientos!$R$2:$R$1998,0)),"-")</f>
        <v>-</v>
      </c>
      <c r="D973" s="3" t="str">
        <f>IFERROR(INDEX(Movimientos!$E$2:$E$1998,MATCH(A973&amp;"ENTRADA",Movimientos!$R$2:$R$1998,0)),"-")</f>
        <v>-</v>
      </c>
      <c r="E973" s="3" t="str">
        <f>IFERROR(INDEX(Movimientos!$F$2:$F$1998,MATCH(A973&amp;"ENTRADA",Movimientos!$R$2:$R$1998,0)),"-")</f>
        <v>-</v>
      </c>
      <c r="F973" s="3" t="str">
        <f>IFERROR(INDEX(Movimientos!$G$2:$G$1998,MATCH(A973&amp;"ENTRADA",Movimientos!$R$2:$R$1998,0)),"-")</f>
        <v>-</v>
      </c>
      <c r="G973" s="3" t="str">
        <f>IFERROR(INDEX(Movimientos!$L$2:$L$1998,MATCH(A973&amp;"ENTRADA",Movimientos!$R$2:$R$1998,0)),"-")</f>
        <v>-</v>
      </c>
      <c r="H973" s="19" t="str">
        <f>IFERROR(IF(INDEX(Movimientos!$M$2:$M$1998,MATCH(A973&amp;"ENTRADA",Movimientos!$R$2:$R$1998,0))=0,"S/D",INDEX(Movimientos!$M$2:$M$1998,MATCH(A973&amp;"ENTRADA",Movimientos!$R$2:$R$1998,0))),"S/D")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1"/>
        <v>SIN STOCK</v>
      </c>
    </row>
    <row r="974" spans="1:11" ht="14.25">
      <c r="A974" s="18" t="s">
        <v>3117</v>
      </c>
      <c r="B974" s="3" t="str">
        <f>IFERROR(INDEX(Movimientos!$C$2:$C$1998,MATCH(A974&amp;"ENTRADA",Movimientos!$R$2:$R$1998,0)),"-")</f>
        <v>-</v>
      </c>
      <c r="C974" s="3" t="str">
        <f>IFERROR(INDEX(Movimientos!$D$2:$D$1998,MATCH(A974&amp;"ENTRADA",Movimientos!$R$2:$R$1998,0)),"-")</f>
        <v>-</v>
      </c>
      <c r="D974" s="3" t="str">
        <f>IFERROR(INDEX(Movimientos!$E$2:$E$1998,MATCH(A974&amp;"ENTRADA",Movimientos!$R$2:$R$1998,0)),"-")</f>
        <v>-</v>
      </c>
      <c r="E974" s="3" t="str">
        <f>IFERROR(INDEX(Movimientos!$F$2:$F$1998,MATCH(A974&amp;"ENTRADA",Movimientos!$R$2:$R$1998,0)),"-")</f>
        <v>-</v>
      </c>
      <c r="F974" s="3" t="str">
        <f>IFERROR(INDEX(Movimientos!$G$2:$G$1998,MATCH(A974&amp;"ENTRADA",Movimientos!$R$2:$R$1998,0)),"-")</f>
        <v>-</v>
      </c>
      <c r="G974" s="3" t="str">
        <f>IFERROR(INDEX(Movimientos!$L$2:$L$1998,MATCH(A974&amp;"ENTRADA",Movimientos!$R$2:$R$1998,0)),"-")</f>
        <v>-</v>
      </c>
      <c r="H974" s="19" t="str">
        <f>IFERROR(IF(INDEX(Movimientos!$M$2:$M$1998,MATCH(A974&amp;"ENTRADA",Movimientos!$R$2:$R$1998,0))=0,"S/D",INDEX(Movimientos!$M$2:$M$1998,MATCH(A974&amp;"ENTRADA",Movimientos!$R$2:$R$1998,0))),"S/D")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1"/>
        <v>SIN STOCK</v>
      </c>
    </row>
    <row r="975" spans="1:11" ht="14.25">
      <c r="A975" s="18" t="s">
        <v>3118</v>
      </c>
      <c r="B975" s="3" t="str">
        <f>IFERROR(INDEX(Movimientos!$C$2:$C$1998,MATCH(A975&amp;"ENTRADA",Movimientos!$R$2:$R$1998,0)),"-")</f>
        <v>-</v>
      </c>
      <c r="C975" s="3" t="str">
        <f>IFERROR(INDEX(Movimientos!$D$2:$D$1998,MATCH(A975&amp;"ENTRADA",Movimientos!$R$2:$R$1998,0)),"-")</f>
        <v>-</v>
      </c>
      <c r="D975" s="3" t="str">
        <f>IFERROR(INDEX(Movimientos!$E$2:$E$1998,MATCH(A975&amp;"ENTRADA",Movimientos!$R$2:$R$1998,0)),"-")</f>
        <v>-</v>
      </c>
      <c r="E975" s="3" t="str">
        <f>IFERROR(INDEX(Movimientos!$F$2:$F$1998,MATCH(A975&amp;"ENTRADA",Movimientos!$R$2:$R$1998,0)),"-")</f>
        <v>-</v>
      </c>
      <c r="F975" s="3" t="str">
        <f>IFERROR(INDEX(Movimientos!$G$2:$G$1998,MATCH(A975&amp;"ENTRADA",Movimientos!$R$2:$R$1998,0)),"-")</f>
        <v>-</v>
      </c>
      <c r="G975" s="3" t="str">
        <f>IFERROR(INDEX(Movimientos!$L$2:$L$1998,MATCH(A975&amp;"ENTRADA",Movimientos!$R$2:$R$1998,0)),"-")</f>
        <v>-</v>
      </c>
      <c r="H975" s="19" t="str">
        <f>IFERROR(IF(INDEX(Movimientos!$M$2:$M$1998,MATCH(A975&amp;"ENTRADA",Movimientos!$R$2:$R$1998,0))=0,"S/D",INDEX(Movimientos!$M$2:$M$1998,MATCH(A975&amp;"ENTRADA",Movimientos!$R$2:$R$1998,0))),"S/D")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1"/>
        <v>SIN STOCK</v>
      </c>
    </row>
    <row r="976" spans="1:11" ht="14.25">
      <c r="A976" s="18" t="s">
        <v>3119</v>
      </c>
      <c r="B976" s="3" t="str">
        <f>IFERROR(INDEX(Movimientos!$C$2:$C$1998,MATCH(A976&amp;"ENTRADA",Movimientos!$R$2:$R$1998,0)),"-")</f>
        <v>-</v>
      </c>
      <c r="C976" s="3" t="str">
        <f>IFERROR(INDEX(Movimientos!$D$2:$D$1998,MATCH(A976&amp;"ENTRADA",Movimientos!$R$2:$R$1998,0)),"-")</f>
        <v>-</v>
      </c>
      <c r="D976" s="3" t="str">
        <f>IFERROR(INDEX(Movimientos!$E$2:$E$1998,MATCH(A976&amp;"ENTRADA",Movimientos!$R$2:$R$1998,0)),"-")</f>
        <v>-</v>
      </c>
      <c r="E976" s="3" t="str">
        <f>IFERROR(INDEX(Movimientos!$F$2:$F$1998,MATCH(A976&amp;"ENTRADA",Movimientos!$R$2:$R$1998,0)),"-")</f>
        <v>-</v>
      </c>
      <c r="F976" s="3" t="str">
        <f>IFERROR(INDEX(Movimientos!$G$2:$G$1998,MATCH(A976&amp;"ENTRADA",Movimientos!$R$2:$R$1998,0)),"-")</f>
        <v>-</v>
      </c>
      <c r="G976" s="3" t="str">
        <f>IFERROR(INDEX(Movimientos!$L$2:$L$1998,MATCH(A976&amp;"ENTRADA",Movimientos!$R$2:$R$1998,0)),"-")</f>
        <v>-</v>
      </c>
      <c r="H976" s="19" t="str">
        <f>IFERROR(IF(INDEX(Movimientos!$M$2:$M$1998,MATCH(A976&amp;"ENTRADA",Movimientos!$R$2:$R$1998,0))=0,"S/D",INDEX(Movimientos!$M$2:$M$1998,MATCH(A976&amp;"ENTRADA",Movimientos!$R$2:$R$1998,0))),"S/D")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1"/>
        <v>SIN STOCK</v>
      </c>
    </row>
    <row r="977" spans="1:11" ht="14.25">
      <c r="A977" s="18" t="s">
        <v>3120</v>
      </c>
      <c r="B977" s="3" t="str">
        <f>IFERROR(INDEX(Movimientos!$C$2:$C$1998,MATCH(A977&amp;"ENTRADA",Movimientos!$R$2:$R$1998,0)),"-")</f>
        <v>-</v>
      </c>
      <c r="C977" s="3" t="str">
        <f>IFERROR(INDEX(Movimientos!$D$2:$D$1998,MATCH(A977&amp;"ENTRADA",Movimientos!$R$2:$R$1998,0)),"-")</f>
        <v>-</v>
      </c>
      <c r="D977" s="3" t="str">
        <f>IFERROR(INDEX(Movimientos!$E$2:$E$1998,MATCH(A977&amp;"ENTRADA",Movimientos!$R$2:$R$1998,0)),"-")</f>
        <v>-</v>
      </c>
      <c r="E977" s="3" t="str">
        <f>IFERROR(INDEX(Movimientos!$F$2:$F$1998,MATCH(A977&amp;"ENTRADA",Movimientos!$R$2:$R$1998,0)),"-")</f>
        <v>-</v>
      </c>
      <c r="F977" s="3" t="str">
        <f>IFERROR(INDEX(Movimientos!$G$2:$G$1998,MATCH(A977&amp;"ENTRADA",Movimientos!$R$2:$R$1998,0)),"-")</f>
        <v>-</v>
      </c>
      <c r="G977" s="3" t="str">
        <f>IFERROR(INDEX(Movimientos!$L$2:$L$1998,MATCH(A977&amp;"ENTRADA",Movimientos!$R$2:$R$1998,0)),"-")</f>
        <v>-</v>
      </c>
      <c r="H977" s="19" t="str">
        <f>IFERROR(IF(INDEX(Movimientos!$M$2:$M$1998,MATCH(A977&amp;"ENTRADA",Movimientos!$R$2:$R$1998,0))=0,"S/D",INDEX(Movimientos!$M$2:$M$1998,MATCH(A977&amp;"ENTRADA",Movimientos!$R$2:$R$1998,0))),"S/D")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1"/>
        <v>SIN STOCK</v>
      </c>
    </row>
    <row r="978" spans="1:11" ht="14.25">
      <c r="A978" s="18" t="s">
        <v>3121</v>
      </c>
      <c r="B978" s="3" t="str">
        <f>IFERROR(INDEX(Movimientos!$C$2:$C$1998,MATCH(A978&amp;"ENTRADA",Movimientos!$R$2:$R$1998,0)),"-")</f>
        <v>-</v>
      </c>
      <c r="C978" s="3" t="str">
        <f>IFERROR(INDEX(Movimientos!$D$2:$D$1998,MATCH(A978&amp;"ENTRADA",Movimientos!$R$2:$R$1998,0)),"-")</f>
        <v>-</v>
      </c>
      <c r="D978" s="3" t="str">
        <f>IFERROR(INDEX(Movimientos!$E$2:$E$1998,MATCH(A978&amp;"ENTRADA",Movimientos!$R$2:$R$1998,0)),"-")</f>
        <v>-</v>
      </c>
      <c r="E978" s="3" t="str">
        <f>IFERROR(INDEX(Movimientos!$F$2:$F$1998,MATCH(A978&amp;"ENTRADA",Movimientos!$R$2:$R$1998,0)),"-")</f>
        <v>-</v>
      </c>
      <c r="F978" s="3" t="str">
        <f>IFERROR(INDEX(Movimientos!$G$2:$G$1998,MATCH(A978&amp;"ENTRADA",Movimientos!$R$2:$R$1998,0)),"-")</f>
        <v>-</v>
      </c>
      <c r="G978" s="3" t="str">
        <f>IFERROR(INDEX(Movimientos!$L$2:$L$1998,MATCH(A978&amp;"ENTRADA",Movimientos!$R$2:$R$1998,0)),"-")</f>
        <v>-</v>
      </c>
      <c r="H978" s="19" t="str">
        <f>IFERROR(IF(INDEX(Movimientos!$M$2:$M$1998,MATCH(A978&amp;"ENTRADA",Movimientos!$R$2:$R$1998,0))=0,"S/D",INDEX(Movimientos!$M$2:$M$1998,MATCH(A978&amp;"ENTRADA",Movimientos!$R$2:$R$1998,0))),"S/D")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1"/>
        <v>SIN STOCK</v>
      </c>
    </row>
    <row r="979" spans="1:11" ht="14.25">
      <c r="A979" s="18" t="s">
        <v>3122</v>
      </c>
      <c r="B979" s="3" t="str">
        <f>IFERROR(INDEX(Movimientos!$C$2:$C$1998,MATCH(A979&amp;"ENTRADA",Movimientos!$R$2:$R$1998,0)),"-")</f>
        <v>-</v>
      </c>
      <c r="C979" s="3" t="str">
        <f>IFERROR(INDEX(Movimientos!$D$2:$D$1998,MATCH(A979&amp;"ENTRADA",Movimientos!$R$2:$R$1998,0)),"-")</f>
        <v>-</v>
      </c>
      <c r="D979" s="3" t="str">
        <f>IFERROR(INDEX(Movimientos!$E$2:$E$1998,MATCH(A979&amp;"ENTRADA",Movimientos!$R$2:$R$1998,0)),"-")</f>
        <v>-</v>
      </c>
      <c r="E979" s="3" t="str">
        <f>IFERROR(INDEX(Movimientos!$F$2:$F$1998,MATCH(A979&amp;"ENTRADA",Movimientos!$R$2:$R$1998,0)),"-")</f>
        <v>-</v>
      </c>
      <c r="F979" s="3" t="str">
        <f>IFERROR(INDEX(Movimientos!$G$2:$G$1998,MATCH(A979&amp;"ENTRADA",Movimientos!$R$2:$R$1998,0)),"-")</f>
        <v>-</v>
      </c>
      <c r="G979" s="3" t="str">
        <f>IFERROR(INDEX(Movimientos!$L$2:$L$1998,MATCH(A979&amp;"ENTRADA",Movimientos!$R$2:$R$1998,0)),"-")</f>
        <v>-</v>
      </c>
      <c r="H979" s="19" t="str">
        <f>IFERROR(IF(INDEX(Movimientos!$M$2:$M$1998,MATCH(A979&amp;"ENTRADA",Movimientos!$R$2:$R$1998,0))=0,"S/D",INDEX(Movimientos!$M$2:$M$1998,MATCH(A979&amp;"ENTRADA",Movimientos!$R$2:$R$1998,0))),"S/D")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1"/>
        <v>SIN STOCK</v>
      </c>
    </row>
    <row r="980" spans="1:11" ht="14.25">
      <c r="A980" s="18" t="s">
        <v>3123</v>
      </c>
      <c r="B980" s="3" t="str">
        <f>IFERROR(INDEX(Movimientos!$C$2:$C$1998,MATCH(A980&amp;"ENTRADA",Movimientos!$R$2:$R$1998,0)),"-")</f>
        <v>-</v>
      </c>
      <c r="C980" s="3" t="str">
        <f>IFERROR(INDEX(Movimientos!$D$2:$D$1998,MATCH(A980&amp;"ENTRADA",Movimientos!$R$2:$R$1998,0)),"-")</f>
        <v>-</v>
      </c>
      <c r="D980" s="3" t="str">
        <f>IFERROR(INDEX(Movimientos!$E$2:$E$1998,MATCH(A980&amp;"ENTRADA",Movimientos!$R$2:$R$1998,0)),"-")</f>
        <v>-</v>
      </c>
      <c r="E980" s="3" t="str">
        <f>IFERROR(INDEX(Movimientos!$F$2:$F$1998,MATCH(A980&amp;"ENTRADA",Movimientos!$R$2:$R$1998,0)),"-")</f>
        <v>-</v>
      </c>
      <c r="F980" s="3" t="str">
        <f>IFERROR(INDEX(Movimientos!$G$2:$G$1998,MATCH(A980&amp;"ENTRADA",Movimientos!$R$2:$R$1998,0)),"-")</f>
        <v>-</v>
      </c>
      <c r="G980" s="3" t="str">
        <f>IFERROR(INDEX(Movimientos!$L$2:$L$1998,MATCH(A980&amp;"ENTRADA",Movimientos!$R$2:$R$1998,0)),"-")</f>
        <v>-</v>
      </c>
      <c r="H980" s="19" t="str">
        <f>IFERROR(IF(INDEX(Movimientos!$M$2:$M$1998,MATCH(A980&amp;"ENTRADA",Movimientos!$R$2:$R$1998,0))=0,"S/D",INDEX(Movimientos!$M$2:$M$1998,MATCH(A980&amp;"ENTRADA",Movimientos!$R$2:$R$1998,0))),"S/D")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1"/>
        <v>SIN STOCK</v>
      </c>
    </row>
    <row r="981" spans="1:11" ht="14.25">
      <c r="A981" s="18" t="s">
        <v>3124</v>
      </c>
      <c r="B981" s="3" t="str">
        <f>IFERROR(INDEX(Movimientos!$C$2:$C$1998,MATCH(A981&amp;"ENTRADA",Movimientos!$R$2:$R$1998,0)),"-")</f>
        <v>-</v>
      </c>
      <c r="C981" s="3" t="str">
        <f>IFERROR(INDEX(Movimientos!$D$2:$D$1998,MATCH(A981&amp;"ENTRADA",Movimientos!$R$2:$R$1998,0)),"-")</f>
        <v>-</v>
      </c>
      <c r="D981" s="3" t="str">
        <f>IFERROR(INDEX(Movimientos!$E$2:$E$1998,MATCH(A981&amp;"ENTRADA",Movimientos!$R$2:$R$1998,0)),"-")</f>
        <v>-</v>
      </c>
      <c r="E981" s="3" t="str">
        <f>IFERROR(INDEX(Movimientos!$F$2:$F$1998,MATCH(A981&amp;"ENTRADA",Movimientos!$R$2:$R$1998,0)),"-")</f>
        <v>-</v>
      </c>
      <c r="F981" s="3" t="str">
        <f>IFERROR(INDEX(Movimientos!$G$2:$G$1998,MATCH(A981&amp;"ENTRADA",Movimientos!$R$2:$R$1998,0)),"-")</f>
        <v>-</v>
      </c>
      <c r="G981" s="3" t="str">
        <f>IFERROR(INDEX(Movimientos!$L$2:$L$1998,MATCH(A981&amp;"ENTRADA",Movimientos!$R$2:$R$1998,0)),"-")</f>
        <v>-</v>
      </c>
      <c r="H981" s="19" t="str">
        <f>IFERROR(IF(INDEX(Movimientos!$M$2:$M$1998,MATCH(A981&amp;"ENTRADA",Movimientos!$R$2:$R$1998,0))=0,"S/D",INDEX(Movimientos!$M$2:$M$1998,MATCH(A981&amp;"ENTRADA",Movimientos!$R$2:$R$1998,0))),"S/D")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1"/>
        <v>SIN STOCK</v>
      </c>
    </row>
    <row r="982" spans="1:11" ht="14.25">
      <c r="A982" s="18" t="s">
        <v>3125</v>
      </c>
      <c r="B982" s="3" t="str">
        <f>IFERROR(INDEX(Movimientos!$C$2:$C$1998,MATCH(A982&amp;"ENTRADA",Movimientos!$R$2:$R$1998,0)),"-")</f>
        <v>-</v>
      </c>
      <c r="C982" s="3" t="str">
        <f>IFERROR(INDEX(Movimientos!$D$2:$D$1998,MATCH(A982&amp;"ENTRADA",Movimientos!$R$2:$R$1998,0)),"-")</f>
        <v>-</v>
      </c>
      <c r="D982" s="3" t="str">
        <f>IFERROR(INDEX(Movimientos!$E$2:$E$1998,MATCH(A982&amp;"ENTRADA",Movimientos!$R$2:$R$1998,0)),"-")</f>
        <v>-</v>
      </c>
      <c r="E982" s="3" t="str">
        <f>IFERROR(INDEX(Movimientos!$F$2:$F$1998,MATCH(A982&amp;"ENTRADA",Movimientos!$R$2:$R$1998,0)),"-")</f>
        <v>-</v>
      </c>
      <c r="F982" s="3" t="str">
        <f>IFERROR(INDEX(Movimientos!$G$2:$G$1998,MATCH(A982&amp;"ENTRADA",Movimientos!$R$2:$R$1998,0)),"-")</f>
        <v>-</v>
      </c>
      <c r="G982" s="3" t="str">
        <f>IFERROR(INDEX(Movimientos!$L$2:$L$1998,MATCH(A982&amp;"ENTRADA",Movimientos!$R$2:$R$1998,0)),"-")</f>
        <v>-</v>
      </c>
      <c r="H982" s="19" t="str">
        <f>IFERROR(IF(INDEX(Movimientos!$M$2:$M$1998,MATCH(A982&amp;"ENTRADA",Movimientos!$R$2:$R$1998,0))=0,"S/D",INDEX(Movimientos!$M$2:$M$1998,MATCH(A982&amp;"ENTRADA",Movimientos!$R$2:$R$1998,0))),"S/D")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1"/>
        <v>SIN STOCK</v>
      </c>
    </row>
    <row r="983" spans="1:11" ht="14.25">
      <c r="A983" s="18" t="s">
        <v>3126</v>
      </c>
      <c r="B983" s="3" t="str">
        <f>IFERROR(INDEX(Movimientos!$C$2:$C$1998,MATCH(A983&amp;"ENTRADA",Movimientos!$R$2:$R$1998,0)),"-")</f>
        <v>-</v>
      </c>
      <c r="C983" s="3" t="str">
        <f>IFERROR(INDEX(Movimientos!$D$2:$D$1998,MATCH(A983&amp;"ENTRADA",Movimientos!$R$2:$R$1998,0)),"-")</f>
        <v>-</v>
      </c>
      <c r="D983" s="3" t="str">
        <f>IFERROR(INDEX(Movimientos!$E$2:$E$1998,MATCH(A983&amp;"ENTRADA",Movimientos!$R$2:$R$1998,0)),"-")</f>
        <v>-</v>
      </c>
      <c r="E983" s="3" t="str">
        <f>IFERROR(INDEX(Movimientos!$F$2:$F$1998,MATCH(A983&amp;"ENTRADA",Movimientos!$R$2:$R$1998,0)),"-")</f>
        <v>-</v>
      </c>
      <c r="F983" s="3" t="str">
        <f>IFERROR(INDEX(Movimientos!$G$2:$G$1998,MATCH(A983&amp;"ENTRADA",Movimientos!$R$2:$R$1998,0)),"-")</f>
        <v>-</v>
      </c>
      <c r="G983" s="3" t="str">
        <f>IFERROR(INDEX(Movimientos!$L$2:$L$1998,MATCH(A983&amp;"ENTRADA",Movimientos!$R$2:$R$1998,0)),"-")</f>
        <v>-</v>
      </c>
      <c r="H983" s="19" t="str">
        <f>IFERROR(IF(INDEX(Movimientos!$M$2:$M$1998,MATCH(A983&amp;"ENTRADA",Movimientos!$R$2:$R$1998,0))=0,"S/D",INDEX(Movimientos!$M$2:$M$1998,MATCH(A983&amp;"ENTRADA",Movimientos!$R$2:$R$1998,0))),"S/D")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1"/>
        <v>SIN STOCK</v>
      </c>
    </row>
    <row r="984" spans="1:11" ht="14.25">
      <c r="A984" s="18" t="s">
        <v>3127</v>
      </c>
      <c r="B984" s="3" t="str">
        <f>IFERROR(INDEX(Movimientos!$C$2:$C$1998,MATCH(A984&amp;"ENTRADA",Movimientos!$R$2:$R$1998,0)),"-")</f>
        <v>-</v>
      </c>
      <c r="C984" s="3" t="str">
        <f>IFERROR(INDEX(Movimientos!$D$2:$D$1998,MATCH(A984&amp;"ENTRADA",Movimientos!$R$2:$R$1998,0)),"-")</f>
        <v>-</v>
      </c>
      <c r="D984" s="3" t="str">
        <f>IFERROR(INDEX(Movimientos!$E$2:$E$1998,MATCH(A984&amp;"ENTRADA",Movimientos!$R$2:$R$1998,0)),"-")</f>
        <v>-</v>
      </c>
      <c r="E984" s="3" t="str">
        <f>IFERROR(INDEX(Movimientos!$F$2:$F$1998,MATCH(A984&amp;"ENTRADA",Movimientos!$R$2:$R$1998,0)),"-")</f>
        <v>-</v>
      </c>
      <c r="F984" s="3" t="str">
        <f>IFERROR(INDEX(Movimientos!$G$2:$G$1998,MATCH(A984&amp;"ENTRADA",Movimientos!$R$2:$R$1998,0)),"-")</f>
        <v>-</v>
      </c>
      <c r="G984" s="3" t="str">
        <f>IFERROR(INDEX(Movimientos!$L$2:$L$1998,MATCH(A984&amp;"ENTRADA",Movimientos!$R$2:$R$1998,0)),"-")</f>
        <v>-</v>
      </c>
      <c r="H984" s="19" t="str">
        <f>IFERROR(IF(INDEX(Movimientos!$M$2:$M$1998,MATCH(A984&amp;"ENTRADA",Movimientos!$R$2:$R$1998,0))=0,"S/D",INDEX(Movimientos!$M$2:$M$1998,MATCH(A984&amp;"ENTRADA",Movimientos!$R$2:$R$1998,0))),"S/D")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1"/>
        <v>SIN STOCK</v>
      </c>
    </row>
    <row r="985" spans="1:11" ht="14.25">
      <c r="A985" s="18" t="s">
        <v>3128</v>
      </c>
      <c r="B985" s="3" t="str">
        <f>IFERROR(INDEX(Movimientos!$C$2:$C$1998,MATCH(A985&amp;"ENTRADA",Movimientos!$R$2:$R$1998,0)),"-")</f>
        <v>-</v>
      </c>
      <c r="C985" s="3" t="str">
        <f>IFERROR(INDEX(Movimientos!$D$2:$D$1998,MATCH(A985&amp;"ENTRADA",Movimientos!$R$2:$R$1998,0)),"-")</f>
        <v>-</v>
      </c>
      <c r="D985" s="3" t="str">
        <f>IFERROR(INDEX(Movimientos!$E$2:$E$1998,MATCH(A985&amp;"ENTRADA",Movimientos!$R$2:$R$1998,0)),"-")</f>
        <v>-</v>
      </c>
      <c r="E985" s="3" t="str">
        <f>IFERROR(INDEX(Movimientos!$F$2:$F$1998,MATCH(A985&amp;"ENTRADA",Movimientos!$R$2:$R$1998,0)),"-")</f>
        <v>-</v>
      </c>
      <c r="F985" s="3" t="str">
        <f>IFERROR(INDEX(Movimientos!$G$2:$G$1998,MATCH(A985&amp;"ENTRADA",Movimientos!$R$2:$R$1998,0)),"-")</f>
        <v>-</v>
      </c>
      <c r="G985" s="3" t="str">
        <f>IFERROR(INDEX(Movimientos!$L$2:$L$1998,MATCH(A985&amp;"ENTRADA",Movimientos!$R$2:$R$1998,0)),"-")</f>
        <v>-</v>
      </c>
      <c r="H985" s="19" t="str">
        <f>IFERROR(IF(INDEX(Movimientos!$M$2:$M$1998,MATCH(A985&amp;"ENTRADA",Movimientos!$R$2:$R$1998,0))=0,"S/D",INDEX(Movimientos!$M$2:$M$1998,MATCH(A985&amp;"ENTRADA",Movimientos!$R$2:$R$1998,0))),"S/D")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1"/>
        <v>SIN STOCK</v>
      </c>
    </row>
    <row r="986" spans="1:11" ht="14.25">
      <c r="A986" s="18" t="s">
        <v>3129</v>
      </c>
      <c r="B986" s="3" t="str">
        <f>IFERROR(INDEX(Movimientos!$C$2:$C$1998,MATCH(A986&amp;"ENTRADA",Movimientos!$R$2:$R$1998,0)),"-")</f>
        <v>-</v>
      </c>
      <c r="C986" s="3" t="str">
        <f>IFERROR(INDEX(Movimientos!$D$2:$D$1998,MATCH(A986&amp;"ENTRADA",Movimientos!$R$2:$R$1998,0)),"-")</f>
        <v>-</v>
      </c>
      <c r="D986" s="3" t="str">
        <f>IFERROR(INDEX(Movimientos!$E$2:$E$1998,MATCH(A986&amp;"ENTRADA",Movimientos!$R$2:$R$1998,0)),"-")</f>
        <v>-</v>
      </c>
      <c r="E986" s="3" t="str">
        <f>IFERROR(INDEX(Movimientos!$F$2:$F$1998,MATCH(A986&amp;"ENTRADA",Movimientos!$R$2:$R$1998,0)),"-")</f>
        <v>-</v>
      </c>
      <c r="F986" s="3" t="str">
        <f>IFERROR(INDEX(Movimientos!$G$2:$G$1998,MATCH(A986&amp;"ENTRADA",Movimientos!$R$2:$R$1998,0)),"-")</f>
        <v>-</v>
      </c>
      <c r="G986" s="3" t="str">
        <f>IFERROR(INDEX(Movimientos!$L$2:$L$1998,MATCH(A986&amp;"ENTRADA",Movimientos!$R$2:$R$1998,0)),"-")</f>
        <v>-</v>
      </c>
      <c r="H986" s="19" t="str">
        <f>IFERROR(IF(INDEX(Movimientos!$M$2:$M$1998,MATCH(A986&amp;"ENTRADA",Movimientos!$R$2:$R$1998,0))=0,"S/D",INDEX(Movimientos!$M$2:$M$1998,MATCH(A986&amp;"ENTRADA",Movimientos!$R$2:$R$1998,0))),"S/D")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1"/>
        <v>SIN STOCK</v>
      </c>
    </row>
    <row r="987" spans="1:11" ht="14.25">
      <c r="A987" s="18" t="s">
        <v>3130</v>
      </c>
      <c r="B987" s="3" t="str">
        <f>IFERROR(INDEX(Movimientos!$C$2:$C$1998,MATCH(A987&amp;"ENTRADA",Movimientos!$R$2:$R$1998,0)),"-")</f>
        <v>-</v>
      </c>
      <c r="C987" s="3" t="str">
        <f>IFERROR(INDEX(Movimientos!$D$2:$D$1998,MATCH(A987&amp;"ENTRADA",Movimientos!$R$2:$R$1998,0)),"-")</f>
        <v>-</v>
      </c>
      <c r="D987" s="3" t="str">
        <f>IFERROR(INDEX(Movimientos!$E$2:$E$1998,MATCH(A987&amp;"ENTRADA",Movimientos!$R$2:$R$1998,0)),"-")</f>
        <v>-</v>
      </c>
      <c r="E987" s="3" t="str">
        <f>IFERROR(INDEX(Movimientos!$F$2:$F$1998,MATCH(A987&amp;"ENTRADA",Movimientos!$R$2:$R$1998,0)),"-")</f>
        <v>-</v>
      </c>
      <c r="F987" s="3" t="str">
        <f>IFERROR(INDEX(Movimientos!$G$2:$G$1998,MATCH(A987&amp;"ENTRADA",Movimientos!$R$2:$R$1998,0)),"-")</f>
        <v>-</v>
      </c>
      <c r="G987" s="3" t="str">
        <f>IFERROR(INDEX(Movimientos!$L$2:$L$1998,MATCH(A987&amp;"ENTRADA",Movimientos!$R$2:$R$1998,0)),"-")</f>
        <v>-</v>
      </c>
      <c r="H987" s="19" t="str">
        <f>IFERROR(IF(INDEX(Movimientos!$M$2:$M$1998,MATCH(A987&amp;"ENTRADA",Movimientos!$R$2:$R$1998,0))=0,"S/D",INDEX(Movimientos!$M$2:$M$1998,MATCH(A987&amp;"ENTRADA",Movimientos!$R$2:$R$1998,0))),"S/D")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1"/>
        <v>SIN STOCK</v>
      </c>
    </row>
    <row r="988" spans="1:11" ht="14.25">
      <c r="A988" s="18" t="s">
        <v>3131</v>
      </c>
      <c r="B988" s="3" t="str">
        <f>IFERROR(INDEX(Movimientos!$C$2:$C$1998,MATCH(A988&amp;"ENTRADA",Movimientos!$R$2:$R$1998,0)),"-")</f>
        <v>-</v>
      </c>
      <c r="C988" s="3" t="str">
        <f>IFERROR(INDEX(Movimientos!$D$2:$D$1998,MATCH(A988&amp;"ENTRADA",Movimientos!$R$2:$R$1998,0)),"-")</f>
        <v>-</v>
      </c>
      <c r="D988" s="3" t="str">
        <f>IFERROR(INDEX(Movimientos!$E$2:$E$1998,MATCH(A988&amp;"ENTRADA",Movimientos!$R$2:$R$1998,0)),"-")</f>
        <v>-</v>
      </c>
      <c r="E988" s="3" t="str">
        <f>IFERROR(INDEX(Movimientos!$F$2:$F$1998,MATCH(A988&amp;"ENTRADA",Movimientos!$R$2:$R$1998,0)),"-")</f>
        <v>-</v>
      </c>
      <c r="F988" s="3" t="str">
        <f>IFERROR(INDEX(Movimientos!$G$2:$G$1998,MATCH(A988&amp;"ENTRADA",Movimientos!$R$2:$R$1998,0)),"-")</f>
        <v>-</v>
      </c>
      <c r="G988" s="3" t="str">
        <f>IFERROR(INDEX(Movimientos!$L$2:$L$1998,MATCH(A988&amp;"ENTRADA",Movimientos!$R$2:$R$1998,0)),"-")</f>
        <v>-</v>
      </c>
      <c r="H988" s="19" t="str">
        <f>IFERROR(IF(INDEX(Movimientos!$M$2:$M$1998,MATCH(A988&amp;"ENTRADA",Movimientos!$R$2:$R$1998,0))=0,"S/D",INDEX(Movimientos!$M$2:$M$1998,MATCH(A988&amp;"ENTRADA",Movimientos!$R$2:$R$1998,0))),"S/D")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1"/>
        <v>SIN STOCK</v>
      </c>
    </row>
    <row r="989" spans="1:11" ht="14.25">
      <c r="A989" s="18" t="s">
        <v>3132</v>
      </c>
      <c r="B989" s="3" t="str">
        <f>IFERROR(INDEX(Movimientos!$C$2:$C$1998,MATCH(A989&amp;"ENTRADA",Movimientos!$R$2:$R$1998,0)),"-")</f>
        <v>-</v>
      </c>
      <c r="C989" s="3" t="str">
        <f>IFERROR(INDEX(Movimientos!$D$2:$D$1998,MATCH(A989&amp;"ENTRADA",Movimientos!$R$2:$R$1998,0)),"-")</f>
        <v>-</v>
      </c>
      <c r="D989" s="3" t="str">
        <f>IFERROR(INDEX(Movimientos!$E$2:$E$1998,MATCH(A989&amp;"ENTRADA",Movimientos!$R$2:$R$1998,0)),"-")</f>
        <v>-</v>
      </c>
      <c r="E989" s="3" t="str">
        <f>IFERROR(INDEX(Movimientos!$F$2:$F$1998,MATCH(A989&amp;"ENTRADA",Movimientos!$R$2:$R$1998,0)),"-")</f>
        <v>-</v>
      </c>
      <c r="F989" s="3" t="str">
        <f>IFERROR(INDEX(Movimientos!$G$2:$G$1998,MATCH(A989&amp;"ENTRADA",Movimientos!$R$2:$R$1998,0)),"-")</f>
        <v>-</v>
      </c>
      <c r="G989" s="3" t="str">
        <f>IFERROR(INDEX(Movimientos!$L$2:$L$1998,MATCH(A989&amp;"ENTRADA",Movimientos!$R$2:$R$1998,0)),"-")</f>
        <v>-</v>
      </c>
      <c r="H989" s="19" t="str">
        <f>IFERROR(IF(INDEX(Movimientos!$M$2:$M$1998,MATCH(A989&amp;"ENTRADA",Movimientos!$R$2:$R$1998,0))=0,"S/D",INDEX(Movimientos!$M$2:$M$1998,MATCH(A989&amp;"ENTRADA",Movimientos!$R$2:$R$1998,0))),"S/D")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1"/>
        <v>SIN STOCK</v>
      </c>
    </row>
    <row r="990" spans="1:11" ht="14.25">
      <c r="A990" s="18" t="s">
        <v>3133</v>
      </c>
      <c r="B990" s="3" t="str">
        <f>IFERROR(INDEX(Movimientos!$C$2:$C$1998,MATCH(A990&amp;"ENTRADA",Movimientos!$R$2:$R$1998,0)),"-")</f>
        <v>-</v>
      </c>
      <c r="C990" s="3" t="str">
        <f>IFERROR(INDEX(Movimientos!$D$2:$D$1998,MATCH(A990&amp;"ENTRADA",Movimientos!$R$2:$R$1998,0)),"-")</f>
        <v>-</v>
      </c>
      <c r="D990" s="3" t="str">
        <f>IFERROR(INDEX(Movimientos!$E$2:$E$1998,MATCH(A990&amp;"ENTRADA",Movimientos!$R$2:$R$1998,0)),"-")</f>
        <v>-</v>
      </c>
      <c r="E990" s="3" t="str">
        <f>IFERROR(INDEX(Movimientos!$F$2:$F$1998,MATCH(A990&amp;"ENTRADA",Movimientos!$R$2:$R$1998,0)),"-")</f>
        <v>-</v>
      </c>
      <c r="F990" s="3" t="str">
        <f>IFERROR(INDEX(Movimientos!$G$2:$G$1998,MATCH(A990&amp;"ENTRADA",Movimientos!$R$2:$R$1998,0)),"-")</f>
        <v>-</v>
      </c>
      <c r="G990" s="3" t="str">
        <f>IFERROR(INDEX(Movimientos!$L$2:$L$1998,MATCH(A990&amp;"ENTRADA",Movimientos!$R$2:$R$1998,0)),"-")</f>
        <v>-</v>
      </c>
      <c r="H990" s="19" t="str">
        <f>IFERROR(IF(INDEX(Movimientos!$M$2:$M$1998,MATCH(A990&amp;"ENTRADA",Movimientos!$R$2:$R$1998,0))=0,"S/D",INDEX(Movimientos!$M$2:$M$1998,MATCH(A990&amp;"ENTRADA",Movimientos!$R$2:$R$1998,0))),"S/D")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1"/>
        <v>SIN STOCK</v>
      </c>
    </row>
    <row r="991" spans="1:11" ht="14.25">
      <c r="A991" s="18" t="s">
        <v>3134</v>
      </c>
      <c r="B991" s="3" t="str">
        <f>IFERROR(INDEX(Movimientos!$C$2:$C$1998,MATCH(A991&amp;"ENTRADA",Movimientos!$R$2:$R$1998,0)),"-")</f>
        <v>-</v>
      </c>
      <c r="C991" s="3" t="str">
        <f>IFERROR(INDEX(Movimientos!$D$2:$D$1998,MATCH(A991&amp;"ENTRADA",Movimientos!$R$2:$R$1998,0)),"-")</f>
        <v>-</v>
      </c>
      <c r="D991" s="3" t="str">
        <f>IFERROR(INDEX(Movimientos!$E$2:$E$1998,MATCH(A991&amp;"ENTRADA",Movimientos!$R$2:$R$1998,0)),"-")</f>
        <v>-</v>
      </c>
      <c r="E991" s="3" t="str">
        <f>IFERROR(INDEX(Movimientos!$F$2:$F$1998,MATCH(A991&amp;"ENTRADA",Movimientos!$R$2:$R$1998,0)),"-")</f>
        <v>-</v>
      </c>
      <c r="F991" s="3" t="str">
        <f>IFERROR(INDEX(Movimientos!$G$2:$G$1998,MATCH(A991&amp;"ENTRADA",Movimientos!$R$2:$R$1998,0)),"-")</f>
        <v>-</v>
      </c>
      <c r="G991" s="3" t="str">
        <f>IFERROR(INDEX(Movimientos!$L$2:$L$1998,MATCH(A991&amp;"ENTRADA",Movimientos!$R$2:$R$1998,0)),"-")</f>
        <v>-</v>
      </c>
      <c r="H991" s="19" t="str">
        <f>IFERROR(IF(INDEX(Movimientos!$M$2:$M$1998,MATCH(A991&amp;"ENTRADA",Movimientos!$R$2:$R$1998,0))=0,"S/D",INDEX(Movimientos!$M$2:$M$1998,MATCH(A991&amp;"ENTRADA",Movimientos!$R$2:$R$1998,0))),"S/D")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1"/>
        <v>SIN STOCK</v>
      </c>
    </row>
    <row r="992" spans="1:11" ht="14.25">
      <c r="A992" s="18" t="s">
        <v>3135</v>
      </c>
      <c r="B992" s="3" t="str">
        <f>IFERROR(INDEX(Movimientos!$C$2:$C$1998,MATCH(A992&amp;"ENTRADA",Movimientos!$R$2:$R$1998,0)),"-")</f>
        <v>-</v>
      </c>
      <c r="C992" s="3" t="str">
        <f>IFERROR(INDEX(Movimientos!$D$2:$D$1998,MATCH(A992&amp;"ENTRADA",Movimientos!$R$2:$R$1998,0)),"-")</f>
        <v>-</v>
      </c>
      <c r="D992" s="3" t="str">
        <f>IFERROR(INDEX(Movimientos!$E$2:$E$1998,MATCH(A992&amp;"ENTRADA",Movimientos!$R$2:$R$1998,0)),"-")</f>
        <v>-</v>
      </c>
      <c r="E992" s="3" t="str">
        <f>IFERROR(INDEX(Movimientos!$F$2:$F$1998,MATCH(A992&amp;"ENTRADA",Movimientos!$R$2:$R$1998,0)),"-")</f>
        <v>-</v>
      </c>
      <c r="F992" s="3" t="str">
        <f>IFERROR(INDEX(Movimientos!$G$2:$G$1998,MATCH(A992&amp;"ENTRADA",Movimientos!$R$2:$R$1998,0)),"-")</f>
        <v>-</v>
      </c>
      <c r="G992" s="3" t="str">
        <f>IFERROR(INDEX(Movimientos!$L$2:$L$1998,MATCH(A992&amp;"ENTRADA",Movimientos!$R$2:$R$1998,0)),"-")</f>
        <v>-</v>
      </c>
      <c r="H992" s="19" t="str">
        <f>IFERROR(IF(INDEX(Movimientos!$M$2:$M$1998,MATCH(A992&amp;"ENTRADA",Movimientos!$R$2:$R$1998,0))=0,"S/D",INDEX(Movimientos!$M$2:$M$1998,MATCH(A992&amp;"ENTRADA",Movimientos!$R$2:$R$1998,0))),"S/D")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1"/>
        <v>SIN STOCK</v>
      </c>
    </row>
    <row r="993" spans="1:11" ht="14.25">
      <c r="A993" s="18" t="s">
        <v>3136</v>
      </c>
      <c r="B993" s="3" t="str">
        <f>IFERROR(INDEX(Movimientos!$C$2:$C$1998,MATCH(A993&amp;"ENTRADA",Movimientos!$R$2:$R$1998,0)),"-")</f>
        <v>-</v>
      </c>
      <c r="C993" s="3" t="str">
        <f>IFERROR(INDEX(Movimientos!$D$2:$D$1998,MATCH(A993&amp;"ENTRADA",Movimientos!$R$2:$R$1998,0)),"-")</f>
        <v>-</v>
      </c>
      <c r="D993" s="3" t="str">
        <f>IFERROR(INDEX(Movimientos!$E$2:$E$1998,MATCH(A993&amp;"ENTRADA",Movimientos!$R$2:$R$1998,0)),"-")</f>
        <v>-</v>
      </c>
      <c r="E993" s="3" t="str">
        <f>IFERROR(INDEX(Movimientos!$F$2:$F$1998,MATCH(A993&amp;"ENTRADA",Movimientos!$R$2:$R$1998,0)),"-")</f>
        <v>-</v>
      </c>
      <c r="F993" s="3" t="str">
        <f>IFERROR(INDEX(Movimientos!$G$2:$G$1998,MATCH(A993&amp;"ENTRADA",Movimientos!$R$2:$R$1998,0)),"-")</f>
        <v>-</v>
      </c>
      <c r="G993" s="3" t="str">
        <f>IFERROR(INDEX(Movimientos!$L$2:$L$1998,MATCH(A993&amp;"ENTRADA",Movimientos!$R$2:$R$1998,0)),"-")</f>
        <v>-</v>
      </c>
      <c r="H993" s="19" t="str">
        <f>IFERROR(IF(INDEX(Movimientos!$M$2:$M$1998,MATCH(A993&amp;"ENTRADA",Movimientos!$R$2:$R$1998,0))=0,"S/D",INDEX(Movimientos!$M$2:$M$1998,MATCH(A993&amp;"ENTRADA",Movimientos!$R$2:$R$1998,0))),"S/D")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1"/>
        <v>SIN STOCK</v>
      </c>
    </row>
    <row r="994" spans="1:11" ht="14.25">
      <c r="A994" s="18" t="s">
        <v>3137</v>
      </c>
      <c r="B994" s="3" t="str">
        <f>IFERROR(INDEX(Movimientos!$C$2:$C$1998,MATCH(A994&amp;"ENTRADA",Movimientos!$R$2:$R$1998,0)),"-")</f>
        <v>-</v>
      </c>
      <c r="C994" s="3" t="str">
        <f>IFERROR(INDEX(Movimientos!$D$2:$D$1998,MATCH(A994&amp;"ENTRADA",Movimientos!$R$2:$R$1998,0)),"-")</f>
        <v>-</v>
      </c>
      <c r="D994" s="3" t="str">
        <f>IFERROR(INDEX(Movimientos!$E$2:$E$1998,MATCH(A994&amp;"ENTRADA",Movimientos!$R$2:$R$1998,0)),"-")</f>
        <v>-</v>
      </c>
      <c r="E994" s="3" t="str">
        <f>IFERROR(INDEX(Movimientos!$F$2:$F$1998,MATCH(A994&amp;"ENTRADA",Movimientos!$R$2:$R$1998,0)),"-")</f>
        <v>-</v>
      </c>
      <c r="F994" s="3" t="str">
        <f>IFERROR(INDEX(Movimientos!$G$2:$G$1998,MATCH(A994&amp;"ENTRADA",Movimientos!$R$2:$R$1998,0)),"-")</f>
        <v>-</v>
      </c>
      <c r="G994" s="3" t="str">
        <f>IFERROR(INDEX(Movimientos!$L$2:$L$1998,MATCH(A994&amp;"ENTRADA",Movimientos!$R$2:$R$1998,0)),"-")</f>
        <v>-</v>
      </c>
      <c r="H994" s="19" t="str">
        <f>IFERROR(IF(INDEX(Movimientos!$M$2:$M$1998,MATCH(A994&amp;"ENTRADA",Movimientos!$R$2:$R$1998,0))=0,"S/D",INDEX(Movimientos!$M$2:$M$1998,MATCH(A994&amp;"ENTRADA",Movimientos!$R$2:$R$1998,0))),"S/D")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1"/>
        <v>SIN STOCK</v>
      </c>
    </row>
    <row r="995" spans="1:11" ht="14.25">
      <c r="A995" s="18" t="s">
        <v>3138</v>
      </c>
      <c r="B995" s="3" t="str">
        <f>IFERROR(INDEX(Movimientos!$C$2:$C$1998,MATCH(A995&amp;"ENTRADA",Movimientos!$R$2:$R$1998,0)),"-")</f>
        <v>-</v>
      </c>
      <c r="C995" s="3" t="str">
        <f>IFERROR(INDEX(Movimientos!$D$2:$D$1998,MATCH(A995&amp;"ENTRADA",Movimientos!$R$2:$R$1998,0)),"-")</f>
        <v>-</v>
      </c>
      <c r="D995" s="3" t="str">
        <f>IFERROR(INDEX(Movimientos!$E$2:$E$1998,MATCH(A995&amp;"ENTRADA",Movimientos!$R$2:$R$1998,0)),"-")</f>
        <v>-</v>
      </c>
      <c r="E995" s="3" t="str">
        <f>IFERROR(INDEX(Movimientos!$F$2:$F$1998,MATCH(A995&amp;"ENTRADA",Movimientos!$R$2:$R$1998,0)),"-")</f>
        <v>-</v>
      </c>
      <c r="F995" s="3" t="str">
        <f>IFERROR(INDEX(Movimientos!$G$2:$G$1998,MATCH(A995&amp;"ENTRADA",Movimientos!$R$2:$R$1998,0)),"-")</f>
        <v>-</v>
      </c>
      <c r="G995" s="3" t="str">
        <f>IFERROR(INDEX(Movimientos!$L$2:$L$1998,MATCH(A995&amp;"ENTRADA",Movimientos!$R$2:$R$1998,0)),"-")</f>
        <v>-</v>
      </c>
      <c r="H995" s="19" t="str">
        <f>IFERROR(IF(INDEX(Movimientos!$M$2:$M$1998,MATCH(A995&amp;"ENTRADA",Movimientos!$R$2:$R$1998,0))=0,"S/D",INDEX(Movimientos!$M$2:$M$1998,MATCH(A995&amp;"ENTRADA",Movimientos!$R$2:$R$1998,0))),"S/D")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1"/>
        <v>SIN STOCK</v>
      </c>
    </row>
    <row r="996" spans="1:11" ht="14.25">
      <c r="A996" s="18" t="s">
        <v>3139</v>
      </c>
      <c r="B996" s="3" t="str">
        <f>IFERROR(INDEX(Movimientos!$C$2:$C$1998,MATCH(A996&amp;"ENTRADA",Movimientos!$R$2:$R$1998,0)),"-")</f>
        <v>-</v>
      </c>
      <c r="C996" s="3" t="str">
        <f>IFERROR(INDEX(Movimientos!$D$2:$D$1998,MATCH(A996&amp;"ENTRADA",Movimientos!$R$2:$R$1998,0)),"-")</f>
        <v>-</v>
      </c>
      <c r="D996" s="3" t="str">
        <f>IFERROR(INDEX(Movimientos!$E$2:$E$1998,MATCH(A996&amp;"ENTRADA",Movimientos!$R$2:$R$1998,0)),"-")</f>
        <v>-</v>
      </c>
      <c r="E996" s="3" t="str">
        <f>IFERROR(INDEX(Movimientos!$F$2:$F$1998,MATCH(A996&amp;"ENTRADA",Movimientos!$R$2:$R$1998,0)),"-")</f>
        <v>-</v>
      </c>
      <c r="F996" s="3" t="str">
        <f>IFERROR(INDEX(Movimientos!$G$2:$G$1998,MATCH(A996&amp;"ENTRADA",Movimientos!$R$2:$R$1998,0)),"-")</f>
        <v>-</v>
      </c>
      <c r="G996" s="3" t="str">
        <f>IFERROR(INDEX(Movimientos!$L$2:$L$1998,MATCH(A996&amp;"ENTRADA",Movimientos!$R$2:$R$1998,0)),"-")</f>
        <v>-</v>
      </c>
      <c r="H996" s="19" t="str">
        <f>IFERROR(IF(INDEX(Movimientos!$M$2:$M$1998,MATCH(A996&amp;"ENTRADA",Movimientos!$R$2:$R$1998,0))=0,"S/D",INDEX(Movimientos!$M$2:$M$1998,MATCH(A996&amp;"ENTRADA",Movimientos!$R$2:$R$1998,0))),"S/D")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1"/>
        <v>SIN STOCK</v>
      </c>
    </row>
    <row r="997" spans="1:11" ht="14.25">
      <c r="A997" s="18" t="s">
        <v>3140</v>
      </c>
      <c r="B997" s="3" t="str">
        <f>IFERROR(INDEX(Movimientos!$C$2:$C$1998,MATCH(A997&amp;"ENTRADA",Movimientos!$R$2:$R$1998,0)),"-")</f>
        <v>-</v>
      </c>
      <c r="C997" s="3" t="str">
        <f>IFERROR(INDEX(Movimientos!$D$2:$D$1998,MATCH(A997&amp;"ENTRADA",Movimientos!$R$2:$R$1998,0)),"-")</f>
        <v>-</v>
      </c>
      <c r="D997" s="3" t="str">
        <f>IFERROR(INDEX(Movimientos!$E$2:$E$1998,MATCH(A997&amp;"ENTRADA",Movimientos!$R$2:$R$1998,0)),"-")</f>
        <v>-</v>
      </c>
      <c r="E997" s="3" t="str">
        <f>IFERROR(INDEX(Movimientos!$F$2:$F$1998,MATCH(A997&amp;"ENTRADA",Movimientos!$R$2:$R$1998,0)),"-")</f>
        <v>-</v>
      </c>
      <c r="F997" s="3" t="str">
        <f>IFERROR(INDEX(Movimientos!$G$2:$G$1998,MATCH(A997&amp;"ENTRADA",Movimientos!$R$2:$R$1998,0)),"-")</f>
        <v>-</v>
      </c>
      <c r="G997" s="3" t="str">
        <f>IFERROR(INDEX(Movimientos!$L$2:$L$1998,MATCH(A997&amp;"ENTRADA",Movimientos!$R$2:$R$1998,0)),"-")</f>
        <v>-</v>
      </c>
      <c r="H997" s="19" t="str">
        <f>IFERROR(IF(INDEX(Movimientos!$M$2:$M$1998,MATCH(A997&amp;"ENTRADA",Movimientos!$R$2:$R$1998,0))=0,"S/D",INDEX(Movimientos!$M$2:$M$1998,MATCH(A997&amp;"ENTRADA",Movimientos!$R$2:$R$1998,0))),"S/D")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1"/>
        <v>SIN STOCK</v>
      </c>
    </row>
    <row r="998" spans="1:11" ht="14.25">
      <c r="A998" s="18" t="s">
        <v>3141</v>
      </c>
      <c r="B998" s="3" t="str">
        <f>IFERROR(INDEX(Movimientos!$C$2:$C$1998,MATCH(A998&amp;"ENTRADA",Movimientos!$R$2:$R$1998,0)),"-")</f>
        <v>-</v>
      </c>
      <c r="C998" s="3" t="str">
        <f>IFERROR(INDEX(Movimientos!$D$2:$D$1998,MATCH(A998&amp;"ENTRADA",Movimientos!$R$2:$R$1998,0)),"-")</f>
        <v>-</v>
      </c>
      <c r="D998" s="3" t="str">
        <f>IFERROR(INDEX(Movimientos!$E$2:$E$1998,MATCH(A998&amp;"ENTRADA",Movimientos!$R$2:$R$1998,0)),"-")</f>
        <v>-</v>
      </c>
      <c r="E998" s="3" t="str">
        <f>IFERROR(INDEX(Movimientos!$F$2:$F$1998,MATCH(A998&amp;"ENTRADA",Movimientos!$R$2:$R$1998,0)),"-")</f>
        <v>-</v>
      </c>
      <c r="F998" s="3" t="str">
        <f>IFERROR(INDEX(Movimientos!$G$2:$G$1998,MATCH(A998&amp;"ENTRADA",Movimientos!$R$2:$R$1998,0)),"-")</f>
        <v>-</v>
      </c>
      <c r="G998" s="3" t="str">
        <f>IFERROR(INDEX(Movimientos!$L$2:$L$1998,MATCH(A998&amp;"ENTRADA",Movimientos!$R$2:$R$1998,0)),"-")</f>
        <v>-</v>
      </c>
      <c r="H998" s="19" t="str">
        <f>IFERROR(IF(INDEX(Movimientos!$M$2:$M$1998,MATCH(A998&amp;"ENTRADA",Movimientos!$R$2:$R$1998,0))=0,"S/D",INDEX(Movimientos!$M$2:$M$1998,MATCH(A998&amp;"ENTRADA",Movimientos!$R$2:$R$1998,0))),"S/D")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1"/>
        <v>SIN STOCK</v>
      </c>
    </row>
    <row r="999" spans="1:11">
      <c r="K999" s="14" t="str">
        <f t="shared" ca="1" si="31"/>
        <v/>
      </c>
    </row>
    <row r="1000" spans="1:11">
      <c r="K1000" s="14" t="str">
        <f t="shared" ca="1" si="31"/>
        <v/>
      </c>
    </row>
    <row r="1001" spans="1:11">
      <c r="K1001" s="14" t="str">
        <f t="shared" ca="1" si="31"/>
        <v/>
      </c>
    </row>
    <row r="1002" spans="1:11">
      <c r="K1002" s="14" t="str">
        <f t="shared" ca="1" si="31"/>
        <v/>
      </c>
    </row>
    <row r="1003" spans="1:11">
      <c r="K1003" s="14" t="str">
        <f t="shared" ca="1" si="31"/>
        <v/>
      </c>
    </row>
    <row r="1004" spans="1:11">
      <c r="K1004" s="14" t="str">
        <f t="shared" ca="1" si="31"/>
        <v/>
      </c>
    </row>
    <row r="1005" spans="1:11">
      <c r="K1005" s="14" t="str">
        <f t="shared" ca="1" si="31"/>
        <v/>
      </c>
    </row>
  </sheetData>
  <mergeCells count="1">
    <mergeCell ref="A1:H1"/>
  </mergeCells>
  <phoneticPr fontId="10" type="noConversion"/>
  <conditionalFormatting sqref="K4:K1005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6" activePane="bottomLeft" state="frozen"/>
      <selection pane="bottomLeft" activeCell="G16" sqref="G1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3142</v>
      </c>
    </row>
    <row r="2" spans="1:8">
      <c r="A2" s="2" t="s">
        <v>3143</v>
      </c>
    </row>
    <row r="3" spans="1:8" ht="25.5">
      <c r="A3" s="20" t="s">
        <v>2157</v>
      </c>
      <c r="B3" s="20" t="s">
        <v>3144</v>
      </c>
      <c r="C3" s="20" t="s">
        <v>4</v>
      </c>
      <c r="D3" s="20" t="s">
        <v>5</v>
      </c>
      <c r="E3" s="20" t="s">
        <v>11</v>
      </c>
      <c r="F3" s="20" t="s">
        <v>3145</v>
      </c>
      <c r="G3" s="20" t="s">
        <v>3146</v>
      </c>
      <c r="H3" s="20" t="s">
        <v>3147</v>
      </c>
    </row>
    <row r="4" spans="1:8">
      <c r="A4" s="8" t="s">
        <v>22</v>
      </c>
      <c r="B4" s="4" t="str">
        <f>IF(A4="","",IFERROR(INDEX(Movimientos!$D$2:$D$1998,MATCH(A4&amp;"ENTRADA",Movimientos!$S$2:$S$1998,0)),"-"))</f>
        <v>CURRY CL</v>
      </c>
      <c r="C4" s="4" t="str">
        <f>IF(A4="","",IFERROR(INDEX(Movimientos!$E$2:$E$1998,MATCH(A4&amp;"ENTRADA",Movimientos!$S$2:$S$1998,0)),"-"))</f>
        <v>Semilla</v>
      </c>
      <c r="D4" s="4" t="str">
        <f>IF(A4="","",IFERROR(INDEX(Movimientos!$F$2:$F$1998,MATCH(A4&amp;"ENTRADA",Movimientos!$S$2:$S$1998,0)),"-"))</f>
        <v>Colza</v>
      </c>
      <c r="E4" s="4" t="str">
        <f>IF(A4="","",IFERROR(INDEX(Movimientos!$L$2:$L$1998,MATCH(A4&amp;"ENTRADA",Movimientos!$S$2:$S$1998,0)),"-"))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840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31</v>
      </c>
      <c r="B5" s="4" t="str">
        <f>IF(A5="","",IFERROR(INDEX(Movimientos!$D$2:$D$1998,MATCH(A5&amp;"ENTRADA",Movimientos!$S$2:$S$1998,0)),"-"))</f>
        <v xml:space="preserve">Clopyralid 12% + Halauxyfen methyl 0,51% </v>
      </c>
      <c r="C5" s="4" t="str">
        <f>IF(A5="","",IFERROR(INDEX(Movimientos!$E$2:$E$1998,MATCH(A5&amp;"ENTRADA",Movimientos!$S$2:$S$1998,0)),"-"))</f>
        <v>Herbicida</v>
      </c>
      <c r="D5" s="4" t="str">
        <f>IF(A5="","",IFERROR(INDEX(Movimientos!$F$2:$F$1998,MATCH(A5&amp;"ENTRADA",Movimientos!$S$2:$S$1998,0)),"-"))</f>
        <v>Postemergente</v>
      </c>
      <c r="E5" s="4" t="str">
        <f>IF(A5="","",IFERROR(INDEX(Movimientos!$L$2:$L$1998,MATCH(A5&amp;"ENTRADA",Movimientos!$S$2:$S$1998,0)),"-"))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39</v>
      </c>
      <c r="B6" s="4" t="str">
        <f>IF(A6="","",IFERROR(INDEX(Movimientos!$D$2:$D$1998,MATCH(A6&amp;"ENTRADA",Movimientos!$S$2:$S$1998,0)),"-"))</f>
        <v>Clopyralid sal monoetanolamina 40.9%</v>
      </c>
      <c r="C6" s="4" t="str">
        <f>IF(A6="","",IFERROR(INDEX(Movimientos!$E$2:$E$1998,MATCH(A6&amp;"ENTRADA",Movimientos!$S$2:$S$1998,0)),"-"))</f>
        <v>Herbicida</v>
      </c>
      <c r="D6" s="4" t="str">
        <f>IF(A6="","",IFERROR(INDEX(Movimientos!$F$2:$F$1998,MATCH(A6&amp;"ENTRADA",Movimientos!$S$2:$S$1998,0)),"-"))</f>
        <v>Postemergente</v>
      </c>
      <c r="E6" s="4" t="str">
        <f>IF(A6="","",IFERROR(INDEX(Movimientos!$L$2:$L$1998,MATCH(A6&amp;"ENTRADA",Movimientos!$S$2:$S$1998,0)),"-"))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43</v>
      </c>
      <c r="B7" s="4" t="str">
        <f>IF(A7="","",IFERROR(INDEX(Movimientos!$D$2:$D$1998,MATCH(A7&amp;"ENTRADA",Movimientos!$S$2:$S$1998,0)),"-"))</f>
        <v>Flumetsulam 11,35%</v>
      </c>
      <c r="C7" s="4" t="str">
        <f>IF(A7="","",IFERROR(INDEX(Movimientos!$E$2:$E$1998,MATCH(A7&amp;"ENTRADA",Movimientos!$S$2:$S$1998,0)),"-"))</f>
        <v>Herbicida</v>
      </c>
      <c r="D7" s="4" t="str">
        <f>IF(A7="","",IFERROR(INDEX(Movimientos!$F$2:$F$1998,MATCH(A7&amp;"ENTRADA",Movimientos!$S$2:$S$1998,0)),"-"))</f>
        <v>Preemergente</v>
      </c>
      <c r="E7" s="4" t="str">
        <f>IF(A7="","",IFERROR(INDEX(Movimientos!$L$2:$L$1998,MATCH(A7&amp;"ENTRADA",Movimientos!$S$2:$S$1998,0)),"-"))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49</v>
      </c>
      <c r="B8" s="4" t="str">
        <f>IF(A8="","",IFERROR(INDEX(Movimientos!$D$2:$D$1998,MATCH(A8&amp;"ENTRADA",Movimientos!$S$2:$S$1998,0)),"-"))</f>
        <v>Picloram 24,9%</v>
      </c>
      <c r="C8" s="4" t="str">
        <f>IF(A8="","",IFERROR(INDEX(Movimientos!$E$2:$E$1998,MATCH(A8&amp;"ENTRADA",Movimientos!$S$2:$S$1998,0)),"-"))</f>
        <v>Herbicida</v>
      </c>
      <c r="D8" s="4" t="str">
        <f>IF(A8="","",IFERROR(INDEX(Movimientos!$F$2:$F$1998,MATCH(A8&amp;"ENTRADA",Movimientos!$S$2:$S$1998,0)),"-"))</f>
        <v>Postemergente</v>
      </c>
      <c r="E8" s="4" t="str">
        <f>IF(A8="","",IFERROR(INDEX(Movimientos!$L$2:$L$1998,MATCH(A8&amp;"ENTRADA",Movimientos!$S$2:$S$1998,0)),"-"))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53</v>
      </c>
      <c r="B9" s="4" t="str">
        <f>IF(A9="","",IFERROR(INDEX(Movimientos!$D$2:$D$1998,MATCH(A9&amp;"ENTRADA",Movimientos!$S$2:$S$1998,0)),"-"))</f>
        <v>Halauxifen metil 3.3% + Aminopyralid 2.7% + Metsulfuron metil 20%</v>
      </c>
      <c r="C9" s="4" t="str">
        <f>IF(A9="","",IFERROR(INDEX(Movimientos!$E$2:$E$1998,MATCH(A9&amp;"ENTRADA",Movimientos!$S$2:$S$1998,0)),"-"))</f>
        <v>Herbicida</v>
      </c>
      <c r="D9" s="4" t="str">
        <f>IF(A9="","",IFERROR(INDEX(Movimientos!$F$2:$F$1998,MATCH(A9&amp;"ENTRADA",Movimientos!$S$2:$S$1998,0)),"-"))</f>
        <v>Postemergente</v>
      </c>
      <c r="E9" s="4" t="str">
        <f>IF(A9="","",IFERROR(INDEX(Movimientos!$L$2:$L$1998,MATCH(A9&amp;"ENTRADA",Movimientos!$S$2:$S$1998,0)),"-"))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58</v>
      </c>
      <c r="B10" s="4" t="str">
        <f>IF(A10="","",IFERROR(INDEX(Movimientos!$D$2:$D$1998,MATCH(A10&amp;"ENTRADA",Movimientos!$S$2:$S$1998,0)),"-"))</f>
        <v>2,4-Db-Butilo 93.1%</v>
      </c>
      <c r="C10" s="4" t="str">
        <f>IF(A10="","",IFERROR(INDEX(Movimientos!$E$2:$E$1998,MATCH(A10&amp;"ENTRADA",Movimientos!$S$2:$S$1998,0)),"-"))</f>
        <v>Herbicida</v>
      </c>
      <c r="D10" s="4" t="str">
        <f>IF(A10="","",IFERROR(INDEX(Movimientos!$F$2:$F$1998,MATCH(A10&amp;"ENTRADA",Movimientos!$S$2:$S$1998,0)),"-"))</f>
        <v>Postemergente</v>
      </c>
      <c r="E10" s="4" t="str">
        <f>IF(A10="","",IFERROR(INDEX(Movimientos!$L$2:$L$1998,MATCH(A10&amp;"ENTRADA",Movimientos!$S$2:$S$1998,0)),"-"))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74</v>
      </c>
      <c r="B11" s="4" t="str">
        <f>IF(A11="","",IFERROR(INDEX(Movimientos!$D$2:$D$1998,MATCH(A11&amp;"ENTRADA",Movimientos!$S$2:$S$1998,0)),"-"))</f>
        <v>2,4 D Acido 27.2%</v>
      </c>
      <c r="C11" s="4" t="str">
        <f>IF(A11="","",IFERROR(INDEX(Movimientos!$E$2:$E$1998,MATCH(A11&amp;"ENTRADA",Movimientos!$S$2:$S$1998,0)),"-"))</f>
        <v>Herbicida</v>
      </c>
      <c r="D11" s="4" t="str">
        <f>IF(A11="","",IFERROR(INDEX(Movimientos!$F$2:$F$1998,MATCH(A11&amp;"ENTRADA",Movimientos!$S$2:$S$1998,0)),"-"))</f>
        <v>Postemergente</v>
      </c>
      <c r="E11" s="4" t="str">
        <f>IF(A11="","",IFERROR(INDEX(Movimientos!$L$2:$L$1998,MATCH(A11&amp;"ENTRADA",Movimientos!$S$2:$S$1998,0)),"-"))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69</v>
      </c>
      <c r="B12" s="4" t="str">
        <f>IF(A12="","",IFERROR(INDEX(Movimientos!$D$2:$D$1998,MATCH(A12&amp;"ENTRADA",Movimientos!$S$2:$S$1998,0)),"-"))</f>
        <v>Silobolsa 9 pies</v>
      </c>
      <c r="C12" s="4" t="str">
        <f>IF(A12="","",IFERROR(INDEX(Movimientos!$E$2:$E$1998,MATCH(A12&amp;"ENTRADA",Movimientos!$S$2:$S$1998,0)),"-"))</f>
        <v>Silobolsa</v>
      </c>
      <c r="D12" s="4">
        <f>IF(A12="","",IFERROR(INDEX(Movimientos!$F$2:$F$1998,MATCH(A12&amp;"ENTRADA",Movimientos!$S$2:$S$1998,0)),"-"))</f>
        <v>0</v>
      </c>
      <c r="E12" s="4" t="str">
        <f>IF(A12="","",IFERROR(INDEX(Movimientos!$L$2:$L$1998,MATCH(A12&amp;"ENTRADA",Movimientos!$S$2:$S$1998,0)),"-"))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30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79</v>
      </c>
      <c r="B13" s="4" t="str">
        <f>IF(A13="","",IFERROR(INDEX(Movimientos!$D$2:$D$1998,MATCH(A13&amp;"ENTRADA",Movimientos!$S$2:$S$1998,0)),"-"))</f>
        <v>Estanzuela 284</v>
      </c>
      <c r="C13" s="4" t="str">
        <f>IF(A13="","",IFERROR(INDEX(Movimientos!$E$2:$E$1998,MATCH(A13&amp;"ENTRADA",Movimientos!$S$2:$S$1998,0)),"-"))</f>
        <v>Semilla</v>
      </c>
      <c r="D13" s="4" t="str">
        <f>IF(A13="","",IFERROR(INDEX(Movimientos!$F$2:$F$1998,MATCH(A13&amp;"ENTRADA",Movimientos!$S$2:$S$1998,0)),"-"))</f>
        <v>Raigrás</v>
      </c>
      <c r="E13" s="4" t="str">
        <f>IF(A13="","",IFERROR(INDEX(Movimientos!$L$2:$L$1998,MATCH(A13&amp;"ENTRADA",Movimientos!$S$2:$S$1998,0)),"-"))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9625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85</v>
      </c>
      <c r="B14" s="4" t="str">
        <f>IF(A14="","",IFERROR(INDEX(Movimientos!$D$2:$D$1998,MATCH(A14&amp;"ENTRADA",Movimientos!$S$2:$S$1998,0)),"-"))</f>
        <v>Fluroxypyr Meptil 45,52%</v>
      </c>
      <c r="C14" s="4" t="str">
        <f>IF(A14="","",IFERROR(INDEX(Movimientos!$E$2:$E$1998,MATCH(A14&amp;"ENTRADA",Movimientos!$S$2:$S$1998,0)),"-"))</f>
        <v>Herbicida</v>
      </c>
      <c r="D14" s="4" t="str">
        <f>IF(A14="","",IFERROR(INDEX(Movimientos!$F$2:$F$1998,MATCH(A14&amp;"ENTRADA",Movimientos!$S$2:$S$1998,0)),"-"))</f>
        <v>Postemergente</v>
      </c>
      <c r="E14" s="4" t="str">
        <f>IF(A14="","",IFERROR(INDEX(Movimientos!$L$2:$L$1998,MATCH(A14&amp;"ENTRADA",Movimientos!$S$2:$S$1998,0)),"-"))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500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89</v>
      </c>
      <c r="B15" s="4" t="str">
        <f>IF(A15="","",IFERROR(INDEX(Movimientos!$D$2:$D$1998,MATCH(A15&amp;"ENTRADA",Movimientos!$S$2:$S$1998,0)),"-"))</f>
        <v>Fluroxypyr meptyl 34,91% + Halauxyfen methyl 1.64% + Cloquintocet mexyl 1.57%</v>
      </c>
      <c r="C15" s="4" t="str">
        <f>IF(A15="","",IFERROR(INDEX(Movimientos!$E$2:$E$1998,MATCH(A15&amp;"ENTRADA",Movimientos!$S$2:$S$1998,0)),"-"))</f>
        <v>Herbicida</v>
      </c>
      <c r="D15" s="4" t="str">
        <f>IF(A15="","",IFERROR(INDEX(Movimientos!$F$2:$F$1998,MATCH(A15&amp;"ENTRADA",Movimientos!$S$2:$S$1998,0)),"-"))</f>
        <v>Postemergente</v>
      </c>
      <c r="E15" s="4" t="str">
        <f>IF(A15="","",IFERROR(INDEX(Movimientos!$L$2:$L$1998,MATCH(A15&amp;"ENTRADA",Movimientos!$S$2:$S$1998,0)),"-"))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111</v>
      </c>
      <c r="B16" s="4" t="str">
        <f>IF(A16="","",IFERROR(INDEX(Movimientos!$D$2:$D$1998,MATCH(A16&amp;"ENTRADA",Movimientos!$S$2:$S$1998,0)),"-"))</f>
        <v>APOLO CL</v>
      </c>
      <c r="C16" s="4" t="str">
        <f>IF(A16="","",IFERROR(INDEX(Movimientos!$E$2:$E$1998,MATCH(A16&amp;"ENTRADA",Movimientos!$S$2:$S$1998,0)),"-"))</f>
        <v>Semilla</v>
      </c>
      <c r="D16" s="4" t="str">
        <f>IF(A16="","",IFERROR(INDEX(Movimientos!$F$2:$F$1998,MATCH(A16&amp;"ENTRADA",Movimientos!$S$2:$S$1998,0)),"-"))</f>
        <v>Colza</v>
      </c>
      <c r="E16" s="4" t="str">
        <f>IF(A16="","",IFERROR(INDEX(Movimientos!$L$2:$L$1998,MATCH(A16&amp;"ENTRADA",Movimientos!$S$2:$S$1998,0)),"-"))</f>
        <v>kg</v>
      </c>
      <c r="F16" s="9">
        <f>IF(A16="","",COUNTIFS(Stock_por_Lote!$B:$B,A16,Stock_por_Lote!$J:$J,"&gt;0"))</f>
        <v>0</v>
      </c>
      <c r="G16" s="10">
        <f>IF(A16="","",SUMIFS(Movimientos!$K:$K,Movimientos!$C:$C,A16))</f>
        <v>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107</v>
      </c>
      <c r="B17" s="4" t="str">
        <f>IF(A17="","",IFERROR(INDEX(Movimientos!$D$2:$D$1998,MATCH(A17&amp;"ENTRADA",Movimientos!$S$2:$S$1998,0)),"-"))</f>
        <v>HYOLA 575 CL</v>
      </c>
      <c r="C17" s="4" t="str">
        <f>IF(A17="","",IFERROR(INDEX(Movimientos!$E$2:$E$1998,MATCH(A17&amp;"ENTRADA",Movimientos!$S$2:$S$1998,0)),"-"))</f>
        <v>Semilla</v>
      </c>
      <c r="D17" s="4" t="str">
        <f>IF(A17="","",IFERROR(INDEX(Movimientos!$F$2:$F$1998,MATCH(A17&amp;"ENTRADA",Movimientos!$S$2:$S$1998,0)),"-"))</f>
        <v>Colza</v>
      </c>
      <c r="E17" s="4" t="str">
        <f>IF(A17="","",IFERROR(INDEX(Movimientos!$L$2:$L$1998,MATCH(A17&amp;"ENTRADA",Movimientos!$S$2:$S$1998,0)),"-"))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114</v>
      </c>
      <c r="B18" s="4" t="str">
        <f>IF(A18="","",IFERROR(INDEX(Movimientos!$D$2:$D$1998,MATCH(A18&amp;"ENTRADA",Movimientos!$S$2:$S$1998,0)),"-"))</f>
        <v>Glifosato Sal DMA 608 g/L. Equivalente en glifosato 480 g/L</v>
      </c>
      <c r="C18" s="4" t="str">
        <f>IF(A18="","",IFERROR(INDEX(Movimientos!$E$2:$E$1998,MATCH(A18&amp;"ENTRADA",Movimientos!$S$2:$S$1998,0)),"-"))</f>
        <v>Herbicida</v>
      </c>
      <c r="D18" s="4" t="str">
        <f>IF(A18="","",IFERROR(INDEX(Movimientos!$F$2:$F$1998,MATCH(A18&amp;"ENTRADA",Movimientos!$S$2:$S$1998,0)),"-"))</f>
        <v>Postemergente</v>
      </c>
      <c r="E18" s="4" t="str">
        <f>IF(A18="","",IFERROR(INDEX(Movimientos!$L$2:$L$1998,MATCH(A18&amp;"ENTRADA",Movimientos!$S$2:$S$1998,0)),"-"))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31740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121</v>
      </c>
      <c r="B19" s="4" t="str">
        <f>IF(A19="","",IFERROR(INDEX(Movimientos!$D$2:$D$1998,MATCH(A19&amp;"ENTRADA",Movimientos!$S$2:$S$1998,0)),"-"))</f>
        <v>Clethodim 240 g/L</v>
      </c>
      <c r="C19" s="4" t="str">
        <f>IF(A19="","",IFERROR(INDEX(Movimientos!$E$2:$E$1998,MATCH(A19&amp;"ENTRADA",Movimientos!$S$2:$S$1998,0)),"-"))</f>
        <v>Herbicida</v>
      </c>
      <c r="D19" s="4" t="str">
        <f>IF(A19="","",IFERROR(INDEX(Movimientos!$F$2:$F$1998,MATCH(A19&amp;"ENTRADA",Movimientos!$S$2:$S$1998,0)),"-"))</f>
        <v>Postemergente</v>
      </c>
      <c r="E19" s="4" t="str">
        <f>IF(A19="","",IFERROR(INDEX(Movimientos!$L$2:$L$1998,MATCH(A19&amp;"ENTRADA",Movimientos!$S$2:$S$1998,0)),"-"))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17520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A20" t="s">
        <v>125</v>
      </c>
      <c r="B20" s="4" t="str">
        <f>IF(A20="","",IFERROR(INDEX(Movimientos!$D$2:$D$1998,MATCH(A20&amp;"ENTRADA",Movimientos!$S$2:$S$1998,0)),"-"))</f>
        <v>ALCOHOL LINEAL ETOXILADO 32.7%</v>
      </c>
      <c r="C20" s="4" t="str">
        <f>IF(A20="","",IFERROR(INDEX(Movimientos!$E$2:$E$1998,MATCH(A20&amp;"ENTRADA",Movimientos!$S$2:$S$1998,0)),"-"))</f>
        <v>Coadyuvante</v>
      </c>
      <c r="D20" s="4">
        <f>IF(A20="","",IFERROR(INDEX(Movimientos!$F$2:$F$1998,MATCH(A20&amp;"ENTRADA",Movimientos!$S$2:$S$1998,0)),"-"))</f>
        <v>0</v>
      </c>
      <c r="E20" s="4" t="str">
        <f>IF(A20="","",IFERROR(INDEX(Movimientos!$L$2:$L$1998,MATCH(A20&amp;"ENTRADA",Movimientos!$S$2:$S$1998,0)),"-"))</f>
        <v>L</v>
      </c>
      <c r="F20" s="9">
        <f>IF(A20="","",COUNTIFS(Stock_por_Lote!$B:$B,A20,Stock_por_Lote!$J:$J,"&gt;0"))</f>
        <v>2</v>
      </c>
      <c r="G20" s="10">
        <f>IF(A20="","",SUMIFS(Movimientos!$K:$K,Movimientos!$C:$C,A20))</f>
        <v>5840</v>
      </c>
      <c r="H20" s="15">
        <f>IF(A20="","",IFERROR(IF(_xlfn.MINIFS(Stock_por_Lote!$H:$H,Stock_por_Lote!$B:$B,A20,Stock_por_Lote!$J:$J,"&gt;0")=0,"S/D",_xlfn.MINIFS(Stock_por_Lote!$H:$H,Stock_por_Lote!$B:$B,A20,Stock_por_Lote!$J:$J,"&gt;0")),"S/D"))</f>
        <v>46661</v>
      </c>
    </row>
    <row r="21" spans="1:8">
      <c r="A21" t="s">
        <v>132</v>
      </c>
      <c r="B21" s="4" t="str">
        <f>IF(A21="","",IFERROR(INDEX(Movimientos!$D$2:$D$1998,MATCH(A21&amp;"ENTRADA",Movimientos!$S$2:$S$1998,0)),"-"))</f>
        <v>ACIDO FOSFORICO 23 g</v>
      </c>
      <c r="C21" s="4" t="str">
        <f>IF(A21="","",IFERROR(INDEX(Movimientos!$E$2:$E$1998,MATCH(A21&amp;"ENTRADA",Movimientos!$S$2:$S$1998,0)),"-"))</f>
        <v>Coadyuvante</v>
      </c>
      <c r="D21" s="4">
        <f>IF(A21="","",IFERROR(INDEX(Movimientos!$F$2:$F$1998,MATCH(A21&amp;"ENTRADA",Movimientos!$S$2:$S$1998,0)),"-"))</f>
        <v>0</v>
      </c>
      <c r="E21" s="4" t="str">
        <f>IF(A21="","",IFERROR(INDEX(Movimientos!$L$2:$L$1998,MATCH(A21&amp;"ENTRADA",Movimientos!$S$2:$S$1998,0)),"-"))</f>
        <v>L</v>
      </c>
      <c r="F21" s="9">
        <f>IF(A21="","",COUNTIFS(Stock_por_Lote!$B:$B,A21,Stock_por_Lote!$J:$J,"&gt;0"))</f>
        <v>1</v>
      </c>
      <c r="G21" s="10">
        <f>IF(A21="","",SUMIFS(Movimientos!$K:$K,Movimientos!$C:$C,A21))</f>
        <v>1155</v>
      </c>
      <c r="H21" s="15">
        <f>IF(A21="","",IFERROR(IF(_xlfn.MINIFS(Stock_por_Lote!$H:$H,Stock_por_Lote!$B:$B,A21,Stock_por_Lote!$J:$J,"&gt;0")=0,"S/D",_xlfn.MINIFS(Stock_por_Lote!$H:$H,Stock_por_Lote!$B:$B,A21,Stock_por_Lote!$J:$J,"&gt;0")),"S/D"))</f>
        <v>46661</v>
      </c>
    </row>
    <row r="22" spans="1:8">
      <c r="A22" t="s">
        <v>136</v>
      </c>
      <c r="B22" s="4" t="str">
        <f>IF(A22="","",IFERROR(INDEX(Movimientos!$D$2:$D$1998,MATCH(A22&amp;"ENTRADA",Movimientos!$S$2:$S$1998,0)),"-"))</f>
        <v>ACEITE DE SOJA 48 g</v>
      </c>
      <c r="C22" s="4" t="str">
        <f>IF(A22="","",IFERROR(INDEX(Movimientos!$E$2:$E$1998,MATCH(A22&amp;"ENTRADA",Movimientos!$S$2:$S$1998,0)),"-"))</f>
        <v>Coadyuvante</v>
      </c>
      <c r="D22" s="4">
        <f>IF(A22="","",IFERROR(INDEX(Movimientos!$F$2:$F$1998,MATCH(A22&amp;"ENTRADA",Movimientos!$S$2:$S$1998,0)),"-"))</f>
        <v>0</v>
      </c>
      <c r="E22" s="4" t="str">
        <f>IF(A22="","",IFERROR(INDEX(Movimientos!$L$2:$L$1998,MATCH(A22&amp;"ENTRADA",Movimientos!$S$2:$S$1998,0)),"-"))</f>
        <v>L</v>
      </c>
      <c r="F22" s="9">
        <f>IF(A22="","",COUNTIFS(Stock_por_Lote!$B:$B,A22,Stock_por_Lote!$J:$J,"&gt;0"))</f>
        <v>1</v>
      </c>
      <c r="G22" s="10">
        <f>IF(A22="","",SUMIFS(Movimientos!$K:$K,Movimientos!$C:$C,A22))</f>
        <v>195</v>
      </c>
      <c r="H22" s="15">
        <f>IF(A22="","",IFERROR(IF(_xlfn.MINIFS(Stock_por_Lote!$H:$H,Stock_por_Lote!$B:$B,A22,Stock_por_Lote!$J:$J,"&gt;0")=0,"S/D",_xlfn.MINIFS(Stock_por_Lote!$H:$H,Stock_por_Lote!$B:$B,A22,Stock_por_Lote!$J:$J,"&gt;0")),"S/D"))</f>
        <v>46388</v>
      </c>
    </row>
    <row r="23" spans="1:8">
      <c r="A23" t="s">
        <v>140</v>
      </c>
      <c r="B23" s="4" t="str">
        <f>IF(A23="","",IFERROR(INDEX(Movimientos!$D$2:$D$1998,MATCH(A23&amp;"ENTRADA",Movimientos!$S$2:$S$1998,0)),"-"))</f>
        <v>PINOXADEN 5 GR + CLOQUINTOCET-MEXIL 1.25 GR</v>
      </c>
      <c r="C23" s="4" t="str">
        <f>IF(A23="","",IFERROR(INDEX(Movimientos!$E$2:$E$1998,MATCH(A23&amp;"ENTRADA",Movimientos!$S$2:$S$1998,0)),"-"))</f>
        <v>Herbicida</v>
      </c>
      <c r="D23" s="4" t="str">
        <f>IF(A23="","",IFERROR(INDEX(Movimientos!$F$2:$F$1998,MATCH(A23&amp;"ENTRADA",Movimientos!$S$2:$S$1998,0)),"-"))</f>
        <v>Postemergente</v>
      </c>
      <c r="E23" s="4" t="str">
        <f>IF(A23="","",IFERROR(INDEX(Movimientos!$L$2:$L$1998,MATCH(A23&amp;"ENTRADA",Movimientos!$S$2:$S$1998,0)),"-"))</f>
        <v>L</v>
      </c>
      <c r="F23" s="9">
        <f>IF(A23="","",COUNTIFS(Stock_por_Lote!$B:$B,A23,Stock_por_Lote!$J:$J,"&gt;0"))</f>
        <v>1</v>
      </c>
      <c r="G23" s="10">
        <f>IF(A23="","",SUMIFS(Movimientos!$K:$K,Movimientos!$C:$C,A23))</f>
        <v>2000</v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149</v>
      </c>
      <c r="B24" s="4" t="str">
        <f>IF(A24="","",IFERROR(INDEX(Movimientos!$D$2:$D$1998,MATCH(A24&amp;"ENTRADA",Movimientos!$S$2:$S$1998,0)),"-"))</f>
        <v>Nuola 300</v>
      </c>
      <c r="C24" s="4" t="str">
        <f>IF(A24="","",IFERROR(INDEX(Movimientos!$E$2:$E$1998,MATCH(A24&amp;"ENTRADA",Movimientos!$S$2:$S$1998,0)),"-"))</f>
        <v>Semilla</v>
      </c>
      <c r="D24" s="4" t="str">
        <f>IF(A24="","",IFERROR(INDEX(Movimientos!$F$2:$F$1998,MATCH(A24&amp;"ENTRADA",Movimientos!$S$2:$S$1998,0)),"-"))</f>
        <v>Colza</v>
      </c>
      <c r="E24" s="4" t="str">
        <f>IF(A24="","",IFERROR(INDEX(Movimientos!$L$2:$L$1998,MATCH(A24&amp;"ENTRADA",Movimientos!$S$2:$S$1998,0)),"-"))</f>
        <v>kg</v>
      </c>
      <c r="F24" s="9">
        <f>IF(A24="","",COUNTIFS(Stock_por_Lote!$B:$B,A24,Stock_por_Lote!$J:$J,"&gt;0"))</f>
        <v>2</v>
      </c>
      <c r="G24" s="10">
        <f>IF(A24="","",SUMIFS(Movimientos!$K:$K,Movimientos!$C:$C,A24))</f>
        <v>4800</v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153</v>
      </c>
      <c r="B25" s="4" t="str">
        <f>IF(A25="","",IFERROR(INDEX(Movimientos!$D$2:$D$1998,MATCH(A25&amp;"ENTRADA",Movimientos!$S$2:$S$1998,0)),"-"))</f>
        <v>Ceres IMI</v>
      </c>
      <c r="C25" s="4" t="str">
        <f>IF(A25="","",IFERROR(INDEX(Movimientos!$E$2:$E$1998,MATCH(A25&amp;"ENTRADA",Movimientos!$S$2:$S$1998,0)),"-"))</f>
        <v>Semilla</v>
      </c>
      <c r="D25" s="4" t="str">
        <f>IF(A25="","",IFERROR(INDEX(Movimientos!$F$2:$F$1998,MATCH(A25&amp;"ENTRADA",Movimientos!$S$2:$S$1998,0)),"-"))</f>
        <v>Colza</v>
      </c>
      <c r="E25" s="4" t="str">
        <f>IF(A25="","",IFERROR(INDEX(Movimientos!$L$2:$L$1998,MATCH(A25&amp;"ENTRADA",Movimientos!$S$2:$S$1998,0)),"-"))</f>
        <v>kg</v>
      </c>
      <c r="F25" s="9">
        <f>IF(A25="","",COUNTIFS(Stock_por_Lote!$B:$B,A25,Stock_por_Lote!$J:$J,"&gt;0"))</f>
        <v>1</v>
      </c>
      <c r="G25" s="10">
        <f>IF(A25="","",SUMIFS(Movimientos!$K:$K,Movimientos!$C:$C,A25))</f>
        <v>1425</v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156</v>
      </c>
      <c r="B26" s="4" t="str">
        <f>IF(A26="","",IFERROR(INDEX(Movimientos!$D$2:$D$1998,MATCH(A26&amp;"ENTRADA",Movimientos!$S$2:$S$1998,0)),"-"))</f>
        <v>Festuca Carape</v>
      </c>
      <c r="C26" s="4" t="str">
        <f>IF(A26="","",IFERROR(INDEX(Movimientos!$E$2:$E$1998,MATCH(A26&amp;"ENTRADA",Movimientos!$S$2:$S$1998,0)),"-"))</f>
        <v>Semilla</v>
      </c>
      <c r="D26" s="4" t="str">
        <f>IF(A26="","",IFERROR(INDEX(Movimientos!$F$2:$F$1998,MATCH(A26&amp;"ENTRADA",Movimientos!$S$2:$S$1998,0)),"-"))</f>
        <v>Festuca</v>
      </c>
      <c r="E26" s="4" t="str">
        <f>IF(A26="","",IFERROR(INDEX(Movimientos!$L$2:$L$1998,MATCH(A26&amp;"ENTRADA",Movimientos!$S$2:$S$1998,0)),"-"))</f>
        <v>kg</v>
      </c>
      <c r="F26" s="9">
        <f>IF(A26="","",COUNTIFS(Stock_por_Lote!$B:$B,A26,Stock_por_Lote!$J:$J,"&gt;0"))</f>
        <v>1</v>
      </c>
      <c r="G26" s="10">
        <f>IF(A26="","",SUMIFS(Movimientos!$K:$K,Movimientos!$C:$C,A26))</f>
        <v>3400</v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160</v>
      </c>
      <c r="B27" s="4" t="str">
        <f>IF(A27="","",IFERROR(INDEX(Movimientos!$D$2:$D$1998,MATCH(A27&amp;"ENTRADA",Movimientos!$S$2:$S$1998,0)),"-"))</f>
        <v>Alfalfa Verdor momla 384-2n-04</v>
      </c>
      <c r="C27" s="4" t="str">
        <f>IF(A27="","",IFERROR(INDEX(Movimientos!$E$2:$E$1998,MATCH(A27&amp;"ENTRADA",Movimientos!$S$2:$S$1998,0)),"-"))</f>
        <v>Semilla</v>
      </c>
      <c r="D27" s="4" t="str">
        <f>IF(A27="","",IFERROR(INDEX(Movimientos!$F$2:$F$1998,MATCH(A27&amp;"ENTRADA",Movimientos!$S$2:$S$1998,0)),"-"))</f>
        <v>Alfalfa</v>
      </c>
      <c r="E27" s="4" t="str">
        <f>IF(A27="","",IFERROR(INDEX(Movimientos!$L$2:$L$1998,MATCH(A27&amp;"ENTRADA",Movimientos!$S$2:$S$1998,0)),"-"))</f>
        <v>kg</v>
      </c>
      <c r="F27" s="9">
        <f>IF(A27="","",COUNTIFS(Stock_por_Lote!$B:$B,A27,Stock_por_Lote!$J:$J,"&gt;0"))</f>
        <v>1</v>
      </c>
      <c r="G27" s="10">
        <f>IF(A27="","",SUMIFS(Movimientos!$K:$K,Movimientos!$C:$C,A27))</f>
        <v>375</v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164</v>
      </c>
      <c r="B28" s="4" t="str">
        <f>IF(A28="","",IFERROR(INDEX(Movimientos!$D$2:$D$1998,MATCH(A28&amp;"ENTRADA",Movimientos!$S$2:$S$1998,0)),"-"))</f>
        <v xml:space="preserve">Achicora inia nova </v>
      </c>
      <c r="C28" s="4" t="str">
        <f>IF(A28="","",IFERROR(INDEX(Movimientos!$E$2:$E$1998,MATCH(A28&amp;"ENTRADA",Movimientos!$S$2:$S$1998,0)),"-"))</f>
        <v>Semilla</v>
      </c>
      <c r="D28" s="4" t="str">
        <f>IF(A28="","",IFERROR(INDEX(Movimientos!$F$2:$F$1998,MATCH(A28&amp;"ENTRADA",Movimientos!$S$2:$S$1998,0)),"-"))</f>
        <v>Achicoria</v>
      </c>
      <c r="E28" s="4" t="str">
        <f>IF(A28="","",IFERROR(INDEX(Movimientos!$L$2:$L$1998,MATCH(A28&amp;"ENTRADA",Movimientos!$S$2:$S$1998,0)),"-"))</f>
        <v>kg</v>
      </c>
      <c r="F28" s="9">
        <f>IF(A28="","",COUNTIFS(Stock_por_Lote!$B:$B,A28,Stock_por_Lote!$J:$J,"&gt;0"))</f>
        <v>1</v>
      </c>
      <c r="G28" s="10">
        <f>IF(A28="","",SUMIFS(Movimientos!$K:$K,Movimientos!$C:$C,A28))</f>
        <v>750</v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170</v>
      </c>
      <c r="B29" s="4" t="str">
        <f>IF(A29="","",IFERROR(INDEX(Movimientos!$D$2:$D$1998,MATCH(A29&amp;"ENTRADA",Movimientos!$S$2:$S$1998,0)),"-"))</f>
        <v>Festuca Sortija C2</v>
      </c>
      <c r="C29" s="4" t="str">
        <f>IF(A29="","",IFERROR(INDEX(Movimientos!$E$2:$E$1998,MATCH(A29&amp;"ENTRADA",Movimientos!$S$2:$S$1998,0)),"-"))</f>
        <v>Semilla</v>
      </c>
      <c r="D29" s="4" t="str">
        <f>IF(A29="","",IFERROR(INDEX(Movimientos!$F$2:$F$1998,MATCH(A29&amp;"ENTRADA",Movimientos!$S$2:$S$1998,0)),"-"))</f>
        <v>Festuca</v>
      </c>
      <c r="E29" s="4" t="str">
        <f>IF(A29="","",IFERROR(INDEX(Movimientos!$L$2:$L$1998,MATCH(A29&amp;"ENTRADA",Movimientos!$S$2:$S$1998,0)),"-"))</f>
        <v>kg</v>
      </c>
      <c r="F29" s="9">
        <f>IF(A29="","",COUNTIFS(Stock_por_Lote!$B:$B,A29,Stock_por_Lote!$J:$J,"&gt;0"))</f>
        <v>1</v>
      </c>
      <c r="G29" s="10">
        <f>IF(A29="","",SUMIFS(Movimientos!$K:$K,Movimientos!$C:$C,A29))</f>
        <v>6800</v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174</v>
      </c>
      <c r="B30" s="4" t="str">
        <f>IF(A30="","",IFERROR(INDEX(Movimientos!$D$2:$D$1998,MATCH(A30&amp;"ENTRADA",Movimientos!$S$2:$S$1998,0)),"-"))</f>
        <v>Dactylis Drover ecotec af gram c2</v>
      </c>
      <c r="C30" s="4" t="str">
        <f>IF(A30="","",IFERROR(INDEX(Movimientos!$E$2:$E$1998,MATCH(A30&amp;"ENTRADA",Movimientos!$S$2:$S$1998,0)),"-"))</f>
        <v>Semilla</v>
      </c>
      <c r="D30" s="4" t="str">
        <f>IF(A30="","",IFERROR(INDEX(Movimientos!$F$2:$F$1998,MATCH(A30&amp;"ENTRADA",Movimientos!$S$2:$S$1998,0)),"-"))</f>
        <v>Dactylis</v>
      </c>
      <c r="E30" s="4" t="str">
        <f>IF(A30="","",IFERROR(INDEX(Movimientos!$L$2:$L$1998,MATCH(A30&amp;"ENTRADA",Movimientos!$S$2:$S$1998,0)),"-"))</f>
        <v>kg</v>
      </c>
      <c r="F30" s="9">
        <f>IF(A30="","",COUNTIFS(Stock_por_Lote!$B:$B,A30,Stock_por_Lote!$J:$J,"&gt;0"))</f>
        <v>1</v>
      </c>
      <c r="G30" s="10">
        <f>IF(A30="","",SUMIFS(Movimientos!$K:$K,Movimientos!$C:$C,A30))</f>
        <v>975</v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178</v>
      </c>
      <c r="B31" s="4" t="str">
        <f>IF(A31="","",IFERROR(INDEX(Movimientos!$D$2:$D$1998,MATCH(A31&amp;"ENTRADA",Movimientos!$S$2:$S$1998,0)),"-"))</f>
        <v>Trebol Blanco E Zapican Ecotec AF</v>
      </c>
      <c r="C31" s="4" t="str">
        <f>IF(A31="","",IFERROR(INDEX(Movimientos!$E$2:$E$1998,MATCH(A31&amp;"ENTRADA",Movimientos!$S$2:$S$1998,0)),"-"))</f>
        <v>Semilla</v>
      </c>
      <c r="D31" s="4" t="str">
        <f>IF(A31="","",IFERROR(INDEX(Movimientos!$F$2:$F$1998,MATCH(A31&amp;"ENTRADA",Movimientos!$S$2:$S$1998,0)),"-"))</f>
        <v>Trebol Blanco</v>
      </c>
      <c r="E31" s="4" t="str">
        <f>IF(A31="","",IFERROR(INDEX(Movimientos!$L$2:$L$1998,MATCH(A31&amp;"ENTRADA",Movimientos!$S$2:$S$1998,0)),"-"))</f>
        <v>kg</v>
      </c>
      <c r="F31" s="9">
        <f>IF(A31="","",COUNTIFS(Stock_por_Lote!$B:$B,A31,Stock_por_Lote!$J:$J,"&gt;0"))</f>
        <v>1</v>
      </c>
      <c r="G31" s="10">
        <f>IF(A31="","",SUMIFS(Movimientos!$K:$K,Movimientos!$C:$C,A31))</f>
        <v>1375</v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182</v>
      </c>
      <c r="B32" s="4" t="str">
        <f>IF(A32="","",IFERROR(INDEX(Movimientos!$D$2:$D$1998,MATCH(A32&amp;"ENTRADA",Movimientos!$S$2:$S$1998,0)),"-"))</f>
        <v>Trebol Rojo E116 Ecotec AF</v>
      </c>
      <c r="C32" s="4" t="str">
        <f>IF(A32="","",IFERROR(INDEX(Movimientos!$E$2:$E$1998,MATCH(A32&amp;"ENTRADA",Movimientos!$S$2:$S$1998,0)),"-"))</f>
        <v>Semilla</v>
      </c>
      <c r="D32" s="4" t="str">
        <f>IF(A32="","",IFERROR(INDEX(Movimientos!$F$2:$F$1998,MATCH(A32&amp;"ENTRADA",Movimientos!$S$2:$S$1998,0)),"-"))</f>
        <v xml:space="preserve">Trebol Rojo </v>
      </c>
      <c r="E32" s="4" t="str">
        <f>IF(A32="","",IFERROR(INDEX(Movimientos!$L$2:$L$1998,MATCH(A32&amp;"ENTRADA",Movimientos!$S$2:$S$1998,0)),"-"))</f>
        <v>kg</v>
      </c>
      <c r="F32" s="9">
        <f>IF(A32="","",COUNTIFS(Stock_por_Lote!$B:$B,A32,Stock_por_Lote!$J:$J,"&gt;0"))</f>
        <v>1</v>
      </c>
      <c r="G32" s="10">
        <f>IF(A32="","",SUMIFS(Movimientos!$K:$K,Movimientos!$C:$C,A32))</f>
        <v>450</v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186</v>
      </c>
      <c r="B33" s="4" t="str">
        <f>IF(A33="","",IFERROR(INDEX(Movimientos!$D$2:$D$1998,MATCH(A33&amp;"ENTRADA",Movimientos!$S$2:$S$1998,0)),"-"))</f>
        <v>Phalaris Stockman Comb</v>
      </c>
      <c r="C33" s="4" t="str">
        <f>IF(A33="","",IFERROR(INDEX(Movimientos!$E$2:$E$1998,MATCH(A33&amp;"ENTRADA",Movimientos!$S$2:$S$1998,0)),"-"))</f>
        <v>Semilla</v>
      </c>
      <c r="D33" s="4" t="str">
        <f>IF(A33="","",IFERROR(INDEX(Movimientos!$F$2:$F$1998,MATCH(A33&amp;"ENTRADA",Movimientos!$S$2:$S$1998,0)),"-"))</f>
        <v>Phalaris</v>
      </c>
      <c r="E33" s="4" t="str">
        <f>IF(A33="","",IFERROR(INDEX(Movimientos!$L$2:$L$1998,MATCH(A33&amp;"ENTRADA",Movimientos!$S$2:$S$1998,0)),"-"))</f>
        <v>kg</v>
      </c>
      <c r="F33" s="9">
        <f>IF(A33="","",COUNTIFS(Stock_por_Lote!$B:$B,A33,Stock_por_Lote!$J:$J,"&gt;0"))</f>
        <v>1</v>
      </c>
      <c r="G33" s="10">
        <f>IF(A33="","",SUMIFS(Movimientos!$K:$K,Movimientos!$C:$C,A33))</f>
        <v>275</v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B34" s="4" t="str">
        <f>IF(A34="","",IFERROR(INDEX(Movimientos!$D$2:$D$1998,MATCH(A34&amp;"ENTRADA",Movimientos!$S$2:$S$1998,0)),"-"))</f>
        <v/>
      </c>
      <c r="C34" s="4" t="str">
        <f>IF(A34="","",IFERROR(INDEX(Movimientos!$E$2:$E$1998,MATCH(A34&amp;"ENTRADA",Movimientos!$S$2:$S$1998,0)),"-"))</f>
        <v/>
      </c>
      <c r="D34" s="4" t="str">
        <f>IF(A34="","",IFERROR(INDEX(Movimientos!$F$2:$F$1998,MATCH(A34&amp;"ENTRADA",Movimientos!$S$2:$S$1998,0)),"-"))</f>
        <v/>
      </c>
      <c r="E34" s="4" t="str">
        <f>IF(A34="","",IFERROR(INDEX(Movimientos!$L$2:$L$1998,MATCH(A34&amp;"ENTRADA",Movimientos!$S$2:$S$1998,0)),"-"))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1:8">
      <c r="B35" s="4" t="str">
        <f>IF(A35="","",IFERROR(INDEX(Movimientos!$D$2:$D$1998,MATCH(A35&amp;"ENTRADA",Movimientos!$S$2:$S$1998,0)),"-"))</f>
        <v/>
      </c>
      <c r="C35" s="4" t="str">
        <f>IF(A35="","",IFERROR(INDEX(Movimientos!$E$2:$E$1998,MATCH(A35&amp;"ENTRADA",Movimientos!$S$2:$S$1998,0)),"-"))</f>
        <v/>
      </c>
      <c r="D35" s="4" t="str">
        <f>IF(A35="","",IFERROR(INDEX(Movimientos!$F$2:$F$1998,MATCH(A35&amp;"ENTRADA",Movimientos!$S$2:$S$1998,0)),"-"))</f>
        <v/>
      </c>
      <c r="E35" s="4" t="str">
        <f>IF(A35="","",IFERROR(INDEX(Movimientos!$L$2:$L$1998,MATCH(A35&amp;"ENTRADA",Movimientos!$S$2:$S$1998,0)),"-"))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1:8">
      <c r="B36" s="4" t="str">
        <f>IF(A36="","",IFERROR(INDEX(Movimientos!$D$2:$D$1998,MATCH(A36&amp;"ENTRADA",Movimientos!$S$2:$S$1998,0)),"-"))</f>
        <v/>
      </c>
      <c r="C36" s="4" t="str">
        <f>IF(A36="","",IFERROR(INDEX(Movimientos!$E$2:$E$1998,MATCH(A36&amp;"ENTRADA",Movimientos!$S$2:$S$1998,0)),"-"))</f>
        <v/>
      </c>
      <c r="D36" s="4" t="str">
        <f>IF(A36="","",IFERROR(INDEX(Movimientos!$F$2:$F$1998,MATCH(A36&amp;"ENTRADA",Movimientos!$S$2:$S$1998,0)),"-"))</f>
        <v/>
      </c>
      <c r="E36" s="4" t="str">
        <f>IF(A36="","",IFERROR(INDEX(Movimientos!$L$2:$L$1998,MATCH(A36&amp;"ENTRADA",Movimientos!$S$2:$S$1998,0)),"-"))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1:8">
      <c r="B37" s="4" t="str">
        <f>IF(A37="","",IFERROR(INDEX(Movimientos!$D$2:$D$1998,MATCH(A37&amp;"ENTRADA",Movimientos!$S$2:$S$1998,0)),"-"))</f>
        <v/>
      </c>
      <c r="C37" s="4" t="str">
        <f>IF(A37="","",IFERROR(INDEX(Movimientos!$E$2:$E$1998,MATCH(A37&amp;"ENTRADA",Movimientos!$S$2:$S$1998,0)),"-"))</f>
        <v/>
      </c>
      <c r="D37" s="4" t="str">
        <f>IF(A37="","",IFERROR(INDEX(Movimientos!$F$2:$F$1998,MATCH(A37&amp;"ENTRADA",Movimientos!$S$2:$S$1998,0)),"-"))</f>
        <v/>
      </c>
      <c r="E37" s="4" t="str">
        <f>IF(A37="","",IFERROR(INDEX(Movimientos!$L$2:$L$1998,MATCH(A37&amp;"ENTRADA",Movimientos!$S$2:$S$1998,0)),"-"))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1:8">
      <c r="B38" s="4" t="str">
        <f>IF(A38="","",IFERROR(INDEX(Movimientos!$D$2:$D$1998,MATCH(A38&amp;"ENTRADA",Movimientos!$S$2:$S$1998,0)),"-"))</f>
        <v/>
      </c>
      <c r="C38" s="4" t="str">
        <f>IF(A38="","",IFERROR(INDEX(Movimientos!$E$2:$E$1998,MATCH(A38&amp;"ENTRADA",Movimientos!$S$2:$S$1998,0)),"-"))</f>
        <v/>
      </c>
      <c r="D38" s="4" t="str">
        <f>IF(A38="","",IFERROR(INDEX(Movimientos!$F$2:$F$1998,MATCH(A38&amp;"ENTRADA",Movimientos!$S$2:$S$1998,0)),"-"))</f>
        <v/>
      </c>
      <c r="E38" s="4" t="str">
        <f>IF(A38="","",IFERROR(INDEX(Movimientos!$L$2:$L$1998,MATCH(A38&amp;"ENTRADA",Movimientos!$S$2:$S$1998,0)),"-"))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4" t="str">
        <f>IF(A39="","",IFERROR(INDEX(Movimientos!$D$2:$D$1998,MATCH(A39&amp;"ENTRADA",Movimientos!$S$2:$S$1998,0)),"-"))</f>
        <v/>
      </c>
      <c r="C39" s="4" t="str">
        <f>IF(A39="","",IFERROR(INDEX(Movimientos!$E$2:$E$1998,MATCH(A39&amp;"ENTRADA",Movimientos!$S$2:$S$1998,0)),"-"))</f>
        <v/>
      </c>
      <c r="D39" s="4" t="str">
        <f>IF(A39="","",IFERROR(INDEX(Movimientos!$F$2:$F$1998,MATCH(A39&amp;"ENTRADA",Movimientos!$S$2:$S$1998,0)),"-"))</f>
        <v/>
      </c>
      <c r="E39" s="4" t="str">
        <f>IF(A39="","",IFERROR(INDEX(Movimientos!$L$2:$L$1998,MATCH(A39&amp;"ENTRADA",Movimientos!$S$2:$S$1998,0)),"-"))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4" t="str">
        <f>IF(A40="","",IFERROR(INDEX(Movimientos!$D$2:$D$1998,MATCH(A40&amp;"ENTRADA",Movimientos!$S$2:$S$1998,0)),"-"))</f>
        <v/>
      </c>
      <c r="C40" s="4" t="str">
        <f>IF(A40="","",IFERROR(INDEX(Movimientos!$E$2:$E$1998,MATCH(A40&amp;"ENTRADA",Movimientos!$S$2:$S$1998,0)),"-"))</f>
        <v/>
      </c>
      <c r="D40" s="4" t="str">
        <f>IF(A40="","",IFERROR(INDEX(Movimientos!$F$2:$F$1998,MATCH(A40&amp;"ENTRADA",Movimientos!$S$2:$S$1998,0)),"-"))</f>
        <v/>
      </c>
      <c r="E40" s="4" t="str">
        <f>IF(A40="","",IFERROR(INDEX(Movimientos!$L$2:$L$1998,MATCH(A40&amp;"ENTRADA",Movimientos!$S$2:$S$1998,0)),"-"))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4" t="str">
        <f>IF(A41="","",IFERROR(INDEX(Movimientos!$D$2:$D$1998,MATCH(A41&amp;"ENTRADA",Movimientos!$S$2:$S$1998,0)),"-"))</f>
        <v/>
      </c>
      <c r="C41" s="4" t="str">
        <f>IF(A41="","",IFERROR(INDEX(Movimientos!$E$2:$E$1998,MATCH(A41&amp;"ENTRADA",Movimientos!$S$2:$S$1998,0)),"-"))</f>
        <v/>
      </c>
      <c r="D41" s="4" t="str">
        <f>IF(A41="","",IFERROR(INDEX(Movimientos!$F$2:$F$1998,MATCH(A41&amp;"ENTRADA",Movimientos!$S$2:$S$1998,0)),"-"))</f>
        <v/>
      </c>
      <c r="E41" s="4" t="str">
        <f>IF(A41="","",IFERROR(INDEX(Movimientos!$L$2:$L$1998,MATCH(A41&amp;"ENTRADA",Movimientos!$S$2:$S$1998,0)),"-"))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4" t="str">
        <f>IF(A42="","",IFERROR(INDEX(Movimientos!$D$2:$D$1998,MATCH(A42&amp;"ENTRADA",Movimientos!$S$2:$S$1998,0)),"-"))</f>
        <v/>
      </c>
      <c r="C42" s="4" t="str">
        <f>IF(A42="","",IFERROR(INDEX(Movimientos!$E$2:$E$1998,MATCH(A42&amp;"ENTRADA",Movimientos!$S$2:$S$1998,0)),"-"))</f>
        <v/>
      </c>
      <c r="D42" s="4" t="str">
        <f>IF(A42="","",IFERROR(INDEX(Movimientos!$F$2:$F$1998,MATCH(A42&amp;"ENTRADA",Movimientos!$S$2:$S$1998,0)),"-"))</f>
        <v/>
      </c>
      <c r="E42" s="4" t="str">
        <f>IF(A42="","",IFERROR(INDEX(Movimientos!$L$2:$L$1998,MATCH(A42&amp;"ENTRADA",Movimientos!$S$2:$S$1998,0)),"-"))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4" t="str">
        <f>IF(A43="","",IFERROR(INDEX(Movimientos!$D$2:$D$1998,MATCH(A43&amp;"ENTRADA",Movimientos!$S$2:$S$1998,0)),"-"))</f>
        <v/>
      </c>
      <c r="C43" s="4" t="str">
        <f>IF(A43="","",IFERROR(INDEX(Movimientos!$E$2:$E$1998,MATCH(A43&amp;"ENTRADA",Movimientos!$S$2:$S$1998,0)),"-"))</f>
        <v/>
      </c>
      <c r="D43" s="4" t="str">
        <f>IF(A43="","",IFERROR(INDEX(Movimientos!$F$2:$F$1998,MATCH(A43&amp;"ENTRADA",Movimientos!$S$2:$S$1998,0)),"-"))</f>
        <v/>
      </c>
      <c r="E43" s="4" t="str">
        <f>IF(A43="","",IFERROR(INDEX(Movimientos!$L$2:$L$1998,MATCH(A43&amp;"ENTRADA",Movimientos!$S$2:$S$1998,0)),"-"))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4" t="str">
        <f>IF(A44="","",IFERROR(INDEX(Movimientos!$D$2:$D$1998,MATCH(A44&amp;"ENTRADA",Movimientos!$S$2:$S$1998,0)),"-"))</f>
        <v/>
      </c>
      <c r="C44" s="4" t="str">
        <f>IF(A44="","",IFERROR(INDEX(Movimientos!$E$2:$E$1998,MATCH(A44&amp;"ENTRADA",Movimientos!$S$2:$S$1998,0)),"-"))</f>
        <v/>
      </c>
      <c r="D44" s="4" t="str">
        <f>IF(A44="","",IFERROR(INDEX(Movimientos!$F$2:$F$1998,MATCH(A44&amp;"ENTRADA",Movimientos!$S$2:$S$1998,0)),"-"))</f>
        <v/>
      </c>
      <c r="E44" s="4" t="str">
        <f>IF(A44="","",IFERROR(INDEX(Movimientos!$L$2:$L$1998,MATCH(A44&amp;"ENTRADA",Movimientos!$S$2:$S$1998,0)),"-"))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4" t="str">
        <f>IF(A45="","",IFERROR(INDEX(Movimientos!$D$2:$D$1998,MATCH(A45&amp;"ENTRADA",Movimientos!$S$2:$S$1998,0)),"-"))</f>
        <v/>
      </c>
      <c r="C45" s="4" t="str">
        <f>IF(A45="","",IFERROR(INDEX(Movimientos!$E$2:$E$1998,MATCH(A45&amp;"ENTRADA",Movimientos!$S$2:$S$1998,0)),"-"))</f>
        <v/>
      </c>
      <c r="D45" s="4" t="str">
        <f>IF(A45="","",IFERROR(INDEX(Movimientos!$F$2:$F$1998,MATCH(A45&amp;"ENTRADA",Movimientos!$S$2:$S$1998,0)),"-"))</f>
        <v/>
      </c>
      <c r="E45" s="4" t="str">
        <f>IF(A45="","",IFERROR(INDEX(Movimientos!$L$2:$L$1998,MATCH(A45&amp;"ENTRADA",Movimientos!$S$2:$S$1998,0)),"-"))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4" t="str">
        <f>IF(A46="","",IFERROR(INDEX(Movimientos!$D$2:$D$1998,MATCH(A46&amp;"ENTRADA",Movimientos!$S$2:$S$1998,0)),"-"))</f>
        <v/>
      </c>
      <c r="C46" s="4" t="str">
        <f>IF(A46="","",IFERROR(INDEX(Movimientos!$E$2:$E$1998,MATCH(A46&amp;"ENTRADA",Movimientos!$S$2:$S$1998,0)),"-"))</f>
        <v/>
      </c>
      <c r="D46" s="4" t="str">
        <f>IF(A46="","",IFERROR(INDEX(Movimientos!$F$2:$F$1998,MATCH(A46&amp;"ENTRADA",Movimientos!$S$2:$S$1998,0)),"-"))</f>
        <v/>
      </c>
      <c r="E46" s="4" t="str">
        <f>IF(A46="","",IFERROR(INDEX(Movimientos!$L$2:$L$1998,MATCH(A46&amp;"ENTRADA",Movimientos!$S$2:$S$1998,0)),"-"))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4" t="str">
        <f>IF(A47="","",IFERROR(INDEX(Movimientos!$D$2:$D$1998,MATCH(A47&amp;"ENTRADA",Movimientos!$S$2:$S$1998,0)),"-"))</f>
        <v/>
      </c>
      <c r="C47" s="4" t="str">
        <f>IF(A47="","",IFERROR(INDEX(Movimientos!$E$2:$E$1998,MATCH(A47&amp;"ENTRADA",Movimientos!$S$2:$S$1998,0)),"-"))</f>
        <v/>
      </c>
      <c r="D47" s="4" t="str">
        <f>IF(A47="","",IFERROR(INDEX(Movimientos!$F$2:$F$1998,MATCH(A47&amp;"ENTRADA",Movimientos!$S$2:$S$1998,0)),"-"))</f>
        <v/>
      </c>
      <c r="E47" s="4" t="str">
        <f>IF(A47="","",IFERROR(INDEX(Movimientos!$L$2:$L$1998,MATCH(A47&amp;"ENTRADA",Movimientos!$S$2:$S$1998,0)),"-"))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4" t="str">
        <f>IF(A48="","",IFERROR(INDEX(Movimientos!$D$2:$D$1998,MATCH(A48&amp;"ENTRADA",Movimientos!$S$2:$S$1998,0)),"-"))</f>
        <v/>
      </c>
      <c r="C48" s="4" t="str">
        <f>IF(A48="","",IFERROR(INDEX(Movimientos!$E$2:$E$1998,MATCH(A48&amp;"ENTRADA",Movimientos!$S$2:$S$1998,0)),"-"))</f>
        <v/>
      </c>
      <c r="D48" s="4" t="str">
        <f>IF(A48="","",IFERROR(INDEX(Movimientos!$F$2:$F$1998,MATCH(A48&amp;"ENTRADA",Movimientos!$S$2:$S$1998,0)),"-"))</f>
        <v/>
      </c>
      <c r="E48" s="4" t="str">
        <f>IF(A48="","",IFERROR(INDEX(Movimientos!$L$2:$L$1998,MATCH(A48&amp;"ENTRADA",Movimientos!$S$2:$S$1998,0)),"-"))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IF(A49="","",IFERROR(INDEX(Movimientos!$D$2:$D$1998,MATCH(A49&amp;"ENTRADA",Movimientos!$S$2:$S$1998,0)),"-"))</f>
        <v/>
      </c>
      <c r="C49" s="4" t="str">
        <f>IF(A49="","",IFERROR(INDEX(Movimientos!$E$2:$E$1998,MATCH(A49&amp;"ENTRADA",Movimientos!$S$2:$S$1998,0)),"-"))</f>
        <v/>
      </c>
      <c r="D49" s="4" t="str">
        <f>IF(A49="","",IFERROR(INDEX(Movimientos!$F$2:$F$1998,MATCH(A49&amp;"ENTRADA",Movimientos!$S$2:$S$1998,0)),"-"))</f>
        <v/>
      </c>
      <c r="E49" s="4" t="str">
        <f>IF(A49="","",IFERROR(INDEX(Movimientos!$L$2:$L$1998,MATCH(A49&amp;"ENTRADA",Movimientos!$S$2:$S$1998,0)),"-"))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IF(A50="","",IFERROR(INDEX(Movimientos!$D$2:$D$1998,MATCH(A50&amp;"ENTRADA",Movimientos!$S$2:$S$1998,0)),"-"))</f>
        <v/>
      </c>
      <c r="C50" s="4" t="str">
        <f>IF(A50="","",IFERROR(INDEX(Movimientos!$E$2:$E$1998,MATCH(A50&amp;"ENTRADA",Movimientos!$S$2:$S$1998,0)),"-"))</f>
        <v/>
      </c>
      <c r="D50" s="4" t="str">
        <f>IF(A50="","",IFERROR(INDEX(Movimientos!$F$2:$F$1998,MATCH(A50&amp;"ENTRADA",Movimientos!$S$2:$S$1998,0)),"-"))</f>
        <v/>
      </c>
      <c r="E50" s="4" t="str">
        <f>IF(A50="","",IFERROR(INDEX(Movimientos!$L$2:$L$1998,MATCH(A50&amp;"ENTRADA",Movimientos!$S$2:$S$1998,0)),"-"))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IF(A51="","",IFERROR(INDEX(Movimientos!$D$2:$D$1998,MATCH(A51&amp;"ENTRADA",Movimientos!$S$2:$S$1998,0)),"-"))</f>
        <v/>
      </c>
      <c r="C51" s="4" t="str">
        <f>IF(A51="","",IFERROR(INDEX(Movimientos!$E$2:$E$1998,MATCH(A51&amp;"ENTRADA",Movimientos!$S$2:$S$1998,0)),"-"))</f>
        <v/>
      </c>
      <c r="D51" s="4" t="str">
        <f>IF(A51="","",IFERROR(INDEX(Movimientos!$F$2:$F$1998,MATCH(A51&amp;"ENTRADA",Movimientos!$S$2:$S$1998,0)),"-"))</f>
        <v/>
      </c>
      <c r="E51" s="4" t="str">
        <f>IF(A51="","",IFERROR(INDEX(Movimientos!$L$2:$L$1998,MATCH(A51&amp;"ENTRADA",Movimientos!$S$2:$S$1998,0)),"-"))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IF(A52="","",IFERROR(INDEX(Movimientos!$D$2:$D$1998,MATCH(A52&amp;"ENTRADA",Movimientos!$S$2:$S$1998,0)),"-"))</f>
        <v/>
      </c>
      <c r="C52" s="4" t="str">
        <f>IF(A52="","",IFERROR(INDEX(Movimientos!$E$2:$E$1998,MATCH(A52&amp;"ENTRADA",Movimientos!$S$2:$S$1998,0)),"-"))</f>
        <v/>
      </c>
      <c r="D52" s="4" t="str">
        <f>IF(A52="","",IFERROR(INDEX(Movimientos!$F$2:$F$1998,MATCH(A52&amp;"ENTRADA",Movimientos!$S$2:$S$1998,0)),"-"))</f>
        <v/>
      </c>
      <c r="E52" s="4" t="str">
        <f>IF(A52="","",IFERROR(INDEX(Movimientos!$L$2:$L$1998,MATCH(A52&amp;"ENTRADA",Movimientos!$S$2:$S$1998,0)),"-"))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IF(A53="","",IFERROR(INDEX(Movimientos!$D$2:$D$1998,MATCH(A53&amp;"ENTRADA",Movimientos!$S$2:$S$1998,0)),"-"))</f>
        <v/>
      </c>
      <c r="C53" s="4" t="str">
        <f>IF(A53="","",IFERROR(INDEX(Movimientos!$E$2:$E$1998,MATCH(A53&amp;"ENTRADA",Movimientos!$S$2:$S$1998,0)),"-"))</f>
        <v/>
      </c>
      <c r="D53" s="4" t="str">
        <f>IF(A53="","",IFERROR(INDEX(Movimientos!$F$2:$F$1998,MATCH(A53&amp;"ENTRADA",Movimientos!$S$2:$S$1998,0)),"-"))</f>
        <v/>
      </c>
      <c r="E53" s="4" t="str">
        <f>IF(A53="","",IFERROR(INDEX(Movimientos!$L$2:$L$1998,MATCH(A53&amp;"ENTRADA",Movimientos!$S$2:$S$1998,0)),"-"))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34"/>
  <sheetViews>
    <sheetView showGridLines="0" topLeftCell="A24" workbookViewId="0">
      <selection activeCell="B39" sqref="B39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3148</v>
      </c>
    </row>
    <row r="2" spans="1:8" ht="21.75" customHeight="1">
      <c r="A2" s="25" t="s">
        <v>2157</v>
      </c>
      <c r="B2" s="25" t="s">
        <v>3149</v>
      </c>
      <c r="C2" s="25" t="s">
        <v>4</v>
      </c>
      <c r="D2" s="25" t="s">
        <v>5</v>
      </c>
      <c r="E2" s="25" t="s">
        <v>6</v>
      </c>
      <c r="F2" s="25" t="s">
        <v>3150</v>
      </c>
      <c r="G2" s="25" t="s">
        <v>11</v>
      </c>
      <c r="H2" s="25" t="s">
        <v>3151</v>
      </c>
    </row>
    <row r="3" spans="1:8">
      <c r="A3" t="s">
        <v>22</v>
      </c>
      <c r="B3" t="s">
        <v>23</v>
      </c>
      <c r="C3" s="26" t="s">
        <v>3152</v>
      </c>
      <c r="D3" s="26" t="s">
        <v>3153</v>
      </c>
      <c r="E3" s="26" t="s">
        <v>35</v>
      </c>
      <c r="F3" s="26" t="s">
        <v>27</v>
      </c>
      <c r="G3" s="26" t="s">
        <v>36</v>
      </c>
      <c r="H3" s="11" t="s">
        <v>192</v>
      </c>
    </row>
    <row r="4" spans="1:8">
      <c r="A4" t="s">
        <v>31</v>
      </c>
      <c r="B4" t="s">
        <v>104</v>
      </c>
      <c r="C4" s="26" t="s">
        <v>3154</v>
      </c>
      <c r="D4" s="26" t="s">
        <v>3155</v>
      </c>
      <c r="E4" s="26" t="s">
        <v>71</v>
      </c>
      <c r="F4" s="26" t="s">
        <v>64</v>
      </c>
      <c r="G4" s="26" t="s">
        <v>28</v>
      </c>
      <c r="H4" s="11" t="s">
        <v>145</v>
      </c>
    </row>
    <row r="5" spans="1:8">
      <c r="A5" t="s">
        <v>39</v>
      </c>
      <c r="B5" t="s">
        <v>40</v>
      </c>
      <c r="C5" s="26" t="s">
        <v>33</v>
      </c>
      <c r="D5" s="26" t="s">
        <v>3156</v>
      </c>
      <c r="E5" s="26" t="s">
        <v>76</v>
      </c>
      <c r="G5" s="26" t="s">
        <v>3157</v>
      </c>
      <c r="H5" s="11" t="s">
        <v>65</v>
      </c>
    </row>
    <row r="6" spans="1:8">
      <c r="A6" t="s">
        <v>43</v>
      </c>
      <c r="B6" t="s">
        <v>62</v>
      </c>
      <c r="C6" s="26" t="s">
        <v>24</v>
      </c>
      <c r="D6" s="26" t="s">
        <v>3158</v>
      </c>
      <c r="E6" s="11" t="s">
        <v>26</v>
      </c>
      <c r="G6" s="26" t="s">
        <v>3159</v>
      </c>
      <c r="H6" s="11" t="s">
        <v>94</v>
      </c>
    </row>
    <row r="7" spans="1:8">
      <c r="A7" t="s">
        <v>49</v>
      </c>
      <c r="B7" t="s">
        <v>3160</v>
      </c>
      <c r="C7" s="26" t="s">
        <v>3161</v>
      </c>
      <c r="D7" s="26" t="s">
        <v>45</v>
      </c>
      <c r="E7" s="26" t="s">
        <v>82</v>
      </c>
      <c r="G7" s="26" t="s">
        <v>72</v>
      </c>
      <c r="H7" s="11" t="s">
        <v>3162</v>
      </c>
    </row>
    <row r="8" spans="1:8">
      <c r="A8" t="s">
        <v>53</v>
      </c>
      <c r="B8" t="s">
        <v>54</v>
      </c>
      <c r="C8" s="26" t="s">
        <v>3163</v>
      </c>
      <c r="D8" s="26" t="s">
        <v>34</v>
      </c>
      <c r="E8" s="26" t="s">
        <v>116</v>
      </c>
      <c r="G8" s="26" t="s">
        <v>3164</v>
      </c>
    </row>
    <row r="9" spans="1:8">
      <c r="A9" t="s">
        <v>58</v>
      </c>
      <c r="B9" t="s">
        <v>59</v>
      </c>
      <c r="C9" s="26" t="s">
        <v>127</v>
      </c>
      <c r="D9" s="26" t="s">
        <v>3165</v>
      </c>
      <c r="E9" s="26" t="s">
        <v>128</v>
      </c>
      <c r="G9" s="26" t="s">
        <v>55</v>
      </c>
    </row>
    <row r="10" spans="1:8">
      <c r="A10" t="s">
        <v>74</v>
      </c>
      <c r="B10" t="s">
        <v>75</v>
      </c>
      <c r="C10" s="26" t="s">
        <v>69</v>
      </c>
      <c r="D10" s="26" t="s">
        <v>3166</v>
      </c>
      <c r="E10" s="26" t="s">
        <v>151</v>
      </c>
      <c r="G10" s="11" t="s">
        <v>3167</v>
      </c>
    </row>
    <row r="11" spans="1:8">
      <c r="A11" t="s">
        <v>69</v>
      </c>
      <c r="B11" t="s">
        <v>70</v>
      </c>
      <c r="C11" s="26"/>
      <c r="D11" s="26" t="s">
        <v>3168</v>
      </c>
      <c r="E11" s="26" t="s">
        <v>158</v>
      </c>
    </row>
    <row r="12" spans="1:8">
      <c r="A12" t="s">
        <v>79</v>
      </c>
      <c r="B12" t="s">
        <v>80</v>
      </c>
      <c r="C12" s="26"/>
      <c r="D12" s="26" t="s">
        <v>3169</v>
      </c>
      <c r="E12" s="26" t="s">
        <v>172</v>
      </c>
    </row>
    <row r="13" spans="1:8">
      <c r="A13" t="s">
        <v>85</v>
      </c>
      <c r="B13" t="s">
        <v>86</v>
      </c>
      <c r="C13" s="26"/>
      <c r="D13" s="26" t="s">
        <v>25</v>
      </c>
      <c r="E13" t="s">
        <v>168</v>
      </c>
    </row>
    <row r="14" spans="1:8">
      <c r="A14" t="s">
        <v>89</v>
      </c>
      <c r="B14" t="s">
        <v>90</v>
      </c>
      <c r="C14" s="26"/>
      <c r="D14" s="26" t="s">
        <v>3170</v>
      </c>
    </row>
    <row r="15" spans="1:8">
      <c r="A15" t="s">
        <v>111</v>
      </c>
      <c r="B15" t="s">
        <v>112</v>
      </c>
      <c r="C15" s="26"/>
      <c r="D15" s="26" t="s">
        <v>3171</v>
      </c>
    </row>
    <row r="16" spans="1:8">
      <c r="A16" t="s">
        <v>107</v>
      </c>
      <c r="B16" t="s">
        <v>108</v>
      </c>
      <c r="C16" s="26"/>
      <c r="D16" s="26" t="s">
        <v>3172</v>
      </c>
    </row>
    <row r="17" spans="1:4">
      <c r="A17" t="s">
        <v>114</v>
      </c>
      <c r="B17" t="s">
        <v>115</v>
      </c>
      <c r="D17" s="26" t="s">
        <v>3173</v>
      </c>
    </row>
    <row r="18" spans="1:4">
      <c r="A18" t="s">
        <v>121</v>
      </c>
      <c r="B18" t="s">
        <v>122</v>
      </c>
      <c r="D18" t="s">
        <v>81</v>
      </c>
    </row>
    <row r="19" spans="1:4">
      <c r="A19" t="s">
        <v>125</v>
      </c>
      <c r="B19" t="s">
        <v>126</v>
      </c>
      <c r="D19" t="s">
        <v>3174</v>
      </c>
    </row>
    <row r="20" spans="1:4">
      <c r="A20" t="s">
        <v>132</v>
      </c>
      <c r="B20" t="s">
        <v>133</v>
      </c>
      <c r="D20" t="s">
        <v>157</v>
      </c>
    </row>
    <row r="21" spans="1:4">
      <c r="A21" t="s">
        <v>136</v>
      </c>
      <c r="B21" t="s">
        <v>137</v>
      </c>
      <c r="D21" t="s">
        <v>162</v>
      </c>
    </row>
    <row r="22" spans="1:4">
      <c r="A22" t="s">
        <v>140</v>
      </c>
      <c r="B22" t="s">
        <v>141</v>
      </c>
      <c r="D22" t="s">
        <v>166</v>
      </c>
    </row>
    <row r="23" spans="1:4">
      <c r="A23" t="s">
        <v>149</v>
      </c>
      <c r="B23" t="s">
        <v>150</v>
      </c>
      <c r="D23" t="s">
        <v>176</v>
      </c>
    </row>
    <row r="24" spans="1:4">
      <c r="A24" t="s">
        <v>153</v>
      </c>
      <c r="B24" t="s">
        <v>154</v>
      </c>
      <c r="D24" t="s">
        <v>180</v>
      </c>
    </row>
    <row r="25" spans="1:4">
      <c r="A25" t="s">
        <v>156</v>
      </c>
      <c r="B25" t="s">
        <v>156</v>
      </c>
      <c r="D25" t="s">
        <v>184</v>
      </c>
    </row>
    <row r="26" spans="1:4">
      <c r="A26" t="s">
        <v>160</v>
      </c>
      <c r="B26" t="s">
        <v>161</v>
      </c>
      <c r="D26" t="s">
        <v>187</v>
      </c>
    </row>
    <row r="27" spans="1:4">
      <c r="A27" t="s">
        <v>164</v>
      </c>
      <c r="B27" t="s">
        <v>165</v>
      </c>
    </row>
    <row r="28" spans="1:4">
      <c r="A28" t="s">
        <v>170</v>
      </c>
      <c r="B28" t="s">
        <v>171</v>
      </c>
    </row>
    <row r="29" spans="1:4">
      <c r="A29" t="s">
        <v>174</v>
      </c>
      <c r="B29" t="s">
        <v>175</v>
      </c>
    </row>
    <row r="30" spans="1:4">
      <c r="A30" t="s">
        <v>178</v>
      </c>
      <c r="B30" t="s">
        <v>179</v>
      </c>
    </row>
    <row r="31" spans="1:4">
      <c r="A31" t="s">
        <v>182</v>
      </c>
      <c r="B31" t="s">
        <v>183</v>
      </c>
    </row>
    <row r="32" spans="1:4">
      <c r="A32" t="s">
        <v>186</v>
      </c>
      <c r="B32" t="s">
        <v>186</v>
      </c>
    </row>
    <row r="33" spans="1:2">
      <c r="A33" t="s">
        <v>217</v>
      </c>
      <c r="B33" t="s">
        <v>218</v>
      </c>
    </row>
    <row r="34" spans="1:2">
      <c r="A34" t="s">
        <v>221</v>
      </c>
      <c r="B34" t="s">
        <v>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3175</v>
      </c>
    </row>
    <row r="2" spans="1:2">
      <c r="B2" t="s">
        <v>3176</v>
      </c>
    </row>
    <row r="3" spans="1:2" ht="18" customHeight="1">
      <c r="A3" s="12" t="s">
        <v>3177</v>
      </c>
      <c r="B3" s="13"/>
    </row>
    <row r="4" spans="1:2" ht="30" customHeight="1">
      <c r="A4" s="27" t="s">
        <v>3178</v>
      </c>
      <c r="B4" s="28" t="s">
        <v>3179</v>
      </c>
    </row>
    <row r="5" spans="1:2" ht="30" customHeight="1">
      <c r="A5" s="27" t="s">
        <v>3180</v>
      </c>
      <c r="B5" s="28" t="s">
        <v>3181</v>
      </c>
    </row>
    <row r="6" spans="1:2" ht="30" customHeight="1">
      <c r="A6" s="27" t="s">
        <v>3182</v>
      </c>
      <c r="B6" s="28" t="s">
        <v>3183</v>
      </c>
    </row>
    <row r="7" spans="1:2" ht="18" customHeight="1">
      <c r="A7" s="29"/>
      <c r="B7" s="29"/>
    </row>
    <row r="8" spans="1:2" ht="18" customHeight="1">
      <c r="A8" s="12" t="s">
        <v>3184</v>
      </c>
      <c r="B8" s="13"/>
    </row>
    <row r="9" spans="1:2" ht="30" customHeight="1">
      <c r="A9" s="27" t="s">
        <v>3185</v>
      </c>
      <c r="B9" s="28" t="s">
        <v>3186</v>
      </c>
    </row>
    <row r="10" spans="1:2" ht="30" customHeight="1">
      <c r="A10" s="27" t="s">
        <v>3187</v>
      </c>
      <c r="B10" s="28" t="s">
        <v>3188</v>
      </c>
    </row>
    <row r="11" spans="1:2" ht="30" customHeight="1">
      <c r="A11" s="27" t="s">
        <v>3189</v>
      </c>
      <c r="B11" s="28" t="s">
        <v>3190</v>
      </c>
    </row>
    <row r="12" spans="1:2" ht="30" customHeight="1">
      <c r="A12" s="27" t="s">
        <v>3191</v>
      </c>
      <c r="B12" s="28" t="s">
        <v>3192</v>
      </c>
    </row>
    <row r="13" spans="1:2" ht="30" customHeight="1">
      <c r="A13" s="27" t="s">
        <v>3193</v>
      </c>
      <c r="B13" s="28" t="s">
        <v>3194</v>
      </c>
    </row>
    <row r="14" spans="1:2" ht="18" customHeight="1">
      <c r="A14" s="29"/>
      <c r="B14" s="29"/>
    </row>
    <row r="15" spans="1:2" ht="18" customHeight="1">
      <c r="A15" s="12" t="s">
        <v>3195</v>
      </c>
      <c r="B15" s="13"/>
    </row>
    <row r="16" spans="1:2" ht="30" customHeight="1">
      <c r="A16" s="27" t="s">
        <v>3196</v>
      </c>
      <c r="B16" s="28" t="s">
        <v>3197</v>
      </c>
    </row>
    <row r="17" spans="1:2" ht="18" customHeight="1">
      <c r="A17" s="29"/>
      <c r="B17" s="29"/>
    </row>
    <row r="18" spans="1:2" ht="18" customHeight="1">
      <c r="A18" s="12" t="s">
        <v>3198</v>
      </c>
      <c r="B18" s="13"/>
    </row>
    <row r="19" spans="1:2" ht="30" customHeight="1">
      <c r="A19" s="27" t="s">
        <v>3199</v>
      </c>
      <c r="B19" s="28" t="s">
        <v>3200</v>
      </c>
    </row>
    <row r="20" spans="1:2" ht="30" customHeight="1">
      <c r="A20" s="27" t="s">
        <v>3201</v>
      </c>
      <c r="B20" s="28" t="s">
        <v>3202</v>
      </c>
    </row>
    <row r="21" spans="1:2" ht="30" customHeight="1">
      <c r="A21" s="27" t="s">
        <v>3203</v>
      </c>
      <c r="B21" s="28" t="s">
        <v>3204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2026-04-24T10:54:52Z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